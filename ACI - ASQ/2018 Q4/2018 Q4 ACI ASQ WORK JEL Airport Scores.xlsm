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AVI\Data &amp; Market Research\ACI ASQ\Q4\"/>
    </mc:Choice>
  </mc:AlternateContent>
  <bookViews>
    <workbookView xWindow="360" yWindow="276" windowWidth="14940" windowHeight="9156" tabRatio="766" activeTab="3"/>
  </bookViews>
  <sheets>
    <sheet name="Airports" sheetId="22" r:id="rId1"/>
    <sheet name="EWR " sheetId="23" r:id="rId2"/>
    <sheet name="EWR GT" sheetId="24" r:id="rId3"/>
    <sheet name="JFK" sheetId="25" r:id="rId4"/>
    <sheet name="Terminals" sheetId="26" r:id="rId5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M50" i="22" l="1"/>
  <c r="IM49" i="22"/>
  <c r="IM48" i="22"/>
  <c r="IM46" i="22"/>
  <c r="IM45" i="22"/>
  <c r="IM43" i="22"/>
  <c r="IM42" i="22"/>
  <c r="IM41" i="22"/>
  <c r="IM40" i="22"/>
  <c r="IM39" i="22"/>
  <c r="IM38" i="22"/>
  <c r="IM37" i="22"/>
  <c r="IM36" i="22"/>
  <c r="IM35" i="22"/>
  <c r="IM34" i="22"/>
  <c r="IM33" i="22"/>
  <c r="IM31" i="22"/>
  <c r="IM30" i="22"/>
  <c r="IM29" i="22"/>
  <c r="IM28" i="22"/>
  <c r="IM26" i="22"/>
  <c r="IM25" i="22"/>
  <c r="IM24" i="22"/>
  <c r="IM23" i="22"/>
  <c r="IM21" i="22"/>
  <c r="IM20" i="22"/>
  <c r="IM18" i="22"/>
  <c r="IM17" i="22"/>
  <c r="IM16" i="22"/>
  <c r="IM14" i="22"/>
  <c r="IM13" i="22"/>
  <c r="IM12" i="22"/>
  <c r="IM11" i="22"/>
  <c r="IM9" i="22"/>
  <c r="IM8" i="22"/>
  <c r="IM7" i="22"/>
  <c r="IM6" i="22"/>
  <c r="IM5" i="22"/>
  <c r="HQ50" i="22"/>
  <c r="HQ49" i="22"/>
  <c r="HQ48" i="22"/>
  <c r="HQ46" i="22"/>
  <c r="HQ45" i="22"/>
  <c r="HQ43" i="22"/>
  <c r="HQ42" i="22"/>
  <c r="HQ41" i="22"/>
  <c r="HQ40" i="22"/>
  <c r="HQ39" i="22"/>
  <c r="HQ38" i="22"/>
  <c r="HQ37" i="22"/>
  <c r="HQ36" i="22"/>
  <c r="HQ35" i="22"/>
  <c r="HQ34" i="22"/>
  <c r="HQ33" i="22"/>
  <c r="HQ31" i="22"/>
  <c r="HQ30" i="22"/>
  <c r="HQ29" i="22"/>
  <c r="HQ28" i="22"/>
  <c r="HQ26" i="22"/>
  <c r="HQ25" i="22"/>
  <c r="HQ24" i="22"/>
  <c r="HQ23" i="22"/>
  <c r="HQ21" i="22"/>
  <c r="HQ20" i="22"/>
  <c r="HQ18" i="22"/>
  <c r="HQ17" i="22"/>
  <c r="HQ16" i="22"/>
  <c r="HQ14" i="22"/>
  <c r="HQ13" i="22"/>
  <c r="HQ12" i="22"/>
  <c r="HQ11" i="22"/>
  <c r="HQ9" i="22"/>
  <c r="HQ8" i="22"/>
  <c r="HQ7" i="22"/>
  <c r="HQ6" i="22"/>
  <c r="HQ5" i="22"/>
  <c r="EK50" i="22"/>
  <c r="EK49" i="22"/>
  <c r="EK48" i="22"/>
  <c r="EK46" i="22"/>
  <c r="EK45" i="22"/>
  <c r="EK43" i="22"/>
  <c r="EK42" i="22"/>
  <c r="EK41" i="22"/>
  <c r="EK40" i="22"/>
  <c r="EK39" i="22"/>
  <c r="EK38" i="22"/>
  <c r="EK37" i="22"/>
  <c r="EK36" i="22"/>
  <c r="EK35" i="22"/>
  <c r="EK34" i="22"/>
  <c r="EK33" i="22"/>
  <c r="EK31" i="22"/>
  <c r="EK30" i="22"/>
  <c r="EK29" i="22"/>
  <c r="EK28" i="22"/>
  <c r="EK26" i="22"/>
  <c r="EK25" i="22"/>
  <c r="EK24" i="22"/>
  <c r="EK23" i="22"/>
  <c r="EK21" i="22"/>
  <c r="EK20" i="22"/>
  <c r="EK18" i="22"/>
  <c r="EK17" i="22"/>
  <c r="EK16" i="22"/>
  <c r="EK14" i="22"/>
  <c r="EK13" i="22"/>
  <c r="EK12" i="22"/>
  <c r="EK11" i="22"/>
  <c r="EK9" i="22"/>
  <c r="EK8" i="22"/>
  <c r="EK7" i="22"/>
  <c r="EK6" i="22"/>
  <c r="EK5" i="22"/>
  <c r="FG50" i="22"/>
  <c r="FG49" i="22"/>
  <c r="FG48" i="22"/>
  <c r="FG46" i="22"/>
  <c r="FG45" i="22"/>
  <c r="FG43" i="22"/>
  <c r="FG42" i="22"/>
  <c r="FG41" i="22"/>
  <c r="FG40" i="22"/>
  <c r="FG39" i="22"/>
  <c r="FG38" i="22"/>
  <c r="FG37" i="22"/>
  <c r="FG36" i="22"/>
  <c r="FG35" i="22"/>
  <c r="FG34" i="22"/>
  <c r="FG33" i="22"/>
  <c r="FG31" i="22"/>
  <c r="FG30" i="22"/>
  <c r="FG29" i="22"/>
  <c r="FG28" i="22"/>
  <c r="FG26" i="22"/>
  <c r="FG25" i="22"/>
  <c r="FG24" i="22"/>
  <c r="FG23" i="22"/>
  <c r="FG21" i="22"/>
  <c r="FG20" i="22"/>
  <c r="FG18" i="22"/>
  <c r="FG17" i="22"/>
  <c r="FG16" i="22"/>
  <c r="FG14" i="22"/>
  <c r="FG13" i="22"/>
  <c r="FG12" i="22"/>
  <c r="FG11" i="22"/>
  <c r="FG9" i="22"/>
  <c r="FG8" i="22"/>
  <c r="FG7" i="22"/>
  <c r="FG6" i="22"/>
  <c r="FG5" i="22"/>
  <c r="N50" i="22"/>
  <c r="N49" i="22"/>
  <c r="N48" i="22"/>
  <c r="N46" i="22"/>
  <c r="N45" i="22"/>
  <c r="N43" i="22"/>
  <c r="N42" i="22"/>
  <c r="N41" i="22"/>
  <c r="N40" i="22"/>
  <c r="N39" i="22"/>
  <c r="N38" i="22"/>
  <c r="N37" i="22"/>
  <c r="N36" i="22"/>
  <c r="N35" i="22"/>
  <c r="N34" i="22"/>
  <c r="N33" i="22"/>
  <c r="N31" i="22"/>
  <c r="N30" i="22"/>
  <c r="N29" i="22"/>
  <c r="N28" i="22"/>
  <c r="N26" i="22"/>
  <c r="N25" i="22"/>
  <c r="N24" i="22"/>
  <c r="N23" i="22"/>
  <c r="N21" i="22"/>
  <c r="N20" i="22"/>
  <c r="N18" i="22"/>
  <c r="N17" i="22"/>
  <c r="N16" i="22"/>
  <c r="N14" i="22"/>
  <c r="N13" i="22"/>
  <c r="N12" i="22"/>
  <c r="N11" i="22"/>
  <c r="N9" i="22"/>
  <c r="N8" i="22"/>
  <c r="N7" i="22"/>
  <c r="N6" i="22"/>
  <c r="N5" i="22"/>
  <c r="AJ50" i="22"/>
  <c r="AJ49" i="22"/>
  <c r="AJ48" i="22"/>
  <c r="AJ46" i="22"/>
  <c r="AJ45" i="22"/>
  <c r="AJ43" i="22"/>
  <c r="AJ42" i="22"/>
  <c r="AJ41" i="22"/>
  <c r="AJ40" i="22"/>
  <c r="AJ39" i="22"/>
  <c r="AJ38" i="22"/>
  <c r="AJ37" i="22"/>
  <c r="AJ36" i="22"/>
  <c r="AJ35" i="22"/>
  <c r="AJ34" i="22"/>
  <c r="AJ33" i="22"/>
  <c r="AJ31" i="22"/>
  <c r="AJ30" i="22"/>
  <c r="AJ29" i="22"/>
  <c r="AJ28" i="22"/>
  <c r="AJ26" i="22"/>
  <c r="AJ25" i="22"/>
  <c r="AJ24" i="22"/>
  <c r="AJ23" i="22"/>
  <c r="AJ21" i="22"/>
  <c r="AJ20" i="22"/>
  <c r="AJ18" i="22"/>
  <c r="AJ17" i="22"/>
  <c r="AJ16" i="22"/>
  <c r="AJ14" i="22"/>
  <c r="AJ13" i="22"/>
  <c r="AJ12" i="22"/>
  <c r="AJ11" i="22"/>
  <c r="AJ9" i="22"/>
  <c r="AJ8" i="22"/>
  <c r="AJ7" i="22"/>
  <c r="AJ6" i="22"/>
  <c r="AJ5" i="22"/>
</calcChain>
</file>

<file path=xl/sharedStrings.xml><?xml version="1.0" encoding="utf-8"?>
<sst xmlns="http://schemas.openxmlformats.org/spreadsheetml/2006/main" count="2045" uniqueCount="106">
  <si>
    <t>JFK</t>
  </si>
  <si>
    <t>EWR</t>
  </si>
  <si>
    <t>Business</t>
  </si>
  <si>
    <t>Leisure</t>
  </si>
  <si>
    <t>Other</t>
  </si>
  <si>
    <t>LGA</t>
  </si>
  <si>
    <t>OVERALL_SAT</t>
  </si>
  <si>
    <t>transport</t>
  </si>
  <si>
    <t>parking</t>
  </si>
  <si>
    <t>vfm_parking</t>
  </si>
  <si>
    <t>baggage_carts</t>
  </si>
  <si>
    <t>airline_wait</t>
  </si>
  <si>
    <t>airline_effic</t>
  </si>
  <si>
    <t>airline_court</t>
  </si>
  <si>
    <t>waiting_passport</t>
  </si>
  <si>
    <t>inspection_staff</t>
  </si>
  <si>
    <t>security_staff</t>
  </si>
  <si>
    <t>through_inspect</t>
  </si>
  <si>
    <t>waiting_inspect</t>
  </si>
  <si>
    <t>feel_safe</t>
  </si>
  <si>
    <t>finding_way</t>
  </si>
  <si>
    <t>screens</t>
  </si>
  <si>
    <t>walking</t>
  </si>
  <si>
    <t>connections</t>
  </si>
  <si>
    <t>airport_staff</t>
  </si>
  <si>
    <t>restaurants</t>
  </si>
  <si>
    <t>vfm_restaurant</t>
  </si>
  <si>
    <t>bank</t>
  </si>
  <si>
    <t>shopping</t>
  </si>
  <si>
    <t>vfm_shopping</t>
  </si>
  <si>
    <t>computer</t>
  </si>
  <si>
    <t>airline_lounge</t>
  </si>
  <si>
    <t>washrooms_av</t>
  </si>
  <si>
    <t>washrooms_clean</t>
  </si>
  <si>
    <t>waiting_areas</t>
  </si>
  <si>
    <t>cleanliness</t>
  </si>
  <si>
    <t>ambience</t>
  </si>
  <si>
    <t>passport_arrival</t>
  </si>
  <si>
    <t>speed_bag</t>
  </si>
  <si>
    <t>customs</t>
  </si>
  <si>
    <t>AMS</t>
  </si>
  <si>
    <t>ATL</t>
  </si>
  <si>
    <t>BOS</t>
  </si>
  <si>
    <t>BWI</t>
  </si>
  <si>
    <t>DFW</t>
  </si>
  <si>
    <t>FLL</t>
  </si>
  <si>
    <t>ICN</t>
  </si>
  <si>
    <t>LAX</t>
  </si>
  <si>
    <t>LHR</t>
  </si>
  <si>
    <t>MSP</t>
  </si>
  <si>
    <t>MUC</t>
  </si>
  <si>
    <t>PHL</t>
  </si>
  <si>
    <t>PVG</t>
  </si>
  <si>
    <t>SEA</t>
  </si>
  <si>
    <t>SFO</t>
  </si>
  <si>
    <t>SIN</t>
  </si>
  <si>
    <t>YYZ</t>
  </si>
  <si>
    <t xml:space="preserve"> </t>
  </si>
  <si>
    <t>DEN</t>
  </si>
  <si>
    <t>*</t>
  </si>
  <si>
    <t>NV</t>
  </si>
  <si>
    <t xml:space="preserve">
Q4 '18</t>
  </si>
  <si>
    <t xml:space="preserve">
Q3 '18</t>
  </si>
  <si>
    <t xml:space="preserve">
Q2 '18</t>
  </si>
  <si>
    <t xml:space="preserve">
Q1 '18</t>
  </si>
  <si>
    <t xml:space="preserve">
Q4 '17</t>
  </si>
  <si>
    <t xml:space="preserve">
Q3 '17</t>
  </si>
  <si>
    <t xml:space="preserve">JFK </t>
  </si>
  <si>
    <t>WT'D</t>
  </si>
  <si>
    <t>WTD</t>
  </si>
  <si>
    <t>USAirports</t>
  </si>
  <si>
    <t>JFK Panel</t>
  </si>
  <si>
    <t xml:space="preserve">EWR </t>
  </si>
  <si>
    <t>EWR Panel</t>
  </si>
  <si>
    <t xml:space="preserve">LGA </t>
  </si>
  <si>
    <t>LGA Panel</t>
  </si>
  <si>
    <t>Leisure+</t>
  </si>
  <si>
    <t>Q4 2018</t>
  </si>
  <si>
    <t>Q3 2018</t>
  </si>
  <si>
    <t>Q2 2018</t>
  </si>
  <si>
    <t>Q1 2018</t>
  </si>
  <si>
    <t>Q3 2017</t>
  </si>
  <si>
    <t>Q4 2017</t>
  </si>
  <si>
    <t>Q4 '18</t>
  </si>
  <si>
    <t>Q3 '18</t>
  </si>
  <si>
    <t>Q2 '18</t>
  </si>
  <si>
    <t>Q1 '18</t>
  </si>
  <si>
    <t>Q4 '17</t>
  </si>
  <si>
    <t>Q3 '17</t>
  </si>
  <si>
    <t>TA</t>
  </si>
  <si>
    <t>TB</t>
  </si>
  <si>
    <t>TC</t>
  </si>
  <si>
    <t>GT</t>
  </si>
  <si>
    <t>Parking</t>
  </si>
  <si>
    <t>Parking VFM</t>
  </si>
  <si>
    <t>Wayfinding</t>
  </si>
  <si>
    <t>Walking Distance</t>
  </si>
  <si>
    <t>Connections</t>
  </si>
  <si>
    <t>T1</t>
  </si>
  <si>
    <t>T2</t>
  </si>
  <si>
    <t>T4</t>
  </si>
  <si>
    <t>T5</t>
  </si>
  <si>
    <t>T7</t>
  </si>
  <si>
    <t>T8</t>
  </si>
  <si>
    <t>Ground Transportation</t>
  </si>
  <si>
    <t>Bag Carts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</si>
</sst>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##0"/>
    <numFmt numFmtId="165" formatCode="#,###.000"/>
    <numFmt numFmtId="166" formatCode="0.000"/>
    <numFmt numFmtId="167" formatCode="#,##0.000"/>
    <numFmt numFmtId="170" formatCode="#,###.00"/>
  </numFmts>
  <fonts count="15" x14ac:knownFonts="1">
    <font>
      <sz val="10"/>
      <name val="Arial"/>
    </font>
    <font>
      <sz val="8"/>
      <color indexed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8"/>
      <color rgb="FF0070C0"/>
      <name val="Arial"/>
      <family val="2"/>
    </font>
    <font>
      <sz val="10"/>
      <color rgb="FF0070C0"/>
      <name val="Arial"/>
      <family val="2"/>
    </font>
    <font>
      <sz val="10"/>
      <color theme="8"/>
      <name val="Arial"/>
      <family val="2"/>
    </font>
    <font>
      <sz val="8"/>
      <color theme="8"/>
      <name val="Arial"/>
      <family val="2"/>
    </font>
    <font>
      <sz val="8"/>
      <color indexed="8"/>
      <name val="Arial"/>
    </font>
    <font>
      <sz val="9"/>
      <color indexed="8"/>
      <name val="Arial"/>
    </font>
    <font>
      <sz val="9"/>
      <color theme="1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0" borderId="0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164" fontId="1" fillId="0" borderId="0" xfId="0" applyNumberFormat="1" applyFont="1" applyBorder="1" applyAlignment="1">
      <alignment horizontal="center" vertical="top"/>
    </xf>
    <xf numFmtId="0" fontId="1" fillId="0" borderId="0" xfId="0" applyFont="1" applyBorder="1" applyAlignment="1">
      <alignment horizontal="left" wrapText="1"/>
    </xf>
    <xf numFmtId="0" fontId="1" fillId="0" borderId="0" xfId="0" applyFont="1" applyBorder="1" applyAlignment="1">
      <alignment horizontal="left" vertical="center" wrapText="1"/>
    </xf>
    <xf numFmtId="166" fontId="2" fillId="0" borderId="0" xfId="0" quotePrefix="1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64" fontId="4" fillId="0" borderId="0" xfId="0" applyNumberFormat="1" applyFont="1" applyBorder="1" applyAlignment="1">
      <alignment horizontal="center" vertical="center"/>
    </xf>
    <xf numFmtId="4" fontId="4" fillId="0" borderId="0" xfId="0" applyNumberFormat="1" applyFont="1" applyBorder="1" applyAlignment="1">
      <alignment horizontal="center" vertical="center"/>
    </xf>
    <xf numFmtId="165" fontId="4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wrapText="1"/>
    </xf>
    <xf numFmtId="0" fontId="0" fillId="2" borderId="0" xfId="0" applyFill="1" applyBorder="1" applyAlignment="1">
      <alignment horizontal="center" vertical="center"/>
    </xf>
    <xf numFmtId="166" fontId="2" fillId="2" borderId="0" xfId="0" quotePrefix="1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wrapText="1"/>
    </xf>
    <xf numFmtId="164" fontId="4" fillId="0" borderId="0" xfId="0" applyNumberFormat="1" applyFont="1" applyBorder="1" applyAlignment="1">
      <alignment horizontal="center"/>
    </xf>
    <xf numFmtId="167" fontId="4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wrapText="1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1" fillId="0" borderId="0" xfId="0" applyFont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166" fontId="4" fillId="0" borderId="0" xfId="0" quotePrefix="1" applyNumberFormat="1" applyFont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4" fontId="1" fillId="0" borderId="0" xfId="0" applyNumberFormat="1" applyFont="1" applyBorder="1" applyAlignment="1">
      <alignment horizontal="center" vertical="center"/>
    </xf>
    <xf numFmtId="164" fontId="10" fillId="0" borderId="0" xfId="0" applyNumberFormat="1" applyFont="1" applyBorder="1" applyAlignment="1">
      <alignment horizontal="center" vertical="top"/>
    </xf>
    <xf numFmtId="4" fontId="10" fillId="0" borderId="0" xfId="0" applyNumberFormat="1" applyFont="1" applyBorder="1" applyAlignment="1">
      <alignment horizontal="center" vertical="top"/>
    </xf>
    <xf numFmtId="165" fontId="10" fillId="0" borderId="0" xfId="0" applyNumberFormat="1" applyFont="1" applyBorder="1" applyAlignment="1">
      <alignment horizontal="center" vertical="top"/>
    </xf>
    <xf numFmtId="164" fontId="11" fillId="0" borderId="0" xfId="0" applyNumberFormat="1" applyFont="1" applyBorder="1" applyAlignment="1">
      <alignment horizontal="center" vertical="top"/>
    </xf>
    <xf numFmtId="4" fontId="11" fillId="0" borderId="0" xfId="0" applyNumberFormat="1" applyFont="1" applyBorder="1" applyAlignment="1">
      <alignment horizontal="center" vertical="top"/>
    </xf>
    <xf numFmtId="165" fontId="11" fillId="0" borderId="0" xfId="0" applyNumberFormat="1" applyFont="1" applyBorder="1" applyAlignment="1">
      <alignment horizontal="center" vertical="top"/>
    </xf>
    <xf numFmtId="164" fontId="1" fillId="2" borderId="0" xfId="0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top"/>
    </xf>
    <xf numFmtId="4" fontId="4" fillId="0" borderId="0" xfId="0" applyNumberFormat="1" applyFont="1" applyBorder="1" applyAlignment="1">
      <alignment horizontal="center" vertical="top"/>
    </xf>
    <xf numFmtId="167" fontId="4" fillId="0" borderId="0" xfId="0" applyNumberFormat="1" applyFont="1" applyBorder="1" applyAlignment="1">
      <alignment horizontal="center" vertical="top"/>
    </xf>
    <xf numFmtId="165" fontId="4" fillId="0" borderId="0" xfId="0" applyNumberFormat="1" applyFont="1" applyBorder="1" applyAlignment="1">
      <alignment horizontal="center" vertical="top"/>
    </xf>
    <xf numFmtId="4" fontId="1" fillId="0" borderId="0" xfId="0" applyNumberFormat="1" applyFont="1" applyBorder="1" applyAlignment="1">
      <alignment horizontal="center" vertical="top"/>
    </xf>
    <xf numFmtId="165" fontId="1" fillId="0" borderId="0" xfId="0" applyNumberFormat="1" applyFont="1" applyBorder="1" applyAlignment="1">
      <alignment horizontal="center" vertical="top"/>
    </xf>
    <xf numFmtId="166" fontId="3" fillId="2" borderId="0" xfId="0" quotePrefix="1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2" fontId="4" fillId="0" borderId="0" xfId="0" quotePrefix="1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0" fontId="4" fillId="0" borderId="0" xfId="0" applyFont="1" applyBorder="1" applyAlignment="1">
      <alignment horizontal="left" wrapText="1"/>
    </xf>
    <xf numFmtId="164" fontId="12" fillId="0" borderId="0" xfId="0" applyNumberFormat="1" applyFont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 wrapText="1"/>
    </xf>
    <xf numFmtId="164" fontId="2" fillId="0" borderId="0" xfId="0" applyNumberFormat="1" applyFont="1" applyBorder="1" applyAlignment="1">
      <alignment horizontal="center"/>
    </xf>
    <xf numFmtId="0" fontId="13" fillId="0" borderId="0" xfId="0" applyFont="1" applyBorder="1" applyAlignment="1">
      <alignment horizontal="center" wrapText="1"/>
    </xf>
    <xf numFmtId="0" fontId="13" fillId="2" borderId="0" xfId="0" applyFont="1" applyFill="1" applyBorder="1" applyAlignment="1">
      <alignment horizontal="center" wrapText="1"/>
    </xf>
    <xf numFmtId="4" fontId="2" fillId="0" borderId="0" xfId="0" applyNumberFormat="1" applyFont="1" applyBorder="1" applyAlignment="1">
      <alignment horizontal="center" vertical="center"/>
    </xf>
    <xf numFmtId="4" fontId="13" fillId="0" borderId="0" xfId="0" applyNumberFormat="1" applyFont="1" applyBorder="1" applyAlignment="1">
      <alignment horizontal="center" vertical="center"/>
    </xf>
    <xf numFmtId="4" fontId="13" fillId="0" borderId="0" xfId="0" applyNumberFormat="1" applyFont="1" applyBorder="1" applyAlignment="1">
      <alignment horizontal="center" vertical="top"/>
    </xf>
    <xf numFmtId="0" fontId="1" fillId="0" borderId="0" xfId="0" applyFont="1" applyFill="1" applyBorder="1" applyAlignment="1">
      <alignment horizontal="left" vertical="center" wrapText="1"/>
    </xf>
    <xf numFmtId="0" fontId="12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 wrapText="1"/>
    </xf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left" vertical="top" wrapText="1"/>
    </xf>
    <xf numFmtId="165" fontId="2" fillId="0" borderId="0" xfId="0" applyNumberFormat="1" applyFont="1" applyBorder="1" applyAlignment="1">
      <alignment horizontal="center" vertical="center"/>
    </xf>
    <xf numFmtId="170" fontId="13" fillId="0" borderId="0" xfId="0" applyNumberFormat="1" applyFont="1" applyBorder="1" applyAlignment="1">
      <alignment horizontal="center" vertical="center"/>
    </xf>
    <xf numFmtId="0" fontId="13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wrapText="1"/>
    </xf>
    <xf numFmtId="166" fontId="2" fillId="0" borderId="0" xfId="0" quotePrefix="1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 wrapText="1"/>
    </xf>
    <xf numFmtId="4" fontId="2" fillId="0" borderId="0" xfId="0" applyNumberFormat="1" applyFont="1" applyBorder="1" applyAlignment="1">
      <alignment horizontal="center" vertical="top"/>
    </xf>
    <xf numFmtId="0" fontId="2" fillId="0" borderId="0" xfId="0" applyFont="1" applyBorder="1" applyAlignment="1">
      <alignment horizontal="center" vertical="center"/>
    </xf>
    <xf numFmtId="170" fontId="2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ASQ: Ground Transportation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'EWR GT'!$A$17</c:f>
              <c:strCache>
                <c:ptCount val="1"/>
                <c:pt idx="0">
                  <c:v>EWR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GT'!$B$13:$G$13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GT'!$B$17:$G$17</c:f>
              <c:numCache>
                <c:formatCode>#,##0.00</c:formatCode>
                <c:ptCount val="6"/>
                <c:pt idx="0">
                  <c:v>3.7490748766132036</c:v>
                </c:pt>
                <c:pt idx="1">
                  <c:v>3.801217418601917</c:v>
                </c:pt>
                <c:pt idx="2">
                  <c:v>3.7330523489591401</c:v>
                </c:pt>
                <c:pt idx="3">
                  <c:v>3.8271643129993387</c:v>
                </c:pt>
                <c:pt idx="4">
                  <c:v>3.7803028026755858</c:v>
                </c:pt>
                <c:pt idx="5">
                  <c:v>3.8007122506551054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9-4E9B-8769-D49196C1B32A}"/>
            </c:ext>
          </c:extLst>
        </c:ser>
        <c:ser>
          <c:idx val="1"/>
          <c:order val="1"/>
          <c:tx>
            <c:strRef>
              <c:f>'EWR GT'!$A$14</c:f>
              <c:strCache>
                <c:ptCount val="1"/>
                <c:pt idx="0">
                  <c:v>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GT'!$B$13:$G$13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GT'!$B$14:$G$14</c:f>
              <c:numCache>
                <c:formatCode>#,##0.00</c:formatCode>
                <c:ptCount val="6"/>
                <c:pt idx="0">
                  <c:v>3.9580403678422647</c:v>
                </c:pt>
                <c:pt idx="1">
                  <c:v>3.7838773403837931</c:v>
                </c:pt>
                <c:pt idx="2">
                  <c:v>3.8232896792586035</c:v>
                </c:pt>
                <c:pt idx="3">
                  <c:v>3.7693781331688405</c:v>
                </c:pt>
                <c:pt idx="4">
                  <c:v>3.7362120020887915</c:v>
                </c:pt>
                <c:pt idx="5">
                  <c:v>3.7238805971682338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9-4E9B-8769-D49196C1B32A}"/>
            </c:ext>
          </c:extLst>
        </c:ser>
        <c:ser>
          <c:idx val="2"/>
          <c:order val="2"/>
          <c:tx>
            <c:strRef>
              <c:f>'EWR GT'!$A$15</c:f>
              <c:strCache>
                <c:ptCount val="1"/>
                <c:pt idx="0">
                  <c:v>TB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GT'!$B$13:$G$13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GT'!$B$15:$G$15</c:f>
              <c:numCache>
                <c:formatCode>#,##0.00</c:formatCode>
                <c:ptCount val="6"/>
                <c:pt idx="0">
                  <c:v>3.793565612006681</c:v>
                </c:pt>
                <c:pt idx="1">
                  <c:v>3.9959776488808232</c:v>
                </c:pt>
                <c:pt idx="2">
                  <c:v>3.861159753030631</c:v>
                </c:pt>
                <c:pt idx="3">
                  <c:v>3.8966073503321152</c:v>
                </c:pt>
                <c:pt idx="4">
                  <c:v>3.7034947770607012</c:v>
                </c:pt>
                <c:pt idx="5">
                  <c:v>3.938255887967216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9-4E9B-8769-D49196C1B32A}"/>
            </c:ext>
          </c:extLst>
        </c:ser>
        <c:ser>
          <c:idx val="3"/>
          <c:order val="3"/>
          <c:tx>
            <c:strRef>
              <c:f>'EWR GT'!$A$16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GT'!$B$13:$G$13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GT'!$B$16:$G$16</c:f>
              <c:numCache>
                <c:formatCode>#,##0.00</c:formatCode>
                <c:ptCount val="6"/>
                <c:pt idx="0">
                  <c:v>3.6668964057230018</c:v>
                </c:pt>
                <c:pt idx="1">
                  <c:v>3.7092281462420011</c:v>
                </c:pt>
                <c:pt idx="2">
                  <c:v>3.6249149902604216</c:v>
                </c:pt>
                <c:pt idx="3">
                  <c:v>3.8290049236095562</c:v>
                </c:pt>
                <c:pt idx="4">
                  <c:v>3.8339285601711395</c:v>
                </c:pt>
                <c:pt idx="5">
                  <c:v>3.7827856935055486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9-4E9B-8769-D49196C1B3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43051032"/>
        <c:axId val="243050704"/>
      </c:barChart>
      <c:catAx>
        <c:axId val="243051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50704"/>
        <c:crosses val="autoZero"/>
        <c:auto val="1"/>
        <c:lblAlgn val="ctr"/>
        <c:lblOffset val="100"/>
        <c:noMultiLvlLbl val="0"/>
      </c:catAx>
      <c:valAx>
        <c:axId val="243050704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24305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ASQ: Parking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'EWR GT'!$A$20</c:f>
              <c:strCache>
                <c:ptCount val="1"/>
                <c:pt idx="0">
                  <c:v>EWR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GT'!$B$19:$G$19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GT'!$B$20:$G$20</c:f>
              <c:numCache>
                <c:formatCode>#,##0.00</c:formatCode>
                <c:ptCount val="6"/>
                <c:pt idx="0">
                  <c:v>3.7094853220063837</c:v>
                </c:pt>
                <c:pt idx="1">
                  <c:v>3.5971494676444253</c:v>
                </c:pt>
                <c:pt idx="2">
                  <c:v>3.4507582845415272</c:v>
                </c:pt>
                <c:pt idx="3">
                  <c:v>3.4586179558983425</c:v>
                </c:pt>
                <c:pt idx="4">
                  <c:v>3.4938400255856283</c:v>
                </c:pt>
                <c:pt idx="5">
                  <c:v>3.6143064275638395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3-454C-B411-CA1DC41D5BAD}"/>
            </c:ext>
          </c:extLst>
        </c:ser>
        <c:ser>
          <c:idx val="1"/>
          <c:order val="1"/>
          <c:tx>
            <c:strRef>
              <c:f>'EWR GT'!$A$21</c:f>
              <c:strCache>
                <c:ptCount val="1"/>
                <c:pt idx="0">
                  <c:v>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GT'!$B$19:$G$19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GT'!$B$21:$G$21</c:f>
              <c:numCache>
                <c:formatCode>#,##0.00</c:formatCode>
                <c:ptCount val="6"/>
                <c:pt idx="0">
                  <c:v>3.6963042036903406</c:v>
                </c:pt>
                <c:pt idx="1">
                  <c:v>3.5909492956238354</c:v>
                </c:pt>
                <c:pt idx="2">
                  <c:v>3.52959149844567</c:v>
                </c:pt>
                <c:pt idx="3">
                  <c:v>3.2380952380952381</c:v>
                </c:pt>
                <c:pt idx="4">
                  <c:v>3.391016749386687</c:v>
                </c:pt>
                <c:pt idx="5">
                  <c:v>3.5449010653724815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33-454C-B411-CA1DC41D5BAD}"/>
            </c:ext>
          </c:extLst>
        </c:ser>
        <c:ser>
          <c:idx val="2"/>
          <c:order val="2"/>
          <c:tx>
            <c:strRef>
              <c:f>'EWR GT'!$A$22</c:f>
              <c:strCache>
                <c:ptCount val="1"/>
                <c:pt idx="0">
                  <c:v>TB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GT'!$B$19:$G$19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GT'!$B$22:$G$22</c:f>
              <c:numCache>
                <c:formatCode>#,##0.00</c:formatCode>
                <c:ptCount val="6"/>
                <c:pt idx="0">
                  <c:v>3.7399122005784902</c:v>
                </c:pt>
                <c:pt idx="1">
                  <c:v>3.5823347322252439</c:v>
                </c:pt>
                <c:pt idx="2">
                  <c:v>3.7536099660417874</c:v>
                </c:pt>
                <c:pt idx="3">
                  <c:v>4.0108436369789962</c:v>
                </c:pt>
                <c:pt idx="4">
                  <c:v>3.7023375526568501</c:v>
                </c:pt>
                <c:pt idx="5">
                  <c:v>4.0000000000000009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33-454C-B411-CA1DC41D5BAD}"/>
            </c:ext>
          </c:extLst>
        </c:ser>
        <c:ser>
          <c:idx val="3"/>
          <c:order val="3"/>
          <c:tx>
            <c:strRef>
              <c:f>'EWR GT'!$A$23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GT'!$B$19:$G$19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GT'!$B$23:$G$23</c:f>
              <c:numCache>
                <c:formatCode>#,##0.00</c:formatCode>
                <c:ptCount val="6"/>
                <c:pt idx="0">
                  <c:v>3.7053065966485881</c:v>
                </c:pt>
                <c:pt idx="1">
                  <c:v>3.6003715069807098</c:v>
                </c:pt>
                <c:pt idx="2">
                  <c:v>3.2949363952256094</c:v>
                </c:pt>
                <c:pt idx="3">
                  <c:v>3.3785004163973817</c:v>
                </c:pt>
                <c:pt idx="4">
                  <c:v>3.4698024407106001</c:v>
                </c:pt>
                <c:pt idx="5">
                  <c:v>3.5211132427554555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33-454C-B411-CA1DC41D5B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43051032"/>
        <c:axId val="243050704"/>
      </c:barChart>
      <c:catAx>
        <c:axId val="243051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50704"/>
        <c:crosses val="autoZero"/>
        <c:auto val="1"/>
        <c:lblAlgn val="ctr"/>
        <c:lblOffset val="100"/>
        <c:noMultiLvlLbl val="0"/>
      </c:catAx>
      <c:valAx>
        <c:axId val="243050704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24305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ASQ: Parking VFM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'EWR GT'!$A$26</c:f>
              <c:strCache>
                <c:ptCount val="1"/>
                <c:pt idx="0">
                  <c:v>EWR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GT'!$B$25:$G$25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GT'!$B$26:$G$26</c:f>
              <c:numCache>
                <c:formatCode>#,##0.00</c:formatCode>
                <c:ptCount val="6"/>
                <c:pt idx="0">
                  <c:v>3.0591923380559658</c:v>
                </c:pt>
                <c:pt idx="1">
                  <c:v>2.8871831867540743</c:v>
                </c:pt>
                <c:pt idx="2">
                  <c:v>2.9366770907969606</c:v>
                </c:pt>
                <c:pt idx="3">
                  <c:v>2.9542109951985007</c:v>
                </c:pt>
                <c:pt idx="4">
                  <c:v>3.0477082510503264</c:v>
                </c:pt>
                <c:pt idx="5">
                  <c:v>3.1940298499140205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4-4185-886F-88BE4CC68886}"/>
            </c:ext>
          </c:extLst>
        </c:ser>
        <c:ser>
          <c:idx val="1"/>
          <c:order val="1"/>
          <c:tx>
            <c:strRef>
              <c:f>'EWR GT'!$A$27</c:f>
              <c:strCache>
                <c:ptCount val="1"/>
                <c:pt idx="0">
                  <c:v>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GT'!$B$25:$G$25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GT'!$B$27:$G$27</c:f>
              <c:numCache>
                <c:formatCode>#,##0.00</c:formatCode>
                <c:ptCount val="6"/>
                <c:pt idx="0">
                  <c:v>2.9534219850521093</c:v>
                </c:pt>
                <c:pt idx="1">
                  <c:v>2.8430078065750259</c:v>
                </c:pt>
                <c:pt idx="2">
                  <c:v>3.054355309390659</c:v>
                </c:pt>
                <c:pt idx="3">
                  <c:v>2.5678630473386623</c:v>
                </c:pt>
                <c:pt idx="4">
                  <c:v>2.8888888888888888</c:v>
                </c:pt>
                <c:pt idx="5">
                  <c:v>3.2361809049165235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4-4185-886F-88BE4CC68886}"/>
            </c:ext>
          </c:extLst>
        </c:ser>
        <c:ser>
          <c:idx val="2"/>
          <c:order val="2"/>
          <c:tx>
            <c:strRef>
              <c:f>'EWR GT'!$A$28</c:f>
              <c:strCache>
                <c:ptCount val="1"/>
                <c:pt idx="0">
                  <c:v>TB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GT'!$B$25:$G$25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GT'!$B$28:$G$28</c:f>
              <c:numCache>
                <c:formatCode>#,##0.00</c:formatCode>
                <c:ptCount val="6"/>
                <c:pt idx="0">
                  <c:v>3.3772157161850278</c:v>
                </c:pt>
                <c:pt idx="1">
                  <c:v>3.1694610955976787</c:v>
                </c:pt>
                <c:pt idx="2">
                  <c:v>3.1158061610189107</c:v>
                </c:pt>
                <c:pt idx="3">
                  <c:v>4</c:v>
                </c:pt>
                <c:pt idx="4">
                  <c:v>3</c:v>
                </c:pt>
                <c:pt idx="5">
                  <c:v>3.6118980171076251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4-4185-886F-88BE4CC68886}"/>
            </c:ext>
          </c:extLst>
        </c:ser>
        <c:ser>
          <c:idx val="3"/>
          <c:order val="3"/>
          <c:tx>
            <c:strRef>
              <c:f>'EWR GT'!$A$29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GT'!$B$25:$G$25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GT'!$B$29:$G$29</c:f>
              <c:numCache>
                <c:formatCode>#,##0.00</c:formatCode>
                <c:ptCount val="6"/>
                <c:pt idx="0">
                  <c:v>3.01349720913875</c:v>
                </c:pt>
                <c:pt idx="1">
                  <c:v>2.8053131326537946</c:v>
                </c:pt>
                <c:pt idx="2">
                  <c:v>2.8212560224182446</c:v>
                </c:pt>
                <c:pt idx="3">
                  <c:v>2.8371550875708733</c:v>
                </c:pt>
                <c:pt idx="4">
                  <c:v>3.0830257429910515</c:v>
                </c:pt>
                <c:pt idx="5">
                  <c:v>3.0075593933317948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94-4185-886F-88BE4CC688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43051032"/>
        <c:axId val="243050704"/>
      </c:barChart>
      <c:catAx>
        <c:axId val="243051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50704"/>
        <c:crosses val="autoZero"/>
        <c:auto val="1"/>
        <c:lblAlgn val="ctr"/>
        <c:lblOffset val="100"/>
        <c:noMultiLvlLbl val="0"/>
      </c:catAx>
      <c:valAx>
        <c:axId val="243050704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24305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ASQ: Wayfinding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GT'!$A$31:$G$31</c:f>
              <c:strCache>
                <c:ptCount val="7"/>
                <c:pt idx="0">
                  <c:v>Wayfinding</c:v>
                </c:pt>
                <c:pt idx="1">
                  <c:v>Q4 2018</c:v>
                </c:pt>
                <c:pt idx="2">
                  <c:v>Q3 2018</c:v>
                </c:pt>
                <c:pt idx="3">
                  <c:v>Q2 2018</c:v>
                </c:pt>
                <c:pt idx="4">
                  <c:v>Q1 2018</c:v>
                </c:pt>
                <c:pt idx="5">
                  <c:v>Q4 2017</c:v>
                </c:pt>
                <c:pt idx="6">
                  <c:v>Q3 2017</c:v>
                </c:pt>
              </c:strCache>
            </c:strRef>
          </c:cat>
          <c:val>
            <c:numRef>
              <c:f>'EWR GT'!$A$32:$G$32</c:f>
              <c:numCache>
                <c:formatCode>#,##0.00</c:formatCode>
                <c:ptCount val="7"/>
                <c:pt idx="0" formatCode="General">
                  <c:v>0</c:v>
                </c:pt>
                <c:pt idx="1">
                  <c:v>4.0431716055096141</c:v>
                </c:pt>
                <c:pt idx="2">
                  <c:v>3.9176219262072136</c:v>
                </c:pt>
                <c:pt idx="3">
                  <c:v>3.9954495523098377</c:v>
                </c:pt>
                <c:pt idx="4">
                  <c:v>3.9638984850166552</c:v>
                </c:pt>
                <c:pt idx="5">
                  <c:v>3.9431380053961345</c:v>
                </c:pt>
                <c:pt idx="6">
                  <c:v>3.9930971606488335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0-4843-8F72-723DE1D4A70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GT'!$A$31:$G$31</c:f>
              <c:strCache>
                <c:ptCount val="7"/>
                <c:pt idx="0">
                  <c:v>Wayfinding</c:v>
                </c:pt>
                <c:pt idx="1">
                  <c:v>Q4 2018</c:v>
                </c:pt>
                <c:pt idx="2">
                  <c:v>Q3 2018</c:v>
                </c:pt>
                <c:pt idx="3">
                  <c:v>Q2 2018</c:v>
                </c:pt>
                <c:pt idx="4">
                  <c:v>Q1 2018</c:v>
                </c:pt>
                <c:pt idx="5">
                  <c:v>Q4 2017</c:v>
                </c:pt>
                <c:pt idx="6">
                  <c:v>Q3 2017</c:v>
                </c:pt>
              </c:strCache>
            </c:strRef>
          </c:cat>
          <c:val>
            <c:numRef>
              <c:f>'EWR GT'!$A$33:$G$33</c:f>
              <c:numCache>
                <c:formatCode>#,##0.00</c:formatCode>
                <c:ptCount val="7"/>
                <c:pt idx="0" formatCode="General">
                  <c:v>0</c:v>
                </c:pt>
                <c:pt idx="1">
                  <c:v>4.1077958164782347</c:v>
                </c:pt>
                <c:pt idx="2">
                  <c:v>4.0057693923928452</c:v>
                </c:pt>
                <c:pt idx="3">
                  <c:v>4.0431822497003429</c:v>
                </c:pt>
                <c:pt idx="4">
                  <c:v>4.0580167556039708</c:v>
                </c:pt>
                <c:pt idx="5">
                  <c:v>3.8295715661486525</c:v>
                </c:pt>
                <c:pt idx="6">
                  <c:v>3.927505888569311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0-4843-8F72-723DE1D4A70D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GT'!$A$31:$G$31</c:f>
              <c:strCache>
                <c:ptCount val="7"/>
                <c:pt idx="0">
                  <c:v>Wayfinding</c:v>
                </c:pt>
                <c:pt idx="1">
                  <c:v>Q4 2018</c:v>
                </c:pt>
                <c:pt idx="2">
                  <c:v>Q3 2018</c:v>
                </c:pt>
                <c:pt idx="3">
                  <c:v>Q2 2018</c:v>
                </c:pt>
                <c:pt idx="4">
                  <c:v>Q1 2018</c:v>
                </c:pt>
                <c:pt idx="5">
                  <c:v>Q4 2017</c:v>
                </c:pt>
                <c:pt idx="6">
                  <c:v>Q3 2017</c:v>
                </c:pt>
              </c:strCache>
            </c:strRef>
          </c:cat>
          <c:val>
            <c:numRef>
              <c:f>'EWR GT'!$A$34:$G$34</c:f>
              <c:numCache>
                <c:formatCode>#,##0.00</c:formatCode>
                <c:ptCount val="7"/>
                <c:pt idx="0" formatCode="General">
                  <c:v>0</c:v>
                </c:pt>
                <c:pt idx="1">
                  <c:v>4.0012801914651979</c:v>
                </c:pt>
                <c:pt idx="2">
                  <c:v>3.93490997117748</c:v>
                </c:pt>
                <c:pt idx="3">
                  <c:v>4.0553014465351396</c:v>
                </c:pt>
                <c:pt idx="4">
                  <c:v>3.9057341288391552</c:v>
                </c:pt>
                <c:pt idx="5">
                  <c:v>3.9761340951902424</c:v>
                </c:pt>
                <c:pt idx="6">
                  <c:v>4.0825656776822603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E0-4843-8F72-723DE1D4A70D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GT'!$A$31:$G$31</c:f>
              <c:strCache>
                <c:ptCount val="7"/>
                <c:pt idx="0">
                  <c:v>Wayfinding</c:v>
                </c:pt>
                <c:pt idx="1">
                  <c:v>Q4 2018</c:v>
                </c:pt>
                <c:pt idx="2">
                  <c:v>Q3 2018</c:v>
                </c:pt>
                <c:pt idx="3">
                  <c:v>Q2 2018</c:v>
                </c:pt>
                <c:pt idx="4">
                  <c:v>Q1 2018</c:v>
                </c:pt>
                <c:pt idx="5">
                  <c:v>Q4 2017</c:v>
                </c:pt>
                <c:pt idx="6">
                  <c:v>Q3 2017</c:v>
                </c:pt>
              </c:strCache>
            </c:strRef>
          </c:cat>
          <c:val>
            <c:numRef>
              <c:f>'EWR GT'!$A$35:$G$35</c:f>
              <c:numCache>
                <c:formatCode>#,##0.00</c:formatCode>
                <c:ptCount val="7"/>
                <c:pt idx="0" formatCode="General">
                  <c:v>0</c:v>
                </c:pt>
                <c:pt idx="1">
                  <c:v>4.0367312338623638</c:v>
                </c:pt>
                <c:pt idx="2">
                  <c:v>3.8692372850374888</c:v>
                </c:pt>
                <c:pt idx="3">
                  <c:v>3.9559660815312747</c:v>
                </c:pt>
                <c:pt idx="4">
                  <c:v>3.9358436191475068</c:v>
                </c:pt>
                <c:pt idx="5">
                  <c:v>3.9909728775142264</c:v>
                </c:pt>
                <c:pt idx="6">
                  <c:v>3.9917480239782384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E0-4843-8F72-723DE1D4A7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43051032"/>
        <c:axId val="243050704"/>
      </c:barChart>
      <c:catAx>
        <c:axId val="243051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50704"/>
        <c:crosses val="autoZero"/>
        <c:auto val="1"/>
        <c:lblAlgn val="ctr"/>
        <c:lblOffset val="100"/>
        <c:noMultiLvlLbl val="0"/>
      </c:catAx>
      <c:valAx>
        <c:axId val="2430507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4305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ASQ: Walking 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'EWR GT'!$A$38</c:f>
              <c:strCache>
                <c:ptCount val="1"/>
                <c:pt idx="0">
                  <c:v>EWR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GT'!$B$37:$G$37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GT'!$B$38:$G$38</c:f>
              <c:numCache>
                <c:formatCode>#,##0.00</c:formatCode>
                <c:ptCount val="6"/>
                <c:pt idx="0">
                  <c:v>3.8854963713813122</c:v>
                </c:pt>
                <c:pt idx="1">
                  <c:v>3.7364899390963151</c:v>
                </c:pt>
                <c:pt idx="2">
                  <c:v>3.7634243192083461</c:v>
                </c:pt>
                <c:pt idx="3">
                  <c:v>3.764133332651626</c:v>
                </c:pt>
                <c:pt idx="4">
                  <c:v>3.7816239903504956</c:v>
                </c:pt>
                <c:pt idx="5">
                  <c:v>3.8085970776028799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0-477F-B4ED-3533028EAFD3}"/>
            </c:ext>
          </c:extLst>
        </c:ser>
        <c:ser>
          <c:idx val="1"/>
          <c:order val="1"/>
          <c:tx>
            <c:strRef>
              <c:f>'EWR GT'!$A$39</c:f>
              <c:strCache>
                <c:ptCount val="1"/>
                <c:pt idx="0">
                  <c:v>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GT'!$B$37:$G$37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GT'!$B$39:$G$39</c:f>
              <c:numCache>
                <c:formatCode>#,##0.00</c:formatCode>
                <c:ptCount val="6"/>
                <c:pt idx="0">
                  <c:v>4.1565850604224961</c:v>
                </c:pt>
                <c:pt idx="1">
                  <c:v>3.9275792713375819</c:v>
                </c:pt>
                <c:pt idx="2">
                  <c:v>3.9023384640579351</c:v>
                </c:pt>
                <c:pt idx="3">
                  <c:v>4.0275127147409231</c:v>
                </c:pt>
                <c:pt idx="4">
                  <c:v>3.834367793132035</c:v>
                </c:pt>
                <c:pt idx="5">
                  <c:v>3.9229352974151888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50-477F-B4ED-3533028EAFD3}"/>
            </c:ext>
          </c:extLst>
        </c:ser>
        <c:ser>
          <c:idx val="2"/>
          <c:order val="2"/>
          <c:tx>
            <c:strRef>
              <c:f>'EWR GT'!$A$40</c:f>
              <c:strCache>
                <c:ptCount val="1"/>
                <c:pt idx="0">
                  <c:v>TB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GT'!$B$37:$G$37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GT'!$B$40:$G$40</c:f>
              <c:numCache>
                <c:formatCode>#,##0.00</c:formatCode>
                <c:ptCount val="6"/>
                <c:pt idx="0">
                  <c:v>4.1339688331375068</c:v>
                </c:pt>
                <c:pt idx="1">
                  <c:v>4.0898787671758656</c:v>
                </c:pt>
                <c:pt idx="2">
                  <c:v>4.1651685753270966</c:v>
                </c:pt>
                <c:pt idx="3">
                  <c:v>4.0731314133285856</c:v>
                </c:pt>
                <c:pt idx="4">
                  <c:v>4.0319830964450842</c:v>
                </c:pt>
                <c:pt idx="5">
                  <c:v>4.0000000009456578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50-477F-B4ED-3533028EAFD3}"/>
            </c:ext>
          </c:extLst>
        </c:ser>
        <c:ser>
          <c:idx val="3"/>
          <c:order val="3"/>
          <c:tx>
            <c:strRef>
              <c:f>'EWR GT'!$A$41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GT'!$B$37:$G$37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GT'!$B$41:$G$41</c:f>
              <c:numCache>
                <c:formatCode>#,##0.00</c:formatCode>
                <c:ptCount val="6"/>
                <c:pt idx="0">
                  <c:v>3.7318289852030846</c:v>
                </c:pt>
                <c:pt idx="1">
                  <c:v>3.5174151569618961</c:v>
                </c:pt>
                <c:pt idx="2">
                  <c:v>3.573071623786622</c:v>
                </c:pt>
                <c:pt idx="3">
                  <c:v>3.5406251902435577</c:v>
                </c:pt>
                <c:pt idx="4">
                  <c:v>3.6816243936257869</c:v>
                </c:pt>
                <c:pt idx="5">
                  <c:v>3.6925596628418824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50-477F-B4ED-3533028EAF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43051032"/>
        <c:axId val="243050704"/>
      </c:barChart>
      <c:catAx>
        <c:axId val="243051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50704"/>
        <c:crosses val="autoZero"/>
        <c:auto val="1"/>
        <c:lblAlgn val="ctr"/>
        <c:lblOffset val="100"/>
        <c:noMultiLvlLbl val="0"/>
      </c:catAx>
      <c:valAx>
        <c:axId val="243050704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24305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ASQ: Connections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'EWR GT'!$A$44</c:f>
              <c:strCache>
                <c:ptCount val="1"/>
                <c:pt idx="0">
                  <c:v>EWR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GT'!$B$43:$G$43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GT'!$B$44:$G$44</c:f>
              <c:numCache>
                <c:formatCode>#,##0.00</c:formatCode>
                <c:ptCount val="6"/>
                <c:pt idx="0">
                  <c:v>3.900846858166032</c:v>
                </c:pt>
                <c:pt idx="1">
                  <c:v>3.5362890082736875</c:v>
                </c:pt>
                <c:pt idx="2">
                  <c:v>3.5809805329820241</c:v>
                </c:pt>
                <c:pt idx="3">
                  <c:v>3.6370147876586549</c:v>
                </c:pt>
                <c:pt idx="4">
                  <c:v>3.6632078114532463</c:v>
                </c:pt>
                <c:pt idx="5">
                  <c:v>3.6956080222129524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4-442B-804C-3634B0C00902}"/>
            </c:ext>
          </c:extLst>
        </c:ser>
        <c:ser>
          <c:idx val="1"/>
          <c:order val="1"/>
          <c:tx>
            <c:strRef>
              <c:f>'EWR GT'!$A$45</c:f>
              <c:strCache>
                <c:ptCount val="1"/>
                <c:pt idx="0">
                  <c:v>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GT'!$B$43:$G$43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GT'!$B$45:$G$45</c:f>
              <c:numCache>
                <c:formatCode>#,##0.00</c:formatCode>
                <c:ptCount val="6"/>
                <c:pt idx="0">
                  <c:v>3.7139432158096963</c:v>
                </c:pt>
                <c:pt idx="1">
                  <c:v>3.1613409920750906</c:v>
                </c:pt>
                <c:pt idx="2">
                  <c:v>3.0752459602397213</c:v>
                </c:pt>
                <c:pt idx="3">
                  <c:v>3.516753296690255</c:v>
                </c:pt>
                <c:pt idx="4">
                  <c:v>3.2065150230479467</c:v>
                </c:pt>
                <c:pt idx="5">
                  <c:v>3.4237012993034321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C4-442B-804C-3634B0C00902}"/>
            </c:ext>
          </c:extLst>
        </c:ser>
        <c:ser>
          <c:idx val="2"/>
          <c:order val="2"/>
          <c:tx>
            <c:strRef>
              <c:f>'EWR GT'!$A$46</c:f>
              <c:strCache>
                <c:ptCount val="1"/>
                <c:pt idx="0">
                  <c:v>TB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GT'!$B$43:$G$43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GT'!$B$46:$G$46</c:f>
              <c:numCache>
                <c:formatCode>#,##0.00</c:formatCode>
                <c:ptCount val="6"/>
                <c:pt idx="0">
                  <c:v>4.3088282924736365</c:v>
                </c:pt>
                <c:pt idx="1">
                  <c:v>3.4897708658923161</c:v>
                </c:pt>
                <c:pt idx="2">
                  <c:v>3.5054363424677026</c:v>
                </c:pt>
                <c:pt idx="3">
                  <c:v>4.2859004458137511</c:v>
                </c:pt>
                <c:pt idx="4">
                  <c:v>3.6212791878667128</c:v>
                </c:pt>
                <c:pt idx="5">
                  <c:v>3.3917995444905533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C4-442B-804C-3634B0C00902}"/>
            </c:ext>
          </c:extLst>
        </c:ser>
        <c:ser>
          <c:idx val="3"/>
          <c:order val="3"/>
          <c:tx>
            <c:strRef>
              <c:f>'EWR GT'!$A$47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'EWR GT'!$B$43:$G$43</c:f>
              <c:strCache>
                <c:ptCount val="6"/>
                <c:pt idx="0">
                  <c:v>Q4 2018</c:v>
                </c:pt>
                <c:pt idx="1">
                  <c:v>Q3 2018</c:v>
                </c:pt>
                <c:pt idx="2">
                  <c:v>Q2 2018</c:v>
                </c:pt>
                <c:pt idx="3">
                  <c:v>Q1 2018</c:v>
                </c:pt>
                <c:pt idx="4">
                  <c:v>Q4 2017</c:v>
                </c:pt>
                <c:pt idx="5">
                  <c:v>Q3 2017</c:v>
                </c:pt>
              </c:strCache>
            </c:strRef>
          </c:cat>
          <c:val>
            <c:numRef>
              <c:f>'EWR GT'!$B$47:$G$47</c:f>
              <c:numCache>
                <c:formatCode>#,##0.00</c:formatCode>
                <c:ptCount val="6"/>
                <c:pt idx="0">
                  <c:v>3.8669748356086364</c:v>
                </c:pt>
                <c:pt idx="1">
                  <c:v>3.5796025997040122</c:v>
                </c:pt>
                <c:pt idx="2">
                  <c:v>3.6887327734326942</c:v>
                </c:pt>
                <c:pt idx="3">
                  <c:v>3.6113257439681443</c:v>
                </c:pt>
                <c:pt idx="4">
                  <c:v>3.829823644864133</c:v>
                </c:pt>
                <c:pt idx="5">
                  <c:v>3.7999306514808646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C4-442B-804C-3634B0C009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43051032"/>
        <c:axId val="243050704"/>
      </c:barChart>
      <c:catAx>
        <c:axId val="243051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050704"/>
        <c:crosses val="autoZero"/>
        <c:auto val="1"/>
        <c:lblAlgn val="ctr"/>
        <c:lblOffset val="100"/>
        <c:noMultiLvlLbl val="0"/>
      </c:catAx>
      <c:valAx>
        <c:axId val="243050704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24305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600"/>
              <a:t>ASQ Airport Access &amp; Related Attributes</a:t>
            </a:r>
          </a:p>
          <a:p>
            <a:pPr>
              <a:defRPr/>
            </a:pPr>
            <a:r>
              <a:rPr lang="en-US" sz="1600"/>
              <a:t>JFK 2018 Q4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JFK!$B$1:$B$2</c:f>
              <c:strCache>
                <c:ptCount val="2"/>
                <c:pt idx="0">
                  <c:v>
Q4 '18</c:v>
                </c:pt>
                <c:pt idx="1">
                  <c:v>JFK 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2BF7-477A-9621-458640B9ABC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BF7-477A-9621-458640B9ABC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2BF7-477A-9621-458640B9ABC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BF7-477A-9621-458640B9ABC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BF7-477A-9621-458640B9AB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JFK!$A$3:$A$9</c:f>
              <c:strCache>
                <c:ptCount val="7"/>
                <c:pt idx="0">
                  <c:v>Ground Transportation</c:v>
                </c:pt>
                <c:pt idx="1">
                  <c:v>Parking</c:v>
                </c:pt>
                <c:pt idx="2">
                  <c:v>Parking VFM</c:v>
                </c:pt>
                <c:pt idx="3">
                  <c:v>Bag Carts</c:v>
                </c:pt>
                <c:pt idx="4">
                  <c:v>Wayfinding</c:v>
                </c:pt>
                <c:pt idx="5">
                  <c:v>Walking Distance</c:v>
                </c:pt>
                <c:pt idx="6">
                  <c:v>Connections</c:v>
                </c:pt>
              </c:strCache>
            </c:strRef>
          </c:cat>
          <c:val>
            <c:numRef>
              <c:f>JFK!$B$3:$B$9</c:f>
              <c:numCache>
                <c:formatCode>#,##0.00</c:formatCode>
                <c:ptCount val="7"/>
                <c:pt idx="0">
                  <c:v>3.8397853637438986</c:v>
                </c:pt>
                <c:pt idx="1">
                  <c:v>3.6899934584488667</c:v>
                </c:pt>
                <c:pt idx="2">
                  <c:v>3.1203377328303361</c:v>
                </c:pt>
                <c:pt idx="3">
                  <c:v>3.7306956316252307</c:v>
                </c:pt>
                <c:pt idx="4">
                  <c:v>4.1605513529001126</c:v>
                </c:pt>
                <c:pt idx="5">
                  <c:v>3.7824526344787013</c:v>
                </c:pt>
                <c:pt idx="6">
                  <c:v>3.8799717533317826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7-477A-9621-458640B9ABC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401597016"/>
        <c:axId val="401597344"/>
      </c:barChart>
      <c:catAx>
        <c:axId val="401597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97344"/>
        <c:crosses val="autoZero"/>
        <c:auto val="1"/>
        <c:lblAlgn val="ctr"/>
        <c:lblOffset val="100"/>
        <c:noMultiLvlLbl val="0"/>
      </c:catAx>
      <c:valAx>
        <c:axId val="401597344"/>
        <c:scaling>
          <c:orientation val="minMax"/>
          <c:max val="5"/>
        </c:scaling>
        <c:delete val="1"/>
        <c:axPos val="l"/>
        <c:numFmt formatCode="#,##0.00" sourceLinked="1"/>
        <c:majorTickMark val="none"/>
        <c:minorTickMark val="none"/>
        <c:tickLblPos val="nextTo"/>
        <c:crossAx val="40159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57150</xdr:rowOff>
    </xdr:from>
    <xdr:to>
      <xdr:col>15</xdr:col>
      <xdr:colOff>304800</xdr:colOff>
      <xdr:row>28</xdr:row>
      <xdr:rowOff>118110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28</xdr:row>
      <xdr:rowOff>160020</xdr:rowOff>
    </xdr:from>
    <xdr:to>
      <xdr:col>15</xdr:col>
      <xdr:colOff>312420</xdr:colOff>
      <xdr:row>45</xdr:row>
      <xdr:rowOff>53340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45</xdr:row>
      <xdr:rowOff>152400</xdr:rowOff>
    </xdr:from>
    <xdr:to>
      <xdr:col>15</xdr:col>
      <xdr:colOff>304800</xdr:colOff>
      <xdr:row>62</xdr:row>
      <xdr:rowOff>45720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83820</xdr:colOff>
      <xdr:row>52</xdr:row>
      <xdr:rowOff>30480</xdr:rowOff>
    </xdr:from>
    <xdr:to>
      <xdr:col>7</xdr:col>
      <xdr:colOff>388620</xdr:colOff>
      <xdr:row>68</xdr:row>
      <xdr:rowOff>91440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63</xdr:row>
      <xdr:rowOff>22860</xdr:rowOff>
    </xdr:from>
    <xdr:to>
      <xdr:col>15</xdr:col>
      <xdr:colOff>304800</xdr:colOff>
      <xdr:row>79</xdr:row>
      <xdr:rowOff>83820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60960</xdr:colOff>
      <xdr:row>69</xdr:row>
      <xdr:rowOff>129540</xdr:rowOff>
    </xdr:from>
    <xdr:to>
      <xdr:col>7</xdr:col>
      <xdr:colOff>365760</xdr:colOff>
      <xdr:row>86</xdr:row>
      <xdr:rowOff>22860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83826</xdr:colOff>
      <xdr:row>11</xdr:row>
      <xdr:rowOff>53346</xdr:rowOff>
    </xdr:from>
    <xdr:to>
      <xdr:col>18</xdr:col>
      <xdr:colOff>289560</xdr:colOff>
      <xdr:row>35</xdr:row>
      <xdr:rowOff>99060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O51"/>
  <sheetViews>
    <sheetView zoomScale="70" zoomScaleNormal="70"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ES19" sqref="ES19"/>
    </sheetView>
  </sheetViews>
  <sheetFormatPr defaultRowHeight="13.2" x14ac:dyDescent="0.25"/>
  <cols>
    <col min="2" max="2" width="14" bestFit="1" customWidth="1"/>
    <col min="3" max="3" width="5.21875" bestFit="1" customWidth="1"/>
    <col min="4" max="4" width="4.33203125" bestFit="1" customWidth="1"/>
    <col min="5" max="6" width="3.88671875" bestFit="1" customWidth="1"/>
    <col min="8" max="8" width="5.21875" bestFit="1" customWidth="1"/>
    <col min="9" max="9" width="4.33203125" bestFit="1" customWidth="1"/>
    <col min="10" max="11" width="3.88671875" bestFit="1" customWidth="1"/>
    <col min="12" max="12" width="5" bestFit="1" customWidth="1"/>
    <col min="13" max="13" width="1.6640625" bestFit="1" customWidth="1"/>
    <col min="14" max="14" width="4.44140625" bestFit="1" customWidth="1"/>
    <col min="16" max="16" width="5.21875" bestFit="1" customWidth="1"/>
    <col min="17" max="17" width="4.21875" bestFit="1" customWidth="1"/>
    <col min="18" max="19" width="3.88671875" bestFit="1" customWidth="1"/>
    <col min="20" max="20" width="4.6640625" bestFit="1" customWidth="1"/>
    <col min="21" max="21" width="1.6640625" bestFit="1" customWidth="1"/>
    <col min="23" max="23" width="5" bestFit="1" customWidth="1"/>
    <col min="24" max="24" width="4.21875" bestFit="1" customWidth="1"/>
    <col min="25" max="26" width="3.88671875" bestFit="1" customWidth="1"/>
    <col min="27" max="27" width="5.5546875" bestFit="1" customWidth="1"/>
    <col min="28" max="28" width="1.6640625" bestFit="1" customWidth="1"/>
    <col min="30" max="30" width="5.21875" bestFit="1" customWidth="1"/>
    <col min="31" max="31" width="4.21875" bestFit="1" customWidth="1"/>
    <col min="32" max="33" width="3.88671875" bestFit="1" customWidth="1"/>
    <col min="34" max="34" width="5.5546875" bestFit="1" customWidth="1"/>
    <col min="35" max="35" width="1.6640625" bestFit="1" customWidth="1"/>
    <col min="36" max="36" width="4.44140625" bestFit="1" customWidth="1"/>
    <col min="38" max="38" width="5.21875" bestFit="1" customWidth="1"/>
    <col min="39" max="39" width="4" bestFit="1" customWidth="1"/>
    <col min="40" max="41" width="3.88671875" bestFit="1" customWidth="1"/>
    <col min="42" max="42" width="5.21875" bestFit="1" customWidth="1"/>
    <col min="43" max="43" width="1.6640625" bestFit="1" customWidth="1"/>
    <col min="45" max="45" width="8" bestFit="1" customWidth="1"/>
    <col min="46" max="46" width="4.33203125" bestFit="1" customWidth="1"/>
    <col min="47" max="47" width="3.88671875" bestFit="1" customWidth="1"/>
    <col min="48" max="48" width="5.5546875" bestFit="1" customWidth="1"/>
    <col min="49" max="49" width="1.6640625" bestFit="1" customWidth="1"/>
    <col min="51" max="51" width="3.88671875" bestFit="1" customWidth="1"/>
    <col min="52" max="53" width="4.33203125" bestFit="1" customWidth="1"/>
    <col min="54" max="54" width="5.77734375" bestFit="1" customWidth="1"/>
    <col min="55" max="55" width="1.6640625" bestFit="1" customWidth="1"/>
    <col min="57" max="57" width="4.88671875" bestFit="1" customWidth="1"/>
    <col min="58" max="58" width="4.5546875" bestFit="1" customWidth="1"/>
    <col min="59" max="59" width="4.33203125" bestFit="1" customWidth="1"/>
    <col min="60" max="60" width="5.21875" bestFit="1" customWidth="1"/>
    <col min="61" max="61" width="1.6640625" bestFit="1" customWidth="1"/>
    <col min="63" max="63" width="4.88671875" bestFit="1" customWidth="1"/>
    <col min="64" max="64" width="4.6640625" bestFit="1" customWidth="1"/>
    <col min="65" max="65" width="4.33203125" bestFit="1" customWidth="1"/>
    <col min="66" max="66" width="5.77734375" bestFit="1" customWidth="1"/>
    <col min="67" max="67" width="1.6640625" bestFit="1" customWidth="1"/>
    <col min="69" max="69" width="4.88671875" bestFit="1" customWidth="1"/>
    <col min="70" max="71" width="4.33203125" bestFit="1" customWidth="1"/>
    <col min="72" max="72" width="5.21875" bestFit="1" customWidth="1"/>
    <col min="73" max="73" width="1.6640625" bestFit="1" customWidth="1"/>
    <col min="75" max="75" width="4.88671875" bestFit="1" customWidth="1"/>
    <col min="76" max="77" width="4.33203125" bestFit="1" customWidth="1"/>
    <col min="78" max="78" width="5.21875" bestFit="1" customWidth="1"/>
    <col min="79" max="79" width="1.6640625" bestFit="1" customWidth="1"/>
    <col min="81" max="81" width="7.44140625" bestFit="1" customWidth="1"/>
    <col min="82" max="82" width="4.88671875" bestFit="1" customWidth="1"/>
    <col min="83" max="84" width="3.88671875" bestFit="1" customWidth="1"/>
    <col min="85" max="85" width="5.77734375" bestFit="1" customWidth="1"/>
    <col min="86" max="86" width="1.6640625" bestFit="1" customWidth="1"/>
    <col min="88" max="88" width="4.5546875" bestFit="1" customWidth="1"/>
    <col min="89" max="89" width="4.21875" bestFit="1" customWidth="1"/>
    <col min="90" max="91" width="3.88671875" bestFit="1" customWidth="1"/>
    <col min="92" max="92" width="5.21875" bestFit="1" customWidth="1"/>
    <col min="93" max="93" width="1.6640625" bestFit="1" customWidth="1"/>
    <col min="95" max="96" width="4.33203125" bestFit="1" customWidth="1"/>
    <col min="97" max="98" width="3.88671875" bestFit="1" customWidth="1"/>
    <col min="99" max="99" width="5.21875" bestFit="1" customWidth="1"/>
    <col min="100" max="100" width="1.6640625" bestFit="1" customWidth="1"/>
    <col min="102" max="103" width="4.33203125" bestFit="1" customWidth="1"/>
    <col min="104" max="105" width="3.88671875" bestFit="1" customWidth="1"/>
    <col min="106" max="106" width="5.77734375" bestFit="1" customWidth="1"/>
    <col min="107" max="107" width="1.6640625" bestFit="1" customWidth="1"/>
    <col min="109" max="109" width="3.5546875" customWidth="1"/>
    <col min="110" max="110" width="5.21875" bestFit="1" customWidth="1"/>
    <col min="111" max="111" width="3.88671875" bestFit="1" customWidth="1"/>
    <col min="112" max="112" width="4.6640625" bestFit="1" customWidth="1"/>
    <col min="113" max="113" width="6.109375" bestFit="1" customWidth="1"/>
    <col min="114" max="114" width="1.6640625" bestFit="1" customWidth="1"/>
    <col min="116" max="116" width="4.44140625" bestFit="1" customWidth="1"/>
    <col min="117" max="117" width="5.21875" bestFit="1" customWidth="1"/>
    <col min="118" max="119" width="3.88671875" bestFit="1" customWidth="1"/>
    <col min="120" max="120" width="6.109375" bestFit="1" customWidth="1"/>
    <col min="121" max="121" width="1.6640625" bestFit="1" customWidth="1"/>
    <col min="123" max="123" width="3.5546875" bestFit="1" customWidth="1"/>
    <col min="124" max="124" width="4.21875" bestFit="1" customWidth="1"/>
    <col min="125" max="126" width="3.88671875" bestFit="1" customWidth="1"/>
    <col min="127" max="127" width="6.109375" bestFit="1" customWidth="1"/>
    <col min="128" max="128" width="1.6640625" bestFit="1" customWidth="1"/>
    <col min="130" max="130" width="5.21875" bestFit="1" customWidth="1"/>
    <col min="131" max="131" width="4.21875" bestFit="1" customWidth="1"/>
    <col min="132" max="133" width="3.88671875" bestFit="1" customWidth="1"/>
    <col min="135" max="135" width="5.21875" bestFit="1" customWidth="1"/>
    <col min="136" max="136" width="4.21875" bestFit="1" customWidth="1"/>
    <col min="137" max="138" width="3.88671875" bestFit="1" customWidth="1"/>
    <col min="139" max="139" width="5.21875" bestFit="1" customWidth="1"/>
    <col min="140" max="140" width="1.6640625" bestFit="1" customWidth="1"/>
    <col min="141" max="141" width="4.44140625" bestFit="1" customWidth="1"/>
    <col min="143" max="143" width="5.21875" bestFit="1" customWidth="1"/>
    <col min="144" max="144" width="4.21875" bestFit="1" customWidth="1"/>
    <col min="145" max="146" width="3.88671875" bestFit="1" customWidth="1"/>
    <col min="147" max="147" width="4.6640625" bestFit="1" customWidth="1"/>
    <col min="148" max="148" width="1.6640625" bestFit="1" customWidth="1"/>
    <col min="150" max="150" width="5" bestFit="1" customWidth="1"/>
    <col min="151" max="151" width="4.21875" bestFit="1" customWidth="1"/>
    <col min="152" max="153" width="3.88671875" bestFit="1" customWidth="1"/>
    <col min="154" max="154" width="5.21875" bestFit="1" customWidth="1"/>
    <col min="155" max="155" width="1.6640625" bestFit="1" customWidth="1"/>
    <col min="157" max="157" width="5.21875" bestFit="1" customWidth="1"/>
    <col min="158" max="158" width="4.21875" bestFit="1" customWidth="1"/>
    <col min="159" max="160" width="3.88671875" bestFit="1" customWidth="1"/>
    <col min="161" max="161" width="5.21875" bestFit="1" customWidth="1"/>
    <col min="162" max="162" width="1.6640625" bestFit="1" customWidth="1"/>
    <col min="163" max="163" width="4.44140625" bestFit="1" customWidth="1"/>
    <col min="165" max="165" width="5.21875" bestFit="1" customWidth="1"/>
    <col min="166" max="166" width="4" bestFit="1" customWidth="1"/>
    <col min="167" max="168" width="3.88671875" bestFit="1" customWidth="1"/>
    <col min="169" max="169" width="5.21875" bestFit="1" customWidth="1"/>
    <col min="170" max="170" width="1.6640625" bestFit="1" customWidth="1"/>
    <col min="172" max="172" width="5.109375" bestFit="1" customWidth="1"/>
    <col min="173" max="173" width="5.21875" bestFit="1" customWidth="1"/>
    <col min="174" max="175" width="3.88671875" bestFit="1" customWidth="1"/>
    <col min="176" max="176" width="5.21875" bestFit="1" customWidth="1"/>
    <col min="177" max="177" width="1.6640625" bestFit="1" customWidth="1"/>
    <col min="179" max="179" width="4.44140625" bestFit="1" customWidth="1"/>
    <col min="180" max="180" width="5.21875" bestFit="1" customWidth="1"/>
    <col min="181" max="182" width="3.88671875" bestFit="1" customWidth="1"/>
    <col min="183" max="183" width="5.21875" bestFit="1" customWidth="1"/>
    <col min="184" max="184" width="1.6640625" bestFit="1" customWidth="1"/>
    <col min="186" max="186" width="4.5546875" bestFit="1" customWidth="1"/>
    <col min="187" max="187" width="5.21875" bestFit="1" customWidth="1"/>
    <col min="188" max="189" width="3.88671875" bestFit="1" customWidth="1"/>
    <col min="190" max="190" width="5.77734375" bestFit="1" customWidth="1"/>
    <col min="191" max="191" width="1.6640625" bestFit="1" customWidth="1"/>
    <col min="193" max="193" width="4.5546875" bestFit="1" customWidth="1"/>
    <col min="194" max="194" width="5.21875" bestFit="1" customWidth="1"/>
    <col min="195" max="196" width="3.88671875" bestFit="1" customWidth="1"/>
    <col min="197" max="197" width="5.77734375" bestFit="1" customWidth="1"/>
    <col min="198" max="198" width="1.6640625" bestFit="1" customWidth="1"/>
    <col min="200" max="200" width="4.33203125" bestFit="1" customWidth="1"/>
    <col min="201" max="201" width="5.21875" bestFit="1" customWidth="1"/>
    <col min="202" max="203" width="3.88671875" bestFit="1" customWidth="1"/>
    <col min="204" max="204" width="5.21875" bestFit="1" customWidth="1"/>
    <col min="205" max="205" width="1.6640625" bestFit="1" customWidth="1"/>
    <col min="207" max="207" width="3.5546875" bestFit="1" customWidth="1"/>
    <col min="208" max="208" width="5.21875" bestFit="1" customWidth="1"/>
    <col min="209" max="210" width="3.88671875" bestFit="1" customWidth="1"/>
    <col min="211" max="211" width="5.77734375" bestFit="1" customWidth="1"/>
    <col min="212" max="212" width="1.6640625" bestFit="1" customWidth="1"/>
    <col min="214" max="214" width="5.21875" bestFit="1" customWidth="1"/>
    <col min="215" max="215" width="4.21875" bestFit="1" customWidth="1"/>
    <col min="216" max="217" width="3.88671875" bestFit="1" customWidth="1"/>
    <col min="219" max="219" width="5.21875" bestFit="1" customWidth="1"/>
    <col min="220" max="220" width="4.21875" bestFit="1" customWidth="1"/>
    <col min="221" max="222" width="3.88671875" bestFit="1" customWidth="1"/>
    <col min="223" max="223" width="5.21875" bestFit="1" customWidth="1"/>
    <col min="224" max="224" width="1.6640625" bestFit="1" customWidth="1"/>
    <col min="225" max="225" width="4.44140625" bestFit="1" customWidth="1"/>
    <col min="227" max="227" width="5.21875" bestFit="1" customWidth="1"/>
    <col min="228" max="228" width="4.21875" bestFit="1" customWidth="1"/>
    <col min="229" max="230" width="3.88671875" bestFit="1" customWidth="1"/>
    <col min="231" max="231" width="5.21875" bestFit="1" customWidth="1"/>
    <col min="232" max="232" width="1.6640625" bestFit="1" customWidth="1"/>
    <col min="234" max="234" width="5" bestFit="1" customWidth="1"/>
    <col min="235" max="235" width="4.21875" bestFit="1" customWidth="1"/>
    <col min="236" max="237" width="3.88671875" bestFit="1" customWidth="1"/>
    <col min="238" max="238" width="5.21875" bestFit="1" customWidth="1"/>
    <col min="239" max="239" width="1.6640625" bestFit="1" customWidth="1"/>
    <col min="241" max="241" width="5.21875" bestFit="1" customWidth="1"/>
    <col min="242" max="242" width="4.21875" bestFit="1" customWidth="1"/>
    <col min="243" max="244" width="3.88671875" bestFit="1" customWidth="1"/>
    <col min="245" max="245" width="5.109375" bestFit="1" customWidth="1"/>
    <col min="246" max="246" width="1.6640625" bestFit="1" customWidth="1"/>
    <col min="247" max="247" width="4.109375" bestFit="1" customWidth="1"/>
    <col min="249" max="249" width="5.21875" bestFit="1" customWidth="1"/>
    <col min="250" max="250" width="4.88671875" bestFit="1" customWidth="1"/>
    <col min="251" max="252" width="3.88671875" bestFit="1" customWidth="1"/>
    <col min="253" max="253" width="5.21875" bestFit="1" customWidth="1"/>
    <col min="254" max="254" width="1.6640625" bestFit="1" customWidth="1"/>
    <col min="256" max="256" width="7.77734375" bestFit="1" customWidth="1"/>
    <col min="257" max="257" width="5.21875" bestFit="1" customWidth="1"/>
    <col min="258" max="259" width="3.88671875" bestFit="1" customWidth="1"/>
    <col min="260" max="260" width="5.77734375" bestFit="1" customWidth="1"/>
    <col min="261" max="261" width="1.6640625" bestFit="1" customWidth="1"/>
    <col min="263" max="263" width="4.44140625" bestFit="1" customWidth="1"/>
    <col min="264" max="264" width="5.21875" bestFit="1" customWidth="1"/>
    <col min="265" max="266" width="3.88671875" bestFit="1" customWidth="1"/>
    <col min="267" max="267" width="5.77734375" bestFit="1" customWidth="1"/>
    <col min="268" max="268" width="1.6640625" bestFit="1" customWidth="1"/>
    <col min="270" max="270" width="4.109375" bestFit="1" customWidth="1"/>
    <col min="271" max="271" width="5.21875" bestFit="1" customWidth="1"/>
    <col min="272" max="273" width="3.88671875" bestFit="1" customWidth="1"/>
    <col min="274" max="274" width="5.77734375" bestFit="1" customWidth="1"/>
    <col min="275" max="275" width="1.6640625" bestFit="1" customWidth="1"/>
    <col min="277" max="277" width="3.88671875" bestFit="1" customWidth="1"/>
    <col min="278" max="278" width="5.21875" bestFit="1" customWidth="1"/>
    <col min="279" max="280" width="3.88671875" bestFit="1" customWidth="1"/>
    <col min="281" max="281" width="5.77734375" bestFit="1" customWidth="1"/>
    <col min="282" max="282" width="1.6640625" bestFit="1" customWidth="1"/>
    <col min="284" max="284" width="4.5546875" bestFit="1" customWidth="1"/>
    <col min="285" max="285" width="5.21875" bestFit="1" customWidth="1"/>
    <col min="286" max="287" width="3.88671875" bestFit="1" customWidth="1"/>
    <col min="288" max="288" width="5.77734375" bestFit="1" customWidth="1"/>
    <col min="289" max="289" width="1.6640625" bestFit="1" customWidth="1"/>
    <col min="291" max="291" width="4" bestFit="1" customWidth="1"/>
    <col min="292" max="292" width="5.21875" bestFit="1" customWidth="1"/>
    <col min="293" max="294" width="3.88671875" bestFit="1" customWidth="1"/>
    <col min="295" max="295" width="5.77734375" bestFit="1" customWidth="1"/>
    <col min="296" max="296" width="1.6640625" bestFit="1" customWidth="1"/>
  </cols>
  <sheetData>
    <row r="2" spans="1:301" s="2" customFormat="1" ht="15.6" customHeight="1" x14ac:dyDescent="0.25">
      <c r="B2" s="4"/>
      <c r="C2" s="17" t="s">
        <v>61</v>
      </c>
      <c r="D2" s="17"/>
      <c r="E2" s="20"/>
      <c r="F2" s="20"/>
      <c r="G2" s="17"/>
      <c r="H2" s="17" t="s">
        <v>62</v>
      </c>
      <c r="I2" s="17"/>
      <c r="J2" s="22"/>
      <c r="K2" s="22"/>
      <c r="L2" s="17"/>
      <c r="M2" s="17"/>
      <c r="N2" s="17"/>
      <c r="O2" s="17"/>
      <c r="P2" s="13" t="s">
        <v>63</v>
      </c>
      <c r="Q2" s="17"/>
      <c r="R2" s="17"/>
      <c r="S2" s="17"/>
      <c r="T2" s="1"/>
      <c r="U2" s="1"/>
      <c r="V2" s="1"/>
      <c r="W2" s="17" t="s">
        <v>64</v>
      </c>
      <c r="X2" s="17"/>
      <c r="Y2" s="17"/>
      <c r="Z2" s="17"/>
      <c r="AA2" s="1"/>
      <c r="AB2" s="1"/>
      <c r="AC2" s="1"/>
      <c r="AD2" s="17" t="s">
        <v>65</v>
      </c>
      <c r="AE2" s="17"/>
      <c r="AF2" s="17"/>
      <c r="AG2" s="17"/>
      <c r="AH2" s="1"/>
      <c r="AI2" s="1"/>
      <c r="AJ2" s="1"/>
      <c r="AK2" s="1"/>
      <c r="AL2" s="1" t="s">
        <v>66</v>
      </c>
      <c r="AM2" s="1"/>
      <c r="AN2" s="1"/>
      <c r="AO2" s="1"/>
      <c r="AP2" s="1"/>
      <c r="AQ2" s="1"/>
      <c r="AR2" s="1"/>
      <c r="AS2" s="23"/>
      <c r="AU2" s="23"/>
      <c r="AV2" s="24"/>
      <c r="AW2" s="24"/>
      <c r="AX2" s="1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1"/>
      <c r="CC2" s="17" t="s">
        <v>0</v>
      </c>
      <c r="CD2" s="17"/>
      <c r="CE2" s="1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17"/>
      <c r="CW2" s="17"/>
      <c r="CX2" s="17"/>
      <c r="CY2" s="17"/>
      <c r="CZ2" s="17"/>
      <c r="DA2" s="17"/>
      <c r="DB2" s="17"/>
      <c r="DC2" s="17"/>
      <c r="DD2" s="17"/>
      <c r="DE2" s="17"/>
      <c r="DF2" s="17"/>
      <c r="DG2" s="17"/>
      <c r="DH2" s="17"/>
      <c r="DI2" s="17"/>
      <c r="DJ2" s="17"/>
      <c r="DK2" s="17"/>
      <c r="DL2" s="17"/>
      <c r="DM2" s="17"/>
      <c r="DN2" s="17"/>
      <c r="DO2" s="17"/>
      <c r="DP2" s="17"/>
      <c r="DQ2" s="17"/>
      <c r="DR2" s="17"/>
      <c r="DS2" s="17"/>
      <c r="DT2" s="17"/>
      <c r="DU2" s="17"/>
      <c r="DV2" s="17"/>
      <c r="DW2" s="17"/>
      <c r="DX2" s="17"/>
      <c r="DY2" s="25"/>
      <c r="DZ2" s="17" t="s">
        <v>61</v>
      </c>
      <c r="EA2" s="17"/>
      <c r="EB2" s="20"/>
      <c r="EC2" s="20"/>
      <c r="ED2" s="17"/>
      <c r="EE2" s="17" t="s">
        <v>62</v>
      </c>
      <c r="EF2" s="17"/>
      <c r="EG2" s="22"/>
      <c r="EH2" s="22"/>
      <c r="EI2" s="17"/>
      <c r="EJ2" s="17"/>
      <c r="EK2" s="17"/>
      <c r="EL2" s="17"/>
      <c r="EM2" s="13" t="s">
        <v>63</v>
      </c>
      <c r="EN2" s="17"/>
      <c r="EO2" s="17"/>
      <c r="EP2" s="17"/>
      <c r="EQ2" s="1"/>
      <c r="ER2" s="1"/>
      <c r="ES2" s="1"/>
      <c r="ET2" s="17" t="s">
        <v>64</v>
      </c>
      <c r="EU2" s="17"/>
      <c r="EV2" s="17"/>
      <c r="EW2" s="17"/>
      <c r="EX2" s="1"/>
      <c r="EY2" s="1"/>
      <c r="EZ2" s="1"/>
      <c r="FA2" s="17" t="s">
        <v>65</v>
      </c>
      <c r="FB2" s="17"/>
      <c r="FC2" s="17"/>
      <c r="FD2" s="17"/>
      <c r="FE2" s="1"/>
      <c r="FF2" s="1"/>
      <c r="FG2" s="1"/>
      <c r="FH2" s="1"/>
      <c r="FI2" s="1" t="s">
        <v>66</v>
      </c>
      <c r="FJ2" s="1"/>
      <c r="FK2" s="1"/>
      <c r="FL2" s="1"/>
      <c r="FM2" s="17"/>
      <c r="FN2" s="17"/>
      <c r="FO2" s="17"/>
      <c r="FP2" s="17" t="s">
        <v>1</v>
      </c>
      <c r="FQ2" s="17"/>
      <c r="FR2" s="17"/>
      <c r="FS2" s="17"/>
      <c r="FT2" s="17"/>
      <c r="FU2" s="17"/>
      <c r="FV2" s="17"/>
      <c r="FW2" s="17"/>
      <c r="FX2" s="17"/>
      <c r="FY2" s="17"/>
      <c r="FZ2" s="17"/>
      <c r="GA2" s="17"/>
      <c r="GB2" s="17"/>
      <c r="GC2" s="17"/>
      <c r="GD2" s="17"/>
      <c r="GE2" s="17"/>
      <c r="GF2" s="17"/>
      <c r="GG2" s="17"/>
      <c r="GH2" s="17"/>
      <c r="GI2" s="17"/>
      <c r="GJ2" s="17"/>
      <c r="GK2" s="17"/>
      <c r="GL2" s="17"/>
      <c r="GM2" s="17"/>
      <c r="GN2" s="17"/>
      <c r="GO2" s="17"/>
      <c r="GP2" s="17"/>
      <c r="GQ2" s="17"/>
      <c r="GR2" s="17"/>
      <c r="GS2" s="17"/>
      <c r="GT2" s="17"/>
      <c r="GU2" s="17"/>
      <c r="GV2" s="17"/>
      <c r="GW2" s="17"/>
      <c r="GX2" s="17"/>
      <c r="GY2" s="17"/>
      <c r="GZ2" s="17"/>
      <c r="HA2" s="17"/>
      <c r="HB2" s="17"/>
      <c r="HC2" s="17"/>
      <c r="HD2" s="17"/>
      <c r="HE2" s="25"/>
      <c r="HF2" s="17" t="s">
        <v>61</v>
      </c>
      <c r="HG2" s="17"/>
      <c r="HH2" s="20"/>
      <c r="HI2" s="20"/>
      <c r="HJ2" s="17"/>
      <c r="HK2" s="17" t="s">
        <v>62</v>
      </c>
      <c r="HL2" s="17"/>
      <c r="HM2" s="22"/>
      <c r="HN2" s="22"/>
      <c r="HO2" s="17"/>
      <c r="HP2" s="17"/>
      <c r="HQ2" s="17"/>
      <c r="HR2" s="17"/>
      <c r="HS2" s="13" t="s">
        <v>63</v>
      </c>
      <c r="HT2" s="17"/>
      <c r="HU2" s="17"/>
      <c r="HV2" s="17"/>
      <c r="HW2" s="1"/>
      <c r="HX2" s="1"/>
      <c r="HY2" s="1"/>
      <c r="HZ2" s="17" t="s">
        <v>64</v>
      </c>
      <c r="IA2" s="17"/>
      <c r="IB2" s="17"/>
      <c r="IC2" s="17"/>
      <c r="ID2" s="1"/>
      <c r="IE2" s="1"/>
      <c r="IF2" s="1"/>
      <c r="IG2" s="17" t="s">
        <v>65</v>
      </c>
      <c r="IH2" s="17"/>
      <c r="II2" s="17"/>
      <c r="IJ2" s="17"/>
      <c r="IK2" s="1"/>
      <c r="IL2" s="1"/>
      <c r="IM2" s="1"/>
      <c r="IN2" s="1"/>
      <c r="IO2" s="1" t="s">
        <v>66</v>
      </c>
      <c r="IP2" s="1"/>
      <c r="IQ2" s="1"/>
      <c r="IR2" s="1"/>
      <c r="IS2" s="1"/>
      <c r="IT2" s="1"/>
      <c r="IU2" s="1"/>
      <c r="IV2" s="17" t="s">
        <v>5</v>
      </c>
      <c r="IW2" s="17"/>
      <c r="IX2" s="17"/>
      <c r="IY2" s="17"/>
      <c r="IZ2" s="17"/>
      <c r="JA2" s="17"/>
      <c r="JB2" s="17"/>
      <c r="JC2" s="17"/>
      <c r="JD2" s="17"/>
      <c r="JE2" s="17"/>
      <c r="JF2" s="17"/>
      <c r="JG2" s="17"/>
      <c r="JH2" s="17"/>
      <c r="JI2" s="17"/>
      <c r="JJ2" s="17"/>
      <c r="JK2" s="17"/>
      <c r="JL2" s="17"/>
      <c r="JM2" s="17"/>
      <c r="JN2" s="17"/>
      <c r="JO2" s="17"/>
      <c r="JP2" s="17"/>
      <c r="JQ2" s="17"/>
      <c r="JR2" s="17"/>
      <c r="JS2" s="17"/>
      <c r="JT2" s="17"/>
      <c r="JU2" s="17"/>
      <c r="JV2" s="17"/>
      <c r="JW2" s="17"/>
      <c r="JX2" s="17"/>
      <c r="JY2" s="17"/>
      <c r="JZ2" s="17"/>
      <c r="KA2" s="17"/>
      <c r="KB2" s="17"/>
      <c r="KC2" s="17"/>
      <c r="KD2" s="17"/>
      <c r="KE2" s="17"/>
      <c r="KF2" s="17"/>
      <c r="KG2" s="17"/>
      <c r="KH2" s="17"/>
      <c r="KI2" s="17"/>
      <c r="KJ2" s="17"/>
      <c r="KL2" s="17"/>
      <c r="KM2" s="17"/>
      <c r="KN2" s="17"/>
      <c r="KO2" s="17"/>
    </row>
    <row r="3" spans="1:301" s="46" customFormat="1" ht="21" x14ac:dyDescent="0.25">
      <c r="B3" s="17"/>
      <c r="C3" s="17" t="s">
        <v>67</v>
      </c>
      <c r="D3" s="17" t="s">
        <v>68</v>
      </c>
      <c r="E3" s="17"/>
      <c r="F3" s="17"/>
      <c r="G3" s="17"/>
      <c r="H3" s="17" t="s">
        <v>67</v>
      </c>
      <c r="I3" s="17" t="s">
        <v>68</v>
      </c>
      <c r="J3" s="17"/>
      <c r="K3" s="17"/>
      <c r="L3" s="17"/>
      <c r="M3" s="17"/>
      <c r="N3" s="17"/>
      <c r="O3" s="17"/>
      <c r="P3" s="17" t="s">
        <v>67</v>
      </c>
      <c r="Q3" s="17" t="s">
        <v>68</v>
      </c>
      <c r="R3" s="17"/>
      <c r="S3" s="17"/>
      <c r="T3" s="17"/>
      <c r="U3" s="17"/>
      <c r="V3" s="17"/>
      <c r="W3" s="17" t="s">
        <v>67</v>
      </c>
      <c r="X3" s="17" t="s">
        <v>68</v>
      </c>
      <c r="Y3" s="17"/>
      <c r="Z3" s="17"/>
      <c r="AA3" s="17"/>
      <c r="AB3" s="17"/>
      <c r="AC3" s="17"/>
      <c r="AD3" s="17" t="s">
        <v>67</v>
      </c>
      <c r="AE3" s="17" t="s">
        <v>68</v>
      </c>
      <c r="AF3" s="17"/>
      <c r="AG3" s="17"/>
      <c r="AH3" s="17"/>
      <c r="AI3" s="17"/>
      <c r="AJ3" s="17"/>
      <c r="AK3" s="17"/>
      <c r="AL3" s="17" t="s">
        <v>67</v>
      </c>
      <c r="AM3" s="17" t="s">
        <v>69</v>
      </c>
      <c r="AN3" s="17"/>
      <c r="AO3" s="17"/>
      <c r="AP3" s="17"/>
      <c r="AQ3" s="17"/>
      <c r="AR3" s="17"/>
      <c r="AS3" s="17" t="s">
        <v>70</v>
      </c>
      <c r="AU3" s="17"/>
      <c r="AV3" s="47"/>
      <c r="AW3" s="47"/>
      <c r="AX3" s="17"/>
      <c r="AY3" s="47" t="s">
        <v>41</v>
      </c>
      <c r="AZ3" s="47"/>
      <c r="BA3" s="47"/>
      <c r="BB3" s="47"/>
      <c r="BC3" s="47"/>
      <c r="BD3" s="47"/>
      <c r="BE3" s="47"/>
      <c r="BF3" s="47" t="s">
        <v>58</v>
      </c>
      <c r="BG3" s="47"/>
      <c r="BH3" s="47"/>
      <c r="BI3" s="47"/>
      <c r="BJ3" s="47"/>
      <c r="BK3" s="47"/>
      <c r="BL3" s="47" t="s">
        <v>44</v>
      </c>
      <c r="BM3" s="47"/>
      <c r="BN3" s="47"/>
      <c r="BO3" s="47"/>
      <c r="BP3" s="47"/>
      <c r="BQ3" s="47"/>
      <c r="BR3" s="47" t="s">
        <v>53</v>
      </c>
      <c r="BS3" s="47"/>
      <c r="BT3" s="47"/>
      <c r="BU3" s="47"/>
      <c r="BV3" s="47"/>
      <c r="BW3" s="47"/>
      <c r="BX3" s="47" t="s">
        <v>54</v>
      </c>
      <c r="BY3" s="47"/>
      <c r="BZ3" s="47"/>
      <c r="CA3" s="47"/>
      <c r="CB3" s="17"/>
      <c r="CC3" s="17" t="s">
        <v>71</v>
      </c>
      <c r="CD3" s="17" t="s">
        <v>68</v>
      </c>
      <c r="CE3" s="17"/>
      <c r="CF3" s="17"/>
      <c r="CG3" s="17"/>
      <c r="CH3" s="17"/>
      <c r="CI3" s="17"/>
      <c r="CJ3" s="17" t="s">
        <v>40</v>
      </c>
      <c r="CK3" s="17" t="s">
        <v>68</v>
      </c>
      <c r="CL3" s="17"/>
      <c r="CM3" s="17"/>
      <c r="CN3" s="17"/>
      <c r="CO3" s="17"/>
      <c r="CP3" s="17"/>
      <c r="CQ3" s="17" t="s">
        <v>47</v>
      </c>
      <c r="CR3" s="17" t="s">
        <v>68</v>
      </c>
      <c r="CS3" s="17"/>
      <c r="CT3" s="17"/>
      <c r="CU3" s="17"/>
      <c r="CV3" s="17"/>
      <c r="CW3" s="17"/>
      <c r="CX3" s="17" t="s">
        <v>48</v>
      </c>
      <c r="CY3" s="17" t="s">
        <v>68</v>
      </c>
      <c r="CZ3" s="17"/>
      <c r="DA3" s="17"/>
      <c r="DB3" s="17"/>
      <c r="DC3" s="17"/>
      <c r="DD3" s="17"/>
      <c r="DE3" s="17" t="s">
        <v>46</v>
      </c>
      <c r="DF3" s="17" t="s">
        <v>68</v>
      </c>
      <c r="DG3" s="17"/>
      <c r="DH3" s="17"/>
      <c r="DI3" s="17"/>
      <c r="DJ3" s="17"/>
      <c r="DK3" s="17"/>
      <c r="DL3" s="17" t="s">
        <v>52</v>
      </c>
      <c r="DM3" s="17" t="s">
        <v>68</v>
      </c>
      <c r="DN3" s="17"/>
      <c r="DO3" s="17"/>
      <c r="DP3" s="17"/>
      <c r="DQ3" s="17"/>
      <c r="DR3" s="17"/>
      <c r="DS3" s="17" t="s">
        <v>55</v>
      </c>
      <c r="DT3" s="17" t="s">
        <v>68</v>
      </c>
      <c r="DU3" s="17"/>
      <c r="DV3" s="17"/>
      <c r="DW3" s="17"/>
      <c r="DX3" s="17"/>
      <c r="DY3" s="48"/>
      <c r="DZ3" s="17" t="s">
        <v>72</v>
      </c>
      <c r="EA3" s="17" t="s">
        <v>68</v>
      </c>
      <c r="EB3" s="17"/>
      <c r="EC3" s="17"/>
      <c r="ED3" s="17"/>
      <c r="EE3" s="17" t="s">
        <v>72</v>
      </c>
      <c r="EF3" s="17" t="s">
        <v>68</v>
      </c>
      <c r="EG3" s="17"/>
      <c r="EH3" s="17"/>
      <c r="EI3" s="17"/>
      <c r="EJ3" s="17"/>
      <c r="EK3" s="17"/>
      <c r="EL3" s="17"/>
      <c r="EM3" s="17" t="s">
        <v>72</v>
      </c>
      <c r="EN3" s="17" t="s">
        <v>68</v>
      </c>
      <c r="EO3" s="17"/>
      <c r="EP3" s="17"/>
      <c r="EQ3" s="17"/>
      <c r="ER3" s="17"/>
      <c r="ES3" s="17"/>
      <c r="ET3" s="17" t="s">
        <v>72</v>
      </c>
      <c r="EU3" s="17" t="s">
        <v>68</v>
      </c>
      <c r="EV3" s="17"/>
      <c r="EW3" s="17"/>
      <c r="EX3" s="17"/>
      <c r="EY3" s="17"/>
      <c r="EZ3" s="17"/>
      <c r="FA3" s="17" t="s">
        <v>72</v>
      </c>
      <c r="FB3" s="17" t="s">
        <v>68</v>
      </c>
      <c r="FC3" s="17"/>
      <c r="FD3" s="17"/>
      <c r="FE3" s="17"/>
      <c r="FF3" s="17"/>
      <c r="FG3" s="17"/>
      <c r="FH3" s="17"/>
      <c r="FI3" s="17" t="s">
        <v>72</v>
      </c>
      <c r="FJ3" s="17" t="s">
        <v>69</v>
      </c>
      <c r="FK3" s="17"/>
      <c r="FL3" s="17"/>
      <c r="FM3" s="17"/>
      <c r="FN3" s="17"/>
      <c r="FO3" s="17"/>
      <c r="FP3" s="17" t="s">
        <v>73</v>
      </c>
      <c r="FQ3" s="17" t="s">
        <v>68</v>
      </c>
      <c r="FR3" s="17"/>
      <c r="FS3" s="17"/>
      <c r="FT3" s="17"/>
      <c r="FU3" s="17"/>
      <c r="FV3" s="17"/>
      <c r="FW3" s="17" t="s">
        <v>42</v>
      </c>
      <c r="FX3" s="17" t="s">
        <v>68</v>
      </c>
      <c r="FY3" s="17"/>
      <c r="FZ3" s="17"/>
      <c r="GA3" s="17"/>
      <c r="GB3" s="17"/>
      <c r="GC3" s="17"/>
      <c r="GD3" s="17" t="s">
        <v>49</v>
      </c>
      <c r="GE3" s="17" t="s">
        <v>68</v>
      </c>
      <c r="GF3" s="17"/>
      <c r="GG3" s="17"/>
      <c r="GH3" s="17"/>
      <c r="GI3" s="17"/>
      <c r="GJ3" s="17"/>
      <c r="GK3" s="17" t="s">
        <v>50</v>
      </c>
      <c r="GL3" s="17" t="s">
        <v>68</v>
      </c>
      <c r="GM3" s="17"/>
      <c r="GN3" s="17"/>
      <c r="GO3" s="17"/>
      <c r="GP3" s="17"/>
      <c r="GQ3" s="17"/>
      <c r="GR3" s="17" t="s">
        <v>53</v>
      </c>
      <c r="GS3" s="17" t="s">
        <v>68</v>
      </c>
      <c r="GT3" s="17"/>
      <c r="GU3" s="17"/>
      <c r="GV3" s="17"/>
      <c r="GW3" s="17"/>
      <c r="GX3" s="17"/>
      <c r="GY3" s="17" t="s">
        <v>56</v>
      </c>
      <c r="GZ3" s="17" t="s">
        <v>68</v>
      </c>
      <c r="HA3" s="17"/>
      <c r="HB3" s="17"/>
      <c r="HC3" s="17"/>
      <c r="HD3" s="17"/>
      <c r="HE3" s="48"/>
      <c r="HF3" s="17" t="s">
        <v>74</v>
      </c>
      <c r="HG3" s="17" t="s">
        <v>68</v>
      </c>
      <c r="HH3" s="17"/>
      <c r="HI3" s="17"/>
      <c r="HJ3" s="17"/>
      <c r="HK3" s="17" t="s">
        <v>74</v>
      </c>
      <c r="HL3" s="17" t="s">
        <v>68</v>
      </c>
      <c r="HM3" s="17"/>
      <c r="HN3" s="17"/>
      <c r="HO3" s="17"/>
      <c r="HP3" s="17"/>
      <c r="HQ3" s="17"/>
      <c r="HR3" s="17"/>
      <c r="HS3" s="17" t="s">
        <v>74</v>
      </c>
      <c r="HT3" s="17" t="s">
        <v>68</v>
      </c>
      <c r="HU3" s="17"/>
      <c r="HV3" s="17"/>
      <c r="HW3" s="17"/>
      <c r="HX3" s="17"/>
      <c r="HY3" s="17"/>
      <c r="HZ3" s="17" t="s">
        <v>74</v>
      </c>
      <c r="IA3" s="17" t="s">
        <v>68</v>
      </c>
      <c r="IB3" s="17"/>
      <c r="IC3" s="17"/>
      <c r="ID3" s="17"/>
      <c r="IE3" s="17"/>
      <c r="IF3" s="17"/>
      <c r="IG3" s="17" t="s">
        <v>74</v>
      </c>
      <c r="IH3" s="17" t="s">
        <v>68</v>
      </c>
      <c r="II3" s="17"/>
      <c r="IJ3" s="17"/>
      <c r="IK3" s="17"/>
      <c r="IL3" s="17"/>
      <c r="IM3" s="17"/>
      <c r="IN3" s="17"/>
      <c r="IO3" s="17" t="s">
        <v>74</v>
      </c>
      <c r="IP3" s="17" t="s">
        <v>69</v>
      </c>
      <c r="IQ3" s="17"/>
      <c r="IR3" s="17"/>
      <c r="IS3" s="17"/>
      <c r="IT3" s="17"/>
      <c r="IU3" s="17"/>
      <c r="IV3" s="17" t="s">
        <v>75</v>
      </c>
      <c r="IW3" s="17" t="s">
        <v>68</v>
      </c>
      <c r="IX3" s="17"/>
      <c r="IY3" s="17"/>
      <c r="IZ3" s="17"/>
      <c r="JA3" s="17"/>
      <c r="JB3" s="17"/>
      <c r="JC3" s="17" t="s">
        <v>42</v>
      </c>
      <c r="JD3" s="17" t="s">
        <v>68</v>
      </c>
      <c r="JE3" s="17"/>
      <c r="JF3" s="17"/>
      <c r="JG3" s="17"/>
      <c r="JH3" s="17"/>
      <c r="JI3" s="17"/>
      <c r="JJ3" s="17" t="s">
        <v>43</v>
      </c>
      <c r="JK3" s="17" t="s">
        <v>68</v>
      </c>
      <c r="JL3" s="17"/>
      <c r="JM3" s="17"/>
      <c r="JN3" s="17"/>
      <c r="JO3" s="17"/>
      <c r="JP3" s="17"/>
      <c r="JQ3" s="17" t="s">
        <v>45</v>
      </c>
      <c r="JR3" s="17" t="s">
        <v>68</v>
      </c>
      <c r="JS3" s="17"/>
      <c r="JT3" s="17"/>
      <c r="JU3" s="17"/>
      <c r="JV3" s="17"/>
      <c r="JW3" s="17"/>
      <c r="JX3" s="17" t="s">
        <v>49</v>
      </c>
      <c r="JY3" s="17" t="s">
        <v>68</v>
      </c>
      <c r="JZ3" s="17"/>
      <c r="KA3" s="17"/>
      <c r="KB3" s="17"/>
      <c r="KC3" s="17"/>
      <c r="KD3" s="17"/>
      <c r="KE3" s="17" t="s">
        <v>51</v>
      </c>
      <c r="KF3" s="17" t="s">
        <v>68</v>
      </c>
      <c r="KG3" s="17"/>
      <c r="KH3" s="17"/>
      <c r="KI3" s="17"/>
      <c r="KJ3" s="17"/>
      <c r="KL3" s="17"/>
      <c r="KM3" s="17"/>
      <c r="KN3" s="17"/>
      <c r="KO3" s="17"/>
    </row>
    <row r="4" spans="1:301" s="46" customFormat="1" x14ac:dyDescent="0.25">
      <c r="B4" s="49"/>
      <c r="C4" s="18">
        <v>3111</v>
      </c>
      <c r="D4" s="18">
        <v>3111.0000006600594</v>
      </c>
      <c r="E4" s="18"/>
      <c r="F4" s="17"/>
      <c r="G4" s="17"/>
      <c r="H4" s="18">
        <v>3163</v>
      </c>
      <c r="I4" s="18">
        <v>3163</v>
      </c>
      <c r="J4" s="18"/>
      <c r="K4" s="17"/>
      <c r="L4" s="17"/>
      <c r="M4" s="17"/>
      <c r="N4" s="17"/>
      <c r="O4" s="17"/>
      <c r="P4" s="18">
        <v>1024</v>
      </c>
      <c r="Q4" s="18">
        <v>1024.0000013200183</v>
      </c>
      <c r="R4" s="18"/>
      <c r="S4" s="17"/>
      <c r="T4" s="17"/>
      <c r="U4" s="17"/>
      <c r="V4" s="17"/>
      <c r="W4" s="18">
        <v>1087</v>
      </c>
      <c r="X4" s="18">
        <v>1086.9999978300086</v>
      </c>
      <c r="Y4" s="18"/>
      <c r="Z4" s="17"/>
      <c r="AA4" s="17"/>
      <c r="AB4" s="17"/>
      <c r="AC4" s="17"/>
      <c r="AD4" s="18">
        <v>1097</v>
      </c>
      <c r="AE4" s="18">
        <v>1096.9999953800191</v>
      </c>
      <c r="AF4" s="18"/>
      <c r="AG4" s="17"/>
      <c r="AH4" s="17"/>
      <c r="AI4" s="17"/>
      <c r="AJ4" s="17"/>
      <c r="AK4" s="17"/>
      <c r="AL4" s="18">
        <v>1259</v>
      </c>
      <c r="AM4" s="18">
        <v>1225.4245505000056</v>
      </c>
      <c r="AN4" s="18"/>
      <c r="AO4" s="17"/>
      <c r="AP4" s="17"/>
      <c r="AQ4" s="17"/>
      <c r="AR4" s="17"/>
      <c r="AS4" s="18">
        <v>6398</v>
      </c>
      <c r="AT4" s="18">
        <v>6398</v>
      </c>
      <c r="AU4" s="17"/>
      <c r="AX4" s="17"/>
      <c r="AY4" s="50">
        <v>825</v>
      </c>
      <c r="BE4" s="50">
        <v>1005</v>
      </c>
      <c r="BK4" s="50">
        <v>1018</v>
      </c>
      <c r="BQ4" s="50">
        <v>1396</v>
      </c>
      <c r="BW4" s="50">
        <v>1453</v>
      </c>
      <c r="CB4" s="17"/>
      <c r="CC4" s="18">
        <v>12279</v>
      </c>
      <c r="CD4" s="18">
        <v>12278.999991239174</v>
      </c>
      <c r="CE4" s="18"/>
      <c r="CF4" s="17"/>
      <c r="CG4" s="17"/>
      <c r="CH4" s="17"/>
      <c r="CI4" s="17"/>
      <c r="CJ4" s="18">
        <v>552</v>
      </c>
      <c r="CK4" s="18">
        <v>552</v>
      </c>
      <c r="CL4" s="18"/>
      <c r="CM4" s="17"/>
      <c r="CN4" s="17"/>
      <c r="CO4" s="17"/>
      <c r="CP4" s="17"/>
      <c r="CQ4" s="18">
        <v>3499</v>
      </c>
      <c r="CR4" s="18">
        <v>3499.0000027698707</v>
      </c>
      <c r="CS4" s="18"/>
      <c r="CT4" s="17"/>
      <c r="CU4" s="17"/>
      <c r="CV4" s="17"/>
      <c r="CW4" s="17"/>
      <c r="CX4" s="18">
        <v>3053</v>
      </c>
      <c r="CY4" s="18">
        <v>3052.9999873100815</v>
      </c>
      <c r="CZ4" s="18"/>
      <c r="DA4" s="17"/>
      <c r="DB4" s="17"/>
      <c r="DC4" s="17"/>
      <c r="DD4" s="17"/>
      <c r="DE4" s="18">
        <v>615</v>
      </c>
      <c r="DF4" s="18">
        <v>615.00000049999483</v>
      </c>
      <c r="DG4" s="18"/>
      <c r="DH4" s="17"/>
      <c r="DI4" s="17"/>
      <c r="DJ4" s="17"/>
      <c r="DK4" s="17"/>
      <c r="DL4" s="18">
        <v>900</v>
      </c>
      <c r="DM4" s="18">
        <v>900</v>
      </c>
      <c r="DN4" s="18"/>
      <c r="DO4" s="17"/>
      <c r="DP4" s="17"/>
      <c r="DQ4" s="17"/>
      <c r="DR4" s="17"/>
      <c r="DS4" s="18">
        <v>549</v>
      </c>
      <c r="DT4" s="18">
        <v>549</v>
      </c>
      <c r="DU4" s="18"/>
      <c r="DV4" s="17"/>
      <c r="DW4" s="17"/>
      <c r="DX4" s="17"/>
      <c r="DY4" s="51"/>
      <c r="DZ4" s="18">
        <v>1109</v>
      </c>
      <c r="EA4" s="18">
        <v>1108.9999998700048</v>
      </c>
      <c r="EB4" s="18"/>
      <c r="EC4" s="17"/>
      <c r="ED4" s="17"/>
      <c r="EE4" s="18">
        <v>1037</v>
      </c>
      <c r="EF4" s="18">
        <v>1037</v>
      </c>
      <c r="EG4" s="18"/>
      <c r="EH4" s="17"/>
      <c r="EI4" s="17"/>
      <c r="EJ4" s="17"/>
      <c r="EK4" s="17"/>
      <c r="EL4" s="17"/>
      <c r="EM4" s="18">
        <v>721</v>
      </c>
      <c r="EN4" s="18">
        <v>721.00000167999781</v>
      </c>
      <c r="EO4" s="18"/>
      <c r="EP4" s="17"/>
      <c r="EQ4" s="17"/>
      <c r="ER4" s="17"/>
      <c r="ES4" s="17"/>
      <c r="ET4" s="18">
        <v>754</v>
      </c>
      <c r="EU4" s="18">
        <v>753.99999849000562</v>
      </c>
      <c r="EV4" s="18"/>
      <c r="EW4" s="17"/>
      <c r="EX4" s="17"/>
      <c r="EY4" s="17"/>
      <c r="EZ4" s="17"/>
      <c r="FA4" s="18">
        <v>725</v>
      </c>
      <c r="FB4" s="18">
        <v>725.00000196000224</v>
      </c>
      <c r="FC4" s="18"/>
      <c r="FD4" s="17"/>
      <c r="FE4" s="17"/>
      <c r="FF4" s="17"/>
      <c r="FG4" s="17"/>
      <c r="FH4" s="17"/>
      <c r="FI4" s="18">
        <v>801</v>
      </c>
      <c r="FJ4" s="18">
        <v>801</v>
      </c>
      <c r="FK4" s="18"/>
      <c r="FL4" s="17"/>
      <c r="FM4" s="17"/>
      <c r="FN4" s="17"/>
      <c r="FO4" s="17"/>
      <c r="FP4" s="18">
        <v>5143</v>
      </c>
      <c r="FQ4" s="18">
        <v>5142.99999466997</v>
      </c>
      <c r="FR4" s="18"/>
      <c r="FS4" s="17"/>
      <c r="FT4" s="17"/>
      <c r="FU4" s="17"/>
      <c r="FV4" s="17"/>
      <c r="FW4" s="18">
        <v>1137</v>
      </c>
      <c r="FX4" s="18">
        <v>1136.9999987399747</v>
      </c>
      <c r="FY4" s="18"/>
      <c r="FZ4" s="17"/>
      <c r="GA4" s="17"/>
      <c r="GB4" s="17"/>
      <c r="GC4" s="17"/>
      <c r="GD4" s="18">
        <v>392</v>
      </c>
      <c r="GE4" s="18">
        <v>391.99999924999821</v>
      </c>
      <c r="GF4" s="18"/>
      <c r="GG4" s="17"/>
      <c r="GH4" s="17"/>
      <c r="GI4" s="17"/>
      <c r="GJ4" s="17"/>
      <c r="GK4" s="18">
        <v>709</v>
      </c>
      <c r="GL4" s="18">
        <v>708.99999845000423</v>
      </c>
      <c r="GM4" s="18"/>
      <c r="GN4" s="17"/>
      <c r="GO4" s="17"/>
      <c r="GP4" s="17"/>
      <c r="GQ4" s="17"/>
      <c r="GR4" s="18">
        <v>1391</v>
      </c>
      <c r="GS4" s="18">
        <v>1390.9999983999937</v>
      </c>
      <c r="GT4" s="18"/>
      <c r="GU4" s="17"/>
      <c r="GV4" s="17"/>
      <c r="GW4" s="17"/>
      <c r="GX4" s="17"/>
      <c r="GY4" s="18">
        <v>405</v>
      </c>
      <c r="GZ4" s="18">
        <v>404.99999996000065</v>
      </c>
      <c r="HA4" s="18"/>
      <c r="HB4" s="17"/>
      <c r="HC4" s="17"/>
      <c r="HD4" s="17"/>
      <c r="HE4" s="48"/>
      <c r="HF4" s="18">
        <v>1015</v>
      </c>
      <c r="HG4" s="18">
        <v>1015.0000036400106</v>
      </c>
      <c r="HH4" s="18"/>
      <c r="HI4" s="17"/>
      <c r="HJ4" s="17"/>
      <c r="HK4" s="18">
        <v>984</v>
      </c>
      <c r="HL4" s="18">
        <v>984</v>
      </c>
      <c r="HM4" s="18"/>
      <c r="HN4" s="17"/>
      <c r="HO4" s="17"/>
      <c r="HP4" s="17"/>
      <c r="HQ4" s="17"/>
      <c r="HR4" s="17"/>
      <c r="HS4" s="18">
        <v>701</v>
      </c>
      <c r="HT4" s="18">
        <v>700.99999921999995</v>
      </c>
      <c r="HU4" s="18"/>
      <c r="HV4" s="17"/>
      <c r="HW4" s="17"/>
      <c r="HX4" s="17"/>
      <c r="HY4" s="17"/>
      <c r="HZ4" s="18">
        <v>740</v>
      </c>
      <c r="IA4" s="18">
        <v>739.99999938000519</v>
      </c>
      <c r="IB4" s="18"/>
      <c r="IC4" s="17"/>
      <c r="ID4" s="17"/>
      <c r="IE4" s="17"/>
      <c r="IF4" s="17"/>
      <c r="IG4" s="18">
        <v>1488</v>
      </c>
      <c r="IH4" s="18">
        <v>1488.0000044299898</v>
      </c>
      <c r="II4" s="18"/>
      <c r="IJ4" s="17"/>
      <c r="IK4" s="17"/>
      <c r="IL4" s="17"/>
      <c r="IM4" s="17"/>
      <c r="IN4" s="17"/>
      <c r="IO4" s="18">
        <v>1493</v>
      </c>
      <c r="IP4" s="18">
        <v>1429.0114061300103</v>
      </c>
      <c r="IQ4" s="18"/>
      <c r="IR4" s="17"/>
      <c r="IS4" s="17"/>
      <c r="IT4" s="17"/>
      <c r="IU4" s="17"/>
      <c r="IV4" s="18">
        <v>5636</v>
      </c>
      <c r="IW4" s="18">
        <v>5635.9999986698085</v>
      </c>
      <c r="IX4" s="18"/>
      <c r="IY4" s="17"/>
      <c r="IZ4" s="17"/>
      <c r="JA4" s="17"/>
      <c r="JB4" s="17"/>
      <c r="JC4" s="18">
        <v>1137</v>
      </c>
      <c r="JD4" s="18">
        <v>1136.9999987399747</v>
      </c>
      <c r="JE4" s="18"/>
      <c r="JF4" s="17"/>
      <c r="JG4" s="17"/>
      <c r="JH4" s="17"/>
      <c r="JI4" s="17"/>
      <c r="JJ4" s="18">
        <v>697</v>
      </c>
      <c r="JK4" s="18">
        <v>697</v>
      </c>
      <c r="JL4" s="18"/>
      <c r="JM4" s="17"/>
      <c r="JN4" s="17"/>
      <c r="JO4" s="17"/>
      <c r="JP4" s="17"/>
      <c r="JQ4" s="18">
        <v>999</v>
      </c>
      <c r="JR4" s="18">
        <v>998.99999978000972</v>
      </c>
      <c r="JS4" s="18"/>
      <c r="JT4" s="17"/>
      <c r="JU4" s="17"/>
      <c r="JV4" s="17"/>
      <c r="JW4" s="17"/>
      <c r="JX4" s="18">
        <v>392</v>
      </c>
      <c r="JY4" s="18">
        <v>391.99999924999821</v>
      </c>
      <c r="JZ4" s="18"/>
      <c r="KA4" s="17"/>
      <c r="KB4" s="17"/>
      <c r="KC4" s="17"/>
      <c r="KD4" s="17"/>
      <c r="KE4" s="18">
        <v>1396</v>
      </c>
      <c r="KF4" s="18">
        <v>1395.9999972599765</v>
      </c>
      <c r="KG4" s="18"/>
      <c r="KH4" s="17"/>
      <c r="KI4" s="17"/>
      <c r="KJ4" s="17"/>
      <c r="KL4" s="18"/>
      <c r="KM4" s="18"/>
      <c r="KN4" s="18"/>
      <c r="KO4" s="17"/>
    </row>
    <row r="5" spans="1:301" s="7" customFormat="1" x14ac:dyDescent="0.25">
      <c r="B5" s="5" t="s">
        <v>6</v>
      </c>
      <c r="C5" s="9">
        <v>2943</v>
      </c>
      <c r="D5" s="9">
        <v>2942.4503164500729</v>
      </c>
      <c r="E5" s="10">
        <v>3.9351018681598648</v>
      </c>
      <c r="F5" s="11">
        <v>1.6666651969214318E-2</v>
      </c>
      <c r="G5" s="11"/>
      <c r="H5" s="9">
        <v>2974</v>
      </c>
      <c r="I5" s="9">
        <v>2975.0874519699191</v>
      </c>
      <c r="J5" s="10">
        <v>3.8286225204363671</v>
      </c>
      <c r="K5" s="11">
        <v>1.71028636563453E-2</v>
      </c>
      <c r="L5" s="26">
        <v>4.4588136190091143</v>
      </c>
      <c r="M5" s="26" t="s">
        <v>59</v>
      </c>
      <c r="N5" s="45">
        <f>E5-J5</f>
        <v>0.10647934772349776</v>
      </c>
      <c r="O5" s="11"/>
      <c r="P5" s="3">
        <v>972</v>
      </c>
      <c r="Q5" s="3">
        <v>972.02991468001619</v>
      </c>
      <c r="R5" s="10">
        <v>3.7825129480818545</v>
      </c>
      <c r="S5" s="11">
        <v>3.0868844216150992E-2</v>
      </c>
      <c r="T5" s="26">
        <v>4.3496414371074037</v>
      </c>
      <c r="U5" s="26" t="s">
        <v>59</v>
      </c>
      <c r="V5" s="27"/>
      <c r="W5" s="9">
        <v>1074</v>
      </c>
      <c r="X5" s="9">
        <v>1073.9895973800083</v>
      </c>
      <c r="Y5" s="10">
        <v>3.5418344497838734</v>
      </c>
      <c r="Z5" s="11">
        <v>2.5357826776735683E-2</v>
      </c>
      <c r="AA5" s="26">
        <v>12.960032720475931</v>
      </c>
      <c r="AB5" s="26" t="s">
        <v>59</v>
      </c>
      <c r="AC5" s="26"/>
      <c r="AD5" s="9">
        <v>1077</v>
      </c>
      <c r="AE5" s="9">
        <v>1076.6922329500198</v>
      </c>
      <c r="AF5" s="10">
        <v>3.6575811025032992</v>
      </c>
      <c r="AG5" s="11">
        <v>2.4354425291834323E-2</v>
      </c>
      <c r="AH5" s="26">
        <v>9.4038895611635951</v>
      </c>
      <c r="AI5" s="26" t="s">
        <v>59</v>
      </c>
      <c r="AJ5" s="45">
        <f>E5-AF5</f>
        <v>0.27752076565656569</v>
      </c>
      <c r="AK5" s="27"/>
      <c r="AL5" s="28">
        <v>1227</v>
      </c>
      <c r="AM5" s="28">
        <v>1225.4245505000056</v>
      </c>
      <c r="AN5" s="29">
        <v>3.5656304414638846</v>
      </c>
      <c r="AO5" s="27">
        <v>2.5223756894113259E-2</v>
      </c>
      <c r="AP5" s="26">
        <v>12.220926963802226</v>
      </c>
      <c r="AQ5" s="26" t="s">
        <v>59</v>
      </c>
      <c r="AR5" s="27"/>
      <c r="AS5" s="30">
        <v>6189</v>
      </c>
      <c r="AT5" s="31">
        <v>4.0592337685733728</v>
      </c>
      <c r="AU5" s="32">
        <v>1.1204846598409094E-2</v>
      </c>
      <c r="AV5" s="26">
        <v>-6.1809518711867391</v>
      </c>
      <c r="AW5" s="26" t="s">
        <v>59</v>
      </c>
      <c r="AX5" s="27"/>
      <c r="AY5" s="33">
        <v>169</v>
      </c>
      <c r="AZ5" s="34">
        <v>4.3726601207054383</v>
      </c>
      <c r="BA5" s="35">
        <v>2.8499308528790609E-2</v>
      </c>
      <c r="BB5" s="26">
        <v>-13.253331041474564</v>
      </c>
      <c r="BC5" s="26" t="s">
        <v>59</v>
      </c>
      <c r="BD5" s="35"/>
      <c r="BE5" s="33">
        <v>274</v>
      </c>
      <c r="BF5" s="34">
        <v>4.2052149715614275</v>
      </c>
      <c r="BG5" s="35">
        <v>2.493955830980903E-2</v>
      </c>
      <c r="BH5" s="26">
        <v>-9.0049765781537463</v>
      </c>
      <c r="BI5" s="26" t="s">
        <v>59</v>
      </c>
      <c r="BJ5" s="35"/>
      <c r="BK5" s="33">
        <v>388</v>
      </c>
      <c r="BL5" s="34">
        <v>4.2655365080582701</v>
      </c>
      <c r="BM5" s="35">
        <v>2.4825394463137692E-2</v>
      </c>
      <c r="BN5" s="26">
        <v>-11.050908582970939</v>
      </c>
      <c r="BO5" s="26" t="s">
        <v>59</v>
      </c>
      <c r="BP5" s="35"/>
      <c r="BQ5" s="33">
        <v>396</v>
      </c>
      <c r="BR5" s="34">
        <v>3.9716820338222969</v>
      </c>
      <c r="BS5" s="35">
        <v>2.3793943400495541E-2</v>
      </c>
      <c r="BT5" s="26">
        <v>-1.2591941713133967</v>
      </c>
      <c r="BU5" s="26" t="s">
        <v>57</v>
      </c>
      <c r="BV5" s="35"/>
      <c r="BW5" s="33">
        <v>385</v>
      </c>
      <c r="BX5" s="34">
        <v>4.1007178881110153</v>
      </c>
      <c r="BY5" s="35">
        <v>2.1683274339560982E-2</v>
      </c>
      <c r="BZ5" s="26">
        <v>-6.0557575256933101</v>
      </c>
      <c r="CA5" s="26" t="s">
        <v>59</v>
      </c>
      <c r="CB5" s="27"/>
      <c r="CC5" s="9">
        <v>11880</v>
      </c>
      <c r="CD5" s="9">
        <v>11877.998284389181</v>
      </c>
      <c r="CE5" s="10">
        <v>4.1548945186545554</v>
      </c>
      <c r="CF5" s="11">
        <v>8.0750034353318217E-3</v>
      </c>
      <c r="CG5" s="26">
        <v>-11.86798227234387</v>
      </c>
      <c r="CH5" s="26" t="s">
        <v>59</v>
      </c>
      <c r="CI5" s="26"/>
      <c r="CJ5" s="9">
        <v>533</v>
      </c>
      <c r="CK5" s="9">
        <v>533</v>
      </c>
      <c r="CL5" s="10">
        <v>4.1031894934334003</v>
      </c>
      <c r="CM5" s="11">
        <v>3.3241285543491546E-2</v>
      </c>
      <c r="CN5" s="26">
        <v>-4.5202482033728657</v>
      </c>
      <c r="CO5" s="26" t="s">
        <v>59</v>
      </c>
      <c r="CP5" s="26"/>
      <c r="CQ5" s="9">
        <v>3331</v>
      </c>
      <c r="CR5" s="9">
        <v>3329.5636213498742</v>
      </c>
      <c r="CS5" s="10">
        <v>3.8431760023830672</v>
      </c>
      <c r="CT5" s="11">
        <v>1.5557517731998359E-2</v>
      </c>
      <c r="CU5" s="26">
        <v>4.0319384224967916</v>
      </c>
      <c r="CV5" s="26" t="s">
        <v>59</v>
      </c>
      <c r="CW5" s="26"/>
      <c r="CX5" s="9">
        <v>3015</v>
      </c>
      <c r="CY5" s="9">
        <v>3015.0006646500792</v>
      </c>
      <c r="CZ5" s="10">
        <v>4.1469232148449313</v>
      </c>
      <c r="DA5" s="11">
        <v>1.4321894468019869E-2</v>
      </c>
      <c r="DB5" s="26">
        <v>-9.639263294180326</v>
      </c>
      <c r="DC5" s="26" t="s">
        <v>59</v>
      </c>
      <c r="DD5" s="26"/>
      <c r="DE5" s="9">
        <v>612</v>
      </c>
      <c r="DF5" s="9">
        <v>611.98368193999488</v>
      </c>
      <c r="DG5" s="10">
        <v>4.9983570811613545</v>
      </c>
      <c r="DH5" s="19">
        <v>1.638461347129879E-3</v>
      </c>
      <c r="DI5" s="26">
        <v>-63.489313119402979</v>
      </c>
      <c r="DJ5" s="26" t="s">
        <v>59</v>
      </c>
      <c r="DK5" s="26"/>
      <c r="DL5" s="9">
        <v>900</v>
      </c>
      <c r="DM5" s="9">
        <v>900</v>
      </c>
      <c r="DN5" s="10">
        <v>4.9988888888888932</v>
      </c>
      <c r="DO5" s="11">
        <v>1.1111111111111118E-3</v>
      </c>
      <c r="DP5" s="26">
        <v>-63.68590993697196</v>
      </c>
      <c r="DQ5" s="26" t="s">
        <v>59</v>
      </c>
      <c r="DR5" s="26"/>
      <c r="DS5" s="9">
        <v>546</v>
      </c>
      <c r="DT5" s="9">
        <v>546</v>
      </c>
      <c r="DU5" s="10">
        <v>4.9981684981684937</v>
      </c>
      <c r="DV5" s="11">
        <v>1.8315018315018393E-3</v>
      </c>
      <c r="DW5" s="26">
        <v>-63.40238376223806</v>
      </c>
      <c r="DX5" s="26" t="s">
        <v>59</v>
      </c>
      <c r="DY5" s="36"/>
      <c r="DZ5" s="9">
        <v>1057</v>
      </c>
      <c r="EA5" s="9">
        <v>1056.7793768300055</v>
      </c>
      <c r="EB5" s="10">
        <v>3.8194943062172508</v>
      </c>
      <c r="EC5" s="11">
        <v>2.9748293373421695E-2</v>
      </c>
      <c r="ED5" s="11"/>
      <c r="EE5" s="9">
        <v>987</v>
      </c>
      <c r="EF5" s="9">
        <v>986.87146331001054</v>
      </c>
      <c r="EG5" s="10">
        <v>3.6600715403758488</v>
      </c>
      <c r="EH5" s="11">
        <v>3.0901673434922238E-2</v>
      </c>
      <c r="EI5" s="6">
        <v>3.7166892671306475</v>
      </c>
      <c r="EJ5" s="6" t="s">
        <v>59</v>
      </c>
      <c r="EK5" s="45">
        <f>EB5-EG5</f>
        <v>0.15942276584140203</v>
      </c>
      <c r="EL5" s="11"/>
      <c r="EM5" s="9">
        <v>684</v>
      </c>
      <c r="EN5" s="9">
        <v>683.99310424999692</v>
      </c>
      <c r="EO5" s="10">
        <v>3.6326108061490734</v>
      </c>
      <c r="EP5" s="11">
        <v>3.8186065419130701E-2</v>
      </c>
      <c r="EQ5" s="6">
        <v>3.8607542650958431</v>
      </c>
      <c r="ER5" s="6" t="s">
        <v>59</v>
      </c>
      <c r="ES5" s="11"/>
      <c r="ET5" s="9">
        <v>728</v>
      </c>
      <c r="EU5" s="9">
        <v>727.76642318000461</v>
      </c>
      <c r="EV5" s="10">
        <v>3.6961539552982279</v>
      </c>
      <c r="EW5" s="11">
        <v>3.5732660507339163E-2</v>
      </c>
      <c r="EX5" s="6">
        <v>2.6527665463270416</v>
      </c>
      <c r="EY5" s="6" t="s">
        <v>59</v>
      </c>
      <c r="EZ5" s="11"/>
      <c r="FA5" s="9">
        <v>706</v>
      </c>
      <c r="FB5" s="9">
        <v>706.47457200000224</v>
      </c>
      <c r="FC5" s="10">
        <v>3.6259654615424717</v>
      </c>
      <c r="FD5" s="11">
        <v>3.6978085633189731E-2</v>
      </c>
      <c r="FE5" s="6">
        <v>4.0778265651040293</v>
      </c>
      <c r="FF5" s="6" t="s">
        <v>59</v>
      </c>
      <c r="FG5" s="45">
        <f>EB5-FC5</f>
        <v>0.19352884467477915</v>
      </c>
      <c r="FH5" s="11"/>
      <c r="FI5" s="28">
        <v>765</v>
      </c>
      <c r="FJ5" s="28">
        <v>765.09485750000101</v>
      </c>
      <c r="FK5" s="29">
        <v>3.6840600902744898</v>
      </c>
      <c r="FL5" s="27">
        <v>3.5788857505246789E-2</v>
      </c>
      <c r="FM5" s="6">
        <v>2.9101735843201384</v>
      </c>
      <c r="FN5" s="6" t="s">
        <v>59</v>
      </c>
      <c r="FO5" s="11"/>
      <c r="FP5" s="37">
        <v>4982</v>
      </c>
      <c r="FQ5" s="37">
        <v>4981.7878369399141</v>
      </c>
      <c r="FR5" s="10">
        <v>4.0730899659415458</v>
      </c>
      <c r="FS5" s="11">
        <v>1.2241803018199882E-2</v>
      </c>
      <c r="FT5" s="26">
        <v>-7.8833143208734215</v>
      </c>
      <c r="FU5" s="26" t="s">
        <v>59</v>
      </c>
      <c r="FV5" s="26"/>
      <c r="FW5" s="9">
        <v>1103</v>
      </c>
      <c r="FX5" s="9">
        <v>1103.0082453399762</v>
      </c>
      <c r="FY5" s="10">
        <v>4.1496860495808034</v>
      </c>
      <c r="FZ5" s="11">
        <v>2.4444217056653596E-2</v>
      </c>
      <c r="GA5" s="26">
        <v>-8.5757415549695555</v>
      </c>
      <c r="GB5" s="26" t="s">
        <v>59</v>
      </c>
      <c r="GC5" s="26"/>
      <c r="GD5" s="37">
        <v>377</v>
      </c>
      <c r="GE5" s="37">
        <v>376.99928694999858</v>
      </c>
      <c r="GF5" s="10">
        <v>4.3900992073215912</v>
      </c>
      <c r="GG5" s="11">
        <v>3.7344127267603881E-2</v>
      </c>
      <c r="GH5" s="26">
        <v>-11.951197728494774</v>
      </c>
      <c r="GI5" s="26" t="s">
        <v>59</v>
      </c>
      <c r="GJ5" s="26"/>
      <c r="GK5" s="37">
        <v>703</v>
      </c>
      <c r="GL5" s="37">
        <v>702.97108690000391</v>
      </c>
      <c r="GM5" s="10">
        <v>4.1180102915268222</v>
      </c>
      <c r="GN5" s="11">
        <v>2.6917440343094127E-2</v>
      </c>
      <c r="GO5" s="26">
        <v>-7.4408202423281447</v>
      </c>
      <c r="GP5" s="26" t="s">
        <v>59</v>
      </c>
      <c r="GQ5" s="26"/>
      <c r="GR5" s="37">
        <v>1346</v>
      </c>
      <c r="GS5" s="37">
        <v>1345.9999661999971</v>
      </c>
      <c r="GT5" s="10">
        <v>3.9777099877314992</v>
      </c>
      <c r="GU5" s="11">
        <v>2.4258138370919682E-2</v>
      </c>
      <c r="GV5" s="26">
        <v>-4.1217961190695753</v>
      </c>
      <c r="GW5" s="26" t="s">
        <v>59</v>
      </c>
      <c r="GX5" s="26"/>
      <c r="GY5" s="37">
        <v>396</v>
      </c>
      <c r="GZ5" s="37">
        <v>396.02987472000063</v>
      </c>
      <c r="HA5" s="10">
        <v>4.479120068944682</v>
      </c>
      <c r="HB5" s="11">
        <v>3.5128889034100538E-2</v>
      </c>
      <c r="HC5" s="26">
        <v>-14.329536767954899</v>
      </c>
      <c r="HD5" s="26" t="s">
        <v>59</v>
      </c>
      <c r="HE5" s="15"/>
      <c r="HF5" s="37">
        <v>972</v>
      </c>
      <c r="HG5" s="37">
        <v>971.98448448000988</v>
      </c>
      <c r="HH5" s="10">
        <v>3.5535044240215643</v>
      </c>
      <c r="HI5" s="11">
        <v>3.4301693075002672E-2</v>
      </c>
      <c r="HJ5" s="11"/>
      <c r="HK5" s="37">
        <v>957</v>
      </c>
      <c r="HL5" s="37">
        <v>956.99019606000945</v>
      </c>
      <c r="HM5" s="10">
        <v>3.4585180395228279</v>
      </c>
      <c r="HN5" s="11">
        <v>3.4415621099425413E-2</v>
      </c>
      <c r="HO5" s="6">
        <v>1.9548326385375745</v>
      </c>
      <c r="HP5" s="6" t="s">
        <v>59</v>
      </c>
      <c r="HQ5" s="45">
        <f>HH5-HM5</f>
        <v>9.498638449873642E-2</v>
      </c>
      <c r="HR5" s="27"/>
      <c r="HS5" s="3">
        <v>665</v>
      </c>
      <c r="HT5" s="3">
        <v>664.94857069999887</v>
      </c>
      <c r="HU5" s="29">
        <v>3.4831384360023558</v>
      </c>
      <c r="HV5" s="27">
        <v>4.267687177292246E-2</v>
      </c>
      <c r="HW5" s="6">
        <v>1.2851465637505965</v>
      </c>
      <c r="HX5" s="6" t="s">
        <v>57</v>
      </c>
      <c r="HY5" s="27"/>
      <c r="HZ5" s="9">
        <v>718</v>
      </c>
      <c r="IA5" s="9">
        <v>718.05842387000484</v>
      </c>
      <c r="IB5" s="10">
        <v>3.6528440062209602</v>
      </c>
      <c r="IC5" s="11">
        <v>3.7531993276756097E-2</v>
      </c>
      <c r="ID5" s="6">
        <v>-1.9537567691003945</v>
      </c>
      <c r="IE5" s="6" t="s">
        <v>57</v>
      </c>
      <c r="IF5" s="27"/>
      <c r="IG5" s="9">
        <v>1426</v>
      </c>
      <c r="IH5" s="9">
        <v>1425.2165667499917</v>
      </c>
      <c r="II5" s="10">
        <v>3.395700304688448</v>
      </c>
      <c r="IJ5" s="11">
        <v>2.7750730492172557E-2</v>
      </c>
      <c r="IK5" s="6">
        <v>3.5765787860153742</v>
      </c>
      <c r="IL5" s="6" t="s">
        <v>59</v>
      </c>
      <c r="IM5" s="45">
        <f>HH5-II5</f>
        <v>0.15780411933311633</v>
      </c>
      <c r="IN5" s="11"/>
      <c r="IO5" s="28">
        <v>1429</v>
      </c>
      <c r="IP5" s="28">
        <v>1429.0114061300103</v>
      </c>
      <c r="IQ5" s="29">
        <v>3.372991861341037</v>
      </c>
      <c r="IR5" s="27">
        <v>2.7751922951523258E-2</v>
      </c>
      <c r="IS5" s="6">
        <v>4.0911886861864426</v>
      </c>
      <c r="IT5" s="6" t="s">
        <v>59</v>
      </c>
      <c r="IU5" s="27"/>
      <c r="IV5" s="37">
        <v>5429</v>
      </c>
      <c r="IW5" s="37">
        <v>5422.4793144997784</v>
      </c>
      <c r="IX5" s="10">
        <v>4.0361502725341785</v>
      </c>
      <c r="IY5" s="11">
        <v>1.2350085180507911E-2</v>
      </c>
      <c r="IZ5" s="26">
        <v>-13.238681131012202</v>
      </c>
      <c r="JA5" s="26" t="s">
        <v>59</v>
      </c>
      <c r="JB5" s="26"/>
      <c r="JC5" s="37">
        <v>1103</v>
      </c>
      <c r="JD5" s="37">
        <v>1103.0082453399762</v>
      </c>
      <c r="JE5" s="10">
        <v>4.1496860495808034</v>
      </c>
      <c r="JF5" s="11">
        <v>2.4444217056653596E-2</v>
      </c>
      <c r="JG5" s="26">
        <v>-14.154233942370267</v>
      </c>
      <c r="JH5" s="26" t="s">
        <v>59</v>
      </c>
      <c r="JI5" s="26"/>
      <c r="JJ5" s="37">
        <v>682</v>
      </c>
      <c r="JK5" s="37">
        <v>682</v>
      </c>
      <c r="JL5" s="10">
        <v>4.1950146627565985</v>
      </c>
      <c r="JM5" s="11">
        <v>3.0323564818057338E-2</v>
      </c>
      <c r="JN5" s="26">
        <v>-14.011835539607501</v>
      </c>
      <c r="JO5" s="26" t="s">
        <v>59</v>
      </c>
      <c r="JP5" s="26"/>
      <c r="JQ5" s="37">
        <v>960</v>
      </c>
      <c r="JR5" s="37">
        <v>953.6969086900092</v>
      </c>
      <c r="JS5" s="10">
        <v>4.1731314263950026</v>
      </c>
      <c r="JT5" s="11">
        <v>2.8238660151699183E-2</v>
      </c>
      <c r="JU5" s="26">
        <v>-13.946128833611276</v>
      </c>
      <c r="JV5" s="26" t="s">
        <v>59</v>
      </c>
      <c r="JW5" s="26"/>
      <c r="JX5" s="37">
        <v>377</v>
      </c>
      <c r="JY5" s="37">
        <v>376.99928694999858</v>
      </c>
      <c r="JZ5" s="10">
        <v>4.3900992073215912</v>
      </c>
      <c r="KA5" s="11">
        <v>3.7344127267603881E-2</v>
      </c>
      <c r="KB5" s="26">
        <v>-16.498637019630575</v>
      </c>
      <c r="KC5" s="26" t="s">
        <v>59</v>
      </c>
      <c r="KD5" s="26"/>
      <c r="KE5" s="37">
        <v>1335</v>
      </c>
      <c r="KF5" s="37">
        <v>1334.790389039978</v>
      </c>
      <c r="KG5" s="10">
        <v>4.0147767779734993</v>
      </c>
      <c r="KH5" s="11">
        <v>2.3393290827619848E-2</v>
      </c>
      <c r="KI5" s="26">
        <v>-11.109829962800958</v>
      </c>
      <c r="KJ5" s="26" t="s">
        <v>59</v>
      </c>
      <c r="KL5" s="9"/>
      <c r="KM5" s="9"/>
      <c r="KN5" s="10"/>
      <c r="KO5" s="11"/>
    </row>
    <row r="6" spans="1:301" s="7" customFormat="1" x14ac:dyDescent="0.25">
      <c r="B6" s="5" t="s">
        <v>2</v>
      </c>
      <c r="C6" s="9">
        <v>577</v>
      </c>
      <c r="D6" s="9">
        <v>567.08676088000368</v>
      </c>
      <c r="E6" s="10">
        <v>3.8268587198409709</v>
      </c>
      <c r="F6" s="11">
        <v>3.8576651612185299E-2</v>
      </c>
      <c r="G6" s="11"/>
      <c r="H6" s="9">
        <v>366</v>
      </c>
      <c r="I6" s="9">
        <v>369.06864115999872</v>
      </c>
      <c r="J6" s="10">
        <v>3.6698433351936441</v>
      </c>
      <c r="K6" s="11">
        <v>4.8467893235867185E-2</v>
      </c>
      <c r="L6" s="26">
        <v>2.5347178845769127</v>
      </c>
      <c r="M6" s="26" t="s">
        <v>59</v>
      </c>
      <c r="N6" s="45">
        <f t="shared" ref="N6:N9" si="0">E6-J6</f>
        <v>0.15701538464732678</v>
      </c>
      <c r="O6" s="11"/>
      <c r="P6" s="3">
        <v>145</v>
      </c>
      <c r="Q6" s="3">
        <v>145.43997250000001</v>
      </c>
      <c r="R6" s="10">
        <v>3.7103005442331201</v>
      </c>
      <c r="S6" s="11">
        <v>7.6262013698005546E-2</v>
      </c>
      <c r="T6" s="26">
        <v>1.3638317282108838</v>
      </c>
      <c r="U6" s="26" t="s">
        <v>57</v>
      </c>
      <c r="V6" s="27"/>
      <c r="W6" s="9">
        <v>205</v>
      </c>
      <c r="X6" s="9">
        <v>203.10672488999975</v>
      </c>
      <c r="Y6" s="10">
        <v>3.366076549509958</v>
      </c>
      <c r="Z6" s="11">
        <v>5.8966551966852014E-2</v>
      </c>
      <c r="AA6" s="26">
        <v>6.5392321367154365</v>
      </c>
      <c r="AB6" s="26" t="s">
        <v>59</v>
      </c>
      <c r="AC6" s="26"/>
      <c r="AD6" s="9">
        <v>1077</v>
      </c>
      <c r="AE6" s="9">
        <v>1076.6922329500198</v>
      </c>
      <c r="AF6" s="10">
        <v>3.6003733965380236</v>
      </c>
      <c r="AG6" s="11">
        <v>5.7789012259474609E-2</v>
      </c>
      <c r="AH6" s="26">
        <v>3.2596327153685007</v>
      </c>
      <c r="AI6" s="26" t="s">
        <v>59</v>
      </c>
      <c r="AJ6" s="45">
        <f t="shared" ref="AJ6:AJ9" si="1">E6-AF6</f>
        <v>0.22648532330294735</v>
      </c>
      <c r="AK6" s="27"/>
      <c r="AL6" s="28">
        <v>198</v>
      </c>
      <c r="AM6" s="28">
        <v>183.93522883999987</v>
      </c>
      <c r="AN6" s="29">
        <v>3.4656289285099411</v>
      </c>
      <c r="AO6" s="27">
        <v>7.053354996244228E-2</v>
      </c>
      <c r="AP6" s="26">
        <v>4.4932624666749756</v>
      </c>
      <c r="AQ6" s="26" t="s">
        <v>59</v>
      </c>
      <c r="AR6" s="27"/>
      <c r="AS6" s="30">
        <v>1519</v>
      </c>
      <c r="AT6" s="31">
        <v>3.9988458593843328</v>
      </c>
      <c r="AU6" s="32">
        <v>2.2725696125712617E-2</v>
      </c>
      <c r="AV6" s="26">
        <v>-3.8413196826807594</v>
      </c>
      <c r="AW6" s="26" t="s">
        <v>59</v>
      </c>
      <c r="AX6" s="27"/>
      <c r="AY6" s="33">
        <v>315</v>
      </c>
      <c r="AZ6" s="34">
        <v>4.2320416215924137</v>
      </c>
      <c r="BA6" s="35">
        <v>6.1092762670545558E-2</v>
      </c>
      <c r="BB6" s="26">
        <v>-5.6078416040045944</v>
      </c>
      <c r="BC6" s="26" t="s">
        <v>59</v>
      </c>
      <c r="BD6" s="35"/>
      <c r="BE6" s="33">
        <v>590</v>
      </c>
      <c r="BF6" s="34">
        <v>4.1514425389323382</v>
      </c>
      <c r="BG6" s="35">
        <v>4.8586895988835262E-2</v>
      </c>
      <c r="BH6" s="26">
        <v>-5.231927083441871</v>
      </c>
      <c r="BI6" s="26" t="s">
        <v>59</v>
      </c>
      <c r="BJ6" s="35"/>
      <c r="BK6" s="33">
        <v>438</v>
      </c>
      <c r="BL6" s="34">
        <v>4.2410839846293786</v>
      </c>
      <c r="BM6" s="35">
        <v>3.8659483440398081E-2</v>
      </c>
      <c r="BN6" s="26">
        <v>-7.5845671208558993</v>
      </c>
      <c r="BO6" s="26" t="s">
        <v>59</v>
      </c>
      <c r="BP6" s="35"/>
      <c r="BQ6" s="33">
        <v>759</v>
      </c>
      <c r="BR6" s="34">
        <v>3.8763100906704548</v>
      </c>
      <c r="BS6" s="35">
        <v>4.5015463784625051E-2</v>
      </c>
      <c r="BT6" s="26">
        <v>-0.83414868627378969</v>
      </c>
      <c r="BU6" s="26" t="s">
        <v>57</v>
      </c>
      <c r="BV6" s="35"/>
      <c r="BW6" s="33">
        <v>847</v>
      </c>
      <c r="BX6" s="34">
        <v>3.9927279548280086</v>
      </c>
      <c r="BY6" s="35">
        <v>4.0156531241568302E-2</v>
      </c>
      <c r="BZ6" s="26">
        <v>-2.9787606855362396</v>
      </c>
      <c r="CA6" s="26" t="s">
        <v>59</v>
      </c>
      <c r="CB6" s="27"/>
      <c r="CC6" s="9">
        <v>2978</v>
      </c>
      <c r="CD6" s="9">
        <v>2916.3610600200377</v>
      </c>
      <c r="CE6" s="10">
        <v>4.0461759273692453</v>
      </c>
      <c r="CF6" s="11">
        <v>1.6703821174720492E-2</v>
      </c>
      <c r="CG6" s="26">
        <v>-5.2171442296330417</v>
      </c>
      <c r="CH6" s="26" t="s">
        <v>59</v>
      </c>
      <c r="CI6" s="26"/>
      <c r="CJ6" s="9">
        <v>187</v>
      </c>
      <c r="CK6" s="9">
        <v>187</v>
      </c>
      <c r="CL6" s="10">
        <v>4.0909090909090891</v>
      </c>
      <c r="CM6" s="11">
        <v>5.2932666799382369E-2</v>
      </c>
      <c r="CN6" s="26">
        <v>-4.0314089649905105</v>
      </c>
      <c r="CO6" s="26" t="s">
        <v>59</v>
      </c>
      <c r="CP6" s="26"/>
      <c r="CQ6" s="9">
        <v>762</v>
      </c>
      <c r="CR6" s="9">
        <v>710.11624926000638</v>
      </c>
      <c r="CS6" s="10">
        <v>3.663033661489429</v>
      </c>
      <c r="CT6" s="11">
        <v>3.5116992042920903E-2</v>
      </c>
      <c r="CU6" s="26">
        <v>3.1404164144186804</v>
      </c>
      <c r="CV6" s="26" t="s">
        <v>59</v>
      </c>
      <c r="CW6" s="26"/>
      <c r="CX6" s="9">
        <v>1042</v>
      </c>
      <c r="CY6" s="9">
        <v>1042.0247815899775</v>
      </c>
      <c r="CZ6" s="10">
        <v>4.0441484782154626</v>
      </c>
      <c r="DA6" s="11">
        <v>2.488915681092007E-2</v>
      </c>
      <c r="DB6" s="26">
        <v>-4.7330627143926662</v>
      </c>
      <c r="DC6" s="26" t="s">
        <v>59</v>
      </c>
      <c r="DD6" s="26"/>
      <c r="DE6" s="9">
        <v>86</v>
      </c>
      <c r="DF6" s="9">
        <v>86.13326828999999</v>
      </c>
      <c r="DG6" s="38">
        <v>5</v>
      </c>
      <c r="DH6" s="39">
        <v>0</v>
      </c>
      <c r="DI6" s="26">
        <v>-30.410655957202522</v>
      </c>
      <c r="DJ6" s="26" t="s">
        <v>59</v>
      </c>
      <c r="DK6" s="26"/>
      <c r="DL6" s="9">
        <v>180</v>
      </c>
      <c r="DM6" s="9">
        <v>180</v>
      </c>
      <c r="DN6" s="10">
        <v>5</v>
      </c>
      <c r="DO6" s="11">
        <v>0</v>
      </c>
      <c r="DP6" s="26">
        <v>-30.410655957202522</v>
      </c>
      <c r="DQ6" s="26" t="s">
        <v>59</v>
      </c>
      <c r="DR6" s="26"/>
      <c r="DS6" s="9">
        <v>144</v>
      </c>
      <c r="DT6" s="9">
        <v>144</v>
      </c>
      <c r="DU6" s="10">
        <v>4.9930555555555562</v>
      </c>
      <c r="DV6" s="11">
        <v>6.9444444444444337E-3</v>
      </c>
      <c r="DW6" s="26">
        <v>-29.7524039293145</v>
      </c>
      <c r="DX6" s="26" t="s">
        <v>59</v>
      </c>
      <c r="DY6" s="36"/>
      <c r="DZ6" s="9">
        <v>299</v>
      </c>
      <c r="EA6" s="9">
        <v>293.6017988800001</v>
      </c>
      <c r="EB6" s="10">
        <v>3.5873081558688846</v>
      </c>
      <c r="EC6" s="11">
        <v>5.9109191020314852E-2</v>
      </c>
      <c r="ED6" s="11"/>
      <c r="EE6" s="9">
        <v>240</v>
      </c>
      <c r="EF6" s="9">
        <v>241.83671291999903</v>
      </c>
      <c r="EG6" s="10">
        <v>3.4944581918360615</v>
      </c>
      <c r="EH6" s="11">
        <v>6.0342326912409851E-2</v>
      </c>
      <c r="EI6" s="6">
        <v>1.0992131731683921</v>
      </c>
      <c r="EJ6" s="6" t="s">
        <v>57</v>
      </c>
      <c r="EK6" s="45">
        <f t="shared" ref="EK6:EK9" si="2">EB6-EG6</f>
        <v>9.2849964032823085E-2</v>
      </c>
      <c r="EL6" s="11"/>
      <c r="EM6" s="9">
        <v>184</v>
      </c>
      <c r="EN6" s="9">
        <v>184.44244156000056</v>
      </c>
      <c r="EO6" s="10">
        <v>3.4336717120716487</v>
      </c>
      <c r="EP6" s="11">
        <v>7.3675559268766969E-2</v>
      </c>
      <c r="EQ6" s="6">
        <v>1.6265353782702423</v>
      </c>
      <c r="ER6" s="6" t="s">
        <v>57</v>
      </c>
      <c r="ES6" s="11"/>
      <c r="ET6" s="9">
        <v>219</v>
      </c>
      <c r="EU6" s="9">
        <v>217.33568527000079</v>
      </c>
      <c r="EV6" s="10">
        <v>3.5898131950615966</v>
      </c>
      <c r="EW6" s="11">
        <v>6.5912407954066859E-2</v>
      </c>
      <c r="EX6" s="6">
        <v>-2.8294525888257472E-2</v>
      </c>
      <c r="EY6" s="6" t="s">
        <v>57</v>
      </c>
      <c r="EZ6" s="11"/>
      <c r="FA6" s="9">
        <v>706</v>
      </c>
      <c r="FB6" s="9">
        <v>706.47457200000224</v>
      </c>
      <c r="FC6" s="10">
        <v>3.5506953727694817</v>
      </c>
      <c r="FD6" s="11">
        <v>7.1675000628499269E-2</v>
      </c>
      <c r="FE6" s="6">
        <v>0.39409152730444985</v>
      </c>
      <c r="FF6" s="6" t="s">
        <v>57</v>
      </c>
      <c r="FG6" s="45">
        <f t="shared" ref="FG6:FG9" si="3">EB6-FC6</f>
        <v>3.6612783099402968E-2</v>
      </c>
      <c r="FH6" s="11"/>
      <c r="FI6" s="28">
        <v>148</v>
      </c>
      <c r="FJ6" s="28">
        <v>149.06228593000037</v>
      </c>
      <c r="FK6" s="29">
        <v>3.5087001026242772</v>
      </c>
      <c r="FL6" s="27">
        <v>8.2483463541881491E-2</v>
      </c>
      <c r="FM6" s="6">
        <v>0.77464525527626416</v>
      </c>
      <c r="FN6" s="6" t="s">
        <v>57</v>
      </c>
      <c r="FO6" s="11"/>
      <c r="FP6" s="37">
        <v>1597</v>
      </c>
      <c r="FQ6" s="37">
        <v>1589.7990464999846</v>
      </c>
      <c r="FR6" s="38">
        <v>3.984477014894225</v>
      </c>
      <c r="FS6" s="40">
        <v>2.2187670629704611E-2</v>
      </c>
      <c r="FT6" s="26">
        <v>-6.2906603297594001</v>
      </c>
      <c r="FU6" s="26" t="s">
        <v>59</v>
      </c>
      <c r="FV6" s="26"/>
      <c r="FW6" s="9">
        <v>378</v>
      </c>
      <c r="FX6" s="9">
        <v>378.12857740000038</v>
      </c>
      <c r="FY6" s="38">
        <v>4.0954132417287124</v>
      </c>
      <c r="FZ6" s="40">
        <v>4.3392362004820967E-2</v>
      </c>
      <c r="GA6" s="26">
        <v>-6.9293398449588723</v>
      </c>
      <c r="GB6" s="26" t="s">
        <v>59</v>
      </c>
      <c r="GC6" s="26"/>
      <c r="GD6" s="37">
        <v>142</v>
      </c>
      <c r="GE6" s="37">
        <v>141.99528740000022</v>
      </c>
      <c r="GF6" s="38">
        <v>4.2463979124986055</v>
      </c>
      <c r="GG6" s="40">
        <v>7.0117220134060701E-2</v>
      </c>
      <c r="GH6" s="26">
        <v>-7.1868449502412144</v>
      </c>
      <c r="GI6" s="26" t="s">
        <v>59</v>
      </c>
      <c r="GJ6" s="26"/>
      <c r="GK6" s="37">
        <v>307</v>
      </c>
      <c r="GL6" s="37">
        <v>305.3523123399998</v>
      </c>
      <c r="GM6" s="38">
        <v>4.1625335648506203</v>
      </c>
      <c r="GN6" s="40">
        <v>3.865922621591477E-2</v>
      </c>
      <c r="GO6" s="26">
        <v>-8.1443423875856062</v>
      </c>
      <c r="GP6" s="26" t="s">
        <v>59</v>
      </c>
      <c r="GQ6" s="26"/>
      <c r="GR6" s="37">
        <v>392</v>
      </c>
      <c r="GS6" s="37">
        <v>391.99731399999814</v>
      </c>
      <c r="GT6" s="38">
        <v>3.8800995827231608</v>
      </c>
      <c r="GU6" s="40">
        <v>4.5216261940224822E-2</v>
      </c>
      <c r="GV6" s="26">
        <v>-3.9342860225046459</v>
      </c>
      <c r="GW6" s="26" t="s">
        <v>59</v>
      </c>
      <c r="GX6" s="26"/>
      <c r="GY6" s="37">
        <v>79</v>
      </c>
      <c r="GZ6" s="37">
        <v>78.723756480000034</v>
      </c>
      <c r="HA6" s="38">
        <v>4.2895373368748055</v>
      </c>
      <c r="HB6" s="40">
        <v>8.2982050247532302E-2</v>
      </c>
      <c r="HC6" s="26">
        <v>-6.8925818085509061</v>
      </c>
      <c r="HD6" s="26" t="s">
        <v>59</v>
      </c>
      <c r="HE6" s="15"/>
      <c r="HF6" s="37">
        <v>296</v>
      </c>
      <c r="HG6" s="37">
        <v>296.09167343999923</v>
      </c>
      <c r="HH6" s="38">
        <v>3.3410550095744691</v>
      </c>
      <c r="HI6" s="40">
        <v>6.2629959947387168E-2</v>
      </c>
      <c r="HJ6" s="40"/>
      <c r="HK6" s="37">
        <v>241</v>
      </c>
      <c r="HL6" s="37">
        <v>240.87546672000116</v>
      </c>
      <c r="HM6" s="38">
        <v>3.2695364649380001</v>
      </c>
      <c r="HN6" s="40">
        <v>6.8273285041904608E-2</v>
      </c>
      <c r="HO6" s="6">
        <v>0.77193379336681833</v>
      </c>
      <c r="HP6" s="6" t="s">
        <v>57</v>
      </c>
      <c r="HQ6" s="45">
        <f t="shared" ref="HQ6:HQ9" si="4">HH6-HM6</f>
        <v>7.1518544636469006E-2</v>
      </c>
      <c r="HR6" s="27"/>
      <c r="HS6" s="3">
        <v>226</v>
      </c>
      <c r="HT6" s="3">
        <v>226.10686247000018</v>
      </c>
      <c r="HU6" s="41">
        <v>3.2437689968711734</v>
      </c>
      <c r="HV6" s="42">
        <v>7.5706894049355739E-2</v>
      </c>
      <c r="HW6" s="6">
        <v>0.99013800167496924</v>
      </c>
      <c r="HX6" s="6" t="s">
        <v>57</v>
      </c>
      <c r="HY6" s="27"/>
      <c r="HZ6" s="9">
        <v>203</v>
      </c>
      <c r="IA6" s="9">
        <v>202.26582760999946</v>
      </c>
      <c r="IB6" s="10">
        <v>3.4959807468982476</v>
      </c>
      <c r="IC6" s="11">
        <v>7.3379604368189022E-2</v>
      </c>
      <c r="ID6" s="6">
        <v>-1.6058940528499714</v>
      </c>
      <c r="IE6" s="6" t="s">
        <v>57</v>
      </c>
      <c r="IF6" s="27"/>
      <c r="IG6" s="9">
        <v>1426</v>
      </c>
      <c r="IH6" s="9">
        <v>1425.2165667499917</v>
      </c>
      <c r="II6" s="10">
        <v>3.2222189779217287</v>
      </c>
      <c r="IJ6" s="11">
        <v>4.3807396315305551E-2</v>
      </c>
      <c r="IK6" s="6">
        <v>1.5548275896317887</v>
      </c>
      <c r="IL6" s="6" t="s">
        <v>57</v>
      </c>
      <c r="IM6" s="45">
        <f t="shared" ref="IM6:IM9" si="5">HH6-II6</f>
        <v>0.11883603165274037</v>
      </c>
      <c r="IN6" s="11"/>
      <c r="IO6" s="28">
        <v>421</v>
      </c>
      <c r="IP6" s="28">
        <v>422.47575268999998</v>
      </c>
      <c r="IQ6" s="29">
        <v>3.2529454409858478</v>
      </c>
      <c r="IR6" s="27">
        <v>5.3164266791193154E-2</v>
      </c>
      <c r="IS6" s="6">
        <v>1.0725188469115818</v>
      </c>
      <c r="IT6" s="6" t="s">
        <v>57</v>
      </c>
      <c r="IU6" s="27"/>
      <c r="IV6" s="37">
        <v>1538</v>
      </c>
      <c r="IW6" s="37">
        <v>1526.8494168800005</v>
      </c>
      <c r="IX6" s="38">
        <v>3.9288335595254429</v>
      </c>
      <c r="IY6" s="40">
        <v>2.4095864013088383E-2</v>
      </c>
      <c r="IZ6" s="26">
        <v>-8.7590468693962205</v>
      </c>
      <c r="JA6" s="26" t="s">
        <v>59</v>
      </c>
      <c r="JB6" s="26"/>
      <c r="JC6" s="37">
        <v>378</v>
      </c>
      <c r="JD6" s="37">
        <v>378.12857740000038</v>
      </c>
      <c r="JE6" s="38">
        <v>4.0954132417287124</v>
      </c>
      <c r="JF6" s="40">
        <v>4.3392362004820967E-2</v>
      </c>
      <c r="JG6" s="26">
        <v>-9.9005933849264984</v>
      </c>
      <c r="JH6" s="26" t="s">
        <v>59</v>
      </c>
      <c r="JI6" s="26"/>
      <c r="JJ6" s="37">
        <v>221</v>
      </c>
      <c r="JK6" s="37">
        <v>221</v>
      </c>
      <c r="JL6" s="38">
        <v>4.1266968325791824</v>
      </c>
      <c r="JM6" s="40">
        <v>5.1400078726845676E-2</v>
      </c>
      <c r="JN6" s="26">
        <v>-9.6967105227003039</v>
      </c>
      <c r="JO6" s="26" t="s">
        <v>59</v>
      </c>
      <c r="JP6" s="26"/>
      <c r="JQ6" s="37">
        <v>134</v>
      </c>
      <c r="JR6" s="37">
        <v>121.23887111999998</v>
      </c>
      <c r="JS6" s="38">
        <v>4.21208381554914</v>
      </c>
      <c r="JT6" s="40">
        <v>7.3803851637799789E-2</v>
      </c>
      <c r="JU6" s="26">
        <v>-8.9985770023372726</v>
      </c>
      <c r="JV6" s="26" t="s">
        <v>59</v>
      </c>
      <c r="JW6" s="26"/>
      <c r="JX6" s="37">
        <v>142</v>
      </c>
      <c r="JY6" s="37">
        <v>141.99528740000022</v>
      </c>
      <c r="JZ6" s="38">
        <v>4.2463979124986055</v>
      </c>
      <c r="KA6" s="40">
        <v>7.0117220134060701E-2</v>
      </c>
      <c r="KB6" s="26">
        <v>-9.6297075044037541</v>
      </c>
      <c r="KC6" s="26" t="s">
        <v>59</v>
      </c>
      <c r="KD6" s="26"/>
      <c r="KE6" s="37">
        <v>367</v>
      </c>
      <c r="KF6" s="37">
        <v>368.39500752000021</v>
      </c>
      <c r="KG6" s="38">
        <v>3.8959515450058886</v>
      </c>
      <c r="KH6" s="40">
        <v>4.6230313261614163E-2</v>
      </c>
      <c r="KI6" s="26">
        <v>-7.1282763031395655</v>
      </c>
      <c r="KJ6" s="26" t="s">
        <v>59</v>
      </c>
      <c r="KL6" s="9"/>
      <c r="KM6" s="9"/>
      <c r="KN6" s="10"/>
      <c r="KO6" s="11"/>
    </row>
    <row r="7" spans="1:301" s="7" customFormat="1" x14ac:dyDescent="0.25">
      <c r="B7" s="5" t="s">
        <v>3</v>
      </c>
      <c r="C7" s="9">
        <v>1897</v>
      </c>
      <c r="D7" s="9">
        <v>1901.9051586700687</v>
      </c>
      <c r="E7" s="10">
        <v>3.9540666693279856</v>
      </c>
      <c r="F7" s="11">
        <v>2.0489405461193308E-2</v>
      </c>
      <c r="G7" s="11"/>
      <c r="H7" s="9">
        <v>2034</v>
      </c>
      <c r="I7" s="9">
        <v>2033.2094091799602</v>
      </c>
      <c r="J7" s="10">
        <v>3.8485446150408138</v>
      </c>
      <c r="K7" s="11">
        <v>2.0356353491133228E-2</v>
      </c>
      <c r="L7" s="26">
        <v>3.6534987329577544</v>
      </c>
      <c r="M7" s="26" t="s">
        <v>59</v>
      </c>
      <c r="N7" s="45">
        <f t="shared" si="0"/>
        <v>0.10552205428717176</v>
      </c>
      <c r="O7" s="11"/>
      <c r="P7" s="3">
        <v>643</v>
      </c>
      <c r="Q7" s="3">
        <v>642.75941662000275</v>
      </c>
      <c r="R7" s="10">
        <v>3.7581210061494681</v>
      </c>
      <c r="S7" s="11">
        <v>3.8570019137775163E-2</v>
      </c>
      <c r="T7" s="26">
        <v>4.4865002426561622</v>
      </c>
      <c r="U7" s="26" t="s">
        <v>59</v>
      </c>
      <c r="V7" s="27"/>
      <c r="W7" s="9">
        <v>660</v>
      </c>
      <c r="X7" s="9">
        <v>659.90499732000137</v>
      </c>
      <c r="Y7" s="10">
        <v>3.5748575478449438</v>
      </c>
      <c r="Z7" s="11">
        <v>3.1765110489162807E-2</v>
      </c>
      <c r="AA7" s="26">
        <v>10.031994430208258</v>
      </c>
      <c r="AB7" s="26" t="s">
        <v>59</v>
      </c>
      <c r="AC7" s="26"/>
      <c r="AD7" s="9">
        <v>187</v>
      </c>
      <c r="AE7" s="9">
        <v>179.68085176999966</v>
      </c>
      <c r="AF7" s="10">
        <v>3.666554605493221</v>
      </c>
      <c r="AG7" s="11">
        <v>3.0999556078637306E-2</v>
      </c>
      <c r="AH7" s="26">
        <v>7.7373552362923403</v>
      </c>
      <c r="AI7" s="26" t="s">
        <v>59</v>
      </c>
      <c r="AJ7" s="45">
        <f t="shared" si="1"/>
        <v>0.28751206383476458</v>
      </c>
      <c r="AK7" s="27"/>
      <c r="AL7" s="28">
        <v>787</v>
      </c>
      <c r="AM7" s="28">
        <v>786.79486449999831</v>
      </c>
      <c r="AN7" s="29">
        <v>3.541818363838598</v>
      </c>
      <c r="AO7" s="27">
        <v>3.0658221215715827E-2</v>
      </c>
      <c r="AP7" s="26">
        <v>11.179711098091991</v>
      </c>
      <c r="AQ7" s="26" t="s">
        <v>59</v>
      </c>
      <c r="AR7" s="27"/>
      <c r="AS7" s="30">
        <v>3437</v>
      </c>
      <c r="AT7" s="31">
        <v>4.0339643869249029</v>
      </c>
      <c r="AU7" s="32">
        <v>1.5073610509242566E-2</v>
      </c>
      <c r="AV7" s="26">
        <v>-3.1410318657176899</v>
      </c>
      <c r="AW7" s="26" t="s">
        <v>59</v>
      </c>
      <c r="AX7" s="27"/>
      <c r="AY7" s="33">
        <v>315</v>
      </c>
      <c r="AZ7" s="34">
        <v>4.26348083467267</v>
      </c>
      <c r="BA7" s="35">
        <v>4.4364101098114346E-2</v>
      </c>
      <c r="BB7" s="26">
        <v>-6.3317537020133274</v>
      </c>
      <c r="BC7" s="26" t="s">
        <v>59</v>
      </c>
      <c r="BD7" s="35"/>
      <c r="BE7" s="33">
        <v>116</v>
      </c>
      <c r="BF7" s="34">
        <v>4.2504485023980703</v>
      </c>
      <c r="BG7" s="35">
        <v>3.0992944841680869E-2</v>
      </c>
      <c r="BH7" s="26">
        <v>-7.97723723329631</v>
      </c>
      <c r="BI7" s="26" t="s">
        <v>59</v>
      </c>
      <c r="BJ7" s="35"/>
      <c r="BK7" s="33">
        <v>175</v>
      </c>
      <c r="BL7" s="34">
        <v>4.2928891215821201</v>
      </c>
      <c r="BM7" s="35">
        <v>3.7291430610756265E-2</v>
      </c>
      <c r="BN7" s="26">
        <v>-7.9630039429433026</v>
      </c>
      <c r="BO7" s="26" t="s">
        <v>59</v>
      </c>
      <c r="BP7" s="35"/>
      <c r="BQ7" s="33">
        <v>187</v>
      </c>
      <c r="BR7" s="34">
        <v>4.0513340135980833</v>
      </c>
      <c r="BS7" s="35">
        <v>3.0720035057318969E-2</v>
      </c>
      <c r="BT7" s="26">
        <v>-2.6341087913672521</v>
      </c>
      <c r="BU7" s="26" t="s">
        <v>59</v>
      </c>
      <c r="BV7" s="35"/>
      <c r="BW7" s="33">
        <v>167</v>
      </c>
      <c r="BX7" s="34">
        <v>4.1648329274610614</v>
      </c>
      <c r="BY7" s="35">
        <v>2.7958163087642245E-2</v>
      </c>
      <c r="BZ7" s="26">
        <v>-6.0805628922112014</v>
      </c>
      <c r="CA7" s="26" t="s">
        <v>59</v>
      </c>
      <c r="CB7" s="27"/>
      <c r="CC7" s="9">
        <v>7010</v>
      </c>
      <c r="CD7" s="9">
        <v>7046.1557849693872</v>
      </c>
      <c r="CE7" s="10">
        <v>4.1689001333675622</v>
      </c>
      <c r="CF7" s="11">
        <v>1.03963249733901E-2</v>
      </c>
      <c r="CG7" s="26">
        <v>-9.35031806701266</v>
      </c>
      <c r="CH7" s="26" t="s">
        <v>59</v>
      </c>
      <c r="CI7" s="26"/>
      <c r="CJ7" s="9">
        <v>284</v>
      </c>
      <c r="CK7" s="9">
        <v>284</v>
      </c>
      <c r="CL7" s="10">
        <v>4.1302816901408459</v>
      </c>
      <c r="CM7" s="11">
        <v>4.7084349481198565E-2</v>
      </c>
      <c r="CN7" s="26">
        <v>-3.4316920451200672</v>
      </c>
      <c r="CO7" s="26" t="s">
        <v>59</v>
      </c>
      <c r="CP7" s="26"/>
      <c r="CQ7" s="9">
        <v>2047</v>
      </c>
      <c r="CR7" s="9">
        <v>2077.6587709099772</v>
      </c>
      <c r="CS7" s="10">
        <v>3.8714394494274895</v>
      </c>
      <c r="CT7" s="11">
        <v>1.9482460501953909E-2</v>
      </c>
      <c r="CU7" s="26">
        <v>2.9224423804178756</v>
      </c>
      <c r="CV7" s="26" t="s">
        <v>59</v>
      </c>
      <c r="CW7" s="26"/>
      <c r="CX7" s="9">
        <v>1600</v>
      </c>
      <c r="CY7" s="9">
        <v>1599.9962277000113</v>
      </c>
      <c r="CZ7" s="10">
        <v>4.204358142868883</v>
      </c>
      <c r="DA7" s="11">
        <v>1.9190610052730074E-2</v>
      </c>
      <c r="DB7" s="26">
        <v>-8.9157257307629472</v>
      </c>
      <c r="DC7" s="26" t="s">
        <v>59</v>
      </c>
      <c r="DD7" s="26"/>
      <c r="DE7" s="9">
        <v>417</v>
      </c>
      <c r="DF7" s="9">
        <v>417.59562768999825</v>
      </c>
      <c r="DG7" s="38">
        <v>4.9975923131054731</v>
      </c>
      <c r="DH7" s="39">
        <v>2.4011494821775505E-3</v>
      </c>
      <c r="DI7" s="26">
        <v>-50.583849946303665</v>
      </c>
      <c r="DJ7" s="26" t="s">
        <v>59</v>
      </c>
      <c r="DK7" s="26"/>
      <c r="DL7" s="9">
        <v>478</v>
      </c>
      <c r="DM7" s="9">
        <v>478</v>
      </c>
      <c r="DN7" s="10">
        <v>4.9979079497907906</v>
      </c>
      <c r="DO7" s="11">
        <v>2.0920502092050199E-3</v>
      </c>
      <c r="DP7" s="26">
        <v>-50.681915548531151</v>
      </c>
      <c r="DQ7" s="26" t="s">
        <v>59</v>
      </c>
      <c r="DR7" s="26"/>
      <c r="DS7" s="9">
        <v>287</v>
      </c>
      <c r="DT7" s="9">
        <v>287</v>
      </c>
      <c r="DU7" s="10">
        <v>5</v>
      </c>
      <c r="DV7" s="11">
        <v>0</v>
      </c>
      <c r="DW7" s="26">
        <v>-51.047519785432513</v>
      </c>
      <c r="DX7" s="26" t="s">
        <v>59</v>
      </c>
      <c r="DY7" s="36"/>
      <c r="DZ7" s="9">
        <v>642</v>
      </c>
      <c r="EA7" s="9">
        <v>645.80078795999736</v>
      </c>
      <c r="EB7" s="10">
        <v>3.9084778617927913</v>
      </c>
      <c r="EC7" s="11">
        <v>3.6696280582689388E-2</v>
      </c>
      <c r="ED7" s="11"/>
      <c r="EE7" s="9">
        <v>632</v>
      </c>
      <c r="EF7" s="9">
        <v>630.11035359999926</v>
      </c>
      <c r="EG7" s="10">
        <v>3.7099663219214256</v>
      </c>
      <c r="EH7" s="11">
        <v>3.9036107445879362E-2</v>
      </c>
      <c r="EI7" s="6">
        <v>3.705202283364033</v>
      </c>
      <c r="EJ7" s="6" t="s">
        <v>59</v>
      </c>
      <c r="EK7" s="45">
        <f t="shared" si="2"/>
        <v>0.19851153987136572</v>
      </c>
      <c r="EL7" s="11"/>
      <c r="EM7" s="9">
        <v>396</v>
      </c>
      <c r="EN7" s="9">
        <v>395.77264135999906</v>
      </c>
      <c r="EO7" s="10">
        <v>3.7427491887763158</v>
      </c>
      <c r="EP7" s="11">
        <v>4.9801301796742047E-2</v>
      </c>
      <c r="EQ7" s="6">
        <v>2.6790481969926838</v>
      </c>
      <c r="ER7" s="6" t="s">
        <v>59</v>
      </c>
      <c r="ES7" s="11"/>
      <c r="ET7" s="9">
        <v>393</v>
      </c>
      <c r="EU7" s="9">
        <v>394.89968560000108</v>
      </c>
      <c r="EV7" s="10">
        <v>3.7436781467267908</v>
      </c>
      <c r="EW7" s="11">
        <v>4.9311127567333246E-2</v>
      </c>
      <c r="EX7" s="6">
        <v>2.6811044710565661</v>
      </c>
      <c r="EY7" s="6" t="s">
        <v>59</v>
      </c>
      <c r="EZ7" s="11"/>
      <c r="FA7" s="9">
        <v>208</v>
      </c>
      <c r="FB7" s="9">
        <v>197.45117371000029</v>
      </c>
      <c r="FC7" s="10">
        <v>3.6361732882590223</v>
      </c>
      <c r="FD7" s="11">
        <v>4.8140013470976017E-2</v>
      </c>
      <c r="FE7" s="6">
        <v>4.498550354672787</v>
      </c>
      <c r="FF7" s="6" t="s">
        <v>59</v>
      </c>
      <c r="FG7" s="45">
        <f t="shared" si="3"/>
        <v>0.27230457353376902</v>
      </c>
      <c r="FH7" s="11"/>
      <c r="FI7" s="28">
        <v>477</v>
      </c>
      <c r="FJ7" s="28">
        <v>475.71771431999883</v>
      </c>
      <c r="FK7" s="29">
        <v>3.6741500960888587</v>
      </c>
      <c r="FL7" s="27">
        <v>4.5191706133305642E-2</v>
      </c>
      <c r="FM7" s="6">
        <v>4.0252597085594948</v>
      </c>
      <c r="FN7" s="6" t="s">
        <v>59</v>
      </c>
      <c r="FO7" s="11"/>
      <c r="FP7" s="37">
        <v>2782</v>
      </c>
      <c r="FQ7" s="37">
        <v>2787.0677643499016</v>
      </c>
      <c r="FR7" s="38">
        <v>4.1242066606732593</v>
      </c>
      <c r="FS7" s="40">
        <v>1.6022383107283968E-2</v>
      </c>
      <c r="FT7" s="26">
        <v>-5.3876100653133046</v>
      </c>
      <c r="FU7" s="26" t="s">
        <v>59</v>
      </c>
      <c r="FV7" s="26"/>
      <c r="FW7" s="9">
        <v>605</v>
      </c>
      <c r="FX7" s="9">
        <v>604.972154579998</v>
      </c>
      <c r="FY7" s="38">
        <v>4.1901927784095774</v>
      </c>
      <c r="FZ7" s="40">
        <v>3.2046641507513185E-2</v>
      </c>
      <c r="GA7" s="26">
        <v>-5.7823674824582101</v>
      </c>
      <c r="GB7" s="26" t="s">
        <v>59</v>
      </c>
      <c r="GC7" s="26"/>
      <c r="GD7" s="37">
        <v>199</v>
      </c>
      <c r="GE7" s="37">
        <v>198.97221880000052</v>
      </c>
      <c r="GF7" s="38">
        <v>4.4725869350862393</v>
      </c>
      <c r="GG7" s="40">
        <v>4.4939392562234545E-2</v>
      </c>
      <c r="GH7" s="26">
        <v>-9.7228888217251566</v>
      </c>
      <c r="GI7" s="26" t="s">
        <v>59</v>
      </c>
      <c r="GJ7" s="26"/>
      <c r="GK7" s="37">
        <v>319</v>
      </c>
      <c r="GL7" s="37">
        <v>319.9663938099992</v>
      </c>
      <c r="GM7" s="38">
        <v>4.0883328308434335</v>
      </c>
      <c r="GN7" s="40">
        <v>4.1579160727397792E-2</v>
      </c>
      <c r="GO7" s="26">
        <v>-3.2431613555645402</v>
      </c>
      <c r="GP7" s="26" t="s">
        <v>59</v>
      </c>
      <c r="GQ7" s="26"/>
      <c r="GR7" s="37">
        <v>759</v>
      </c>
      <c r="GS7" s="37">
        <v>759.00025132000496</v>
      </c>
      <c r="GT7" s="38">
        <v>4.0382075426056359</v>
      </c>
      <c r="GU7" s="40">
        <v>3.2074797120156998E-2</v>
      </c>
      <c r="GV7" s="26">
        <v>-2.6617673536400246</v>
      </c>
      <c r="GW7" s="26" t="s">
        <v>59</v>
      </c>
      <c r="GX7" s="26"/>
      <c r="GY7" s="37">
        <v>258</v>
      </c>
      <c r="GZ7" s="37">
        <v>258.35595788000035</v>
      </c>
      <c r="HA7" s="38">
        <v>4.5377130545776927</v>
      </c>
      <c r="HB7" s="40">
        <v>3.9259306653987545E-2</v>
      </c>
      <c r="HC7" s="26">
        <v>-11.709036629161757</v>
      </c>
      <c r="HD7" s="26" t="s">
        <v>59</v>
      </c>
      <c r="HE7" s="15"/>
      <c r="HF7" s="37">
        <v>585</v>
      </c>
      <c r="HG7" s="37">
        <v>584.91859092000345</v>
      </c>
      <c r="HH7" s="38">
        <v>3.644651866932322</v>
      </c>
      <c r="HI7" s="40">
        <v>4.3558494582663101E-2</v>
      </c>
      <c r="HJ7" s="40"/>
      <c r="HK7" s="37">
        <v>621</v>
      </c>
      <c r="HL7" s="37">
        <v>621.0754551600063</v>
      </c>
      <c r="HM7" s="38">
        <v>3.5232150410714334</v>
      </c>
      <c r="HN7" s="40">
        <v>4.2112667843461779E-2</v>
      </c>
      <c r="HO7" s="6">
        <v>2.0043285245895954</v>
      </c>
      <c r="HP7" s="6" t="s">
        <v>59</v>
      </c>
      <c r="HQ7" s="45">
        <f t="shared" si="4"/>
        <v>0.12143682586088866</v>
      </c>
      <c r="HR7" s="27"/>
      <c r="HS7" s="3">
        <v>371</v>
      </c>
      <c r="HT7" s="3">
        <v>370.82310886999778</v>
      </c>
      <c r="HU7" s="41">
        <v>3.5827905744023161</v>
      </c>
      <c r="HV7" s="42">
        <v>5.5743268592230076E-2</v>
      </c>
      <c r="HW7" s="6">
        <v>0.87444387851760219</v>
      </c>
      <c r="HX7" s="6" t="s">
        <v>57</v>
      </c>
      <c r="HY7" s="27"/>
      <c r="HZ7" s="9">
        <v>415</v>
      </c>
      <c r="IA7" s="9">
        <v>416.1448615400019</v>
      </c>
      <c r="IB7" s="10">
        <v>3.6931621959058445</v>
      </c>
      <c r="IC7" s="11">
        <v>4.7192700032856083E-2</v>
      </c>
      <c r="ID7" s="6">
        <v>-0.75535118351893393</v>
      </c>
      <c r="IE7" s="6" t="s">
        <v>57</v>
      </c>
      <c r="IF7" s="27"/>
      <c r="IG7" s="9">
        <v>547</v>
      </c>
      <c r="IH7" s="9">
        <v>543.67001221000021</v>
      </c>
      <c r="II7" s="10">
        <v>3.4889711573011377</v>
      </c>
      <c r="IJ7" s="11">
        <v>3.8544047382839661E-2</v>
      </c>
      <c r="IK7" s="6">
        <v>2.676607556964151</v>
      </c>
      <c r="IL7" s="6" t="s">
        <v>59</v>
      </c>
      <c r="IM7" s="45">
        <f t="shared" si="5"/>
        <v>0.1556807096311843</v>
      </c>
      <c r="IN7" s="11"/>
      <c r="IO7" s="28">
        <v>830</v>
      </c>
      <c r="IP7" s="28">
        <v>827.44810817000223</v>
      </c>
      <c r="IQ7" s="29">
        <v>3.3984483432310446</v>
      </c>
      <c r="IR7" s="27">
        <v>3.5737937911873532E-2</v>
      </c>
      <c r="IS7" s="6">
        <v>4.3697207179244364</v>
      </c>
      <c r="IT7" s="6" t="s">
        <v>59</v>
      </c>
      <c r="IU7" s="27"/>
      <c r="IV7" s="37">
        <v>3262</v>
      </c>
      <c r="IW7" s="37">
        <v>3262.6766991199265</v>
      </c>
      <c r="IX7" s="38">
        <v>4.071575074478873</v>
      </c>
      <c r="IY7" s="40">
        <v>1.5699512074218411E-2</v>
      </c>
      <c r="IZ7" s="26">
        <v>-9.2205302149953052</v>
      </c>
      <c r="JA7" s="26" t="s">
        <v>59</v>
      </c>
      <c r="JB7" s="26"/>
      <c r="JC7" s="37">
        <v>605</v>
      </c>
      <c r="JD7" s="37">
        <v>604.972154579998</v>
      </c>
      <c r="JE7" s="38">
        <v>4.1901927784095774</v>
      </c>
      <c r="JF7" s="40">
        <v>3.2046641507513185E-2</v>
      </c>
      <c r="JG7" s="26">
        <v>-10.088211037700333</v>
      </c>
      <c r="JH7" s="26" t="s">
        <v>59</v>
      </c>
      <c r="JI7" s="26"/>
      <c r="JJ7" s="37">
        <v>367</v>
      </c>
      <c r="JK7" s="37">
        <v>367</v>
      </c>
      <c r="JL7" s="38">
        <v>4.2152588555858346</v>
      </c>
      <c r="JM7" s="40">
        <v>4.2269500451966244E-2</v>
      </c>
      <c r="JN7" s="26">
        <v>-9.4010019928996105</v>
      </c>
      <c r="JO7" s="26" t="s">
        <v>59</v>
      </c>
      <c r="JP7" s="26"/>
      <c r="JQ7" s="37">
        <v>702</v>
      </c>
      <c r="JR7" s="37">
        <v>704.56008858000644</v>
      </c>
      <c r="JS7" s="38">
        <v>4.1524313533661168</v>
      </c>
      <c r="JT7" s="40">
        <v>3.3494360619997318E-2</v>
      </c>
      <c r="JU7" s="26">
        <v>-9.2411954882097778</v>
      </c>
      <c r="JV7" s="26" t="s">
        <v>59</v>
      </c>
      <c r="JW7" s="26"/>
      <c r="JX7" s="37">
        <v>199</v>
      </c>
      <c r="JY7" s="37">
        <v>198.97221880000052</v>
      </c>
      <c r="JZ7" s="38">
        <v>4.4725869350862393</v>
      </c>
      <c r="KA7" s="40">
        <v>4.4939392562234545E-2</v>
      </c>
      <c r="KB7" s="26">
        <v>-13.228954106301293</v>
      </c>
      <c r="KC7" s="26" t="s">
        <v>59</v>
      </c>
      <c r="KD7" s="26"/>
      <c r="KE7" s="37">
        <v>804</v>
      </c>
      <c r="KF7" s="37">
        <v>802.25364623999133</v>
      </c>
      <c r="KG7" s="38">
        <v>4.0571963784958314</v>
      </c>
      <c r="KH7" s="40">
        <v>2.963491840447089E-2</v>
      </c>
      <c r="KI7" s="26">
        <v>-7.8305930694615631</v>
      </c>
      <c r="KJ7" s="26" t="s">
        <v>59</v>
      </c>
      <c r="KL7" s="9"/>
      <c r="KM7" s="9"/>
      <c r="KN7" s="10"/>
      <c r="KO7" s="11"/>
    </row>
    <row r="8" spans="1:301" s="7" customFormat="1" x14ac:dyDescent="0.25">
      <c r="B8" s="5" t="s">
        <v>4</v>
      </c>
      <c r="C8" s="9">
        <v>469</v>
      </c>
      <c r="D8" s="9">
        <v>473.45839690000037</v>
      </c>
      <c r="E8" s="10">
        <v>3.9885680298302031</v>
      </c>
      <c r="F8" s="11">
        <v>4.2286741003445497E-2</v>
      </c>
      <c r="G8" s="11"/>
      <c r="H8" s="9">
        <v>574</v>
      </c>
      <c r="I8" s="9">
        <v>572.80940162999627</v>
      </c>
      <c r="J8" s="10">
        <v>3.8602117853650002</v>
      </c>
      <c r="K8" s="11">
        <v>4.0835427075088082E-2</v>
      </c>
      <c r="L8" s="26">
        <v>2.1834786485314912</v>
      </c>
      <c r="M8" s="26" t="s">
        <v>59</v>
      </c>
      <c r="N8" s="45">
        <f t="shared" si="0"/>
        <v>0.12835624446520288</v>
      </c>
      <c r="O8" s="11"/>
      <c r="P8" s="3">
        <v>184</v>
      </c>
      <c r="Q8" s="3">
        <v>183.83052556000055</v>
      </c>
      <c r="R8" s="10">
        <v>3.924930646757598</v>
      </c>
      <c r="S8" s="11">
        <v>6.8716614509101132E-2</v>
      </c>
      <c r="T8" s="26">
        <v>0.78870954279394978</v>
      </c>
      <c r="U8" s="26" t="s">
        <v>57</v>
      </c>
      <c r="V8" s="27"/>
      <c r="W8" s="9">
        <v>209</v>
      </c>
      <c r="X8" s="9">
        <v>210.97787516999932</v>
      </c>
      <c r="Y8" s="10">
        <v>3.6077442237328632</v>
      </c>
      <c r="Z8" s="11">
        <v>5.850309139214465E-2</v>
      </c>
      <c r="AA8" s="26">
        <v>5.2756103726397647</v>
      </c>
      <c r="AB8" s="26" t="s">
        <v>59</v>
      </c>
      <c r="AC8" s="26"/>
      <c r="AD8" s="9">
        <v>710</v>
      </c>
      <c r="AE8" s="9">
        <v>711.11281648000727</v>
      </c>
      <c r="AF8" s="10">
        <v>3.6785492921021987</v>
      </c>
      <c r="AG8" s="11">
        <v>5.2227501536133203E-2</v>
      </c>
      <c r="AH8" s="26">
        <v>4.613353446689068</v>
      </c>
      <c r="AI8" s="26" t="s">
        <v>59</v>
      </c>
      <c r="AJ8" s="45">
        <f t="shared" si="1"/>
        <v>0.31001873772800437</v>
      </c>
      <c r="AK8" s="27"/>
      <c r="AL8" s="28">
        <v>242</v>
      </c>
      <c r="AM8" s="28">
        <v>254.69445715999925</v>
      </c>
      <c r="AN8" s="29">
        <v>3.7114091206396944</v>
      </c>
      <c r="AO8" s="27">
        <v>5.5415141709916883E-2</v>
      </c>
      <c r="AP8" s="26">
        <v>3.9760799461832232</v>
      </c>
      <c r="AQ8" s="26" t="s">
        <v>59</v>
      </c>
      <c r="AR8" s="27"/>
      <c r="AS8" s="30">
        <v>1233</v>
      </c>
      <c r="AT8" s="31">
        <v>4.2017826608451729</v>
      </c>
      <c r="AU8" s="32">
        <v>2.4362095930060623E-2</v>
      </c>
      <c r="AV8" s="26">
        <v>-4.3689319636889357</v>
      </c>
      <c r="AW8" s="26" t="s">
        <v>59</v>
      </c>
      <c r="AX8" s="27"/>
      <c r="AY8" s="33">
        <v>630</v>
      </c>
      <c r="AZ8" s="34">
        <v>4.5577121542887244</v>
      </c>
      <c r="BA8" s="35">
        <v>4.4899611546136309E-2</v>
      </c>
      <c r="BB8" s="26">
        <v>-9.2277072196439001</v>
      </c>
      <c r="BC8" s="26" t="s">
        <v>59</v>
      </c>
      <c r="BD8" s="35"/>
      <c r="BE8" s="33">
        <v>706</v>
      </c>
      <c r="BF8" s="34">
        <v>4.1027831540602566</v>
      </c>
      <c r="BG8" s="35">
        <v>7.8877743973136044E-2</v>
      </c>
      <c r="BH8" s="26">
        <v>-1.2761771524744236</v>
      </c>
      <c r="BI8" s="26" t="s">
        <v>57</v>
      </c>
      <c r="BJ8" s="35"/>
      <c r="BK8" s="33">
        <v>613</v>
      </c>
      <c r="BL8" s="34">
        <v>4.2516344888632265</v>
      </c>
      <c r="BM8" s="35">
        <v>6.4341579717073674E-2</v>
      </c>
      <c r="BN8" s="26">
        <v>-3.4167335528827771</v>
      </c>
      <c r="BO8" s="26" t="s">
        <v>59</v>
      </c>
      <c r="BP8" s="35"/>
      <c r="BQ8" s="33">
        <v>946</v>
      </c>
      <c r="BR8" s="34">
        <v>3.8503391027620433</v>
      </c>
      <c r="BS8" s="35">
        <v>6.5182375762997055E-2</v>
      </c>
      <c r="BT8" s="26">
        <v>1.7790639756166315</v>
      </c>
      <c r="BU8" s="26" t="s">
        <v>57</v>
      </c>
      <c r="BV8" s="35"/>
      <c r="BW8" s="33">
        <v>1014</v>
      </c>
      <c r="BX8" s="34">
        <v>4.024710910828543</v>
      </c>
      <c r="BY8" s="35">
        <v>6.3604705284482324E-2</v>
      </c>
      <c r="BZ8" s="26">
        <v>-0.47320542731656151</v>
      </c>
      <c r="CA8" s="26" t="s">
        <v>57</v>
      </c>
      <c r="CB8" s="27"/>
      <c r="CC8" s="9">
        <v>1892</v>
      </c>
      <c r="CD8" s="9">
        <v>1915.4814394000234</v>
      </c>
      <c r="CE8" s="10">
        <v>4.2689008037067433</v>
      </c>
      <c r="CF8" s="11">
        <v>1.95420681559332E-2</v>
      </c>
      <c r="CG8" s="26">
        <v>-6.0178022746947093</v>
      </c>
      <c r="CH8" s="26" t="s">
        <v>59</v>
      </c>
      <c r="CI8" s="26"/>
      <c r="CJ8" s="9">
        <v>62</v>
      </c>
      <c r="CK8" s="9">
        <v>62</v>
      </c>
      <c r="CL8" s="10">
        <v>4.0161290322580641</v>
      </c>
      <c r="CM8" s="11">
        <v>9.888841599241345E-2</v>
      </c>
      <c r="CN8" s="26">
        <v>-0.25626128704830231</v>
      </c>
      <c r="CO8" s="26" t="s">
        <v>57</v>
      </c>
      <c r="CP8" s="26"/>
      <c r="CQ8" s="9">
        <v>522</v>
      </c>
      <c r="CR8" s="9">
        <v>541.78860118000182</v>
      </c>
      <c r="CS8" s="10">
        <v>3.9709014743653421</v>
      </c>
      <c r="CT8" s="11">
        <v>3.6493801436177725E-2</v>
      </c>
      <c r="CU8" s="26">
        <v>0.3162838014784139</v>
      </c>
      <c r="CV8" s="26" t="s">
        <v>57</v>
      </c>
      <c r="CW8" s="26"/>
      <c r="CX8" s="9">
        <v>373</v>
      </c>
      <c r="CY8" s="9">
        <v>372.97965536000112</v>
      </c>
      <c r="CZ8" s="10">
        <v>4.1876711593892129</v>
      </c>
      <c r="DA8" s="11">
        <v>4.0967030663247347E-2</v>
      </c>
      <c r="DB8" s="26">
        <v>-3.38169635868331</v>
      </c>
      <c r="DC8" s="26" t="s">
        <v>59</v>
      </c>
      <c r="DD8" s="26"/>
      <c r="DE8" s="9">
        <v>109</v>
      </c>
      <c r="DF8" s="9">
        <v>108.25478595999991</v>
      </c>
      <c r="DG8" s="38">
        <v>5</v>
      </c>
      <c r="DH8" s="39">
        <v>0</v>
      </c>
      <c r="DI8" s="26">
        <v>-23.918418543708206</v>
      </c>
      <c r="DJ8" s="26" t="s">
        <v>59</v>
      </c>
      <c r="DK8" s="26"/>
      <c r="DL8" s="9">
        <v>242</v>
      </c>
      <c r="DM8" s="9">
        <v>242</v>
      </c>
      <c r="DN8" s="10">
        <v>5</v>
      </c>
      <c r="DO8" s="11">
        <v>0</v>
      </c>
      <c r="DP8" s="26">
        <v>-23.918418543708206</v>
      </c>
      <c r="DQ8" s="26" t="s">
        <v>59</v>
      </c>
      <c r="DR8" s="26"/>
      <c r="DS8" s="9">
        <v>115</v>
      </c>
      <c r="DT8" s="9">
        <v>115</v>
      </c>
      <c r="DU8" s="10">
        <v>5</v>
      </c>
      <c r="DV8" s="11">
        <v>0</v>
      </c>
      <c r="DW8" s="26">
        <v>-23.918418543708206</v>
      </c>
      <c r="DX8" s="26" t="s">
        <v>59</v>
      </c>
      <c r="DY8" s="36"/>
      <c r="DZ8" s="9">
        <v>116</v>
      </c>
      <c r="EA8" s="9">
        <v>117.37678999000009</v>
      </c>
      <c r="EB8" s="10">
        <v>3.9106930952797985</v>
      </c>
      <c r="EC8" s="11">
        <v>8.7486732495471203E-2</v>
      </c>
      <c r="ED8" s="11"/>
      <c r="EE8" s="9">
        <v>115</v>
      </c>
      <c r="EF8" s="9">
        <v>114.92439678999992</v>
      </c>
      <c r="EG8" s="10">
        <v>3.7350092352831927</v>
      </c>
      <c r="EH8" s="11">
        <v>8.9162204654571003E-2</v>
      </c>
      <c r="EI8" s="6">
        <v>1.4064241013891721</v>
      </c>
      <c r="EJ8" s="6" t="s">
        <v>57</v>
      </c>
      <c r="EK8" s="45">
        <f t="shared" si="2"/>
        <v>0.17568385999660574</v>
      </c>
      <c r="EL8" s="11"/>
      <c r="EM8" s="9">
        <v>104</v>
      </c>
      <c r="EN8" s="9">
        <v>103.77802133000021</v>
      </c>
      <c r="EO8" s="10">
        <v>3.566152164080771</v>
      </c>
      <c r="EP8" s="11">
        <v>9.5602731211094347E-2</v>
      </c>
      <c r="EQ8" s="6">
        <v>2.6586807921879787</v>
      </c>
      <c r="ER8" s="6" t="s">
        <v>59</v>
      </c>
      <c r="ES8" s="11"/>
      <c r="ET8" s="9">
        <v>116</v>
      </c>
      <c r="EU8" s="9">
        <v>115.53105230999992</v>
      </c>
      <c r="EV8" s="10">
        <v>3.7337572979300431</v>
      </c>
      <c r="EW8" s="11">
        <v>8.2160140813453048E-2</v>
      </c>
      <c r="EX8" s="6">
        <v>1.4742491236551671</v>
      </c>
      <c r="EY8" s="6" t="s">
        <v>57</v>
      </c>
      <c r="EZ8" s="11"/>
      <c r="FA8" s="9">
        <v>403</v>
      </c>
      <c r="FB8" s="9">
        <v>406.83893415000222</v>
      </c>
      <c r="FC8" s="10">
        <v>3.7307683405541221</v>
      </c>
      <c r="FD8" s="11">
        <v>9.701083234628588E-2</v>
      </c>
      <c r="FE8" s="6">
        <v>1.3773280488596211</v>
      </c>
      <c r="FF8" s="6" t="s">
        <v>57</v>
      </c>
      <c r="FG8" s="45">
        <f t="shared" si="3"/>
        <v>0.17992475472567637</v>
      </c>
      <c r="FH8" s="11"/>
      <c r="FI8" s="28">
        <v>140</v>
      </c>
      <c r="FJ8" s="28">
        <v>140.3148572500003</v>
      </c>
      <c r="FK8" s="29">
        <v>3.9039507063319197</v>
      </c>
      <c r="FL8" s="27">
        <v>8.0285363511874749E-2</v>
      </c>
      <c r="FM8" s="6">
        <v>5.678182663618489E-2</v>
      </c>
      <c r="FN8" s="6" t="s">
        <v>57</v>
      </c>
      <c r="FO8" s="11"/>
      <c r="FP8" s="37">
        <v>603</v>
      </c>
      <c r="FQ8" s="37">
        <v>604.92102608999926</v>
      </c>
      <c r="FR8" s="38">
        <v>4.070463330470611</v>
      </c>
      <c r="FS8" s="40">
        <v>3.5558552278775891E-2</v>
      </c>
      <c r="FT8" s="26">
        <v>-1.6918189538672403</v>
      </c>
      <c r="FU8" s="26" t="s">
        <v>57</v>
      </c>
      <c r="FV8" s="26"/>
      <c r="FW8" s="9">
        <v>120</v>
      </c>
      <c r="FX8" s="9">
        <v>119.90751335999995</v>
      </c>
      <c r="FY8" s="38">
        <v>4.1164659178451357</v>
      </c>
      <c r="FZ8" s="40">
        <v>7.5049634616336722E-2</v>
      </c>
      <c r="GA8" s="26">
        <v>-1.7851912320983749</v>
      </c>
      <c r="GB8" s="26" t="s">
        <v>57</v>
      </c>
      <c r="GC8" s="26"/>
      <c r="GD8" s="37">
        <v>36</v>
      </c>
      <c r="GE8" s="37">
        <v>36.03178075000001</v>
      </c>
      <c r="GF8" s="38">
        <v>4.5008941876956783</v>
      </c>
      <c r="GG8" s="40">
        <v>0.1089162147432598</v>
      </c>
      <c r="GH8" s="26">
        <v>-4.2247123802690272</v>
      </c>
      <c r="GI8" s="26" t="s">
        <v>59</v>
      </c>
      <c r="GJ8" s="26"/>
      <c r="GK8" s="37">
        <v>77</v>
      </c>
      <c r="GL8" s="37">
        <v>77.652380750000006</v>
      </c>
      <c r="GM8" s="38">
        <v>4.0652173912903526</v>
      </c>
      <c r="GN8" s="40">
        <v>8.3096516108746743E-2</v>
      </c>
      <c r="GO8" s="26">
        <v>-1.2806534002622432</v>
      </c>
      <c r="GP8" s="26" t="s">
        <v>57</v>
      </c>
      <c r="GQ8" s="26"/>
      <c r="GR8" s="37">
        <v>195</v>
      </c>
      <c r="GS8" s="37">
        <v>195.00240088000032</v>
      </c>
      <c r="GT8" s="38">
        <v>3.9384558927180322</v>
      </c>
      <c r="GU8" s="40">
        <v>6.364947649699762E-2</v>
      </c>
      <c r="GV8" s="26">
        <v>-0.25661030793155126</v>
      </c>
      <c r="GW8" s="26" t="s">
        <v>57</v>
      </c>
      <c r="GX8" s="26"/>
      <c r="GY8" s="37">
        <v>59</v>
      </c>
      <c r="GZ8" s="37">
        <v>58.950160360000076</v>
      </c>
      <c r="HA8" s="38">
        <v>4.475503758239479</v>
      </c>
      <c r="HB8" s="40">
        <v>0.11442352716322113</v>
      </c>
      <c r="HC8" s="26">
        <v>-3.9212873410147671</v>
      </c>
      <c r="HD8" s="26" t="s">
        <v>59</v>
      </c>
      <c r="HE8" s="15"/>
      <c r="HF8" s="37">
        <v>91</v>
      </c>
      <c r="HG8" s="37">
        <v>90.974220120000027</v>
      </c>
      <c r="HH8" s="38">
        <v>3.6589262540632816</v>
      </c>
      <c r="HI8" s="40">
        <v>0.11079051986283346</v>
      </c>
      <c r="HJ8" s="40"/>
      <c r="HK8" s="37">
        <v>95</v>
      </c>
      <c r="HL8" s="37">
        <v>95.039274180000064</v>
      </c>
      <c r="HM8" s="38">
        <v>3.5146980276528024</v>
      </c>
      <c r="HN8" s="40">
        <v>0.11577140229745876</v>
      </c>
      <c r="HO8" s="6">
        <v>0.90006404456348221</v>
      </c>
      <c r="HP8" s="6" t="s">
        <v>57</v>
      </c>
      <c r="HQ8" s="45">
        <f t="shared" si="4"/>
        <v>0.14422822641047928</v>
      </c>
      <c r="HR8" s="27"/>
      <c r="HS8" s="3">
        <v>68</v>
      </c>
      <c r="HT8" s="3">
        <v>68.018599360000081</v>
      </c>
      <c r="HU8" s="41">
        <v>3.7355658198016726</v>
      </c>
      <c r="HV8" s="42">
        <v>0.11965460245975403</v>
      </c>
      <c r="HW8" s="6">
        <v>-0.46998009859237566</v>
      </c>
      <c r="HX8" s="6" t="s">
        <v>57</v>
      </c>
      <c r="HY8" s="27"/>
      <c r="HZ8" s="9">
        <v>100</v>
      </c>
      <c r="IA8" s="9">
        <v>99.647734720000017</v>
      </c>
      <c r="IB8" s="10">
        <v>3.802871194962977</v>
      </c>
      <c r="IC8" s="11">
        <v>0.10742447643740727</v>
      </c>
      <c r="ID8" s="6">
        <v>-0.93277124249752208</v>
      </c>
      <c r="IE8" s="6" t="s">
        <v>57</v>
      </c>
      <c r="IF8" s="27"/>
      <c r="IG8" s="9">
        <v>749</v>
      </c>
      <c r="IH8" s="9">
        <v>752.85845276000157</v>
      </c>
      <c r="II8" s="10">
        <v>3.5829502906822666</v>
      </c>
      <c r="IJ8" s="11">
        <v>8.846982552570512E-2</v>
      </c>
      <c r="IK8" s="6">
        <v>0.53587380744515467</v>
      </c>
      <c r="IL8" s="6" t="s">
        <v>57</v>
      </c>
      <c r="IM8" s="45">
        <f t="shared" si="5"/>
        <v>7.5975963381015088E-2</v>
      </c>
      <c r="IN8" s="11"/>
      <c r="IO8" s="28">
        <v>178</v>
      </c>
      <c r="IP8" s="28">
        <v>179.08754526999974</v>
      </c>
      <c r="IQ8" s="29">
        <v>3.538568892239752</v>
      </c>
      <c r="IR8" s="27">
        <v>7.5835294706270095E-2</v>
      </c>
      <c r="IS8" s="6">
        <v>0.89645526760873029</v>
      </c>
      <c r="IT8" s="6" t="s">
        <v>57</v>
      </c>
      <c r="IU8" s="27"/>
      <c r="IV8" s="37">
        <v>629</v>
      </c>
      <c r="IW8" s="37">
        <v>632.95319849999828</v>
      </c>
      <c r="IX8" s="38">
        <v>4.1124225544615856</v>
      </c>
      <c r="IY8" s="40">
        <v>3.4746691087988113E-2</v>
      </c>
      <c r="IZ8" s="26">
        <v>-3.9056979285098858</v>
      </c>
      <c r="JA8" s="26" t="s">
        <v>59</v>
      </c>
      <c r="JB8" s="26"/>
      <c r="JC8" s="37">
        <v>120</v>
      </c>
      <c r="JD8" s="37">
        <v>119.90751335999995</v>
      </c>
      <c r="JE8" s="38">
        <v>4.1164659178451357</v>
      </c>
      <c r="JF8" s="40">
        <v>7.5049634616336722E-2</v>
      </c>
      <c r="JG8" s="26">
        <v>-3.4191447742093555</v>
      </c>
      <c r="JH8" s="26" t="s">
        <v>59</v>
      </c>
      <c r="JI8" s="26"/>
      <c r="JJ8" s="37">
        <v>94</v>
      </c>
      <c r="JK8" s="37">
        <v>94</v>
      </c>
      <c r="JL8" s="38">
        <v>4.2765957446808534</v>
      </c>
      <c r="JM8" s="40">
        <v>8.0612297806056818E-2</v>
      </c>
      <c r="JN8" s="26">
        <v>-4.5080702670805683</v>
      </c>
      <c r="JO8" s="26" t="s">
        <v>59</v>
      </c>
      <c r="JP8" s="26"/>
      <c r="JQ8" s="37">
        <v>124</v>
      </c>
      <c r="JR8" s="37">
        <v>127.89794899000005</v>
      </c>
      <c r="JS8" s="38">
        <v>4.2502390084652735</v>
      </c>
      <c r="JT8" s="40">
        <v>7.3534887797902751E-2</v>
      </c>
      <c r="JU8" s="26">
        <v>-4.4468506955215723</v>
      </c>
      <c r="JV8" s="26" t="s">
        <v>59</v>
      </c>
      <c r="JW8" s="26"/>
      <c r="JX8" s="37">
        <v>36</v>
      </c>
      <c r="JY8" s="37">
        <v>36.03178075000001</v>
      </c>
      <c r="JZ8" s="38">
        <v>4.5008941876956783</v>
      </c>
      <c r="KA8" s="40">
        <v>0.1089162147432598</v>
      </c>
      <c r="KB8" s="26">
        <v>-5.4194021259821179</v>
      </c>
      <c r="KC8" s="26" t="s">
        <v>59</v>
      </c>
      <c r="KD8" s="26"/>
      <c r="KE8" s="37">
        <v>164</v>
      </c>
      <c r="KF8" s="37">
        <v>164.14173527999966</v>
      </c>
      <c r="KG8" s="38">
        <v>4.0741361077927074</v>
      </c>
      <c r="KH8" s="40">
        <v>6.5033261748471821E-2</v>
      </c>
      <c r="KI8" s="26">
        <v>-3.2320258670129434</v>
      </c>
      <c r="KJ8" s="26" t="s">
        <v>59</v>
      </c>
      <c r="KL8" s="9"/>
      <c r="KM8" s="9"/>
      <c r="KN8" s="10"/>
      <c r="KO8" s="11"/>
    </row>
    <row r="9" spans="1:301" s="7" customFormat="1" x14ac:dyDescent="0.25">
      <c r="B9" s="5" t="s">
        <v>76</v>
      </c>
      <c r="C9" s="9">
        <v>2366</v>
      </c>
      <c r="D9" s="9">
        <v>2375.3635555700707</v>
      </c>
      <c r="E9" s="10">
        <v>3.96094349405486</v>
      </c>
      <c r="F9" s="11">
        <v>1.8442120921761024E-2</v>
      </c>
      <c r="G9" s="11"/>
      <c r="H9" s="9">
        <v>2608</v>
      </c>
      <c r="I9" s="9">
        <v>2606.0188108099319</v>
      </c>
      <c r="J9" s="10">
        <v>3.8511090880309529</v>
      </c>
      <c r="K9" s="11">
        <v>1.8239319658315697E-2</v>
      </c>
      <c r="L9" s="26">
        <v>4.2344828954421407</v>
      </c>
      <c r="M9" s="26" t="s">
        <v>59</v>
      </c>
      <c r="N9" s="45">
        <f t="shared" si="0"/>
        <v>0.10983440602390715</v>
      </c>
      <c r="O9" s="11"/>
      <c r="P9" s="3">
        <v>827</v>
      </c>
      <c r="Q9" s="3">
        <v>826.58994218001033</v>
      </c>
      <c r="R9" s="10">
        <v>3.7952188491507921</v>
      </c>
      <c r="S9" s="11">
        <v>3.3728454400164955E-2</v>
      </c>
      <c r="T9" s="26">
        <v>4.3111283608305264</v>
      </c>
      <c r="U9" s="26" t="s">
        <v>59</v>
      </c>
      <c r="V9" s="27"/>
      <c r="W9" s="9">
        <v>869</v>
      </c>
      <c r="X9" s="9">
        <v>870.88287249000416</v>
      </c>
      <c r="Y9" s="10">
        <v>3.5828245905086691</v>
      </c>
      <c r="Z9" s="11">
        <v>2.7919808093906127E-2</v>
      </c>
      <c r="AA9" s="26">
        <v>11.300342583086962</v>
      </c>
      <c r="AB9" s="26" t="s">
        <v>59</v>
      </c>
      <c r="AC9" s="26"/>
      <c r="AD9" s="9">
        <v>180</v>
      </c>
      <c r="AE9" s="9">
        <v>185.89856469999938</v>
      </c>
      <c r="AF9" s="10">
        <v>3.666554605493221</v>
      </c>
      <c r="AG9" s="11">
        <v>3.0999556078637306E-2</v>
      </c>
      <c r="AH9" s="26">
        <v>8.161475769058498</v>
      </c>
      <c r="AI9" s="26" t="s">
        <v>59</v>
      </c>
      <c r="AJ9" s="45">
        <f t="shared" si="1"/>
        <v>0.29438888856163903</v>
      </c>
      <c r="AK9" s="27"/>
      <c r="AL9" s="28">
        <v>1029</v>
      </c>
      <c r="AM9" s="28">
        <v>1041.4893216599996</v>
      </c>
      <c r="AN9" s="29">
        <v>3.5832914974027195</v>
      </c>
      <c r="AO9" s="27">
        <v>2.691589570144557E-2</v>
      </c>
      <c r="AP9" s="26">
        <v>11.57452537737041</v>
      </c>
      <c r="AQ9" s="26" t="s">
        <v>59</v>
      </c>
      <c r="AR9" s="27"/>
      <c r="AS9" s="30">
        <v>4670</v>
      </c>
      <c r="AT9" s="31">
        <v>4.078308873055966</v>
      </c>
      <c r="AU9" s="32">
        <v>1.2867496842228817E-2</v>
      </c>
      <c r="AV9" s="26">
        <v>-5.2191559127165048</v>
      </c>
      <c r="AW9" s="26" t="s">
        <v>59</v>
      </c>
      <c r="AX9" s="27"/>
      <c r="AY9" s="33">
        <v>799</v>
      </c>
      <c r="AZ9" s="34">
        <v>4.4100087511979114</v>
      </c>
      <c r="BA9" s="35">
        <v>3.2073462990818508E-2</v>
      </c>
      <c r="BB9" s="26">
        <v>-12.137701905738112</v>
      </c>
      <c r="BC9" s="26" t="s">
        <v>59</v>
      </c>
      <c r="BD9" s="35"/>
      <c r="BE9" s="33">
        <v>980</v>
      </c>
      <c r="BF9" s="34">
        <v>4.2261169773683811</v>
      </c>
      <c r="BG9" s="35">
        <v>2.901498330980715E-2</v>
      </c>
      <c r="BH9" s="26">
        <v>-7.7130266336743638</v>
      </c>
      <c r="BI9" s="26" t="s">
        <v>59</v>
      </c>
      <c r="BJ9" s="35"/>
      <c r="BK9" s="33">
        <v>1001</v>
      </c>
      <c r="BL9" s="34">
        <v>4.2811414427530794</v>
      </c>
      <c r="BM9" s="35">
        <v>3.233925044955685E-2</v>
      </c>
      <c r="BN9" s="26">
        <v>-8.6009514504126763</v>
      </c>
      <c r="BO9" s="26" t="s">
        <v>59</v>
      </c>
      <c r="BP9" s="35"/>
      <c r="BQ9" s="33">
        <v>1342</v>
      </c>
      <c r="BR9" s="34">
        <v>4.0116019130116642</v>
      </c>
      <c r="BS9" s="35">
        <v>2.7918223284975455E-2</v>
      </c>
      <c r="BT9" s="26">
        <v>-1.5140214036355828</v>
      </c>
      <c r="BU9" s="26" t="s">
        <v>57</v>
      </c>
      <c r="BV9" s="35"/>
      <c r="BW9" s="33">
        <v>1399</v>
      </c>
      <c r="BX9" s="34">
        <v>4.1417918891654057</v>
      </c>
      <c r="BY9" s="35">
        <v>2.56344793277575E-2</v>
      </c>
      <c r="BZ9" s="26">
        <v>-5.7268416177052393</v>
      </c>
      <c r="CA9" s="26" t="s">
        <v>59</v>
      </c>
      <c r="CB9" s="27"/>
      <c r="CC9" s="9">
        <v>8902</v>
      </c>
      <c r="CD9" s="9">
        <v>8961.6372243692967</v>
      </c>
      <c r="CE9" s="10">
        <v>4.1902745120850327</v>
      </c>
      <c r="CF9" s="11">
        <v>9.1892765614243772E-3</v>
      </c>
      <c r="CG9" s="26">
        <v>-11.130021655393149</v>
      </c>
      <c r="CH9" s="26" t="s">
        <v>59</v>
      </c>
      <c r="CI9" s="26"/>
      <c r="CJ9" s="9">
        <v>346</v>
      </c>
      <c r="CK9" s="9">
        <v>346</v>
      </c>
      <c r="CL9" s="10">
        <v>4.1098265895953752</v>
      </c>
      <c r="CM9" s="11">
        <v>4.2521137812733409E-2</v>
      </c>
      <c r="CN9" s="26">
        <v>-3.2122710210300323</v>
      </c>
      <c r="CO9" s="26" t="s">
        <v>59</v>
      </c>
      <c r="CP9" s="26"/>
      <c r="CQ9" s="9">
        <v>2569</v>
      </c>
      <c r="CR9" s="9">
        <v>2619.4473720899337</v>
      </c>
      <c r="CS9" s="10">
        <v>3.8920114952474432</v>
      </c>
      <c r="CT9" s="11">
        <v>1.7212702814246202E-2</v>
      </c>
      <c r="CU9" s="26">
        <v>2.7324961113937301</v>
      </c>
      <c r="CV9" s="26" t="s">
        <v>59</v>
      </c>
      <c r="CW9" s="26"/>
      <c r="CX9" s="9">
        <v>1973</v>
      </c>
      <c r="CY9" s="9">
        <v>1972.975883060034</v>
      </c>
      <c r="CZ9" s="10">
        <v>4.2012035653595206</v>
      </c>
      <c r="DA9" s="11">
        <v>1.7379292916075522E-2</v>
      </c>
      <c r="DB9" s="26">
        <v>-9.4811889449564273</v>
      </c>
      <c r="DC9" s="26" t="s">
        <v>59</v>
      </c>
      <c r="DD9" s="26"/>
      <c r="DE9" s="9">
        <v>526</v>
      </c>
      <c r="DF9" s="9">
        <v>525.85041364999643</v>
      </c>
      <c r="DG9" s="38">
        <v>4.9980879742719591</v>
      </c>
      <c r="DH9" s="39">
        <v>1.9068367151375391E-3</v>
      </c>
      <c r="DI9" s="26">
        <v>-55.939588183408311</v>
      </c>
      <c r="DJ9" s="26" t="s">
        <v>59</v>
      </c>
      <c r="DK9" s="26"/>
      <c r="DL9" s="9">
        <v>720</v>
      </c>
      <c r="DM9" s="9">
        <v>720</v>
      </c>
      <c r="DN9" s="10">
        <v>4.9986111111111109</v>
      </c>
      <c r="DO9" s="11">
        <v>1.3888888888888911E-3</v>
      </c>
      <c r="DP9" s="26">
        <v>-56.107288860515709</v>
      </c>
      <c r="DQ9" s="26" t="s">
        <v>59</v>
      </c>
      <c r="DR9" s="26"/>
      <c r="DS9" s="9">
        <v>402</v>
      </c>
      <c r="DT9" s="9">
        <v>402</v>
      </c>
      <c r="DU9" s="10">
        <v>5</v>
      </c>
      <c r="DV9" s="11">
        <v>0</v>
      </c>
      <c r="DW9" s="26">
        <v>-56.341486445796562</v>
      </c>
      <c r="DX9" s="26" t="s">
        <v>59</v>
      </c>
      <c r="DY9" s="36"/>
      <c r="DZ9" s="9">
        <v>758</v>
      </c>
      <c r="EA9" s="9">
        <v>763.17757795000011</v>
      </c>
      <c r="EB9" s="10">
        <v>3.9088185649309524</v>
      </c>
      <c r="EC9" s="11">
        <v>3.3819586555527595E-2</v>
      </c>
      <c r="ED9" s="11"/>
      <c r="EE9" s="9">
        <v>747</v>
      </c>
      <c r="EF9" s="9">
        <v>745.0347503900025</v>
      </c>
      <c r="EG9" s="10">
        <v>3.7138292849717467</v>
      </c>
      <c r="EH9" s="11">
        <v>3.5743209501469995E-2</v>
      </c>
      <c r="EI9" s="6">
        <v>3.9626226384449486</v>
      </c>
      <c r="EJ9" s="6" t="s">
        <v>59</v>
      </c>
      <c r="EK9" s="45">
        <f t="shared" si="2"/>
        <v>0.19498927995920567</v>
      </c>
      <c r="EL9" s="11"/>
      <c r="EM9" s="9">
        <v>500</v>
      </c>
      <c r="EN9" s="9">
        <v>499.55066268999752</v>
      </c>
      <c r="EO9" s="10">
        <v>3.7060624397347239</v>
      </c>
      <c r="EP9" s="11">
        <v>4.424524533180272E-2</v>
      </c>
      <c r="EQ9" s="6">
        <v>3.6407818692178413</v>
      </c>
      <c r="ER9" s="6" t="s">
        <v>59</v>
      </c>
      <c r="ES9" s="11"/>
      <c r="ET9" s="9">
        <v>509</v>
      </c>
      <c r="EU9" s="9">
        <v>510.4307379100008</v>
      </c>
      <c r="EV9" s="10">
        <v>3.741432658717998</v>
      </c>
      <c r="EW9" s="11">
        <v>4.2404238615560023E-2</v>
      </c>
      <c r="EX9" s="6">
        <v>3.0860724963217576</v>
      </c>
      <c r="EY9" s="6" t="s">
        <v>59</v>
      </c>
      <c r="EZ9" s="11"/>
      <c r="FA9" s="9">
        <v>95</v>
      </c>
      <c r="FB9" s="9">
        <v>102.1844641399998</v>
      </c>
      <c r="FC9" s="10">
        <v>3.6361732882590223</v>
      </c>
      <c r="FD9" s="11">
        <v>4.8140013470976017E-2</v>
      </c>
      <c r="FE9" s="6">
        <v>4.6342882330558837</v>
      </c>
      <c r="FF9" s="6" t="s">
        <v>59</v>
      </c>
      <c r="FG9" s="45">
        <f t="shared" si="3"/>
        <v>0.27264527667193006</v>
      </c>
      <c r="FH9" s="11"/>
      <c r="FI9" s="28">
        <v>617</v>
      </c>
      <c r="FJ9" s="28">
        <v>616.03257156999757</v>
      </c>
      <c r="FK9" s="29">
        <v>3.7264921982930317</v>
      </c>
      <c r="FL9" s="27">
        <v>3.9559727199856669E-2</v>
      </c>
      <c r="FM9" s="6">
        <v>3.5032094324404817</v>
      </c>
      <c r="FN9" s="6" t="s">
        <v>59</v>
      </c>
      <c r="FO9" s="11"/>
      <c r="FP9" s="37">
        <v>3385</v>
      </c>
      <c r="FQ9" s="37">
        <v>3391.9887904398511</v>
      </c>
      <c r="FR9" s="38">
        <v>4.1146221742671383</v>
      </c>
      <c r="FS9" s="40">
        <v>1.4614709967334863E-2</v>
      </c>
      <c r="FT9" s="26">
        <v>-5.5860702666705588</v>
      </c>
      <c r="FU9" s="26" t="s">
        <v>59</v>
      </c>
      <c r="FV9" s="26"/>
      <c r="FW9" s="9">
        <v>725</v>
      </c>
      <c r="FX9" s="9">
        <v>724.87966793999283</v>
      </c>
      <c r="FY9" s="38">
        <v>4.1779970928232482</v>
      </c>
      <c r="FZ9" s="40">
        <v>2.9482405625214508E-2</v>
      </c>
      <c r="GA9" s="26">
        <v>-5.999582673719301</v>
      </c>
      <c r="GB9" s="26" t="s">
        <v>59</v>
      </c>
      <c r="GC9" s="26"/>
      <c r="GD9" s="37">
        <v>235</v>
      </c>
      <c r="GE9" s="37">
        <v>235.00399955000069</v>
      </c>
      <c r="GF9" s="38">
        <v>4.4769271196005898</v>
      </c>
      <c r="GG9" s="40">
        <v>4.1465044535252744E-2</v>
      </c>
      <c r="GH9" s="26">
        <v>-10.617248491703736</v>
      </c>
      <c r="GI9" s="26" t="s">
        <v>59</v>
      </c>
      <c r="GJ9" s="26"/>
      <c r="GK9" s="37">
        <v>396</v>
      </c>
      <c r="GL9" s="37">
        <v>397.61877455999888</v>
      </c>
      <c r="GM9" s="38">
        <v>4.0838185346677349</v>
      </c>
      <c r="GN9" s="40">
        <v>3.714366089616998E-2</v>
      </c>
      <c r="GO9" s="26">
        <v>-3.4837224651238001</v>
      </c>
      <c r="GP9" s="26" t="s">
        <v>59</v>
      </c>
      <c r="GQ9" s="26"/>
      <c r="GR9" s="37">
        <v>954</v>
      </c>
      <c r="GS9" s="37">
        <v>954.00265220001222</v>
      </c>
      <c r="GT9" s="38">
        <v>4.0178178600665326</v>
      </c>
      <c r="GU9" s="40">
        <v>2.8658236874435188E-2</v>
      </c>
      <c r="GV9" s="26">
        <v>-2.4588718498578381</v>
      </c>
      <c r="GW9" s="26" t="s">
        <v>59</v>
      </c>
      <c r="GX9" s="26"/>
      <c r="GY9" s="37">
        <v>317</v>
      </c>
      <c r="GZ9" s="37">
        <v>317.30611824000039</v>
      </c>
      <c r="HA9" s="38">
        <v>4.5261556096240261</v>
      </c>
      <c r="HB9" s="40">
        <v>3.8321696145904235E-2</v>
      </c>
      <c r="HC9" s="26">
        <v>-12.078400175567355</v>
      </c>
      <c r="HD9" s="26" t="s">
        <v>59</v>
      </c>
      <c r="HE9" s="15"/>
      <c r="HF9" s="37">
        <v>676</v>
      </c>
      <c r="HG9" s="37">
        <v>675.89281104000486</v>
      </c>
      <c r="HH9" s="38">
        <v>3.6465731793293696</v>
      </c>
      <c r="HI9" s="40">
        <v>4.0508286583322402E-2</v>
      </c>
      <c r="HJ9" s="40"/>
      <c r="HK9" s="37">
        <v>716</v>
      </c>
      <c r="HL9" s="37">
        <v>716.11472934000744</v>
      </c>
      <c r="HM9" s="38">
        <v>3.5220847043525776</v>
      </c>
      <c r="HN9" s="40">
        <v>3.9593175718068863E-2</v>
      </c>
      <c r="HO9" s="6">
        <v>2.1977351820912241</v>
      </c>
      <c r="HP9" s="6" t="s">
        <v>59</v>
      </c>
      <c r="HQ9" s="45">
        <f t="shared" si="4"/>
        <v>0.12448847497679205</v>
      </c>
      <c r="HR9" s="27"/>
      <c r="HS9" s="3">
        <v>439</v>
      </c>
      <c r="HT9" s="3">
        <v>438.84170822999602</v>
      </c>
      <c r="HU9" s="41">
        <v>3.6064700880266201</v>
      </c>
      <c r="HV9" s="42">
        <v>5.0640327683911419E-2</v>
      </c>
      <c r="HW9" s="6">
        <v>0.61840935550529152</v>
      </c>
      <c r="HX9" s="6" t="s">
        <v>57</v>
      </c>
      <c r="HY9" s="27"/>
      <c r="HZ9" s="9">
        <v>515</v>
      </c>
      <c r="IA9" s="9">
        <v>515.79259626000351</v>
      </c>
      <c r="IB9" s="10">
        <v>3.714357252433818</v>
      </c>
      <c r="IC9" s="11">
        <v>4.3358120693202565E-2</v>
      </c>
      <c r="ID9" s="6">
        <v>-1.1423627388912547</v>
      </c>
      <c r="IE9" s="6" t="s">
        <v>57</v>
      </c>
      <c r="IF9" s="27"/>
      <c r="IG9" s="9">
        <v>130</v>
      </c>
      <c r="IH9" s="9">
        <v>128.68810178000035</v>
      </c>
      <c r="II9" s="10">
        <v>3.4889711573011377</v>
      </c>
      <c r="IJ9" s="11">
        <v>3.8544047382839661E-2</v>
      </c>
      <c r="IK9" s="6">
        <v>2.8185650551784391</v>
      </c>
      <c r="IL9" s="6" t="s">
        <v>59</v>
      </c>
      <c r="IM9" s="45">
        <f t="shared" si="5"/>
        <v>0.15760202202823193</v>
      </c>
      <c r="IN9" s="11"/>
      <c r="IO9" s="28">
        <v>1008</v>
      </c>
      <c r="IP9" s="28">
        <v>1006.5356534400024</v>
      </c>
      <c r="IQ9" s="29">
        <v>3.4233792486372168</v>
      </c>
      <c r="IR9" s="27">
        <v>3.2357932431255176E-2</v>
      </c>
      <c r="IS9" s="6">
        <v>4.3049807746323028</v>
      </c>
      <c r="IT9" s="6" t="s">
        <v>59</v>
      </c>
      <c r="IU9" s="27"/>
      <c r="IV9" s="37">
        <v>3891</v>
      </c>
      <c r="IW9" s="37">
        <v>3895.6298976199978</v>
      </c>
      <c r="IX9" s="38">
        <v>4.0782118813073538</v>
      </c>
      <c r="IY9" s="40">
        <v>1.4309715698546797E-2</v>
      </c>
      <c r="IZ9" s="26">
        <v>-10.047108378842989</v>
      </c>
      <c r="JA9" s="26" t="s">
        <v>59</v>
      </c>
      <c r="JB9" s="26"/>
      <c r="JC9" s="37">
        <v>725</v>
      </c>
      <c r="JD9" s="37">
        <v>724.87966793999283</v>
      </c>
      <c r="JE9" s="38">
        <v>4.1779970928232482</v>
      </c>
      <c r="JF9" s="40">
        <v>2.9482405625214508E-2</v>
      </c>
      <c r="JG9" s="26">
        <v>-10.60700274810071</v>
      </c>
      <c r="JH9" s="26" t="s">
        <v>59</v>
      </c>
      <c r="JI9" s="26"/>
      <c r="JJ9" s="37">
        <v>461</v>
      </c>
      <c r="JK9" s="37">
        <v>461</v>
      </c>
      <c r="JL9" s="38">
        <v>4.2277657266811239</v>
      </c>
      <c r="JM9" s="40">
        <v>3.7429212555882566E-2</v>
      </c>
      <c r="JN9" s="26">
        <v>-10.53779896964201</v>
      </c>
      <c r="JO9" s="26" t="s">
        <v>59</v>
      </c>
      <c r="JP9" s="26"/>
      <c r="JQ9" s="37">
        <v>826</v>
      </c>
      <c r="JR9" s="37">
        <v>832.45803757000772</v>
      </c>
      <c r="JS9" s="38">
        <v>4.1674584152937326</v>
      </c>
      <c r="JT9" s="40">
        <v>3.0524468265657027E-2</v>
      </c>
      <c r="JU9" s="26">
        <v>-10.269527818769522</v>
      </c>
      <c r="JV9" s="26" t="s">
        <v>59</v>
      </c>
      <c r="JW9" s="26"/>
      <c r="JX9" s="37">
        <v>235</v>
      </c>
      <c r="JY9" s="37">
        <v>235.00399955000069</v>
      </c>
      <c r="JZ9" s="38">
        <v>4.4769271196005898</v>
      </c>
      <c r="KA9" s="40">
        <v>4.1465044535252744E-2</v>
      </c>
      <c r="KB9" s="26">
        <v>-14.324388325929254</v>
      </c>
      <c r="KC9" s="26" t="s">
        <v>59</v>
      </c>
      <c r="KD9" s="26"/>
      <c r="KE9" s="37">
        <v>968</v>
      </c>
      <c r="KF9" s="37">
        <v>966.39538151998534</v>
      </c>
      <c r="KG9" s="38">
        <v>4.0600735823971945</v>
      </c>
      <c r="KH9" s="40">
        <v>2.695437017581347E-2</v>
      </c>
      <c r="KI9" s="26">
        <v>-8.4983511391178013</v>
      </c>
      <c r="KJ9" s="26" t="s">
        <v>59</v>
      </c>
      <c r="KL9" s="9"/>
      <c r="KM9" s="9"/>
      <c r="KN9" s="10"/>
      <c r="KO9" s="11"/>
    </row>
    <row r="10" spans="1:301" s="7" customFormat="1" x14ac:dyDescent="0.25">
      <c r="B10" s="5"/>
      <c r="C10" s="9"/>
      <c r="D10" s="9"/>
      <c r="E10" s="10"/>
      <c r="F10" s="11"/>
      <c r="G10" s="11"/>
      <c r="H10" s="9"/>
      <c r="I10" s="9"/>
      <c r="J10" s="10"/>
      <c r="K10" s="11"/>
      <c r="L10" s="26"/>
      <c r="M10" s="26"/>
      <c r="N10" s="45"/>
      <c r="O10" s="11"/>
      <c r="P10" s="3"/>
      <c r="Q10" s="3"/>
      <c r="R10" s="10"/>
      <c r="S10" s="11"/>
      <c r="T10" s="26"/>
      <c r="U10" s="26"/>
      <c r="V10" s="27"/>
      <c r="W10" s="9"/>
      <c r="X10" s="9"/>
      <c r="Y10" s="10"/>
      <c r="Z10" s="11"/>
      <c r="AA10" s="26"/>
      <c r="AB10" s="26"/>
      <c r="AC10" s="26"/>
      <c r="AD10" s="9"/>
      <c r="AE10" s="9"/>
      <c r="AF10" s="10"/>
      <c r="AG10" s="11"/>
      <c r="AH10" s="26"/>
      <c r="AI10" s="26"/>
      <c r="AJ10" s="45"/>
      <c r="AK10" s="27"/>
      <c r="AL10" s="28"/>
      <c r="AM10" s="28"/>
      <c r="AN10" s="29"/>
      <c r="AO10" s="27"/>
      <c r="AP10" s="26"/>
      <c r="AQ10" s="26"/>
      <c r="AR10" s="27"/>
      <c r="AS10" s="30"/>
      <c r="AT10" s="31"/>
      <c r="AU10" s="32"/>
      <c r="AV10" s="26"/>
      <c r="AW10" s="26"/>
      <c r="AX10" s="27"/>
      <c r="AY10" s="33"/>
      <c r="AZ10" s="34"/>
      <c r="BA10" s="35"/>
      <c r="BB10" s="26"/>
      <c r="BC10" s="26"/>
      <c r="BD10" s="35"/>
      <c r="BE10" s="33"/>
      <c r="BF10" s="34"/>
      <c r="BG10" s="35"/>
      <c r="BH10" s="26"/>
      <c r="BI10" s="26"/>
      <c r="BJ10" s="35"/>
      <c r="BK10" s="33"/>
      <c r="BL10" s="34"/>
      <c r="BM10" s="35"/>
      <c r="BN10" s="26"/>
      <c r="BO10" s="26"/>
      <c r="BP10" s="35"/>
      <c r="BQ10" s="33"/>
      <c r="BR10" s="34"/>
      <c r="BS10" s="35"/>
      <c r="BT10" s="26"/>
      <c r="BU10" s="26"/>
      <c r="BV10" s="35"/>
      <c r="BW10" s="33"/>
      <c r="BX10" s="34"/>
      <c r="BY10" s="35"/>
      <c r="BZ10" s="26"/>
      <c r="CA10" s="26"/>
      <c r="CB10" s="27"/>
      <c r="CC10" s="9"/>
      <c r="CD10" s="9"/>
      <c r="CE10" s="10"/>
      <c r="CF10" s="11"/>
      <c r="CG10" s="26"/>
      <c r="CH10" s="26"/>
      <c r="CI10" s="26"/>
      <c r="CJ10" s="9"/>
      <c r="CK10" s="9"/>
      <c r="CL10" s="10"/>
      <c r="CM10" s="11"/>
      <c r="CN10" s="26"/>
      <c r="CO10" s="26"/>
      <c r="CP10" s="26"/>
      <c r="CQ10" s="9"/>
      <c r="CR10" s="9"/>
      <c r="CS10" s="10"/>
      <c r="CT10" s="11"/>
      <c r="CU10" s="26"/>
      <c r="CV10" s="26"/>
      <c r="CW10" s="26"/>
      <c r="CX10" s="9"/>
      <c r="CY10" s="9"/>
      <c r="CZ10" s="10"/>
      <c r="DA10" s="11"/>
      <c r="DB10" s="26"/>
      <c r="DC10" s="26"/>
      <c r="DD10" s="26"/>
      <c r="DE10" s="9"/>
      <c r="DF10" s="9"/>
      <c r="DG10" s="38"/>
      <c r="DH10" s="39"/>
      <c r="DI10" s="26"/>
      <c r="DJ10" s="26"/>
      <c r="DK10" s="26"/>
      <c r="DL10" s="9"/>
      <c r="DM10" s="9"/>
      <c r="DN10" s="10"/>
      <c r="DO10" s="11"/>
      <c r="DP10" s="26"/>
      <c r="DQ10" s="26"/>
      <c r="DR10" s="26"/>
      <c r="DS10" s="9"/>
      <c r="DT10" s="9"/>
      <c r="DU10" s="10"/>
      <c r="DV10" s="11"/>
      <c r="DW10" s="26"/>
      <c r="DX10" s="26"/>
      <c r="DY10" s="36"/>
      <c r="DZ10" s="9"/>
      <c r="EA10" s="9"/>
      <c r="EB10" s="10"/>
      <c r="EC10" s="11"/>
      <c r="ED10" s="11"/>
      <c r="EE10" s="9"/>
      <c r="EF10" s="9"/>
      <c r="EG10" s="10"/>
      <c r="EH10" s="11"/>
      <c r="EI10" s="6"/>
      <c r="EJ10" s="6"/>
      <c r="EK10" s="45"/>
      <c r="EL10" s="11"/>
      <c r="EM10" s="9"/>
      <c r="EN10" s="9"/>
      <c r="EO10" s="10"/>
      <c r="EP10" s="11"/>
      <c r="EQ10" s="6"/>
      <c r="ER10" s="6"/>
      <c r="ES10" s="11"/>
      <c r="ET10" s="9"/>
      <c r="EU10" s="9"/>
      <c r="EV10" s="10"/>
      <c r="EW10" s="11"/>
      <c r="EX10" s="6"/>
      <c r="EY10" s="6"/>
      <c r="EZ10" s="11"/>
      <c r="FA10" s="9"/>
      <c r="FB10" s="9"/>
      <c r="FC10" s="10"/>
      <c r="FD10" s="11"/>
      <c r="FE10" s="6"/>
      <c r="FF10" s="6"/>
      <c r="FG10" s="45"/>
      <c r="FH10" s="11"/>
      <c r="FI10" s="28"/>
      <c r="FJ10" s="28"/>
      <c r="FK10" s="29"/>
      <c r="FL10" s="27"/>
      <c r="FM10" s="6"/>
      <c r="FN10" s="6"/>
      <c r="FO10" s="11"/>
      <c r="FP10" s="37"/>
      <c r="FQ10" s="37"/>
      <c r="FR10" s="38"/>
      <c r="FS10" s="40"/>
      <c r="FT10" s="26"/>
      <c r="FU10" s="26"/>
      <c r="FV10" s="26"/>
      <c r="FW10" s="9"/>
      <c r="FX10" s="9"/>
      <c r="FY10" s="38"/>
      <c r="FZ10" s="40"/>
      <c r="GA10" s="26"/>
      <c r="GB10" s="26"/>
      <c r="GC10" s="26"/>
      <c r="GD10" s="37"/>
      <c r="GE10" s="37"/>
      <c r="GF10" s="38"/>
      <c r="GG10" s="40"/>
      <c r="GH10" s="26"/>
      <c r="GI10" s="26"/>
      <c r="GJ10" s="26"/>
      <c r="GK10" s="37"/>
      <c r="GL10" s="37"/>
      <c r="GM10" s="38"/>
      <c r="GN10" s="40"/>
      <c r="GO10" s="26"/>
      <c r="GP10" s="26"/>
      <c r="GQ10" s="26"/>
      <c r="GR10" s="37"/>
      <c r="GS10" s="37"/>
      <c r="GT10" s="38"/>
      <c r="GU10" s="40"/>
      <c r="GV10" s="26"/>
      <c r="GW10" s="26"/>
      <c r="GX10" s="26"/>
      <c r="GY10" s="37"/>
      <c r="GZ10" s="37"/>
      <c r="HA10" s="38"/>
      <c r="HB10" s="40"/>
      <c r="HC10" s="26"/>
      <c r="HD10" s="26"/>
      <c r="HE10" s="15"/>
      <c r="HF10" s="37"/>
      <c r="HG10" s="37"/>
      <c r="HH10" s="38"/>
      <c r="HI10" s="40"/>
      <c r="HJ10" s="40"/>
      <c r="HK10" s="37"/>
      <c r="HL10" s="37"/>
      <c r="HM10" s="38"/>
      <c r="HN10" s="40"/>
      <c r="HO10" s="6"/>
      <c r="HP10" s="6"/>
      <c r="HQ10" s="45"/>
      <c r="HR10" s="27"/>
      <c r="HS10" s="3"/>
      <c r="HT10" s="3"/>
      <c r="HU10" s="41"/>
      <c r="HV10" s="42"/>
      <c r="HW10" s="6"/>
      <c r="HX10" s="6"/>
      <c r="HY10" s="27"/>
      <c r="HZ10" s="9"/>
      <c r="IA10" s="9"/>
      <c r="IB10" s="10"/>
      <c r="IC10" s="11"/>
      <c r="ID10" s="6"/>
      <c r="IE10" s="6"/>
      <c r="IF10" s="27"/>
      <c r="IG10" s="9"/>
      <c r="IH10" s="9"/>
      <c r="II10" s="10"/>
      <c r="IJ10" s="11"/>
      <c r="IK10" s="6"/>
      <c r="IL10" s="6"/>
      <c r="IM10" s="45"/>
      <c r="IN10" s="11"/>
      <c r="IO10" s="28"/>
      <c r="IP10" s="28"/>
      <c r="IQ10" s="29"/>
      <c r="IR10" s="27"/>
      <c r="IS10" s="6"/>
      <c r="IT10" s="6"/>
      <c r="IU10" s="27"/>
      <c r="IV10" s="37"/>
      <c r="IW10" s="37"/>
      <c r="IX10" s="38"/>
      <c r="IY10" s="40"/>
      <c r="IZ10" s="26"/>
      <c r="JA10" s="26"/>
      <c r="JB10" s="26"/>
      <c r="JC10" s="37"/>
      <c r="JD10" s="37"/>
      <c r="JE10" s="38"/>
      <c r="JF10" s="40"/>
      <c r="JG10" s="26"/>
      <c r="JH10" s="26"/>
      <c r="JI10" s="26"/>
      <c r="JJ10" s="37"/>
      <c r="JK10" s="37"/>
      <c r="JL10" s="38"/>
      <c r="JM10" s="40"/>
      <c r="JN10" s="26"/>
      <c r="JO10" s="26"/>
      <c r="JP10" s="26"/>
      <c r="JQ10" s="37"/>
      <c r="JR10" s="37"/>
      <c r="JS10" s="38"/>
      <c r="JT10" s="40"/>
      <c r="JU10" s="26"/>
      <c r="JV10" s="26"/>
      <c r="JW10" s="26"/>
      <c r="JX10" s="37"/>
      <c r="JY10" s="37"/>
      <c r="JZ10" s="38"/>
      <c r="KA10" s="40"/>
      <c r="KB10" s="26"/>
      <c r="KC10" s="26"/>
      <c r="KD10" s="26"/>
      <c r="KE10" s="37"/>
      <c r="KF10" s="37"/>
      <c r="KG10" s="38"/>
      <c r="KH10" s="40"/>
      <c r="KI10" s="26"/>
      <c r="KJ10" s="26"/>
      <c r="KL10" s="9"/>
      <c r="KM10" s="9"/>
      <c r="KN10" s="10"/>
      <c r="KO10" s="11"/>
    </row>
    <row r="11" spans="1:301" s="7" customFormat="1" x14ac:dyDescent="0.25">
      <c r="A11" s="14"/>
      <c r="B11" s="5" t="s">
        <v>7</v>
      </c>
      <c r="C11" s="9">
        <v>1660</v>
      </c>
      <c r="D11" s="9">
        <v>1663.086887980048</v>
      </c>
      <c r="E11" s="10">
        <v>3.8397853637438986</v>
      </c>
      <c r="F11" s="11">
        <v>2.5425660670142732E-2</v>
      </c>
      <c r="G11" s="11"/>
      <c r="H11" s="9">
        <v>1630</v>
      </c>
      <c r="I11" s="9">
        <v>1628.1204420199754</v>
      </c>
      <c r="J11" s="10">
        <v>3.736662636218695</v>
      </c>
      <c r="K11" s="11">
        <v>2.6643477567418253E-2</v>
      </c>
      <c r="L11" s="26">
        <v>2.8000787628847532</v>
      </c>
      <c r="M11" s="26" t="s">
        <v>59</v>
      </c>
      <c r="N11" s="45">
        <f t="shared" ref="N11:N14" si="6">E11-J11</f>
        <v>0.10312272752520357</v>
      </c>
      <c r="O11" s="11"/>
      <c r="P11" s="3">
        <v>477</v>
      </c>
      <c r="Q11" s="3">
        <v>476.87953913999797</v>
      </c>
      <c r="R11" s="10">
        <v>3.7084505812710447</v>
      </c>
      <c r="S11" s="11">
        <v>4.9343816035184319E-2</v>
      </c>
      <c r="T11" s="26">
        <v>2.365998310642516</v>
      </c>
      <c r="U11" s="26" t="s">
        <v>59</v>
      </c>
      <c r="V11" s="27"/>
      <c r="W11" s="9">
        <v>311</v>
      </c>
      <c r="X11" s="9">
        <v>311.71607990999917</v>
      </c>
      <c r="Y11" s="10">
        <v>3.6876379192625777</v>
      </c>
      <c r="Z11" s="11">
        <v>5.8858236653570949E-2</v>
      </c>
      <c r="AA11" s="26">
        <v>2.373033120468607</v>
      </c>
      <c r="AB11" s="26" t="s">
        <v>59</v>
      </c>
      <c r="AC11" s="26"/>
      <c r="AD11" s="9">
        <v>710</v>
      </c>
      <c r="AE11" s="9">
        <v>711.11281648000727</v>
      </c>
      <c r="AF11" s="10">
        <v>3.6707749244515413</v>
      </c>
      <c r="AG11" s="11">
        <v>4.638979510229186E-2</v>
      </c>
      <c r="AH11" s="26">
        <v>3.1948659116308873</v>
      </c>
      <c r="AI11" s="26" t="s">
        <v>59</v>
      </c>
      <c r="AJ11" s="45">
        <f t="shared" ref="AJ11:AJ14" si="7">E11-AF11</f>
        <v>0.16901043929235726</v>
      </c>
      <c r="AK11" s="27"/>
      <c r="AL11" s="28">
        <v>432</v>
      </c>
      <c r="AM11" s="28">
        <v>437.21993591999666</v>
      </c>
      <c r="AN11" s="29">
        <v>3.6370391864083778</v>
      </c>
      <c r="AO11" s="27">
        <v>4.8472237133230768E-2</v>
      </c>
      <c r="AP11" s="26">
        <v>3.7040784486634006</v>
      </c>
      <c r="AQ11" s="26" t="s">
        <v>59</v>
      </c>
      <c r="AR11" s="27"/>
      <c r="AS11" s="30">
        <v>2639</v>
      </c>
      <c r="AT11" s="31">
        <v>3.9012244740569071</v>
      </c>
      <c r="AU11" s="32">
        <v>2.1494201375349166E-2</v>
      </c>
      <c r="AV11" s="26">
        <v>-1.8453720681056416</v>
      </c>
      <c r="AW11" s="26" t="s">
        <v>57</v>
      </c>
      <c r="AX11" s="27"/>
      <c r="AY11" s="33">
        <v>249</v>
      </c>
      <c r="AZ11" s="34">
        <v>4.3296767690942719</v>
      </c>
      <c r="BA11" s="35">
        <v>5.848996580169176E-2</v>
      </c>
      <c r="BB11" s="26">
        <v>-7.6812851386792103</v>
      </c>
      <c r="BC11" s="26" t="s">
        <v>59</v>
      </c>
      <c r="BD11" s="35"/>
      <c r="BE11" s="33">
        <v>409</v>
      </c>
      <c r="BF11" s="34">
        <v>4.2450462975880621</v>
      </c>
      <c r="BG11" s="35">
        <v>4.2111098795852932E-2</v>
      </c>
      <c r="BH11" s="26">
        <v>-8.2384253222164574</v>
      </c>
      <c r="BI11" s="26" t="s">
        <v>59</v>
      </c>
      <c r="BJ11" s="35"/>
      <c r="BK11" s="33">
        <v>281</v>
      </c>
      <c r="BL11" s="34">
        <v>4.2174154370004731</v>
      </c>
      <c r="BM11" s="35">
        <v>5.4312282242542517E-2</v>
      </c>
      <c r="BN11" s="26">
        <v>-6.2970816919787218</v>
      </c>
      <c r="BO11" s="26" t="s">
        <v>59</v>
      </c>
      <c r="BP11" s="35"/>
      <c r="BQ11" s="33">
        <v>643</v>
      </c>
      <c r="BR11" s="34">
        <v>4.1072845496553478</v>
      </c>
      <c r="BS11" s="35">
        <v>3.6088356962674296E-2</v>
      </c>
      <c r="BT11" s="26">
        <v>-6.0594760175782962</v>
      </c>
      <c r="BU11" s="26" t="s">
        <v>59</v>
      </c>
      <c r="BV11" s="35"/>
      <c r="BW11" s="33">
        <v>693</v>
      </c>
      <c r="BX11" s="34">
        <v>4.0911024740845372</v>
      </c>
      <c r="BY11" s="35">
        <v>3.4918612320390445E-2</v>
      </c>
      <c r="BZ11" s="26">
        <v>-5.8182526132746748</v>
      </c>
      <c r="CA11" s="26" t="s">
        <v>59</v>
      </c>
      <c r="CB11" s="27"/>
      <c r="CC11" s="9">
        <v>6779</v>
      </c>
      <c r="CD11" s="9">
        <v>6822.6248507693672</v>
      </c>
      <c r="CE11" s="10">
        <v>4.0652344085062468</v>
      </c>
      <c r="CF11" s="11">
        <v>1.287434072390376E-2</v>
      </c>
      <c r="CG11" s="26">
        <v>-7.9106736111898126</v>
      </c>
      <c r="CH11" s="26" t="s">
        <v>59</v>
      </c>
      <c r="CI11" s="26"/>
      <c r="CJ11" s="9">
        <v>295</v>
      </c>
      <c r="CK11" s="9">
        <v>295</v>
      </c>
      <c r="CL11" s="10">
        <v>4.2440677966101683</v>
      </c>
      <c r="CM11" s="11">
        <v>4.9256798508286348E-2</v>
      </c>
      <c r="CN11" s="26">
        <v>-7.2933162101666511</v>
      </c>
      <c r="CO11" s="26" t="s">
        <v>59</v>
      </c>
      <c r="CP11" s="26"/>
      <c r="CQ11" s="9">
        <v>1756</v>
      </c>
      <c r="CR11" s="9">
        <v>1793.9229145599941</v>
      </c>
      <c r="CS11" s="10">
        <v>3.5535178507397323</v>
      </c>
      <c r="CT11" s="11">
        <v>2.7976658971830583E-2</v>
      </c>
      <c r="CU11" s="26">
        <v>7.5723729102688786</v>
      </c>
      <c r="CV11" s="26" t="s">
        <v>59</v>
      </c>
      <c r="CW11" s="26"/>
      <c r="CX11" s="9">
        <v>1552</v>
      </c>
      <c r="CY11" s="9">
        <v>1551.9388043900083</v>
      </c>
      <c r="CZ11" s="10">
        <v>4.0180491738983255</v>
      </c>
      <c r="DA11" s="11">
        <v>2.3852516536632815E-2</v>
      </c>
      <c r="DB11" s="26">
        <v>-5.113312789036236</v>
      </c>
      <c r="DC11" s="26" t="s">
        <v>59</v>
      </c>
      <c r="DD11" s="26"/>
      <c r="DE11" s="9">
        <v>492</v>
      </c>
      <c r="DF11" s="9">
        <v>494.67624383999674</v>
      </c>
      <c r="DG11" s="10">
        <v>4.9207317073170787</v>
      </c>
      <c r="DH11" s="11">
        <v>1.5705099404417024E-2</v>
      </c>
      <c r="DI11" s="26">
        <v>-36.170174066974262</v>
      </c>
      <c r="DJ11" s="26" t="s">
        <v>59</v>
      </c>
      <c r="DK11" s="26"/>
      <c r="DL11" s="9">
        <v>711</v>
      </c>
      <c r="DM11" s="9">
        <v>711</v>
      </c>
      <c r="DN11" s="10">
        <v>4.9071729957805887</v>
      </c>
      <c r="DO11" s="11">
        <v>1.1248538593696818E-2</v>
      </c>
      <c r="DP11" s="26">
        <v>-38.391417667804035</v>
      </c>
      <c r="DQ11" s="26" t="s">
        <v>59</v>
      </c>
      <c r="DR11" s="26"/>
      <c r="DS11" s="9">
        <v>313</v>
      </c>
      <c r="DT11" s="9">
        <v>313</v>
      </c>
      <c r="DU11" s="10">
        <v>4.9968051118210832</v>
      </c>
      <c r="DV11" s="11">
        <v>3.1948881789137392E-3</v>
      </c>
      <c r="DW11" s="26">
        <v>-45.150927625976678</v>
      </c>
      <c r="DX11" s="26" t="s">
        <v>59</v>
      </c>
      <c r="DY11" s="36"/>
      <c r="DZ11" s="9">
        <v>515</v>
      </c>
      <c r="EA11" s="9">
        <v>516.10807467999598</v>
      </c>
      <c r="EB11" s="10">
        <v>3.7490748766132036</v>
      </c>
      <c r="EC11" s="11">
        <v>4.393637511135793E-2</v>
      </c>
      <c r="ED11" s="11"/>
      <c r="EE11" s="9">
        <v>512</v>
      </c>
      <c r="EF11" s="9">
        <v>512.94848543999888</v>
      </c>
      <c r="EG11" s="10">
        <v>3.801217418601917</v>
      </c>
      <c r="EH11" s="11">
        <v>4.4534918259070098E-2</v>
      </c>
      <c r="EI11" s="6">
        <v>-0.83347942286878296</v>
      </c>
      <c r="EJ11" s="6" t="s">
        <v>57</v>
      </c>
      <c r="EK11" s="45">
        <f t="shared" ref="EK11:EK14" si="8">EB11-EG11</f>
        <v>-5.2142541988713376E-2</v>
      </c>
      <c r="EL11" s="11"/>
      <c r="EM11" s="9">
        <v>326</v>
      </c>
      <c r="EN11" s="9">
        <v>325.79336934000014</v>
      </c>
      <c r="EO11" s="10">
        <v>3.7330523489591401</v>
      </c>
      <c r="EP11" s="11">
        <v>5.6164716431093033E-2</v>
      </c>
      <c r="EQ11" s="6">
        <v>0.22469357663596146</v>
      </c>
      <c r="ER11" s="6" t="s">
        <v>57</v>
      </c>
      <c r="ES11" s="11"/>
      <c r="ET11" s="9">
        <v>347</v>
      </c>
      <c r="EU11" s="9">
        <v>348.88243705000104</v>
      </c>
      <c r="EV11" s="10">
        <v>3.8271643129993387</v>
      </c>
      <c r="EW11" s="11">
        <v>5.2645818685266639E-2</v>
      </c>
      <c r="EX11" s="6">
        <v>-1.1388107634054137</v>
      </c>
      <c r="EY11" s="6" t="s">
        <v>57</v>
      </c>
      <c r="EZ11" s="11"/>
      <c r="FA11" s="9">
        <v>403</v>
      </c>
      <c r="FB11" s="9">
        <v>406.83893415000222</v>
      </c>
      <c r="FC11" s="10">
        <v>3.7803028026755858</v>
      </c>
      <c r="FD11" s="11">
        <v>5.6709750586570087E-2</v>
      </c>
      <c r="FE11" s="6">
        <v>-0.43530267557181845</v>
      </c>
      <c r="FF11" s="6" t="s">
        <v>57</v>
      </c>
      <c r="FG11" s="45">
        <f t="shared" ref="FG11:FG14" si="9">EB11-FC11</f>
        <v>-3.1227926062382227E-2</v>
      </c>
      <c r="FH11" s="11"/>
      <c r="FI11" s="28">
        <v>357</v>
      </c>
      <c r="FJ11" s="28">
        <v>357.01714302000033</v>
      </c>
      <c r="FK11" s="29">
        <v>3.8007122506551054</v>
      </c>
      <c r="FL11" s="27">
        <v>5.103008773768733E-2</v>
      </c>
      <c r="FM11" s="6">
        <v>-0.76683274008134694</v>
      </c>
      <c r="FN11" s="6" t="s">
        <v>57</v>
      </c>
      <c r="FO11" s="11"/>
      <c r="FP11" s="37">
        <v>2592</v>
      </c>
      <c r="FQ11" s="37">
        <v>2591.4909090599149</v>
      </c>
      <c r="FR11" s="10">
        <v>3.9786859005613602</v>
      </c>
      <c r="FS11" s="11">
        <v>1.9286136797090618E-2</v>
      </c>
      <c r="FT11" s="26">
        <v>-4.7852662560981027</v>
      </c>
      <c r="FU11" s="26" t="s">
        <v>59</v>
      </c>
      <c r="FV11" s="26"/>
      <c r="FW11" s="9">
        <v>722</v>
      </c>
      <c r="FX11" s="9">
        <v>722.02850931999262</v>
      </c>
      <c r="FY11" s="10">
        <v>4.07628622924027</v>
      </c>
      <c r="FZ11" s="11">
        <v>3.2877036175112638E-2</v>
      </c>
      <c r="GA11" s="26">
        <v>-5.9628106962883347</v>
      </c>
      <c r="GB11" s="26" t="s">
        <v>59</v>
      </c>
      <c r="GC11" s="26"/>
      <c r="GD11" s="37">
        <v>152</v>
      </c>
      <c r="GE11" s="37">
        <v>152.05304080000036</v>
      </c>
      <c r="GF11" s="10">
        <v>4.3290365870802088</v>
      </c>
      <c r="GG11" s="11">
        <v>6.5831175704463021E-2</v>
      </c>
      <c r="GH11" s="26">
        <v>-7.3277102950873347</v>
      </c>
      <c r="GI11" s="26" t="s">
        <v>59</v>
      </c>
      <c r="GJ11" s="26"/>
      <c r="GK11" s="37">
        <v>392</v>
      </c>
      <c r="GL11" s="37">
        <v>390.19115569999951</v>
      </c>
      <c r="GM11" s="10">
        <v>3.68022249682683</v>
      </c>
      <c r="GN11" s="11">
        <v>5.439423019922586E-2</v>
      </c>
      <c r="GO11" s="26">
        <v>0.98469750429359937</v>
      </c>
      <c r="GP11" s="26" t="s">
        <v>57</v>
      </c>
      <c r="GQ11" s="26"/>
      <c r="GR11" s="37">
        <v>640</v>
      </c>
      <c r="GS11" s="37">
        <v>639.9964945200004</v>
      </c>
      <c r="GT11" s="10">
        <v>4.1062511519082561</v>
      </c>
      <c r="GU11" s="11">
        <v>3.8518794867791209E-2</v>
      </c>
      <c r="GV11" s="26">
        <v>-6.1128581619964732</v>
      </c>
      <c r="GW11" s="26" t="s">
        <v>59</v>
      </c>
      <c r="GX11" s="26"/>
      <c r="GY11" s="37">
        <v>171</v>
      </c>
      <c r="GZ11" s="37">
        <v>171.11363404000033</v>
      </c>
      <c r="HA11" s="10">
        <v>4.1515445003870255</v>
      </c>
      <c r="HB11" s="11">
        <v>7.4704521290144099E-2</v>
      </c>
      <c r="HC11" s="26">
        <v>-4.6438618970205212</v>
      </c>
      <c r="HD11" s="26" t="s">
        <v>59</v>
      </c>
      <c r="HE11" s="15"/>
      <c r="HF11" s="37">
        <v>677</v>
      </c>
      <c r="HG11" s="37">
        <v>676.96752276000507</v>
      </c>
      <c r="HH11" s="10">
        <v>3.5344917152373889</v>
      </c>
      <c r="HI11" s="11">
        <v>4.6242922731554961E-2</v>
      </c>
      <c r="HJ11" s="11"/>
      <c r="HK11" s="37">
        <v>661</v>
      </c>
      <c r="HL11" s="37">
        <v>660.90292947000603</v>
      </c>
      <c r="HM11" s="10">
        <v>3.4416323604195016</v>
      </c>
      <c r="HN11" s="11">
        <v>4.756611540015742E-2</v>
      </c>
      <c r="HO11" s="6">
        <v>1.3997574199947369</v>
      </c>
      <c r="HP11" s="6" t="s">
        <v>57</v>
      </c>
      <c r="HQ11" s="45">
        <f t="shared" ref="HQ11:HQ14" si="10">HH11-HM11</f>
        <v>9.2859354817887318E-2</v>
      </c>
      <c r="HR11" s="27"/>
      <c r="HS11" s="3">
        <v>474</v>
      </c>
      <c r="HT11" s="3">
        <v>473.91134402999506</v>
      </c>
      <c r="HU11" s="29">
        <v>3.3752641392748353</v>
      </c>
      <c r="HV11" s="27">
        <v>5.665547523677366E-2</v>
      </c>
      <c r="HW11" s="6">
        <v>2.1772705690788094</v>
      </c>
      <c r="HX11" s="6" t="s">
        <v>59</v>
      </c>
      <c r="HY11" s="27"/>
      <c r="HZ11" s="9">
        <v>505</v>
      </c>
      <c r="IA11" s="9">
        <v>504.7787598500035</v>
      </c>
      <c r="IB11" s="10">
        <v>3.5908223176993879</v>
      </c>
      <c r="IC11" s="11">
        <v>5.0833433730821706E-2</v>
      </c>
      <c r="ID11" s="6">
        <v>-0.81971126025605445</v>
      </c>
      <c r="IE11" s="6" t="s">
        <v>57</v>
      </c>
      <c r="IF11" s="27"/>
      <c r="IG11" s="9">
        <v>749</v>
      </c>
      <c r="IH11" s="9">
        <v>752.85845276000157</v>
      </c>
      <c r="II11" s="10">
        <v>3.2094658181634221</v>
      </c>
      <c r="IJ11" s="11">
        <v>4.0033010477529621E-2</v>
      </c>
      <c r="IK11" s="6">
        <v>5.313995950316154</v>
      </c>
      <c r="IL11" s="6" t="s">
        <v>59</v>
      </c>
      <c r="IM11" s="45">
        <f t="shared" ref="IM11:IM14" si="11">HH11-II11</f>
        <v>0.32502589707396679</v>
      </c>
      <c r="IN11" s="11"/>
      <c r="IO11" s="28">
        <v>941</v>
      </c>
      <c r="IP11" s="28">
        <v>946.19001057000173</v>
      </c>
      <c r="IQ11" s="29">
        <v>3.2986522619487011</v>
      </c>
      <c r="IR11" s="27">
        <v>3.9874896725234248E-2</v>
      </c>
      <c r="IS11" s="6">
        <v>3.8623739487804625</v>
      </c>
      <c r="IT11" s="6" t="s">
        <v>59</v>
      </c>
      <c r="IU11" s="27"/>
      <c r="IV11" s="37">
        <v>2866</v>
      </c>
      <c r="IW11" s="37">
        <v>2855.2709685899104</v>
      </c>
      <c r="IX11" s="10">
        <v>3.9730398143129584</v>
      </c>
      <c r="IY11" s="11">
        <v>1.9106372365116024E-2</v>
      </c>
      <c r="IZ11" s="26">
        <v>-8.7648963744545938</v>
      </c>
      <c r="JA11" s="26" t="s">
        <v>59</v>
      </c>
      <c r="JB11" s="26"/>
      <c r="JC11" s="37">
        <v>722</v>
      </c>
      <c r="JD11" s="37">
        <v>722.02850931999262</v>
      </c>
      <c r="JE11" s="10">
        <v>4.07628622924027</v>
      </c>
      <c r="JF11" s="11">
        <v>3.2877036175112638E-2</v>
      </c>
      <c r="JG11" s="26">
        <v>-9.5489007328761115</v>
      </c>
      <c r="JH11" s="26" t="s">
        <v>59</v>
      </c>
      <c r="JI11" s="26"/>
      <c r="JJ11" s="37">
        <v>308</v>
      </c>
      <c r="JK11" s="37">
        <v>308</v>
      </c>
      <c r="JL11" s="10">
        <v>4.1753246753246707</v>
      </c>
      <c r="JM11" s="11">
        <v>5.4468701223423496E-2</v>
      </c>
      <c r="JN11" s="26">
        <v>-8.9688435419386892</v>
      </c>
      <c r="JO11" s="26" t="s">
        <v>59</v>
      </c>
      <c r="JP11" s="26"/>
      <c r="JQ11" s="37">
        <v>512</v>
      </c>
      <c r="JR11" s="37">
        <v>500.70623897000428</v>
      </c>
      <c r="JS11" s="10">
        <v>4.0847380261673658</v>
      </c>
      <c r="JT11" s="11">
        <v>4.4546186645617741E-2</v>
      </c>
      <c r="JU11" s="26">
        <v>-8.5696394817368073</v>
      </c>
      <c r="JV11" s="26" t="s">
        <v>59</v>
      </c>
      <c r="JW11" s="26"/>
      <c r="JX11" s="37">
        <v>152</v>
      </c>
      <c r="JY11" s="37">
        <v>152.05304080000036</v>
      </c>
      <c r="JZ11" s="10">
        <v>4.3290365870802088</v>
      </c>
      <c r="KA11" s="11">
        <v>6.5831175704463021E-2</v>
      </c>
      <c r="KB11" s="26">
        <v>-9.8762957903238053</v>
      </c>
      <c r="KC11" s="26" t="s">
        <v>59</v>
      </c>
      <c r="KD11" s="26"/>
      <c r="KE11" s="37">
        <v>495</v>
      </c>
      <c r="KF11" s="37">
        <v>495.5156567400021</v>
      </c>
      <c r="KG11" s="10">
        <v>4.0738920153217526</v>
      </c>
      <c r="KH11" s="11">
        <v>3.9181632040437515E-2</v>
      </c>
      <c r="KI11" s="26">
        <v>-8.8994827644617729</v>
      </c>
      <c r="KJ11" s="26" t="s">
        <v>59</v>
      </c>
      <c r="KL11" s="9"/>
      <c r="KM11" s="9"/>
      <c r="KN11" s="10"/>
      <c r="KO11" s="11"/>
    </row>
    <row r="12" spans="1:301" s="7" customFormat="1" x14ac:dyDescent="0.25">
      <c r="B12" s="5" t="s">
        <v>8</v>
      </c>
      <c r="C12" s="9">
        <v>287</v>
      </c>
      <c r="D12" s="9">
        <v>290.38021130000016</v>
      </c>
      <c r="E12" s="10">
        <v>3.6899934584488667</v>
      </c>
      <c r="F12" s="11">
        <v>6.3409857135699105E-2</v>
      </c>
      <c r="G12" s="11"/>
      <c r="H12" s="9">
        <v>335</v>
      </c>
      <c r="I12" s="9">
        <v>332.50774159999918</v>
      </c>
      <c r="J12" s="10">
        <v>3.584891158967233</v>
      </c>
      <c r="K12" s="11">
        <v>5.9212677603141389E-2</v>
      </c>
      <c r="L12" s="26">
        <v>1.2114421176652037</v>
      </c>
      <c r="M12" s="26" t="s">
        <v>57</v>
      </c>
      <c r="N12" s="45">
        <f t="shared" si="6"/>
        <v>0.10510229948163374</v>
      </c>
      <c r="O12" s="11"/>
      <c r="P12" s="3">
        <v>108</v>
      </c>
      <c r="Q12" s="3">
        <v>107.89066499999988</v>
      </c>
      <c r="R12" s="10">
        <v>3.6668727577126345</v>
      </c>
      <c r="S12" s="11">
        <v>0.11400502500111732</v>
      </c>
      <c r="T12" s="26">
        <v>0.17723410559129568</v>
      </c>
      <c r="U12" s="26" t="s">
        <v>57</v>
      </c>
      <c r="V12" s="27"/>
      <c r="W12" s="9">
        <v>37</v>
      </c>
      <c r="X12" s="9">
        <v>36.867355050000008</v>
      </c>
      <c r="Y12" s="10">
        <v>3.6120349919162424</v>
      </c>
      <c r="Z12" s="11">
        <v>0.19620381160227882</v>
      </c>
      <c r="AA12" s="26">
        <v>0.37807963081885543</v>
      </c>
      <c r="AB12" s="26" t="s">
        <v>57</v>
      </c>
      <c r="AC12" s="26"/>
      <c r="AD12" s="9">
        <v>56</v>
      </c>
      <c r="AE12" s="9">
        <v>55.78091019</v>
      </c>
      <c r="AF12" s="10">
        <v>3.7487252470019259</v>
      </c>
      <c r="AG12" s="11">
        <v>0.12932876512706878</v>
      </c>
      <c r="AH12" s="26">
        <v>-0.40775406556375182</v>
      </c>
      <c r="AI12" s="26" t="s">
        <v>57</v>
      </c>
      <c r="AJ12" s="45">
        <f t="shared" si="7"/>
        <v>-5.8731788553059161E-2</v>
      </c>
      <c r="AK12" s="27"/>
      <c r="AL12" s="28">
        <v>59</v>
      </c>
      <c r="AM12" s="28">
        <v>62.331949780000024</v>
      </c>
      <c r="AN12" s="29">
        <v>3.624753518178812</v>
      </c>
      <c r="AO12" s="27">
        <v>0.13621909790713937</v>
      </c>
      <c r="AP12" s="26">
        <v>0.43419588489586047</v>
      </c>
      <c r="AQ12" s="26" t="s">
        <v>57</v>
      </c>
      <c r="AR12" s="27"/>
      <c r="AS12" s="30">
        <v>697</v>
      </c>
      <c r="AT12" s="31">
        <v>3.7462148813153875</v>
      </c>
      <c r="AU12" s="32">
        <v>4.2642655468130092E-2</v>
      </c>
      <c r="AV12" s="26">
        <v>-0.73574095624468006</v>
      </c>
      <c r="AW12" s="26" t="s">
        <v>57</v>
      </c>
      <c r="AX12" s="27"/>
      <c r="AY12" s="33">
        <v>64</v>
      </c>
      <c r="AZ12" s="34">
        <v>4.0411634999498895</v>
      </c>
      <c r="BA12" s="35">
        <v>0.1417851661341783</v>
      </c>
      <c r="BB12" s="26">
        <v>-2.260966925758412</v>
      </c>
      <c r="BC12" s="26" t="s">
        <v>59</v>
      </c>
      <c r="BD12" s="35"/>
      <c r="BE12" s="33">
        <v>150</v>
      </c>
      <c r="BF12" s="34">
        <v>3.9327641564839659</v>
      </c>
      <c r="BG12" s="35">
        <v>7.3578221515611095E-2</v>
      </c>
      <c r="BH12" s="26">
        <v>-2.4993975186514312</v>
      </c>
      <c r="BI12" s="26" t="s">
        <v>59</v>
      </c>
      <c r="BJ12" s="35"/>
      <c r="BK12" s="33">
        <v>113</v>
      </c>
      <c r="BL12" s="34">
        <v>4.2230548352655326</v>
      </c>
      <c r="BM12" s="35">
        <v>8.0153394636670289E-2</v>
      </c>
      <c r="BN12" s="26">
        <v>-5.2157307539322195</v>
      </c>
      <c r="BO12" s="26" t="s">
        <v>59</v>
      </c>
      <c r="BP12" s="35"/>
      <c r="BQ12" s="33">
        <v>148</v>
      </c>
      <c r="BR12" s="34">
        <v>3.7229244293574704</v>
      </c>
      <c r="BS12" s="35">
        <v>8.1256254106845283E-2</v>
      </c>
      <c r="BT12" s="26">
        <v>-0.31950157019606817</v>
      </c>
      <c r="BU12" s="26" t="s">
        <v>57</v>
      </c>
      <c r="BV12" s="35"/>
      <c r="BW12" s="33">
        <v>143</v>
      </c>
      <c r="BX12" s="34">
        <v>3.7048947539855859</v>
      </c>
      <c r="BY12" s="35">
        <v>8.9351110734404188E-2</v>
      </c>
      <c r="BZ12" s="26">
        <v>-0.13600448767599496</v>
      </c>
      <c r="CA12" s="26" t="s">
        <v>57</v>
      </c>
      <c r="CB12" s="27"/>
      <c r="CC12" s="9">
        <v>1332</v>
      </c>
      <c r="CD12" s="9">
        <v>1358.3419530000017</v>
      </c>
      <c r="CE12" s="10">
        <v>3.8341815287361594</v>
      </c>
      <c r="CF12" s="11">
        <v>3.0905680371547718E-2</v>
      </c>
      <c r="CG12" s="26">
        <v>-2.0440447833039963</v>
      </c>
      <c r="CH12" s="26" t="s">
        <v>59</v>
      </c>
      <c r="CI12" s="26"/>
      <c r="CJ12" s="9">
        <v>51</v>
      </c>
      <c r="CK12" s="9">
        <v>51</v>
      </c>
      <c r="CL12" s="10">
        <v>3.4117647058823533</v>
      </c>
      <c r="CM12" s="11">
        <v>0.15127295311361497</v>
      </c>
      <c r="CN12" s="26">
        <v>1.6962545606545654</v>
      </c>
      <c r="CO12" s="26" t="s">
        <v>57</v>
      </c>
      <c r="CP12" s="26"/>
      <c r="CQ12" s="9">
        <v>390</v>
      </c>
      <c r="CR12" s="9">
        <v>412.75255858000048</v>
      </c>
      <c r="CS12" s="10">
        <v>3.2383057409465694</v>
      </c>
      <c r="CT12" s="11">
        <v>5.688576799857941E-2</v>
      </c>
      <c r="CU12" s="26">
        <v>5.3023169784426267</v>
      </c>
      <c r="CV12" s="26" t="s">
        <v>59</v>
      </c>
      <c r="CW12" s="26"/>
      <c r="CX12" s="9">
        <v>348</v>
      </c>
      <c r="CY12" s="9">
        <v>347.97528376000093</v>
      </c>
      <c r="CZ12" s="10">
        <v>3.9396473473832012</v>
      </c>
      <c r="DA12" s="11">
        <v>5.1778854764779662E-2</v>
      </c>
      <c r="DB12" s="26">
        <v>-3.0495844675349999</v>
      </c>
      <c r="DC12" s="26" t="s">
        <v>59</v>
      </c>
      <c r="DD12" s="26"/>
      <c r="DE12" s="9">
        <v>43</v>
      </c>
      <c r="DF12" s="9">
        <v>43.233899360000024</v>
      </c>
      <c r="DG12" s="10">
        <v>4.7441860465116292</v>
      </c>
      <c r="DH12" s="11">
        <v>0.10007009926852652</v>
      </c>
      <c r="DI12" s="26">
        <v>-8.8984897938150613</v>
      </c>
      <c r="DJ12" s="26" t="s">
        <v>59</v>
      </c>
      <c r="DK12" s="26"/>
      <c r="DL12" s="9">
        <v>135</v>
      </c>
      <c r="DM12" s="9">
        <v>135</v>
      </c>
      <c r="DN12" s="10">
        <v>4.888888888888884</v>
      </c>
      <c r="DO12" s="11">
        <v>2.9113807427699454E-2</v>
      </c>
      <c r="DP12" s="26">
        <v>-17.182530284307678</v>
      </c>
      <c r="DQ12" s="26" t="s">
        <v>59</v>
      </c>
      <c r="DR12" s="26"/>
      <c r="DS12" s="9">
        <v>78</v>
      </c>
      <c r="DT12" s="9">
        <v>78</v>
      </c>
      <c r="DU12" s="10">
        <v>5</v>
      </c>
      <c r="DV12" s="11">
        <v>0</v>
      </c>
      <c r="DW12" s="26">
        <v>-20.659351727408527</v>
      </c>
      <c r="DX12" s="26" t="s">
        <v>59</v>
      </c>
      <c r="DY12" s="36"/>
      <c r="DZ12" s="9">
        <v>105</v>
      </c>
      <c r="EA12" s="9">
        <v>104.3941883400001</v>
      </c>
      <c r="EB12" s="10">
        <v>3.7094853220063837</v>
      </c>
      <c r="EC12" s="11">
        <v>9.8582563061795359E-2</v>
      </c>
      <c r="ED12" s="11"/>
      <c r="EE12" s="9">
        <v>142</v>
      </c>
      <c r="EF12" s="9">
        <v>142.49231277999965</v>
      </c>
      <c r="EG12" s="10">
        <v>3.5971494676444253</v>
      </c>
      <c r="EH12" s="11">
        <v>8.3141144807445319E-2</v>
      </c>
      <c r="EI12" s="6">
        <v>0.87108308468771922</v>
      </c>
      <c r="EJ12" s="6" t="s">
        <v>57</v>
      </c>
      <c r="EK12" s="45">
        <f t="shared" si="8"/>
        <v>0.11233585436195836</v>
      </c>
      <c r="EL12" s="11"/>
      <c r="EM12" s="9">
        <v>84</v>
      </c>
      <c r="EN12" s="9">
        <v>84.048028820000084</v>
      </c>
      <c r="EO12" s="10">
        <v>3.4507582845415272</v>
      </c>
      <c r="EP12" s="11">
        <v>0.11897612948987422</v>
      </c>
      <c r="EQ12" s="6">
        <v>1.6744827037984562</v>
      </c>
      <c r="ER12" s="6" t="s">
        <v>57</v>
      </c>
      <c r="ES12" s="11"/>
      <c r="ET12" s="9">
        <v>64</v>
      </c>
      <c r="EU12" s="9">
        <v>63.199375399999965</v>
      </c>
      <c r="EV12" s="10">
        <v>3.4586179558983425</v>
      </c>
      <c r="EW12" s="11">
        <v>0.1502614934467911</v>
      </c>
      <c r="EX12" s="6">
        <v>1.3959273676935748</v>
      </c>
      <c r="EY12" s="6" t="s">
        <v>57</v>
      </c>
      <c r="EZ12" s="11"/>
      <c r="FA12" s="9">
        <v>67</v>
      </c>
      <c r="FB12" s="9">
        <v>70.392611369999969</v>
      </c>
      <c r="FC12" s="10">
        <v>3.4938400255856283</v>
      </c>
      <c r="FD12" s="11">
        <v>0.13523599832396757</v>
      </c>
      <c r="FE12" s="6">
        <v>1.2885592462207673</v>
      </c>
      <c r="FF12" s="6" t="s">
        <v>57</v>
      </c>
      <c r="FG12" s="45">
        <f t="shared" si="9"/>
        <v>0.21564529642075536</v>
      </c>
      <c r="FH12" s="11"/>
      <c r="FI12" s="28">
        <v>105</v>
      </c>
      <c r="FJ12" s="28">
        <v>105.22342865000017</v>
      </c>
      <c r="FK12" s="29">
        <v>3.6143064275638395</v>
      </c>
      <c r="FL12" s="27">
        <v>0.10251508547993898</v>
      </c>
      <c r="FM12" s="6">
        <v>0.66921495579197443</v>
      </c>
      <c r="FN12" s="6" t="s">
        <v>57</v>
      </c>
      <c r="FO12" s="11"/>
      <c r="FP12" s="37">
        <v>637</v>
      </c>
      <c r="FQ12" s="37">
        <v>636.01744787000132</v>
      </c>
      <c r="FR12" s="10">
        <v>3.6362775307112556</v>
      </c>
      <c r="FS12" s="11">
        <v>4.1140011820146018E-2</v>
      </c>
      <c r="FT12" s="26">
        <v>0.685322557544777</v>
      </c>
      <c r="FU12" s="26" t="s">
        <v>57</v>
      </c>
      <c r="FV12" s="26"/>
      <c r="FW12" s="9">
        <v>147</v>
      </c>
      <c r="FX12" s="9">
        <v>147.0657102199998</v>
      </c>
      <c r="FY12" s="10">
        <v>3.4149688142035752</v>
      </c>
      <c r="FZ12" s="11">
        <v>8.4581269376388823E-2</v>
      </c>
      <c r="GA12" s="26">
        <v>2.2673562280517414</v>
      </c>
      <c r="GB12" s="26" t="s">
        <v>59</v>
      </c>
      <c r="GC12" s="26"/>
      <c r="GD12" s="37">
        <v>52</v>
      </c>
      <c r="GE12" s="37">
        <v>52.033972499999976</v>
      </c>
      <c r="GF12" s="10">
        <v>4.0773993807603288</v>
      </c>
      <c r="GG12" s="11">
        <v>0.10577592085784335</v>
      </c>
      <c r="GH12" s="26">
        <v>-2.544484596477381</v>
      </c>
      <c r="GI12" s="26" t="s">
        <v>59</v>
      </c>
      <c r="GJ12" s="26"/>
      <c r="GK12" s="37">
        <v>118</v>
      </c>
      <c r="GL12" s="37">
        <v>117.53965962999992</v>
      </c>
      <c r="GM12" s="10">
        <v>3.5157981124910971</v>
      </c>
      <c r="GN12" s="11">
        <v>9.3759110631552026E-2</v>
      </c>
      <c r="GO12" s="26">
        <v>1.4236591777424921</v>
      </c>
      <c r="GP12" s="26" t="s">
        <v>57</v>
      </c>
      <c r="GQ12" s="26"/>
      <c r="GR12" s="37">
        <v>158</v>
      </c>
      <c r="GS12" s="37">
        <v>157.99911611999997</v>
      </c>
      <c r="GT12" s="10">
        <v>3.6708906168784714</v>
      </c>
      <c r="GU12" s="11">
        <v>8.633224555155837E-2</v>
      </c>
      <c r="GV12" s="26">
        <v>0.29452359302959291</v>
      </c>
      <c r="GW12" s="26" t="s">
        <v>57</v>
      </c>
      <c r="GX12" s="26"/>
      <c r="GY12" s="37">
        <v>57</v>
      </c>
      <c r="GZ12" s="37">
        <v>56.984801060000073</v>
      </c>
      <c r="HA12" s="10">
        <v>3.8230537586788582</v>
      </c>
      <c r="HB12" s="11">
        <v>0.14622405664646665</v>
      </c>
      <c r="HC12" s="26">
        <v>-0.6439875592261185</v>
      </c>
      <c r="HD12" s="26" t="s">
        <v>57</v>
      </c>
      <c r="HE12" s="15"/>
      <c r="HF12" s="37">
        <v>63</v>
      </c>
      <c r="HG12" s="37">
        <v>63.046472439999938</v>
      </c>
      <c r="HH12" s="10">
        <v>3.0313621467383718</v>
      </c>
      <c r="HI12" s="11">
        <v>0.15663820866132849</v>
      </c>
      <c r="HJ12" s="11"/>
      <c r="HK12" s="37">
        <v>91</v>
      </c>
      <c r="HL12" s="37">
        <v>91.031864010000049</v>
      </c>
      <c r="HM12" s="10">
        <v>3.0329282000604834</v>
      </c>
      <c r="HN12" s="11">
        <v>0.14357864315674632</v>
      </c>
      <c r="HO12" s="6">
        <v>-7.3701437670476285E-3</v>
      </c>
      <c r="HP12" s="6" t="s">
        <v>57</v>
      </c>
      <c r="HQ12" s="45">
        <f t="shared" si="10"/>
        <v>-1.5660533221115713E-3</v>
      </c>
      <c r="HR12" s="27"/>
      <c r="HS12" s="3">
        <v>54</v>
      </c>
      <c r="HT12" s="3">
        <v>53.998599380000059</v>
      </c>
      <c r="HU12" s="29">
        <v>3.0014545451345369</v>
      </c>
      <c r="HV12" s="27">
        <v>0.19065894930794233</v>
      </c>
      <c r="HW12" s="6">
        <v>0.12120528838736784</v>
      </c>
      <c r="HX12" s="6" t="s">
        <v>57</v>
      </c>
      <c r="HY12" s="27"/>
      <c r="HZ12" s="9">
        <v>61</v>
      </c>
      <c r="IA12" s="9">
        <v>61.509925299999921</v>
      </c>
      <c r="IB12" s="10">
        <v>3.1178465679261671</v>
      </c>
      <c r="IC12" s="11">
        <v>0.16822770476233501</v>
      </c>
      <c r="ID12" s="6">
        <v>-0.37624657169052894</v>
      </c>
      <c r="IE12" s="6" t="s">
        <v>57</v>
      </c>
      <c r="IF12" s="27"/>
      <c r="IG12" s="9">
        <v>75</v>
      </c>
      <c r="IH12" s="9">
        <v>75.292058539999999</v>
      </c>
      <c r="II12" s="10">
        <v>2.5188100711743395</v>
      </c>
      <c r="IJ12" s="11">
        <v>0.16214711729602979</v>
      </c>
      <c r="IK12" s="6">
        <v>2.2734731791454199</v>
      </c>
      <c r="IL12" s="6" t="s">
        <v>59</v>
      </c>
      <c r="IM12" s="45">
        <f t="shared" si="11"/>
        <v>0.51255207556403226</v>
      </c>
      <c r="IN12" s="11"/>
      <c r="IO12" s="28">
        <v>100</v>
      </c>
      <c r="IP12" s="28">
        <v>99.804044630000163</v>
      </c>
      <c r="IQ12" s="29">
        <v>2.4768060361322846</v>
      </c>
      <c r="IR12" s="27">
        <v>0.12521870067121041</v>
      </c>
      <c r="IS12" s="6">
        <v>2.7653499676325444</v>
      </c>
      <c r="IT12" s="6" t="s">
        <v>59</v>
      </c>
      <c r="IU12" s="27"/>
      <c r="IV12" s="37">
        <v>685</v>
      </c>
      <c r="IW12" s="37">
        <v>685.31196522999551</v>
      </c>
      <c r="IX12" s="10">
        <v>3.7240105598528062</v>
      </c>
      <c r="IY12" s="11">
        <v>4.1527635865227543E-2</v>
      </c>
      <c r="IZ12" s="26">
        <v>-4.2742988065851479</v>
      </c>
      <c r="JA12" s="26" t="s">
        <v>59</v>
      </c>
      <c r="JB12" s="26"/>
      <c r="JC12" s="37">
        <v>147</v>
      </c>
      <c r="JD12" s="37">
        <v>147.0657102199998</v>
      </c>
      <c r="JE12" s="10">
        <v>3.4149688142035752</v>
      </c>
      <c r="JF12" s="11">
        <v>8.4581269376388823E-2</v>
      </c>
      <c r="JG12" s="26">
        <v>-2.1549059468785239</v>
      </c>
      <c r="JH12" s="26" t="s">
        <v>59</v>
      </c>
      <c r="JI12" s="26"/>
      <c r="JJ12" s="37">
        <v>104</v>
      </c>
      <c r="JK12" s="37">
        <v>104</v>
      </c>
      <c r="JL12" s="10">
        <v>4.2403846153846159</v>
      </c>
      <c r="JM12" s="11">
        <v>9.0115675711301566E-2</v>
      </c>
      <c r="JN12" s="26">
        <v>-6.6903750111339297</v>
      </c>
      <c r="JO12" s="26" t="s">
        <v>59</v>
      </c>
      <c r="JP12" s="26"/>
      <c r="JQ12" s="37">
        <v>132</v>
      </c>
      <c r="JR12" s="37">
        <v>132.27404740999998</v>
      </c>
      <c r="JS12" s="10">
        <v>3.9669164246071982</v>
      </c>
      <c r="JT12" s="11">
        <v>9.222507731262744E-2</v>
      </c>
      <c r="JU12" s="26">
        <v>-5.1468610235605174</v>
      </c>
      <c r="JV12" s="26" t="s">
        <v>59</v>
      </c>
      <c r="JW12" s="26"/>
      <c r="JX12" s="37">
        <v>52</v>
      </c>
      <c r="JY12" s="37">
        <v>52.033972499999976</v>
      </c>
      <c r="JZ12" s="10">
        <v>4.0773993807603288</v>
      </c>
      <c r="KA12" s="11">
        <v>0.10577592085784335</v>
      </c>
      <c r="KB12" s="26">
        <v>-5.534350425318288</v>
      </c>
      <c r="KC12" s="26" t="s">
        <v>59</v>
      </c>
      <c r="KD12" s="26"/>
      <c r="KE12" s="37">
        <v>187</v>
      </c>
      <c r="KF12" s="37">
        <v>186.89176265999939</v>
      </c>
      <c r="KG12" s="10">
        <v>3.6432002302781412</v>
      </c>
      <c r="KH12" s="11">
        <v>7.7219805942555883E-2</v>
      </c>
      <c r="KI12" s="26">
        <v>-3.5034650287118878</v>
      </c>
      <c r="KJ12" s="26" t="s">
        <v>59</v>
      </c>
      <c r="KL12" s="9"/>
      <c r="KM12" s="9"/>
      <c r="KN12" s="10"/>
      <c r="KO12" s="11"/>
    </row>
    <row r="13" spans="1:301" s="7" customFormat="1" x14ac:dyDescent="0.25">
      <c r="B13" s="5" t="s">
        <v>9</v>
      </c>
      <c r="C13" s="9">
        <v>267</v>
      </c>
      <c r="D13" s="9">
        <v>269.86938258000066</v>
      </c>
      <c r="E13" s="10">
        <v>3.1203377328303361</v>
      </c>
      <c r="F13" s="11">
        <v>7.8400784049803898E-2</v>
      </c>
      <c r="G13" s="11"/>
      <c r="H13" s="9">
        <v>334</v>
      </c>
      <c r="I13" s="9">
        <v>331.41396148999922</v>
      </c>
      <c r="J13" s="10">
        <v>3.1091231841815192</v>
      </c>
      <c r="K13" s="11">
        <v>6.2977163341395345E-2</v>
      </c>
      <c r="L13" s="26">
        <v>0.11151825377674401</v>
      </c>
      <c r="M13" s="26" t="s">
        <v>57</v>
      </c>
      <c r="N13" s="45">
        <f t="shared" si="6"/>
        <v>1.121454864881688E-2</v>
      </c>
      <c r="O13" s="11"/>
      <c r="P13" s="3">
        <v>102</v>
      </c>
      <c r="Q13" s="3">
        <v>101.95158623999988</v>
      </c>
      <c r="R13" s="10">
        <v>2.9319934830275378</v>
      </c>
      <c r="S13" s="11">
        <v>0.12641144369819482</v>
      </c>
      <c r="T13" s="26">
        <v>1.2661805877588128</v>
      </c>
      <c r="U13" s="26" t="s">
        <v>57</v>
      </c>
      <c r="V13" s="27"/>
      <c r="W13" s="9">
        <v>36</v>
      </c>
      <c r="X13" s="9">
        <v>35.827615920000007</v>
      </c>
      <c r="Y13" s="10">
        <v>2.9443136204079301</v>
      </c>
      <c r="Z13" s="11">
        <v>0.21512666576301756</v>
      </c>
      <c r="AA13" s="26">
        <v>0.76877299100006946</v>
      </c>
      <c r="AB13" s="26" t="s">
        <v>57</v>
      </c>
      <c r="AC13" s="26"/>
      <c r="AD13" s="9">
        <v>51</v>
      </c>
      <c r="AE13" s="9">
        <v>51.486145289999996</v>
      </c>
      <c r="AF13" s="10">
        <v>3.2554417501236865</v>
      </c>
      <c r="AG13" s="11">
        <v>0.17436930662928699</v>
      </c>
      <c r="AH13" s="26">
        <v>-0.70666994829130914</v>
      </c>
      <c r="AI13" s="26" t="s">
        <v>57</v>
      </c>
      <c r="AJ13" s="45">
        <f t="shared" si="7"/>
        <v>-0.13510401729335042</v>
      </c>
      <c r="AK13" s="27"/>
      <c r="AL13" s="28">
        <v>57</v>
      </c>
      <c r="AM13" s="28">
        <v>59.750540460000025</v>
      </c>
      <c r="AN13" s="29">
        <v>3.0133594085317843</v>
      </c>
      <c r="AO13" s="27">
        <v>0.13850735168333256</v>
      </c>
      <c r="AP13" s="26">
        <v>0.67215569960919463</v>
      </c>
      <c r="AQ13" s="26" t="s">
        <v>57</v>
      </c>
      <c r="AR13" s="27"/>
      <c r="AS13" s="30">
        <v>669</v>
      </c>
      <c r="AT13" s="31">
        <v>3.3325023310045787</v>
      </c>
      <c r="AU13" s="32">
        <v>4.7429011352564193E-2</v>
      </c>
      <c r="AV13" s="26">
        <v>-2.3154301565109634</v>
      </c>
      <c r="AW13" s="26" t="s">
        <v>59</v>
      </c>
      <c r="AX13" s="27"/>
      <c r="AY13" s="33">
        <v>63</v>
      </c>
      <c r="AZ13" s="34">
        <v>3.7485134608537911</v>
      </c>
      <c r="BA13" s="35">
        <v>0.15853523149596963</v>
      </c>
      <c r="BB13" s="26">
        <v>-3.551788261269718</v>
      </c>
      <c r="BC13" s="26" t="s">
        <v>59</v>
      </c>
      <c r="BD13" s="35"/>
      <c r="BE13" s="33">
        <v>149</v>
      </c>
      <c r="BF13" s="34">
        <v>3.3427068682541079</v>
      </c>
      <c r="BG13" s="35">
        <v>8.8581889422586629E-2</v>
      </c>
      <c r="BH13" s="26">
        <v>-1.8798030698322776</v>
      </c>
      <c r="BI13" s="26" t="s">
        <v>57</v>
      </c>
      <c r="BJ13" s="35"/>
      <c r="BK13" s="33">
        <v>107</v>
      </c>
      <c r="BL13" s="34">
        <v>3.4053581431346105</v>
      </c>
      <c r="BM13" s="35">
        <v>0.12171530084950218</v>
      </c>
      <c r="BN13" s="26">
        <v>-1.9686426106012007</v>
      </c>
      <c r="BO13" s="26" t="s">
        <v>59</v>
      </c>
      <c r="BP13" s="35"/>
      <c r="BQ13" s="33">
        <v>145</v>
      </c>
      <c r="BR13" s="34">
        <v>2.9379510428709676</v>
      </c>
      <c r="BS13" s="35">
        <v>9.9431044422025883E-2</v>
      </c>
      <c r="BT13" s="26">
        <v>1.4403990498154884</v>
      </c>
      <c r="BU13" s="26" t="s">
        <v>57</v>
      </c>
      <c r="BV13" s="35"/>
      <c r="BW13" s="33">
        <v>129</v>
      </c>
      <c r="BX13" s="34">
        <v>2.9838276354073745</v>
      </c>
      <c r="BY13" s="35">
        <v>0.10845187357256662</v>
      </c>
      <c r="BZ13" s="26">
        <v>1.020082436686762</v>
      </c>
      <c r="CA13" s="26" t="s">
        <v>57</v>
      </c>
      <c r="CB13" s="27"/>
      <c r="CC13" s="9">
        <v>1267</v>
      </c>
      <c r="CD13" s="9">
        <v>1293.2076583199948</v>
      </c>
      <c r="CE13" s="10">
        <v>3.3334671281642612</v>
      </c>
      <c r="CF13" s="11">
        <v>3.7300003072067128E-2</v>
      </c>
      <c r="CG13" s="26">
        <v>-2.45479968671596</v>
      </c>
      <c r="CH13" s="26" t="s">
        <v>59</v>
      </c>
      <c r="CI13" s="26"/>
      <c r="CJ13" s="9">
        <v>44</v>
      </c>
      <c r="CK13" s="9">
        <v>44</v>
      </c>
      <c r="CL13" s="10">
        <v>2.6363636363636362</v>
      </c>
      <c r="CM13" s="11">
        <v>0.15281332519860583</v>
      </c>
      <c r="CN13" s="26">
        <v>2.8178732211008048</v>
      </c>
      <c r="CO13" s="26" t="s">
        <v>59</v>
      </c>
      <c r="CP13" s="26"/>
      <c r="CQ13" s="9">
        <v>378</v>
      </c>
      <c r="CR13" s="9">
        <v>401.13581913000064</v>
      </c>
      <c r="CS13" s="10">
        <v>2.90122181024388</v>
      </c>
      <c r="CT13" s="11">
        <v>5.7801616159857863E-2</v>
      </c>
      <c r="CU13" s="26">
        <v>2.2495375254222134</v>
      </c>
      <c r="CV13" s="26" t="s">
        <v>59</v>
      </c>
      <c r="CW13" s="26"/>
      <c r="CX13" s="9">
        <v>327</v>
      </c>
      <c r="CY13" s="9">
        <v>326.97943629000082</v>
      </c>
      <c r="CZ13" s="10">
        <v>2.9877791654871668</v>
      </c>
      <c r="DA13" s="11">
        <v>7.0243292474853891E-2</v>
      </c>
      <c r="DB13" s="26">
        <v>1.259279644374266</v>
      </c>
      <c r="DC13" s="26" t="s">
        <v>57</v>
      </c>
      <c r="DD13" s="26"/>
      <c r="DE13" s="9">
        <v>41</v>
      </c>
      <c r="DF13" s="9">
        <v>41.223020320000018</v>
      </c>
      <c r="DG13" s="10">
        <v>4.7317073170731714</v>
      </c>
      <c r="DH13" s="11">
        <v>7.8059796025489958E-2</v>
      </c>
      <c r="DI13" s="26">
        <v>-14.564788824568673</v>
      </c>
      <c r="DJ13" s="26" t="s">
        <v>59</v>
      </c>
      <c r="DK13" s="26"/>
      <c r="DL13" s="9">
        <v>134</v>
      </c>
      <c r="DM13" s="9">
        <v>134</v>
      </c>
      <c r="DN13" s="10">
        <v>4.7761194029850742</v>
      </c>
      <c r="DO13" s="11">
        <v>5.2586336173869694E-2</v>
      </c>
      <c r="DP13" s="26">
        <v>-17.539424648281155</v>
      </c>
      <c r="DQ13" s="26" t="s">
        <v>59</v>
      </c>
      <c r="DR13" s="26"/>
      <c r="DS13" s="9">
        <v>76</v>
      </c>
      <c r="DT13" s="9">
        <v>76</v>
      </c>
      <c r="DU13" s="10">
        <v>4.9605263157894735</v>
      </c>
      <c r="DV13" s="11">
        <v>2.9264609329144341E-2</v>
      </c>
      <c r="DW13" s="26">
        <v>-21.989591355160179</v>
      </c>
      <c r="DX13" s="26" t="s">
        <v>59</v>
      </c>
      <c r="DY13" s="36"/>
      <c r="DZ13" s="9">
        <v>107</v>
      </c>
      <c r="EA13" s="9">
        <v>106.6334471200001</v>
      </c>
      <c r="EB13" s="10">
        <v>3.0591923380559658</v>
      </c>
      <c r="EC13" s="11">
        <v>0.12069201080765823</v>
      </c>
      <c r="ED13" s="11"/>
      <c r="EE13" s="9">
        <v>132</v>
      </c>
      <c r="EF13" s="9">
        <v>132.36054059999981</v>
      </c>
      <c r="EG13" s="10">
        <v>2.8871831867540743</v>
      </c>
      <c r="EH13" s="11">
        <v>9.9970004013008901E-2</v>
      </c>
      <c r="EI13" s="6">
        <v>1.0975704160843187</v>
      </c>
      <c r="EJ13" s="6" t="s">
        <v>57</v>
      </c>
      <c r="EK13" s="45">
        <f t="shared" si="8"/>
        <v>0.17200915130189154</v>
      </c>
      <c r="EL13" s="11"/>
      <c r="EM13" s="9">
        <v>82</v>
      </c>
      <c r="EN13" s="9">
        <v>82.10887711000008</v>
      </c>
      <c r="EO13" s="10">
        <v>2.9366770907969606</v>
      </c>
      <c r="EP13" s="11">
        <v>0.13239958225136514</v>
      </c>
      <c r="EQ13" s="6">
        <v>0.68385379074036345</v>
      </c>
      <c r="ER13" s="6" t="s">
        <v>57</v>
      </c>
      <c r="ES13" s="11"/>
      <c r="ET13" s="9">
        <v>64</v>
      </c>
      <c r="EU13" s="9">
        <v>63.334849109999965</v>
      </c>
      <c r="EV13" s="10">
        <v>2.9542109951985007</v>
      </c>
      <c r="EW13" s="11">
        <v>0.17988879733467927</v>
      </c>
      <c r="EX13" s="6">
        <v>0.48462169549775608</v>
      </c>
      <c r="EY13" s="6" t="s">
        <v>57</v>
      </c>
      <c r="EZ13" s="11"/>
      <c r="FA13" s="9">
        <v>66</v>
      </c>
      <c r="FB13" s="9">
        <v>68.842712689999985</v>
      </c>
      <c r="FC13" s="10">
        <v>3.0477082510503264</v>
      </c>
      <c r="FD13" s="11">
        <v>0.15037223505729447</v>
      </c>
      <c r="FE13" s="6">
        <v>5.9559534986693391E-2</v>
      </c>
      <c r="FF13" s="6" t="s">
        <v>57</v>
      </c>
      <c r="FG13" s="45">
        <f t="shared" si="9"/>
        <v>1.148408700563941E-2</v>
      </c>
      <c r="FH13" s="11"/>
      <c r="FI13" s="28">
        <v>95</v>
      </c>
      <c r="FJ13" s="28">
        <v>95.408000100000123</v>
      </c>
      <c r="FK13" s="29">
        <v>3.1940298499140205</v>
      </c>
      <c r="FL13" s="27">
        <v>0.12750527676972023</v>
      </c>
      <c r="FM13" s="6">
        <v>-0.76800690616986689</v>
      </c>
      <c r="FN13" s="6" t="s">
        <v>57</v>
      </c>
      <c r="FO13" s="11"/>
      <c r="FP13" s="37">
        <v>631</v>
      </c>
      <c r="FQ13" s="37">
        <v>630.37020019000113</v>
      </c>
      <c r="FR13" s="10">
        <v>2.8281333334168659</v>
      </c>
      <c r="FS13" s="11">
        <v>4.8516795752969716E-2</v>
      </c>
      <c r="FT13" s="26">
        <v>1.7763030434801521</v>
      </c>
      <c r="FU13" s="26" t="s">
        <v>57</v>
      </c>
      <c r="FV13" s="26"/>
      <c r="FW13" s="9">
        <v>152</v>
      </c>
      <c r="FX13" s="9">
        <v>152.05708055999975</v>
      </c>
      <c r="FY13" s="10">
        <v>2.677172998986848</v>
      </c>
      <c r="FZ13" s="11">
        <v>8.9303049062367065E-2</v>
      </c>
      <c r="GA13" s="26">
        <v>2.5444447056986923</v>
      </c>
      <c r="GB13" s="26" t="s">
        <v>59</v>
      </c>
      <c r="GC13" s="26"/>
      <c r="GD13" s="37">
        <v>51</v>
      </c>
      <c r="GE13" s="37">
        <v>51.011013599999984</v>
      </c>
      <c r="GF13" s="10">
        <v>3.3141217958468485</v>
      </c>
      <c r="GG13" s="11">
        <v>0.14403222407239336</v>
      </c>
      <c r="GH13" s="26">
        <v>-1.3566250422763013</v>
      </c>
      <c r="GI13" s="26" t="s">
        <v>57</v>
      </c>
      <c r="GJ13" s="26"/>
      <c r="GK13" s="37">
        <v>112</v>
      </c>
      <c r="GL13" s="37">
        <v>111.65544194999988</v>
      </c>
      <c r="GM13" s="10">
        <v>2.1887688984244802</v>
      </c>
      <c r="GN13" s="11">
        <v>0.10743051122793332</v>
      </c>
      <c r="GO13" s="26">
        <v>5.3869730786238792</v>
      </c>
      <c r="GP13" s="26" t="s">
        <v>59</v>
      </c>
      <c r="GQ13" s="26"/>
      <c r="GR13" s="37">
        <v>155</v>
      </c>
      <c r="GS13" s="37">
        <v>154.99874923999991</v>
      </c>
      <c r="GT13" s="10">
        <v>2.954842234828861</v>
      </c>
      <c r="GU13" s="11">
        <v>9.7019686151175538E-2</v>
      </c>
      <c r="GV13" s="26">
        <v>0.6738665503248279</v>
      </c>
      <c r="GW13" s="26" t="s">
        <v>57</v>
      </c>
      <c r="GX13" s="26"/>
      <c r="GY13" s="37">
        <v>54</v>
      </c>
      <c r="GZ13" s="37">
        <v>54.014467720000063</v>
      </c>
      <c r="HA13" s="10">
        <v>3.2960450596846136</v>
      </c>
      <c r="HB13" s="11">
        <v>0.17253752570167016</v>
      </c>
      <c r="HC13" s="26">
        <v>-1.1248673322143696</v>
      </c>
      <c r="HD13" s="26" t="s">
        <v>57</v>
      </c>
      <c r="HE13" s="15"/>
      <c r="HF13" s="37">
        <v>57</v>
      </c>
      <c r="HG13" s="37">
        <v>57.040875399999955</v>
      </c>
      <c r="HH13" s="10">
        <v>2.7539018708678524</v>
      </c>
      <c r="HI13" s="11">
        <v>0.16833711022668937</v>
      </c>
      <c r="HJ13" s="11"/>
      <c r="HK13" s="37">
        <v>82</v>
      </c>
      <c r="HL13" s="37">
        <v>82.050040649999971</v>
      </c>
      <c r="HM13" s="10">
        <v>2.8901403085410902</v>
      </c>
      <c r="HN13" s="11">
        <v>0.14817849571390698</v>
      </c>
      <c r="HO13" s="6">
        <v>-0.60749189729147146</v>
      </c>
      <c r="HP13" s="6" t="s">
        <v>57</v>
      </c>
      <c r="HQ13" s="45">
        <f t="shared" si="10"/>
        <v>-0.13623843767323773</v>
      </c>
      <c r="HR13" s="27"/>
      <c r="HS13" s="3">
        <v>47</v>
      </c>
      <c r="HT13" s="3">
        <v>47.027871090000048</v>
      </c>
      <c r="HU13" s="29">
        <v>2.8308977033049016</v>
      </c>
      <c r="HV13" s="27">
        <v>0.21569126203815606</v>
      </c>
      <c r="HW13" s="6">
        <v>-0.28141160812654692</v>
      </c>
      <c r="HX13" s="6" t="s">
        <v>57</v>
      </c>
      <c r="HY13" s="27"/>
      <c r="HZ13" s="9">
        <v>59</v>
      </c>
      <c r="IA13" s="9">
        <v>59.370737589999926</v>
      </c>
      <c r="IB13" s="10">
        <v>2.7078476209983697</v>
      </c>
      <c r="IC13" s="11">
        <v>0.18436425462259823</v>
      </c>
      <c r="ID13" s="6">
        <v>0.1844716560216863</v>
      </c>
      <c r="IE13" s="6" t="s">
        <v>57</v>
      </c>
      <c r="IF13" s="27"/>
      <c r="IG13" s="9">
        <v>68</v>
      </c>
      <c r="IH13" s="9">
        <v>68.232884139999982</v>
      </c>
      <c r="II13" s="10">
        <v>2.4317797765891127</v>
      </c>
      <c r="IJ13" s="11">
        <v>0.17144922053046921</v>
      </c>
      <c r="IK13" s="6">
        <v>1.3406375917614686</v>
      </c>
      <c r="IL13" s="6" t="s">
        <v>57</v>
      </c>
      <c r="IM13" s="45">
        <f t="shared" si="11"/>
        <v>0.32212209427873972</v>
      </c>
      <c r="IN13" s="11"/>
      <c r="IO13" s="28">
        <v>84</v>
      </c>
      <c r="IP13" s="28">
        <v>84.256016570000114</v>
      </c>
      <c r="IQ13" s="29">
        <v>2.4976028916008359</v>
      </c>
      <c r="IR13" s="27">
        <v>0.13818232260053681</v>
      </c>
      <c r="IS13" s="6">
        <v>1.1768262907408402</v>
      </c>
      <c r="IT13" s="6" t="s">
        <v>57</v>
      </c>
      <c r="IU13" s="27"/>
      <c r="IV13" s="37">
        <v>672</v>
      </c>
      <c r="IW13" s="37">
        <v>669.96738277999611</v>
      </c>
      <c r="IX13" s="10">
        <v>3.2045160017364522</v>
      </c>
      <c r="IY13" s="11">
        <v>4.6013580192155963E-2</v>
      </c>
      <c r="IZ13" s="26">
        <v>-2.5821301395257268</v>
      </c>
      <c r="JA13" s="26" t="s">
        <v>59</v>
      </c>
      <c r="JB13" s="26"/>
      <c r="JC13" s="37">
        <v>152</v>
      </c>
      <c r="JD13" s="37">
        <v>152.05708055999975</v>
      </c>
      <c r="JE13" s="10">
        <v>2.677172998986848</v>
      </c>
      <c r="JF13" s="11">
        <v>8.9303049062367065E-2</v>
      </c>
      <c r="JG13" s="26">
        <v>0.40265327233895037</v>
      </c>
      <c r="JH13" s="26" t="s">
        <v>57</v>
      </c>
      <c r="JI13" s="26"/>
      <c r="JJ13" s="37">
        <v>99</v>
      </c>
      <c r="JK13" s="37">
        <v>99</v>
      </c>
      <c r="JL13" s="10">
        <v>3.7070707070707063</v>
      </c>
      <c r="JM13" s="11">
        <v>0.11686530069264935</v>
      </c>
      <c r="JN13" s="26">
        <v>-4.6512711329584953</v>
      </c>
      <c r="JO13" s="26" t="s">
        <v>59</v>
      </c>
      <c r="JP13" s="26"/>
      <c r="JQ13" s="37">
        <v>125</v>
      </c>
      <c r="JR13" s="37">
        <v>122.95794183999995</v>
      </c>
      <c r="JS13" s="10">
        <v>3.4406186529252336</v>
      </c>
      <c r="JT13" s="11">
        <v>0.10942864831787956</v>
      </c>
      <c r="JU13" s="26">
        <v>-3.420270265957424</v>
      </c>
      <c r="JV13" s="26" t="s">
        <v>59</v>
      </c>
      <c r="JW13" s="26"/>
      <c r="JX13" s="37">
        <v>51</v>
      </c>
      <c r="JY13" s="37">
        <v>51.011013599999984</v>
      </c>
      <c r="JZ13" s="10">
        <v>3.3141217958468485</v>
      </c>
      <c r="KA13" s="11">
        <v>0.14403222407239336</v>
      </c>
      <c r="KB13" s="26">
        <v>-2.5286835698929191</v>
      </c>
      <c r="KC13" s="26" t="s">
        <v>59</v>
      </c>
      <c r="KD13" s="26"/>
      <c r="KE13" s="37">
        <v>188</v>
      </c>
      <c r="KF13" s="37">
        <v>187.90047137999935</v>
      </c>
      <c r="KG13" s="10">
        <v>3.3190178294910897</v>
      </c>
      <c r="KH13" s="11">
        <v>7.9392478090863208E-2</v>
      </c>
      <c r="KI13" s="26">
        <v>-3.0363035913215142</v>
      </c>
      <c r="KJ13" s="26" t="s">
        <v>59</v>
      </c>
      <c r="KL13" s="9"/>
      <c r="KM13" s="9"/>
      <c r="KN13" s="10"/>
      <c r="KO13" s="11"/>
    </row>
    <row r="14" spans="1:301" s="7" customFormat="1" x14ac:dyDescent="0.25">
      <c r="B14" s="5" t="s">
        <v>10</v>
      </c>
      <c r="C14" s="9">
        <v>1031</v>
      </c>
      <c r="D14" s="9">
        <v>1041.5894709499921</v>
      </c>
      <c r="E14" s="10">
        <v>3.7306956316252307</v>
      </c>
      <c r="F14" s="11">
        <v>3.549468944404334E-2</v>
      </c>
      <c r="G14" s="11"/>
      <c r="H14" s="9">
        <v>1256</v>
      </c>
      <c r="I14" s="9">
        <v>1249.4169879299895</v>
      </c>
      <c r="J14" s="10">
        <v>3.6252846002793162</v>
      </c>
      <c r="K14" s="11">
        <v>3.338406714203828E-2</v>
      </c>
      <c r="L14" s="26">
        <v>2.1632761553853261</v>
      </c>
      <c r="M14" s="26" t="s">
        <v>59</v>
      </c>
      <c r="N14" s="45">
        <f t="shared" si="6"/>
        <v>0.10541103134591445</v>
      </c>
      <c r="O14" s="11"/>
      <c r="P14" s="3">
        <v>365</v>
      </c>
      <c r="Q14" s="3">
        <v>364.66482937999979</v>
      </c>
      <c r="R14" s="10">
        <v>3.6133915185083874</v>
      </c>
      <c r="S14" s="11">
        <v>6.4053646654032043E-2</v>
      </c>
      <c r="T14" s="26">
        <v>1.6018423189459217</v>
      </c>
      <c r="U14" s="26" t="s">
        <v>57</v>
      </c>
      <c r="V14" s="27"/>
      <c r="W14" s="9">
        <v>265</v>
      </c>
      <c r="X14" s="9">
        <v>267.51590564999884</v>
      </c>
      <c r="Y14" s="10">
        <v>3.4264646510374708</v>
      </c>
      <c r="Z14" s="11">
        <v>6.453966400395085E-2</v>
      </c>
      <c r="AA14" s="26">
        <v>4.1304171121871098</v>
      </c>
      <c r="AB14" s="26" t="s">
        <v>59</v>
      </c>
      <c r="AC14" s="26"/>
      <c r="AD14" s="9">
        <v>360</v>
      </c>
      <c r="AE14" s="9">
        <v>372.93483951999883</v>
      </c>
      <c r="AF14" s="10">
        <v>3.326662676988823</v>
      </c>
      <c r="AG14" s="11">
        <v>5.5631079787438316E-2</v>
      </c>
      <c r="AH14" s="26">
        <v>6.1226321348526538</v>
      </c>
      <c r="AI14" s="26" t="s">
        <v>59</v>
      </c>
      <c r="AJ14" s="45">
        <f t="shared" si="7"/>
        <v>0.40403295463640765</v>
      </c>
      <c r="AK14" s="27"/>
      <c r="AL14" s="28">
        <v>426</v>
      </c>
      <c r="AM14" s="28">
        <v>432.74486659999673</v>
      </c>
      <c r="AN14" s="29">
        <v>3.3194528241227657</v>
      </c>
      <c r="AO14" s="27">
        <v>5.4461259630642876E-2</v>
      </c>
      <c r="AP14" s="26">
        <v>6.3261373372883112</v>
      </c>
      <c r="AQ14" s="26" t="s">
        <v>59</v>
      </c>
      <c r="AR14" s="27"/>
      <c r="AS14" s="30">
        <v>1905</v>
      </c>
      <c r="AT14" s="31">
        <v>3.8567762845504578</v>
      </c>
      <c r="AU14" s="32">
        <v>2.4942718802527696E-2</v>
      </c>
      <c r="AV14" s="26">
        <v>-2.9062785194860177</v>
      </c>
      <c r="AW14" s="26" t="s">
        <v>59</v>
      </c>
      <c r="AX14" s="27"/>
      <c r="AY14" s="33">
        <v>165</v>
      </c>
      <c r="AZ14" s="34">
        <v>4.0824014556036676</v>
      </c>
      <c r="BA14" s="35">
        <v>8.1840461196847153E-2</v>
      </c>
      <c r="BB14" s="26">
        <v>-3.9426193502388278</v>
      </c>
      <c r="BC14" s="26" t="s">
        <v>59</v>
      </c>
      <c r="BD14" s="35"/>
      <c r="BE14" s="33">
        <v>202</v>
      </c>
      <c r="BF14" s="34">
        <v>4.0665555480743389</v>
      </c>
      <c r="BG14" s="35">
        <v>6.6710692487352605E-2</v>
      </c>
      <c r="BH14" s="26">
        <v>-4.4446023971521953</v>
      </c>
      <c r="BI14" s="26" t="s">
        <v>59</v>
      </c>
      <c r="BJ14" s="35"/>
      <c r="BK14" s="33">
        <v>272</v>
      </c>
      <c r="BL14" s="34">
        <v>4.0344698787118345</v>
      </c>
      <c r="BM14" s="35">
        <v>6.1336046590725349E-2</v>
      </c>
      <c r="BN14" s="26">
        <v>-4.2866034433919422</v>
      </c>
      <c r="BO14" s="26" t="s">
        <v>59</v>
      </c>
      <c r="BP14" s="35"/>
      <c r="BQ14" s="33">
        <v>329</v>
      </c>
      <c r="BR14" s="34">
        <v>3.750679574752644</v>
      </c>
      <c r="BS14" s="35">
        <v>6.0541926503610788E-2</v>
      </c>
      <c r="BT14" s="26">
        <v>-0.28475367959004183</v>
      </c>
      <c r="BU14" s="26" t="s">
        <v>57</v>
      </c>
      <c r="BV14" s="35"/>
      <c r="BW14" s="33">
        <v>369</v>
      </c>
      <c r="BX14" s="34">
        <v>3.740914012891762</v>
      </c>
      <c r="BY14" s="35">
        <v>5.7027980403358471E-2</v>
      </c>
      <c r="BZ14" s="26">
        <v>-0.15212286641945913</v>
      </c>
      <c r="CA14" s="26" t="s">
        <v>57</v>
      </c>
      <c r="CB14" s="27"/>
      <c r="CC14" s="9">
        <v>4963</v>
      </c>
      <c r="CD14" s="9">
        <v>5027.6757259200303</v>
      </c>
      <c r="CE14" s="10">
        <v>4.1430294080011372</v>
      </c>
      <c r="CF14" s="11">
        <v>1.5020372582205652E-2</v>
      </c>
      <c r="CG14" s="26">
        <v>-10.698301642794297</v>
      </c>
      <c r="CH14" s="26" t="s">
        <v>59</v>
      </c>
      <c r="CI14" s="26"/>
      <c r="CJ14" s="9">
        <v>188</v>
      </c>
      <c r="CK14" s="9">
        <v>188</v>
      </c>
      <c r="CL14" s="10">
        <v>4.0319148936170235</v>
      </c>
      <c r="CM14" s="11">
        <v>7.3864235747172491E-2</v>
      </c>
      <c r="CN14" s="26">
        <v>-3.6756480311630901</v>
      </c>
      <c r="CO14" s="26" t="s">
        <v>59</v>
      </c>
      <c r="CP14" s="26"/>
      <c r="CQ14" s="9">
        <v>1146</v>
      </c>
      <c r="CR14" s="9">
        <v>1199.089848510002</v>
      </c>
      <c r="CS14" s="10">
        <v>3.5977861436494583</v>
      </c>
      <c r="CT14" s="11">
        <v>3.322291768717045E-2</v>
      </c>
      <c r="CU14" s="26">
        <v>2.7337938167233853</v>
      </c>
      <c r="CV14" s="26" t="s">
        <v>59</v>
      </c>
      <c r="CW14" s="26"/>
      <c r="CX14" s="9">
        <v>1010</v>
      </c>
      <c r="CY14" s="9">
        <v>1009.9601778499768</v>
      </c>
      <c r="CZ14" s="10">
        <v>4.0287090024596015</v>
      </c>
      <c r="DA14" s="11">
        <v>2.9885256508818691E-2</v>
      </c>
      <c r="DB14" s="26">
        <v>-6.4226400045202006</v>
      </c>
      <c r="DC14" s="26" t="s">
        <v>59</v>
      </c>
      <c r="DD14" s="26"/>
      <c r="DE14" s="9">
        <v>252</v>
      </c>
      <c r="DF14" s="9">
        <v>253.03622861000107</v>
      </c>
      <c r="DG14" s="10">
        <v>4.9046359937762434</v>
      </c>
      <c r="DH14" s="11">
        <v>2.0901781497284864E-2</v>
      </c>
      <c r="DI14" s="26">
        <v>-28.499428588094258</v>
      </c>
      <c r="DJ14" s="26" t="s">
        <v>59</v>
      </c>
      <c r="DK14" s="26"/>
      <c r="DL14" s="9">
        <v>813</v>
      </c>
      <c r="DM14" s="9">
        <v>813</v>
      </c>
      <c r="DN14" s="10">
        <v>4.8560885608856097</v>
      </c>
      <c r="DO14" s="11">
        <v>1.3933395454057064E-2</v>
      </c>
      <c r="DP14" s="26">
        <v>-29.513459125969032</v>
      </c>
      <c r="DQ14" s="26" t="s">
        <v>59</v>
      </c>
      <c r="DR14" s="26"/>
      <c r="DS14" s="9">
        <v>523</v>
      </c>
      <c r="DT14" s="9">
        <v>523</v>
      </c>
      <c r="DU14" s="10">
        <v>4.9980879541108969</v>
      </c>
      <c r="DV14" s="11">
        <v>1.9120458891013392E-3</v>
      </c>
      <c r="DW14" s="26">
        <v>-35.654839219166185</v>
      </c>
      <c r="DX14" s="26" t="s">
        <v>59</v>
      </c>
      <c r="DY14" s="36"/>
      <c r="DZ14" s="9">
        <v>244</v>
      </c>
      <c r="EA14" s="9">
        <v>248.68914143000026</v>
      </c>
      <c r="EB14" s="10">
        <v>3.5133604993603451</v>
      </c>
      <c r="EC14" s="11">
        <v>7.7374883001852787E-2</v>
      </c>
      <c r="ED14" s="11"/>
      <c r="EE14" s="9">
        <v>300</v>
      </c>
      <c r="EF14" s="9">
        <v>298.82666371999926</v>
      </c>
      <c r="EG14" s="10">
        <v>3.5827921950873214</v>
      </c>
      <c r="EH14" s="11">
        <v>6.8277758257197285E-2</v>
      </c>
      <c r="EI14" s="6">
        <v>-0.67283561309859818</v>
      </c>
      <c r="EJ14" s="6" t="s">
        <v>57</v>
      </c>
      <c r="EK14" s="45">
        <f t="shared" si="8"/>
        <v>-6.9431695726976272E-2</v>
      </c>
      <c r="EL14" s="11"/>
      <c r="EM14" s="9">
        <v>181</v>
      </c>
      <c r="EN14" s="9">
        <v>180.73959861000054</v>
      </c>
      <c r="EO14" s="10">
        <v>3.3581275293726289</v>
      </c>
      <c r="EP14" s="11">
        <v>9.7911022802013969E-2</v>
      </c>
      <c r="EQ14" s="6">
        <v>1.2439177845401441</v>
      </c>
      <c r="ER14" s="6" t="s">
        <v>57</v>
      </c>
      <c r="ES14" s="11"/>
      <c r="ET14" s="9">
        <v>193</v>
      </c>
      <c r="EU14" s="9">
        <v>194.08253158000048</v>
      </c>
      <c r="EV14" s="10">
        <v>3.5994557759673667</v>
      </c>
      <c r="EW14" s="11">
        <v>8.0575906642163103E-2</v>
      </c>
      <c r="EX14" s="6">
        <v>-0.77069644565179385</v>
      </c>
      <c r="EY14" s="6" t="s">
        <v>57</v>
      </c>
      <c r="EZ14" s="11"/>
      <c r="FA14" s="9">
        <v>207</v>
      </c>
      <c r="FB14" s="9">
        <v>212.96790778000042</v>
      </c>
      <c r="FC14" s="10">
        <v>3.5653263262292638</v>
      </c>
      <c r="FD14" s="11">
        <v>7.6056730573079517E-2</v>
      </c>
      <c r="FE14" s="6">
        <v>-0.47896299519947788</v>
      </c>
      <c r="FF14" s="6" t="s">
        <v>57</v>
      </c>
      <c r="FG14" s="45">
        <f t="shared" si="9"/>
        <v>-5.1965826868918708E-2</v>
      </c>
      <c r="FH14" s="11"/>
      <c r="FI14" s="28">
        <v>241</v>
      </c>
      <c r="FJ14" s="28">
        <v>240.6051429100005</v>
      </c>
      <c r="FK14" s="29">
        <v>3.4335235676529869</v>
      </c>
      <c r="FL14" s="27">
        <v>7.9961301007100333E-2</v>
      </c>
      <c r="FM14" s="6">
        <v>0.71751593449316597</v>
      </c>
      <c r="FN14" s="6" t="s">
        <v>57</v>
      </c>
      <c r="FO14" s="11"/>
      <c r="FP14" s="37">
        <v>1322</v>
      </c>
      <c r="FQ14" s="37">
        <v>1327.1931109200086</v>
      </c>
      <c r="FR14" s="10">
        <v>3.7857442230822822</v>
      </c>
      <c r="FS14" s="11">
        <v>2.9314036402090252E-2</v>
      </c>
      <c r="FT14" s="26">
        <v>-3.2919772824686029</v>
      </c>
      <c r="FU14" s="26" t="s">
        <v>59</v>
      </c>
      <c r="FV14" s="26"/>
      <c r="FW14" s="9">
        <v>331</v>
      </c>
      <c r="FX14" s="9">
        <v>330.75272373999985</v>
      </c>
      <c r="FY14" s="10">
        <v>3.8008134211714335</v>
      </c>
      <c r="FZ14" s="11">
        <v>5.2674600163668039E-2</v>
      </c>
      <c r="GA14" s="26">
        <v>-3.0709860324218696</v>
      </c>
      <c r="GB14" s="26" t="s">
        <v>59</v>
      </c>
      <c r="GC14" s="26"/>
      <c r="GD14" s="37">
        <v>86</v>
      </c>
      <c r="GE14" s="37">
        <v>85.998356000000072</v>
      </c>
      <c r="GF14" s="10">
        <v>3.9660630657869791</v>
      </c>
      <c r="GG14" s="11">
        <v>0.10757898640782083</v>
      </c>
      <c r="GH14" s="26">
        <v>-3.4162475259919898</v>
      </c>
      <c r="GI14" s="26" t="s">
        <v>59</v>
      </c>
      <c r="GJ14" s="26"/>
      <c r="GK14" s="37">
        <v>176</v>
      </c>
      <c r="GL14" s="37">
        <v>176.38183632999966</v>
      </c>
      <c r="GM14" s="10">
        <v>3.7186218210295463</v>
      </c>
      <c r="GN14" s="11">
        <v>7.7129190144178558E-2</v>
      </c>
      <c r="GO14" s="26">
        <v>-1.8788046942628409</v>
      </c>
      <c r="GP14" s="26" t="s">
        <v>57</v>
      </c>
      <c r="GQ14" s="26"/>
      <c r="GR14" s="37">
        <v>335</v>
      </c>
      <c r="GS14" s="37">
        <v>335.00150411999925</v>
      </c>
      <c r="GT14" s="10">
        <v>3.7552203042926462</v>
      </c>
      <c r="GU14" s="11">
        <v>5.9485445746368625E-2</v>
      </c>
      <c r="GV14" s="26">
        <v>-2.4781197991001416</v>
      </c>
      <c r="GW14" s="26" t="s">
        <v>59</v>
      </c>
      <c r="GX14" s="26"/>
      <c r="GY14" s="37">
        <v>150</v>
      </c>
      <c r="GZ14" s="37">
        <v>150.36954930000019</v>
      </c>
      <c r="HA14" s="10">
        <v>4.2466906288718915</v>
      </c>
      <c r="HB14" s="11">
        <v>7.3750219111045193E-2</v>
      </c>
      <c r="HC14" s="26">
        <v>-6.8604568891980051</v>
      </c>
      <c r="HD14" s="26" t="s">
        <v>59</v>
      </c>
      <c r="HE14" s="15"/>
      <c r="HF14" s="37">
        <v>221</v>
      </c>
      <c r="HG14" s="37">
        <v>221.03400691999926</v>
      </c>
      <c r="HH14" s="10">
        <v>3.5794697199076593</v>
      </c>
      <c r="HI14" s="11">
        <v>7.9307805093966885E-2</v>
      </c>
      <c r="HJ14" s="11"/>
      <c r="HK14" s="37">
        <v>223</v>
      </c>
      <c r="HL14" s="37">
        <v>222.97615758000092</v>
      </c>
      <c r="HM14" s="10">
        <v>3.4705123686255952</v>
      </c>
      <c r="HN14" s="11">
        <v>8.0347010491920848E-2</v>
      </c>
      <c r="HO14" s="6">
        <v>0.96511777120623876</v>
      </c>
      <c r="HP14" s="6" t="s">
        <v>57</v>
      </c>
      <c r="HQ14" s="45">
        <f t="shared" si="10"/>
        <v>0.10895735128206407</v>
      </c>
      <c r="HR14" s="27"/>
      <c r="HS14" s="3">
        <v>156</v>
      </c>
      <c r="HT14" s="3">
        <v>156.06577012000011</v>
      </c>
      <c r="HU14" s="29">
        <v>3.4687971814943421</v>
      </c>
      <c r="HV14" s="27">
        <v>9.8942179731465005E-2</v>
      </c>
      <c r="HW14" s="6">
        <v>0.87278351203002125</v>
      </c>
      <c r="HX14" s="6" t="s">
        <v>57</v>
      </c>
      <c r="HY14" s="27"/>
      <c r="HZ14" s="9">
        <v>192</v>
      </c>
      <c r="IA14" s="9">
        <v>192.48715682999963</v>
      </c>
      <c r="IB14" s="10">
        <v>3.6125619322443185</v>
      </c>
      <c r="IC14" s="11">
        <v>8.249604412931516E-2</v>
      </c>
      <c r="ID14" s="6">
        <v>-0.28917960331076575</v>
      </c>
      <c r="IE14" s="6" t="s">
        <v>57</v>
      </c>
      <c r="IF14" s="27"/>
      <c r="IG14" s="9">
        <v>309</v>
      </c>
      <c r="IH14" s="9">
        <v>312.34053558999921</v>
      </c>
      <c r="II14" s="10">
        <v>3.248148074932359</v>
      </c>
      <c r="IJ14" s="11">
        <v>6.8318734681343002E-2</v>
      </c>
      <c r="IK14" s="6">
        <v>3.1651949288667875</v>
      </c>
      <c r="IL14" s="6" t="s">
        <v>59</v>
      </c>
      <c r="IM14" s="45">
        <f t="shared" si="11"/>
        <v>0.33132164497530026</v>
      </c>
      <c r="IN14" s="11"/>
      <c r="IO14" s="28">
        <v>325</v>
      </c>
      <c r="IP14" s="28">
        <v>326.83722660999916</v>
      </c>
      <c r="IQ14" s="29">
        <v>3.1792346779698408</v>
      </c>
      <c r="IR14" s="27">
        <v>6.7290723671863242E-2</v>
      </c>
      <c r="IS14" s="6">
        <v>3.8480991132013851</v>
      </c>
      <c r="IT14" s="6" t="s">
        <v>59</v>
      </c>
      <c r="IU14" s="27"/>
      <c r="IV14" s="37">
        <v>1396</v>
      </c>
      <c r="IW14" s="37">
        <v>1409.3667682800078</v>
      </c>
      <c r="IX14" s="10">
        <v>3.8262625488049289</v>
      </c>
      <c r="IY14" s="11">
        <v>2.8322991334665738E-2</v>
      </c>
      <c r="IZ14" s="26">
        <v>-2.9305600757337018</v>
      </c>
      <c r="JA14" s="26" t="s">
        <v>59</v>
      </c>
      <c r="JB14" s="26"/>
      <c r="JC14" s="37">
        <v>331</v>
      </c>
      <c r="JD14" s="37">
        <v>330.75272373999985</v>
      </c>
      <c r="JE14" s="10">
        <v>3.8008134211714335</v>
      </c>
      <c r="JF14" s="11">
        <v>5.2674600163668039E-2</v>
      </c>
      <c r="JG14" s="26">
        <v>-2.3248719591758675</v>
      </c>
      <c r="JH14" s="26" t="s">
        <v>59</v>
      </c>
      <c r="JI14" s="26"/>
      <c r="JJ14" s="37">
        <v>129</v>
      </c>
      <c r="JK14" s="37">
        <v>129</v>
      </c>
      <c r="JL14" s="10">
        <v>3.976744186046512</v>
      </c>
      <c r="JM14" s="11">
        <v>9.8107773434222112E-2</v>
      </c>
      <c r="JN14" s="26">
        <v>-3.149119914671267</v>
      </c>
      <c r="JO14" s="26" t="s">
        <v>59</v>
      </c>
      <c r="JP14" s="26"/>
      <c r="JQ14" s="37">
        <v>348</v>
      </c>
      <c r="JR14" s="37">
        <v>362.479417780002</v>
      </c>
      <c r="JS14" s="10">
        <v>3.9367315803737051</v>
      </c>
      <c r="JT14" s="11">
        <v>5.6073450340591725E-2</v>
      </c>
      <c r="JU14" s="26">
        <v>-3.6782364627413782</v>
      </c>
      <c r="JV14" s="26" t="s">
        <v>59</v>
      </c>
      <c r="JW14" s="26"/>
      <c r="JX14" s="37">
        <v>86</v>
      </c>
      <c r="JY14" s="37">
        <v>85.998356000000072</v>
      </c>
      <c r="JZ14" s="10">
        <v>3.9660630657869791</v>
      </c>
      <c r="KA14" s="11">
        <v>0.10757898640782083</v>
      </c>
      <c r="KB14" s="26">
        <v>-2.8925280926077854</v>
      </c>
      <c r="KC14" s="26" t="s">
        <v>59</v>
      </c>
      <c r="KD14" s="26"/>
      <c r="KE14" s="37">
        <v>281</v>
      </c>
      <c r="KF14" s="37">
        <v>280.10226383999873</v>
      </c>
      <c r="KG14" s="10">
        <v>3.7958789316581183</v>
      </c>
      <c r="KH14" s="11">
        <v>6.2490130031283737E-2</v>
      </c>
      <c r="KI14" s="26">
        <v>-2.1433227533399579</v>
      </c>
      <c r="KJ14" s="26" t="s">
        <v>59</v>
      </c>
      <c r="KL14" s="9"/>
      <c r="KM14" s="9"/>
      <c r="KN14" s="10"/>
      <c r="KO14" s="11"/>
    </row>
    <row r="15" spans="1:301" s="7" customFormat="1" x14ac:dyDescent="0.25">
      <c r="B15" s="5"/>
      <c r="C15" s="9"/>
      <c r="D15" s="9"/>
      <c r="E15" s="10"/>
      <c r="F15" s="11"/>
      <c r="G15" s="11"/>
      <c r="H15" s="9"/>
      <c r="I15" s="9"/>
      <c r="J15" s="10"/>
      <c r="K15" s="11"/>
      <c r="L15" s="26"/>
      <c r="M15" s="26"/>
      <c r="N15" s="45"/>
      <c r="O15" s="11"/>
      <c r="P15" s="3"/>
      <c r="Q15" s="3"/>
      <c r="R15" s="10"/>
      <c r="S15" s="11"/>
      <c r="T15" s="26"/>
      <c r="U15" s="26"/>
      <c r="V15" s="27"/>
      <c r="W15" s="9"/>
      <c r="X15" s="9"/>
      <c r="Y15" s="10"/>
      <c r="Z15" s="11"/>
      <c r="AA15" s="26"/>
      <c r="AB15" s="26"/>
      <c r="AC15" s="26"/>
      <c r="AD15" s="9"/>
      <c r="AE15" s="9"/>
      <c r="AF15" s="10"/>
      <c r="AG15" s="11"/>
      <c r="AH15" s="26"/>
      <c r="AI15" s="26"/>
      <c r="AJ15" s="45"/>
      <c r="AK15" s="27"/>
      <c r="AL15" s="28"/>
      <c r="AM15" s="28"/>
      <c r="AN15" s="29"/>
      <c r="AO15" s="27"/>
      <c r="AP15" s="26"/>
      <c r="AQ15" s="26"/>
      <c r="AR15" s="27"/>
      <c r="AS15" s="30"/>
      <c r="AT15" s="31"/>
      <c r="AU15" s="32"/>
      <c r="AV15" s="26"/>
      <c r="AW15" s="26"/>
      <c r="AX15" s="27"/>
      <c r="AY15" s="33"/>
      <c r="AZ15" s="34"/>
      <c r="BA15" s="35"/>
      <c r="BB15" s="26"/>
      <c r="BC15" s="26"/>
      <c r="BD15" s="35"/>
      <c r="BE15" s="33"/>
      <c r="BF15" s="34"/>
      <c r="BG15" s="35"/>
      <c r="BH15" s="26"/>
      <c r="BI15" s="26"/>
      <c r="BJ15" s="35"/>
      <c r="BK15" s="33"/>
      <c r="BL15" s="34"/>
      <c r="BM15" s="35"/>
      <c r="BN15" s="26"/>
      <c r="BO15" s="26"/>
      <c r="BP15" s="35"/>
      <c r="BQ15" s="33"/>
      <c r="BR15" s="34"/>
      <c r="BS15" s="35"/>
      <c r="BT15" s="26"/>
      <c r="BU15" s="26"/>
      <c r="BV15" s="35"/>
      <c r="BW15" s="33"/>
      <c r="BX15" s="34"/>
      <c r="BY15" s="35"/>
      <c r="BZ15" s="26"/>
      <c r="CA15" s="26"/>
      <c r="CB15" s="27"/>
      <c r="CC15" s="9"/>
      <c r="CD15" s="9"/>
      <c r="CE15" s="10"/>
      <c r="CF15" s="11"/>
      <c r="CG15" s="26"/>
      <c r="CH15" s="26"/>
      <c r="CI15" s="26"/>
      <c r="CJ15" s="9"/>
      <c r="CK15" s="9"/>
      <c r="CL15" s="10"/>
      <c r="CM15" s="11"/>
      <c r="CN15" s="26"/>
      <c r="CO15" s="26"/>
      <c r="CP15" s="26"/>
      <c r="CQ15" s="9"/>
      <c r="CR15" s="9"/>
      <c r="CS15" s="10"/>
      <c r="CT15" s="11"/>
      <c r="CU15" s="26"/>
      <c r="CV15" s="26"/>
      <c r="CW15" s="26"/>
      <c r="CX15" s="9"/>
      <c r="CY15" s="9"/>
      <c r="CZ15" s="10"/>
      <c r="DA15" s="11"/>
      <c r="DB15" s="26"/>
      <c r="DC15" s="26"/>
      <c r="DD15" s="26"/>
      <c r="DE15" s="9"/>
      <c r="DF15" s="9"/>
      <c r="DG15" s="10"/>
      <c r="DH15" s="11"/>
      <c r="DI15" s="26"/>
      <c r="DJ15" s="26"/>
      <c r="DK15" s="26"/>
      <c r="DL15" s="9"/>
      <c r="DM15" s="9"/>
      <c r="DN15" s="10"/>
      <c r="DO15" s="11"/>
      <c r="DP15" s="26"/>
      <c r="DQ15" s="26"/>
      <c r="DR15" s="26"/>
      <c r="DS15" s="9"/>
      <c r="DT15" s="9"/>
      <c r="DU15" s="10"/>
      <c r="DV15" s="11"/>
      <c r="DW15" s="26"/>
      <c r="DX15" s="26"/>
      <c r="DY15" s="36"/>
      <c r="DZ15" s="9"/>
      <c r="EA15" s="9"/>
      <c r="EB15" s="10"/>
      <c r="EC15" s="11"/>
      <c r="ED15" s="11"/>
      <c r="EE15" s="9"/>
      <c r="EF15" s="9"/>
      <c r="EG15" s="10"/>
      <c r="EH15" s="11"/>
      <c r="EI15" s="6"/>
      <c r="EJ15" s="6"/>
      <c r="EK15" s="45"/>
      <c r="EL15" s="11"/>
      <c r="EM15" s="9"/>
      <c r="EN15" s="9"/>
      <c r="EO15" s="10"/>
      <c r="EP15" s="11"/>
      <c r="EQ15" s="6"/>
      <c r="ER15" s="6"/>
      <c r="ES15" s="11"/>
      <c r="ET15" s="9"/>
      <c r="EU15" s="9"/>
      <c r="EV15" s="10"/>
      <c r="EW15" s="11"/>
      <c r="EX15" s="6"/>
      <c r="EY15" s="6"/>
      <c r="EZ15" s="11"/>
      <c r="FA15" s="9"/>
      <c r="FB15" s="9"/>
      <c r="FC15" s="10"/>
      <c r="FD15" s="11"/>
      <c r="FE15" s="6"/>
      <c r="FF15" s="6"/>
      <c r="FG15" s="45"/>
      <c r="FH15" s="11"/>
      <c r="FI15" s="28"/>
      <c r="FJ15" s="28"/>
      <c r="FK15" s="29"/>
      <c r="FL15" s="27"/>
      <c r="FM15" s="6"/>
      <c r="FN15" s="6"/>
      <c r="FO15" s="11"/>
      <c r="FP15" s="37"/>
      <c r="FQ15" s="37"/>
      <c r="FR15" s="10"/>
      <c r="FS15" s="11"/>
      <c r="FT15" s="26"/>
      <c r="FU15" s="26"/>
      <c r="FV15" s="26"/>
      <c r="FW15" s="9"/>
      <c r="FX15" s="9"/>
      <c r="FY15" s="10"/>
      <c r="FZ15" s="11"/>
      <c r="GA15" s="26"/>
      <c r="GB15" s="26"/>
      <c r="GC15" s="26"/>
      <c r="GD15" s="37"/>
      <c r="GE15" s="37"/>
      <c r="GF15" s="10"/>
      <c r="GG15" s="11"/>
      <c r="GH15" s="26"/>
      <c r="GI15" s="26"/>
      <c r="GJ15" s="26"/>
      <c r="GK15" s="37"/>
      <c r="GL15" s="37"/>
      <c r="GM15" s="10"/>
      <c r="GN15" s="11"/>
      <c r="GO15" s="26"/>
      <c r="GP15" s="26"/>
      <c r="GQ15" s="26"/>
      <c r="GR15" s="37"/>
      <c r="GS15" s="37"/>
      <c r="GT15" s="10"/>
      <c r="GU15" s="11"/>
      <c r="GV15" s="26"/>
      <c r="GW15" s="26"/>
      <c r="GX15" s="26"/>
      <c r="GY15" s="37"/>
      <c r="GZ15" s="37"/>
      <c r="HA15" s="10"/>
      <c r="HB15" s="11"/>
      <c r="HC15" s="26"/>
      <c r="HD15" s="26"/>
      <c r="HE15" s="15"/>
      <c r="HF15" s="37"/>
      <c r="HG15" s="37"/>
      <c r="HH15" s="10"/>
      <c r="HI15" s="11"/>
      <c r="HJ15" s="11"/>
      <c r="HK15" s="37"/>
      <c r="HL15" s="37"/>
      <c r="HM15" s="10"/>
      <c r="HN15" s="11"/>
      <c r="HO15" s="6"/>
      <c r="HP15" s="6"/>
      <c r="HQ15" s="45"/>
      <c r="HR15" s="27"/>
      <c r="HS15" s="3"/>
      <c r="HT15" s="3"/>
      <c r="HU15" s="29"/>
      <c r="HV15" s="27"/>
      <c r="HW15" s="6"/>
      <c r="HX15" s="6"/>
      <c r="HY15" s="27"/>
      <c r="HZ15" s="9"/>
      <c r="IA15" s="9"/>
      <c r="IB15" s="10"/>
      <c r="IC15" s="11"/>
      <c r="ID15" s="6"/>
      <c r="IE15" s="6"/>
      <c r="IF15" s="27"/>
      <c r="IG15" s="9"/>
      <c r="IH15" s="9"/>
      <c r="II15" s="10"/>
      <c r="IJ15" s="11"/>
      <c r="IK15" s="6"/>
      <c r="IL15" s="6"/>
      <c r="IM15" s="45"/>
      <c r="IN15" s="11"/>
      <c r="IO15" s="28"/>
      <c r="IP15" s="28"/>
      <c r="IQ15" s="29"/>
      <c r="IR15" s="27"/>
      <c r="IS15" s="6"/>
      <c r="IT15" s="6"/>
      <c r="IU15" s="27"/>
      <c r="IV15" s="37"/>
      <c r="IW15" s="37"/>
      <c r="IX15" s="10"/>
      <c r="IY15" s="11"/>
      <c r="IZ15" s="26"/>
      <c r="JA15" s="26"/>
      <c r="JB15" s="26"/>
      <c r="JC15" s="37"/>
      <c r="JD15" s="37"/>
      <c r="JE15" s="10"/>
      <c r="JF15" s="11"/>
      <c r="JG15" s="26"/>
      <c r="JH15" s="26"/>
      <c r="JI15" s="26"/>
      <c r="JJ15" s="37"/>
      <c r="JK15" s="37"/>
      <c r="JL15" s="10"/>
      <c r="JM15" s="11"/>
      <c r="JN15" s="26"/>
      <c r="JO15" s="26"/>
      <c r="JP15" s="26"/>
      <c r="JQ15" s="37"/>
      <c r="JR15" s="37"/>
      <c r="JS15" s="10"/>
      <c r="JT15" s="11"/>
      <c r="JU15" s="26"/>
      <c r="JV15" s="26"/>
      <c r="JW15" s="26"/>
      <c r="JX15" s="37"/>
      <c r="JY15" s="37"/>
      <c r="JZ15" s="10"/>
      <c r="KA15" s="11"/>
      <c r="KB15" s="26"/>
      <c r="KC15" s="26"/>
      <c r="KD15" s="26"/>
      <c r="KE15" s="37"/>
      <c r="KF15" s="37"/>
      <c r="KG15" s="10"/>
      <c r="KH15" s="11"/>
      <c r="KI15" s="26"/>
      <c r="KJ15" s="26"/>
      <c r="KL15" s="9"/>
      <c r="KM15" s="9"/>
      <c r="KN15" s="10"/>
      <c r="KO15" s="11"/>
    </row>
    <row r="16" spans="1:301" s="7" customFormat="1" x14ac:dyDescent="0.25">
      <c r="A16" s="14"/>
      <c r="B16" s="5" t="s">
        <v>11</v>
      </c>
      <c r="C16" s="9">
        <v>2542</v>
      </c>
      <c r="D16" s="9">
        <v>2547.5216878000733</v>
      </c>
      <c r="E16" s="10">
        <v>4.0415238481566664</v>
      </c>
      <c r="F16" s="11">
        <v>2.1452190227880589E-2</v>
      </c>
      <c r="G16" s="11"/>
      <c r="H16" s="9">
        <v>2682</v>
      </c>
      <c r="I16" s="9">
        <v>2677.2872178699299</v>
      </c>
      <c r="J16" s="10">
        <v>3.8004476640817613</v>
      </c>
      <c r="K16" s="11">
        <v>2.3144382149254225E-2</v>
      </c>
      <c r="L16" s="26">
        <v>7.6393323780345677</v>
      </c>
      <c r="M16" s="26" t="s">
        <v>59</v>
      </c>
      <c r="N16" s="45">
        <f t="shared" ref="N16:N18" si="12">E16-J16</f>
        <v>0.24107618407490516</v>
      </c>
      <c r="O16" s="11"/>
      <c r="P16" s="3">
        <v>858</v>
      </c>
      <c r="Q16" s="3">
        <v>857.63984136001159</v>
      </c>
      <c r="R16" s="10">
        <v>3.8463141894259638</v>
      </c>
      <c r="S16" s="11">
        <v>3.9513961974531456E-2</v>
      </c>
      <c r="T16" s="26">
        <v>4.3416928405018904</v>
      </c>
      <c r="U16" s="26" t="s">
        <v>59</v>
      </c>
      <c r="V16" s="27"/>
      <c r="W16" s="9">
        <v>705</v>
      </c>
      <c r="X16" s="9">
        <v>706.35578601000168</v>
      </c>
      <c r="Y16" s="10">
        <v>3.4853803355341206</v>
      </c>
      <c r="Z16" s="11">
        <v>4.4536743523132194E-2</v>
      </c>
      <c r="AA16" s="26">
        <v>11.25022822226822</v>
      </c>
      <c r="AB16" s="26" t="s">
        <v>59</v>
      </c>
      <c r="AC16" s="26"/>
      <c r="AD16" s="9">
        <v>734</v>
      </c>
      <c r="AE16" s="9">
        <v>747.37120215000812</v>
      </c>
      <c r="AF16" s="10">
        <v>3.7439870447783195</v>
      </c>
      <c r="AG16" s="11">
        <v>4.0518099985730228E-2</v>
      </c>
      <c r="AH16" s="26">
        <v>6.4898302265729404</v>
      </c>
      <c r="AI16" s="26" t="s">
        <v>59</v>
      </c>
      <c r="AJ16" s="45">
        <f t="shared" ref="AJ16:AJ18" si="13">E16-AF16</f>
        <v>0.29753680337834698</v>
      </c>
      <c r="AK16" s="27"/>
      <c r="AL16" s="28">
        <v>1127</v>
      </c>
      <c r="AM16" s="28">
        <v>1132.3148295400024</v>
      </c>
      <c r="AN16" s="29">
        <v>3.2923209343592763</v>
      </c>
      <c r="AO16" s="27">
        <v>3.4362914472203097E-2</v>
      </c>
      <c r="AP16" s="26">
        <v>18.494573734785781</v>
      </c>
      <c r="AQ16" s="26" t="s">
        <v>59</v>
      </c>
      <c r="AR16" s="27"/>
      <c r="AS16" s="30">
        <v>4481</v>
      </c>
      <c r="AT16" s="31">
        <v>4.1024146497427934</v>
      </c>
      <c r="AU16" s="32">
        <v>1.5045717656593436E-2</v>
      </c>
      <c r="AV16" s="26">
        <v>-2.3238562130168234</v>
      </c>
      <c r="AW16" s="26" t="s">
        <v>59</v>
      </c>
      <c r="AX16" s="27"/>
      <c r="AY16" s="33">
        <v>426</v>
      </c>
      <c r="AZ16" s="34">
        <v>4.2853996913820955</v>
      </c>
      <c r="BA16" s="35">
        <v>4.5376276398578802E-2</v>
      </c>
      <c r="BB16" s="26">
        <v>-4.8588915756283102</v>
      </c>
      <c r="BC16" s="26" t="s">
        <v>59</v>
      </c>
      <c r="BD16" s="35"/>
      <c r="BE16" s="33">
        <v>594</v>
      </c>
      <c r="BF16" s="34">
        <v>4.105471928093805</v>
      </c>
      <c r="BG16" s="35">
        <v>3.936830322643603E-2</v>
      </c>
      <c r="BH16" s="26">
        <v>-1.42633987632688</v>
      </c>
      <c r="BI16" s="26" t="s">
        <v>57</v>
      </c>
      <c r="BJ16" s="35"/>
      <c r="BK16" s="33">
        <v>588</v>
      </c>
      <c r="BL16" s="34">
        <v>4.1576514263674547</v>
      </c>
      <c r="BM16" s="35">
        <v>4.1247442462084449E-2</v>
      </c>
      <c r="BN16" s="26">
        <v>-2.4977727862886776</v>
      </c>
      <c r="BO16" s="26" t="s">
        <v>59</v>
      </c>
      <c r="BP16" s="35"/>
      <c r="BQ16" s="33">
        <v>951</v>
      </c>
      <c r="BR16" s="34">
        <v>4.0325950008950846</v>
      </c>
      <c r="BS16" s="35">
        <v>3.5925810281160236E-2</v>
      </c>
      <c r="BT16" s="26">
        <v>0.21338782901930106</v>
      </c>
      <c r="BU16" s="26" t="s">
        <v>57</v>
      </c>
      <c r="BV16" s="35"/>
      <c r="BW16" s="33">
        <v>1056</v>
      </c>
      <c r="BX16" s="34">
        <v>4.0800329090748795</v>
      </c>
      <c r="BY16" s="35">
        <v>3.2679027324267911E-2</v>
      </c>
      <c r="BZ16" s="26">
        <v>-0.9851103162453364</v>
      </c>
      <c r="CA16" s="26" t="s">
        <v>57</v>
      </c>
      <c r="CB16" s="27"/>
      <c r="CC16" s="9">
        <v>9577</v>
      </c>
      <c r="CD16" s="9">
        <v>9647.110836299189</v>
      </c>
      <c r="CE16" s="10">
        <v>4.252744273302576</v>
      </c>
      <c r="CF16" s="11">
        <v>9.9799787610919625E-3</v>
      </c>
      <c r="CG16" s="26">
        <v>-8.9273147236931365</v>
      </c>
      <c r="CH16" s="26" t="s">
        <v>59</v>
      </c>
      <c r="CI16" s="26"/>
      <c r="CJ16" s="9">
        <v>269</v>
      </c>
      <c r="CK16" s="9">
        <v>269</v>
      </c>
      <c r="CL16" s="10">
        <v>4.1003717472118977</v>
      </c>
      <c r="CM16" s="11">
        <v>5.8211564917046613E-2</v>
      </c>
      <c r="CN16" s="26">
        <v>-0.94856973411574108</v>
      </c>
      <c r="CO16" s="26" t="s">
        <v>57</v>
      </c>
      <c r="CP16" s="26"/>
      <c r="CQ16" s="9">
        <v>2756</v>
      </c>
      <c r="CR16" s="9">
        <v>2818.5882893999137</v>
      </c>
      <c r="CS16" s="10">
        <v>4.1107393202667746</v>
      </c>
      <c r="CT16" s="11">
        <v>1.8745005711223253E-2</v>
      </c>
      <c r="CU16" s="26">
        <v>-2.4296277375078423</v>
      </c>
      <c r="CV16" s="26" t="s">
        <v>59</v>
      </c>
      <c r="CW16" s="26"/>
      <c r="CX16" s="9">
        <v>2298</v>
      </c>
      <c r="CY16" s="9">
        <v>2297.9501599600544</v>
      </c>
      <c r="CZ16" s="10">
        <v>4.2040790530192149</v>
      </c>
      <c r="DA16" s="11">
        <v>2.0169414566776209E-2</v>
      </c>
      <c r="DB16" s="26">
        <v>-5.5206586231381261</v>
      </c>
      <c r="DC16" s="26" t="s">
        <v>59</v>
      </c>
      <c r="DD16" s="26"/>
      <c r="DE16" s="9">
        <v>500</v>
      </c>
      <c r="DF16" s="9">
        <v>502.05069913999665</v>
      </c>
      <c r="DG16" s="10">
        <v>4.8751647413152543</v>
      </c>
      <c r="DH16" s="11">
        <v>1.9164245576820026E-2</v>
      </c>
      <c r="DI16" s="26">
        <v>-28.980391822500629</v>
      </c>
      <c r="DJ16" s="26" t="s">
        <v>59</v>
      </c>
      <c r="DK16" s="26"/>
      <c r="DL16" s="9">
        <v>855</v>
      </c>
      <c r="DM16" s="9">
        <v>855</v>
      </c>
      <c r="DN16" s="10">
        <v>4.8561403508771877</v>
      </c>
      <c r="DO16" s="11">
        <v>1.299507572274332E-2</v>
      </c>
      <c r="DP16" s="26">
        <v>-32.479119621882305</v>
      </c>
      <c r="DQ16" s="26" t="s">
        <v>59</v>
      </c>
      <c r="DR16" s="26"/>
      <c r="DS16" s="9">
        <v>357</v>
      </c>
      <c r="DT16" s="9">
        <v>357</v>
      </c>
      <c r="DU16" s="10">
        <v>4.9887955182072803</v>
      </c>
      <c r="DV16" s="11">
        <v>5.5785860085924358E-3</v>
      </c>
      <c r="DW16" s="26">
        <v>-42.735974818749348</v>
      </c>
      <c r="DX16" s="26" t="s">
        <v>59</v>
      </c>
      <c r="DY16" s="36"/>
      <c r="DZ16" s="9">
        <v>818</v>
      </c>
      <c r="EA16" s="9">
        <v>821.52185308000105</v>
      </c>
      <c r="EB16" s="10">
        <v>4.0534432160817069</v>
      </c>
      <c r="EC16" s="11">
        <v>3.680695619356808E-2</v>
      </c>
      <c r="ED16" s="11"/>
      <c r="EE16" s="9">
        <v>804</v>
      </c>
      <c r="EF16" s="9">
        <v>803.35153476000414</v>
      </c>
      <c r="EG16" s="10">
        <v>3.7811637918728596</v>
      </c>
      <c r="EH16" s="11">
        <v>4.2641208261753612E-2</v>
      </c>
      <c r="EI16" s="6">
        <v>4.8336822663968428</v>
      </c>
      <c r="EJ16" s="6" t="s">
        <v>59</v>
      </c>
      <c r="EK16" s="45">
        <f t="shared" ref="EK16:EK18" si="14">EB16-EG16</f>
        <v>0.27227942420884732</v>
      </c>
      <c r="EL16" s="11"/>
      <c r="EM16" s="9">
        <v>526</v>
      </c>
      <c r="EN16" s="9">
        <v>525.87920742999643</v>
      </c>
      <c r="EO16" s="10">
        <v>3.9442297777025064</v>
      </c>
      <c r="EP16" s="11">
        <v>5.0780305983121783E-2</v>
      </c>
      <c r="EQ16" s="6">
        <v>1.7413757520528212</v>
      </c>
      <c r="ER16" s="6" t="s">
        <v>57</v>
      </c>
      <c r="ES16" s="11"/>
      <c r="ET16" s="9">
        <v>589</v>
      </c>
      <c r="EU16" s="9">
        <v>589.56543086999943</v>
      </c>
      <c r="EV16" s="10">
        <v>4.0176739645243877</v>
      </c>
      <c r="EW16" s="11">
        <v>4.4117230030671584E-2</v>
      </c>
      <c r="EX16" s="6">
        <v>0.62256069185528817</v>
      </c>
      <c r="EY16" s="6" t="s">
        <v>57</v>
      </c>
      <c r="EZ16" s="11"/>
      <c r="FA16" s="9">
        <v>551</v>
      </c>
      <c r="FB16" s="9">
        <v>554.30410159000201</v>
      </c>
      <c r="FC16" s="10">
        <v>3.9824890564003423</v>
      </c>
      <c r="FD16" s="11">
        <v>4.6223798990378248E-2</v>
      </c>
      <c r="FE16" s="6">
        <v>1.2008218414638139</v>
      </c>
      <c r="FF16" s="6" t="s">
        <v>57</v>
      </c>
      <c r="FG16" s="45">
        <f t="shared" ref="FG16:FG18" si="15">EB16-FC16</f>
        <v>7.0954159681364537E-2</v>
      </c>
      <c r="FH16" s="11"/>
      <c r="FI16" s="28">
        <v>644</v>
      </c>
      <c r="FJ16" s="28">
        <v>643.9531431399987</v>
      </c>
      <c r="FK16" s="29">
        <v>3.897172642069695</v>
      </c>
      <c r="FL16" s="27">
        <v>4.431295393160696E-2</v>
      </c>
      <c r="FM16" s="6">
        <v>2.7127732872830417</v>
      </c>
      <c r="FN16" s="6" t="s">
        <v>59</v>
      </c>
      <c r="FO16" s="11"/>
      <c r="FP16" s="37">
        <v>3647</v>
      </c>
      <c r="FQ16" s="37">
        <v>3650.5663360698409</v>
      </c>
      <c r="FR16" s="10">
        <v>4.1435624732994656</v>
      </c>
      <c r="FS16" s="11">
        <v>1.6537473846695291E-2</v>
      </c>
      <c r="FT16" s="26">
        <v>-2.2333582075107583</v>
      </c>
      <c r="FU16" s="26" t="s">
        <v>59</v>
      </c>
      <c r="FV16" s="26"/>
      <c r="FW16" s="9">
        <v>963</v>
      </c>
      <c r="FX16" s="9">
        <v>962.89835853998193</v>
      </c>
      <c r="FY16" s="10">
        <v>4.2120867455934228</v>
      </c>
      <c r="FZ16" s="11">
        <v>2.9728307312840308E-2</v>
      </c>
      <c r="GA16" s="26">
        <v>-3.3530610351232233</v>
      </c>
      <c r="GB16" s="26" t="s">
        <v>59</v>
      </c>
      <c r="GC16" s="26"/>
      <c r="GD16" s="37">
        <v>257</v>
      </c>
      <c r="GE16" s="37">
        <v>257.03654745000085</v>
      </c>
      <c r="GF16" s="10">
        <v>4.2927203784692773</v>
      </c>
      <c r="GG16" s="11">
        <v>5.9459019926597134E-2</v>
      </c>
      <c r="GH16" s="26">
        <v>-3.4216940711811739</v>
      </c>
      <c r="GI16" s="26" t="s">
        <v>59</v>
      </c>
      <c r="GJ16" s="26"/>
      <c r="GK16" s="37">
        <v>387</v>
      </c>
      <c r="GL16" s="37">
        <v>386.95965901999921</v>
      </c>
      <c r="GM16" s="10">
        <v>3.9525115294019537</v>
      </c>
      <c r="GN16" s="11">
        <v>4.9966147804157278E-2</v>
      </c>
      <c r="GO16" s="26">
        <v>1.6263725094356367</v>
      </c>
      <c r="GP16" s="26" t="s">
        <v>57</v>
      </c>
      <c r="GQ16" s="26"/>
      <c r="GR16" s="37">
        <v>923</v>
      </c>
      <c r="GS16" s="37">
        <v>923.00163308001106</v>
      </c>
      <c r="GT16" s="10">
        <v>4.0953400451810094</v>
      </c>
      <c r="GU16" s="11">
        <v>3.5252949715007934E-2</v>
      </c>
      <c r="GV16" s="26">
        <v>-0.82205617736156233</v>
      </c>
      <c r="GW16" s="26" t="s">
        <v>57</v>
      </c>
      <c r="GX16" s="26"/>
      <c r="GY16" s="37">
        <v>299</v>
      </c>
      <c r="GZ16" s="37">
        <v>299.14828490000059</v>
      </c>
      <c r="HA16" s="10">
        <v>4.4382403617116664</v>
      </c>
      <c r="HB16" s="11">
        <v>4.6106962350032935E-2</v>
      </c>
      <c r="HC16" s="26">
        <v>-6.5223565213961789</v>
      </c>
      <c r="HD16" s="26" t="s">
        <v>59</v>
      </c>
      <c r="HE16" s="15"/>
      <c r="HF16" s="37">
        <v>811</v>
      </c>
      <c r="HG16" s="37">
        <v>810.96955852000724</v>
      </c>
      <c r="HH16" s="10">
        <v>4.2687918679436159</v>
      </c>
      <c r="HI16" s="11">
        <v>3.25834272312025E-2</v>
      </c>
      <c r="HJ16" s="11"/>
      <c r="HK16" s="37">
        <v>803</v>
      </c>
      <c r="HL16" s="37">
        <v>802.98906216000785</v>
      </c>
      <c r="HM16" s="10">
        <v>3.9758906218623671</v>
      </c>
      <c r="HN16" s="11">
        <v>4.1162479318034094E-2</v>
      </c>
      <c r="HO16" s="6">
        <v>5.5792945972429671</v>
      </c>
      <c r="HP16" s="6" t="s">
        <v>59</v>
      </c>
      <c r="HQ16" s="45">
        <f t="shared" ref="HQ16:HQ18" si="16">HH16-HM16</f>
        <v>0.29290124608124879</v>
      </c>
      <c r="HR16" s="27"/>
      <c r="HS16" s="3">
        <v>562</v>
      </c>
      <c r="HT16" s="3">
        <v>562.05669403999559</v>
      </c>
      <c r="HU16" s="29">
        <v>4.1334893795334091</v>
      </c>
      <c r="HV16" s="27">
        <v>4.2702530529253872E-2</v>
      </c>
      <c r="HW16" s="6">
        <v>2.518946175544567</v>
      </c>
      <c r="HX16" s="6" t="s">
        <v>59</v>
      </c>
      <c r="HY16" s="27"/>
      <c r="HZ16" s="9">
        <v>610</v>
      </c>
      <c r="IA16" s="9">
        <v>610.64868296000304</v>
      </c>
      <c r="IB16" s="10">
        <v>4.3405800244944182</v>
      </c>
      <c r="IC16" s="11">
        <v>3.5432276285378921E-2</v>
      </c>
      <c r="ID16" s="6">
        <v>-1.4913445186343064</v>
      </c>
      <c r="IE16" s="6" t="s">
        <v>57</v>
      </c>
      <c r="IF16" s="27"/>
      <c r="IG16" s="9">
        <v>1179</v>
      </c>
      <c r="IH16" s="9">
        <v>1179.9975668699933</v>
      </c>
      <c r="II16" s="10">
        <v>4.0450411581364412</v>
      </c>
      <c r="IJ16" s="11">
        <v>3.1010287469858365E-2</v>
      </c>
      <c r="IK16" s="6">
        <v>4.9743047154989499</v>
      </c>
      <c r="IL16" s="6" t="s">
        <v>59</v>
      </c>
      <c r="IM16" s="45">
        <f t="shared" ref="IM16:IM18" si="17">HH16-II16</f>
        <v>0.22375070980717471</v>
      </c>
      <c r="IN16" s="11"/>
      <c r="IO16" s="28">
        <v>1198</v>
      </c>
      <c r="IP16" s="28">
        <v>1201.8963011899953</v>
      </c>
      <c r="IQ16" s="29">
        <v>3.9639010415066323</v>
      </c>
      <c r="IR16" s="27">
        <v>3.1823261150891534E-2</v>
      </c>
      <c r="IS16" s="6">
        <v>6.6941916087992075</v>
      </c>
      <c r="IT16" s="6" t="s">
        <v>59</v>
      </c>
      <c r="IU16" s="27"/>
      <c r="IV16" s="37">
        <v>4206</v>
      </c>
      <c r="IW16" s="37">
        <v>4196.5189633699702</v>
      </c>
      <c r="IX16" s="10">
        <v>4.2598535908686275</v>
      </c>
      <c r="IY16" s="11">
        <v>1.4617069062236813E-2</v>
      </c>
      <c r="IZ16" s="26">
        <v>0.25028861116599077</v>
      </c>
      <c r="JA16" s="26" t="s">
        <v>57</v>
      </c>
      <c r="JB16" s="26"/>
      <c r="JC16" s="37">
        <v>963</v>
      </c>
      <c r="JD16" s="37">
        <v>962.89835853998193</v>
      </c>
      <c r="JE16" s="10">
        <v>4.2120867455934228</v>
      </c>
      <c r="JF16" s="11">
        <v>2.9728307312840308E-2</v>
      </c>
      <c r="JG16" s="26">
        <v>1.2856182636596427</v>
      </c>
      <c r="JH16" s="26" t="s">
        <v>57</v>
      </c>
      <c r="JI16" s="26"/>
      <c r="JJ16" s="37">
        <v>429</v>
      </c>
      <c r="JK16" s="37">
        <v>429</v>
      </c>
      <c r="JL16" s="10">
        <v>4.3006993006992991</v>
      </c>
      <c r="JM16" s="11">
        <v>4.7381479825662196E-2</v>
      </c>
      <c r="JN16" s="26">
        <v>-0.55487542666091727</v>
      </c>
      <c r="JO16" s="26" t="s">
        <v>57</v>
      </c>
      <c r="JP16" s="26"/>
      <c r="JQ16" s="37">
        <v>841</v>
      </c>
      <c r="JR16" s="37">
        <v>832.28829768000764</v>
      </c>
      <c r="JS16" s="10">
        <v>4.2792551147936067</v>
      </c>
      <c r="JT16" s="11">
        <v>3.4631649973882538E-2</v>
      </c>
      <c r="JU16" s="26">
        <v>-0.22004586990522698</v>
      </c>
      <c r="JV16" s="26" t="s">
        <v>57</v>
      </c>
      <c r="JW16" s="26"/>
      <c r="JX16" s="37">
        <v>257</v>
      </c>
      <c r="JY16" s="37">
        <v>257.03654745000085</v>
      </c>
      <c r="JZ16" s="10">
        <v>4.2927203784692773</v>
      </c>
      <c r="KA16" s="11">
        <v>5.9459019926597134E-2</v>
      </c>
      <c r="KB16" s="26">
        <v>-0.35291963912338514</v>
      </c>
      <c r="KC16" s="26" t="s">
        <v>57</v>
      </c>
      <c r="KD16" s="26"/>
      <c r="KE16" s="37">
        <v>905</v>
      </c>
      <c r="KF16" s="37">
        <v>904.32620117998692</v>
      </c>
      <c r="KG16" s="10">
        <v>4.2561243058508875</v>
      </c>
      <c r="KH16" s="11">
        <v>3.0653878379529369E-2</v>
      </c>
      <c r="KI16" s="26">
        <v>0.28316045733483924</v>
      </c>
      <c r="KJ16" s="26" t="s">
        <v>57</v>
      </c>
      <c r="KL16" s="9"/>
      <c r="KM16" s="9"/>
      <c r="KN16" s="10"/>
      <c r="KO16" s="11"/>
    </row>
    <row r="17" spans="1:301" s="7" customFormat="1" x14ac:dyDescent="0.25">
      <c r="B17" s="5" t="s">
        <v>12</v>
      </c>
      <c r="C17" s="9">
        <v>2495</v>
      </c>
      <c r="D17" s="9">
        <v>2501.3722957400701</v>
      </c>
      <c r="E17" s="10">
        <v>4.1793713871038385</v>
      </c>
      <c r="F17" s="11">
        <v>1.9618909039341919E-2</v>
      </c>
      <c r="G17" s="11"/>
      <c r="H17" s="9">
        <v>2639</v>
      </c>
      <c r="I17" s="9">
        <v>2633.6160469299316</v>
      </c>
      <c r="J17" s="10">
        <v>4.035568872159307</v>
      </c>
      <c r="K17" s="11">
        <v>2.0831553720574048E-2</v>
      </c>
      <c r="L17" s="26">
        <v>5.0253107210769938</v>
      </c>
      <c r="M17" s="26" t="s">
        <v>59</v>
      </c>
      <c r="N17" s="45">
        <f t="shared" si="12"/>
        <v>0.14380251494453145</v>
      </c>
      <c r="O17" s="11"/>
      <c r="P17" s="3">
        <v>838</v>
      </c>
      <c r="Q17" s="3">
        <v>837.56719444001078</v>
      </c>
      <c r="R17" s="10">
        <v>4.0848749378580047</v>
      </c>
      <c r="S17" s="11">
        <v>3.6476691578555251E-2</v>
      </c>
      <c r="T17" s="26">
        <v>2.2815310275474205</v>
      </c>
      <c r="U17" s="26" t="s">
        <v>59</v>
      </c>
      <c r="V17" s="27"/>
      <c r="W17" s="9">
        <v>696</v>
      </c>
      <c r="X17" s="9">
        <v>697.50434208000183</v>
      </c>
      <c r="Y17" s="10">
        <v>3.8167771337610663</v>
      </c>
      <c r="Z17" s="11">
        <v>3.8157880633508369E-2</v>
      </c>
      <c r="AA17" s="26">
        <v>8.4508971527536332</v>
      </c>
      <c r="AB17" s="26" t="s">
        <v>59</v>
      </c>
      <c r="AC17" s="26"/>
      <c r="AD17" s="9">
        <v>727</v>
      </c>
      <c r="AE17" s="9">
        <v>740.7896762300079</v>
      </c>
      <c r="AF17" s="10">
        <v>3.9467084706945323</v>
      </c>
      <c r="AG17" s="11">
        <v>3.6112952243489455E-2</v>
      </c>
      <c r="AH17" s="26">
        <v>5.6611715009790435</v>
      </c>
      <c r="AI17" s="26" t="s">
        <v>59</v>
      </c>
      <c r="AJ17" s="45">
        <f t="shared" si="13"/>
        <v>0.23266291640930614</v>
      </c>
      <c r="AK17" s="27"/>
      <c r="AL17" s="28">
        <v>1133</v>
      </c>
      <c r="AM17" s="28">
        <v>1138.2758800600025</v>
      </c>
      <c r="AN17" s="29">
        <v>3.6945804422547597</v>
      </c>
      <c r="AO17" s="27">
        <v>3.1026573273760301E-2</v>
      </c>
      <c r="AP17" s="26">
        <v>13.206328037975982</v>
      </c>
      <c r="AQ17" s="26" t="s">
        <v>59</v>
      </c>
      <c r="AR17" s="27"/>
      <c r="AS17" s="30">
        <v>4415</v>
      </c>
      <c r="AT17" s="31">
        <v>4.2198458220731352</v>
      </c>
      <c r="AU17" s="32">
        <v>1.410128549569907E-2</v>
      </c>
      <c r="AV17" s="26">
        <v>-1.6752057293318545</v>
      </c>
      <c r="AW17" s="26" t="s">
        <v>57</v>
      </c>
      <c r="AX17" s="27"/>
      <c r="AY17" s="33">
        <v>427</v>
      </c>
      <c r="AZ17" s="34">
        <v>4.4123592615748679</v>
      </c>
      <c r="BA17" s="35">
        <v>4.1310432596587864E-2</v>
      </c>
      <c r="BB17" s="26">
        <v>-5.0945897758438177</v>
      </c>
      <c r="BC17" s="26" t="s">
        <v>59</v>
      </c>
      <c r="BD17" s="35"/>
      <c r="BE17" s="33">
        <v>584</v>
      </c>
      <c r="BF17" s="34">
        <v>4.3229705144721065</v>
      </c>
      <c r="BG17" s="35">
        <v>3.4752549071363083E-2</v>
      </c>
      <c r="BH17" s="26">
        <v>-3.5982623080812433</v>
      </c>
      <c r="BI17" s="26" t="s">
        <v>59</v>
      </c>
      <c r="BJ17" s="35"/>
      <c r="BK17" s="33">
        <v>592</v>
      </c>
      <c r="BL17" s="34">
        <v>4.2834336206531987</v>
      </c>
      <c r="BM17" s="35">
        <v>3.7499972844079237E-2</v>
      </c>
      <c r="BN17" s="26">
        <v>-2.458822725505645</v>
      </c>
      <c r="BO17" s="26" t="s">
        <v>59</v>
      </c>
      <c r="BP17" s="35"/>
      <c r="BQ17" s="33">
        <v>923</v>
      </c>
      <c r="BR17" s="34">
        <v>4.2415872150439249</v>
      </c>
      <c r="BS17" s="35">
        <v>3.2105307497402813E-2</v>
      </c>
      <c r="BT17" s="26">
        <v>-1.6535699678647289</v>
      </c>
      <c r="BU17" s="26" t="s">
        <v>57</v>
      </c>
      <c r="BV17" s="35"/>
      <c r="BW17" s="33">
        <v>1044</v>
      </c>
      <c r="BX17" s="34">
        <v>4.2070529309767082</v>
      </c>
      <c r="BY17" s="35">
        <v>2.990568633061249E-2</v>
      </c>
      <c r="BZ17" s="26">
        <v>-0.77394894479189591</v>
      </c>
      <c r="CA17" s="26" t="s">
        <v>57</v>
      </c>
      <c r="CB17" s="27"/>
      <c r="CC17" s="9">
        <v>9401</v>
      </c>
      <c r="CD17" s="9">
        <v>9469.7795401292187</v>
      </c>
      <c r="CE17" s="10">
        <v>4.3416607496361594</v>
      </c>
      <c r="CF17" s="11">
        <v>9.3525224105514906E-3</v>
      </c>
      <c r="CG17" s="26">
        <v>-7.4670372488464576</v>
      </c>
      <c r="CH17" s="26" t="s">
        <v>59</v>
      </c>
      <c r="CI17" s="26"/>
      <c r="CJ17" s="9">
        <v>257</v>
      </c>
      <c r="CK17" s="9">
        <v>257</v>
      </c>
      <c r="CL17" s="10">
        <v>4.1828793774319069</v>
      </c>
      <c r="CM17" s="11">
        <v>5.6010985557400479E-2</v>
      </c>
      <c r="CN17" s="26">
        <v>-5.9109266126032518E-2</v>
      </c>
      <c r="CO17" s="26" t="s">
        <v>57</v>
      </c>
      <c r="CP17" s="26"/>
      <c r="CQ17" s="9">
        <v>2706</v>
      </c>
      <c r="CR17" s="9">
        <v>2766.3994799499169</v>
      </c>
      <c r="CS17" s="10">
        <v>4.1900066899663715</v>
      </c>
      <c r="CT17" s="11">
        <v>1.7981679512801527E-2</v>
      </c>
      <c r="CU17" s="26">
        <v>-0.39963075497267703</v>
      </c>
      <c r="CV17" s="26" t="s">
        <v>57</v>
      </c>
      <c r="CW17" s="26"/>
      <c r="CX17" s="9">
        <v>2222</v>
      </c>
      <c r="CY17" s="9">
        <v>2221.9407467400497</v>
      </c>
      <c r="CZ17" s="10">
        <v>4.2947590863801928</v>
      </c>
      <c r="DA17" s="11">
        <v>1.9413648900287041E-2</v>
      </c>
      <c r="DB17" s="26">
        <v>-4.1806277014139903</v>
      </c>
      <c r="DC17" s="26" t="s">
        <v>59</v>
      </c>
      <c r="DD17" s="26"/>
      <c r="DE17" s="9">
        <v>503</v>
      </c>
      <c r="DF17" s="9">
        <v>505.0670176999966</v>
      </c>
      <c r="DG17" s="10">
        <v>4.9289969627133727</v>
      </c>
      <c r="DH17" s="11">
        <v>1.6038577738975886E-2</v>
      </c>
      <c r="DI17" s="26">
        <v>-29.58219230483089</v>
      </c>
      <c r="DJ17" s="26" t="s">
        <v>59</v>
      </c>
      <c r="DK17" s="26"/>
      <c r="DL17" s="9">
        <v>857</v>
      </c>
      <c r="DM17" s="9">
        <v>857</v>
      </c>
      <c r="DN17" s="10">
        <v>4.8541423570595086</v>
      </c>
      <c r="DO17" s="11">
        <v>1.355394651269254E-2</v>
      </c>
      <c r="DP17" s="26">
        <v>-28.297543709418171</v>
      </c>
      <c r="DQ17" s="26" t="s">
        <v>59</v>
      </c>
      <c r="DR17" s="26"/>
      <c r="DS17" s="9">
        <v>361</v>
      </c>
      <c r="DT17" s="9">
        <v>361</v>
      </c>
      <c r="DU17" s="10">
        <v>4.9916897506925215</v>
      </c>
      <c r="DV17" s="11">
        <v>4.7845785440559906E-3</v>
      </c>
      <c r="DW17" s="26">
        <v>-40.225918609487472</v>
      </c>
      <c r="DX17" s="26" t="s">
        <v>59</v>
      </c>
      <c r="DY17" s="36"/>
      <c r="DZ17" s="9">
        <v>802</v>
      </c>
      <c r="EA17" s="9">
        <v>805.60781792000057</v>
      </c>
      <c r="EB17" s="10">
        <v>4.0972004447426711</v>
      </c>
      <c r="EC17" s="11">
        <v>3.7107538651349657E-2</v>
      </c>
      <c r="ED17" s="11"/>
      <c r="EE17" s="9">
        <v>789</v>
      </c>
      <c r="EF17" s="9">
        <v>788.24226445000409</v>
      </c>
      <c r="EG17" s="10">
        <v>3.9474654481019322</v>
      </c>
      <c r="EH17" s="11">
        <v>4.0097071788310949E-2</v>
      </c>
      <c r="EI17" s="6">
        <v>2.7407519406188019</v>
      </c>
      <c r="EJ17" s="6" t="s">
        <v>59</v>
      </c>
      <c r="EK17" s="45">
        <f t="shared" si="14"/>
        <v>0.14973499664073886</v>
      </c>
      <c r="EL17" s="11"/>
      <c r="EM17" s="9">
        <v>504</v>
      </c>
      <c r="EN17" s="9">
        <v>503.71536837999741</v>
      </c>
      <c r="EO17" s="10">
        <v>4.0650448330281703</v>
      </c>
      <c r="EP17" s="11">
        <v>4.7245422050286631E-2</v>
      </c>
      <c r="EQ17" s="6">
        <v>0.53525084107147147</v>
      </c>
      <c r="ER17" s="6" t="s">
        <v>57</v>
      </c>
      <c r="ES17" s="11"/>
      <c r="ET17" s="9">
        <v>575</v>
      </c>
      <c r="EU17" s="9">
        <v>576.23165969999934</v>
      </c>
      <c r="EV17" s="10">
        <v>4.1270546516276418</v>
      </c>
      <c r="EW17" s="11">
        <v>4.2217452763859319E-2</v>
      </c>
      <c r="EX17" s="6">
        <v>-0.53114278996173747</v>
      </c>
      <c r="EY17" s="6" t="s">
        <v>57</v>
      </c>
      <c r="EZ17" s="11"/>
      <c r="FA17" s="9">
        <v>540</v>
      </c>
      <c r="FB17" s="9">
        <v>544.0818692100022</v>
      </c>
      <c r="FC17" s="10">
        <v>4.0565315632639214</v>
      </c>
      <c r="FD17" s="11">
        <v>4.5303413905570515E-2</v>
      </c>
      <c r="FE17" s="6">
        <v>0.69447263258899261</v>
      </c>
      <c r="FF17" s="6" t="s">
        <v>57</v>
      </c>
      <c r="FG17" s="45">
        <f t="shared" si="15"/>
        <v>4.0668881478749697E-2</v>
      </c>
      <c r="FH17" s="11"/>
      <c r="FI17" s="28">
        <v>635</v>
      </c>
      <c r="FJ17" s="28">
        <v>634.7480002499982</v>
      </c>
      <c r="FK17" s="29">
        <v>3.9797291879534349</v>
      </c>
      <c r="FL17" s="27">
        <v>4.3608178271642595E-2</v>
      </c>
      <c r="FM17" s="6">
        <v>2.0515616586092427</v>
      </c>
      <c r="FN17" s="6" t="s">
        <v>59</v>
      </c>
      <c r="FO17" s="11"/>
      <c r="FP17" s="37">
        <v>3539</v>
      </c>
      <c r="FQ17" s="37">
        <v>3542.7492515698477</v>
      </c>
      <c r="FR17" s="10">
        <v>4.2514876411716598</v>
      </c>
      <c r="FS17" s="11">
        <v>1.574688865002279E-2</v>
      </c>
      <c r="FT17" s="26">
        <v>-3.8274721059012968</v>
      </c>
      <c r="FU17" s="26" t="s">
        <v>59</v>
      </c>
      <c r="FV17" s="26"/>
      <c r="FW17" s="9">
        <v>915</v>
      </c>
      <c r="FX17" s="9">
        <v>914.87269141998422</v>
      </c>
      <c r="FY17" s="10">
        <v>4.2854397122452932</v>
      </c>
      <c r="FZ17" s="11">
        <v>2.8692450963801568E-2</v>
      </c>
      <c r="GA17" s="26">
        <v>-4.013068394917485</v>
      </c>
      <c r="GB17" s="26" t="s">
        <v>59</v>
      </c>
      <c r="GC17" s="26"/>
      <c r="GD17" s="37">
        <v>251</v>
      </c>
      <c r="GE17" s="37">
        <v>251.02767075000077</v>
      </c>
      <c r="GF17" s="10">
        <v>4.3953045616585715</v>
      </c>
      <c r="GG17" s="11">
        <v>5.3204138746316618E-2</v>
      </c>
      <c r="GH17" s="26">
        <v>-4.595663062708887</v>
      </c>
      <c r="GI17" s="26" t="s">
        <v>59</v>
      </c>
      <c r="GJ17" s="26"/>
      <c r="GK17" s="37">
        <v>376</v>
      </c>
      <c r="GL17" s="37">
        <v>376.01115563999923</v>
      </c>
      <c r="GM17" s="10">
        <v>4.0886351974937378</v>
      </c>
      <c r="GN17" s="11">
        <v>4.4967644030461489E-2</v>
      </c>
      <c r="GO17" s="26">
        <v>0.14691312227033762</v>
      </c>
      <c r="GP17" s="26" t="s">
        <v>57</v>
      </c>
      <c r="GQ17" s="26"/>
      <c r="GR17" s="37">
        <v>897</v>
      </c>
      <c r="GS17" s="37">
        <v>897.0018090000101</v>
      </c>
      <c r="GT17" s="10">
        <v>4.3021179954387385</v>
      </c>
      <c r="GU17" s="11">
        <v>3.2080012955566006E-2</v>
      </c>
      <c r="GV17" s="26">
        <v>-4.1775592821168646</v>
      </c>
      <c r="GW17" s="26" t="s">
        <v>59</v>
      </c>
      <c r="GX17" s="26"/>
      <c r="GY17" s="37">
        <v>298</v>
      </c>
      <c r="GZ17" s="37">
        <v>298.22810684000046</v>
      </c>
      <c r="HA17" s="10">
        <v>4.4960988530144661</v>
      </c>
      <c r="HB17" s="11">
        <v>4.5687414035903533E-2</v>
      </c>
      <c r="HC17" s="26">
        <v>-6.7772573639117324</v>
      </c>
      <c r="HD17" s="26" t="s">
        <v>59</v>
      </c>
      <c r="HE17" s="15"/>
      <c r="HF17" s="37">
        <v>783</v>
      </c>
      <c r="HG17" s="37">
        <v>782.99262492000685</v>
      </c>
      <c r="HH17" s="10">
        <v>4.3039471576431767</v>
      </c>
      <c r="HI17" s="11">
        <v>3.3168971167423157E-2</v>
      </c>
      <c r="HJ17" s="11"/>
      <c r="HK17" s="37">
        <v>775</v>
      </c>
      <c r="HL17" s="37">
        <v>774.95863683000744</v>
      </c>
      <c r="HM17" s="10">
        <v>4.0835569175341693</v>
      </c>
      <c r="HN17" s="11">
        <v>3.8694596076013263E-2</v>
      </c>
      <c r="HO17" s="6">
        <v>4.3243273067277723</v>
      </c>
      <c r="HP17" s="6" t="s">
        <v>59</v>
      </c>
      <c r="HQ17" s="45">
        <f t="shared" si="16"/>
        <v>0.22039024010900743</v>
      </c>
      <c r="HR17" s="27"/>
      <c r="HS17" s="3">
        <v>541</v>
      </c>
      <c r="HT17" s="3">
        <v>541.04632991999495</v>
      </c>
      <c r="HU17" s="29">
        <v>4.1921681062791247</v>
      </c>
      <c r="HV17" s="27">
        <v>4.12870277635543E-2</v>
      </c>
      <c r="HW17" s="6">
        <v>2.1106174460019136</v>
      </c>
      <c r="HX17" s="6" t="s">
        <v>59</v>
      </c>
      <c r="HY17" s="27"/>
      <c r="HZ17" s="9">
        <v>588</v>
      </c>
      <c r="IA17" s="9">
        <v>588.86605638000265</v>
      </c>
      <c r="IB17" s="10">
        <v>4.3192804282620614</v>
      </c>
      <c r="IC17" s="11">
        <v>3.7289110205454737E-2</v>
      </c>
      <c r="ID17" s="6">
        <v>-0.30723997292225574</v>
      </c>
      <c r="IE17" s="6" t="s">
        <v>57</v>
      </c>
      <c r="IF17" s="27"/>
      <c r="IG17" s="9">
        <v>1136</v>
      </c>
      <c r="IH17" s="9">
        <v>1137.3896987199944</v>
      </c>
      <c r="II17" s="10">
        <v>4.0828420641456828</v>
      </c>
      <c r="IJ17" s="11">
        <v>3.0560657884540599E-2</v>
      </c>
      <c r="IK17" s="6">
        <v>4.9024019784853392</v>
      </c>
      <c r="IL17" s="6" t="s">
        <v>59</v>
      </c>
      <c r="IM17" s="45">
        <f t="shared" si="17"/>
        <v>0.22110509349749385</v>
      </c>
      <c r="IN17" s="11"/>
      <c r="IO17" s="28">
        <v>1146</v>
      </c>
      <c r="IP17" s="28">
        <v>1149.3236244699947</v>
      </c>
      <c r="IQ17" s="29">
        <v>4.0228013636386084</v>
      </c>
      <c r="IR17" s="27">
        <v>3.1452656150372078E-2</v>
      </c>
      <c r="IS17" s="6">
        <v>6.1505729745235929</v>
      </c>
      <c r="IT17" s="6" t="s">
        <v>59</v>
      </c>
      <c r="IU17" s="27"/>
      <c r="IV17" s="37">
        <v>4092</v>
      </c>
      <c r="IW17" s="37">
        <v>4080.5995356399949</v>
      </c>
      <c r="IX17" s="10">
        <v>4.3371047296814105</v>
      </c>
      <c r="IY17" s="11">
        <v>1.3994390826606088E-2</v>
      </c>
      <c r="IZ17" s="26">
        <v>-0.92103527365575</v>
      </c>
      <c r="JA17" s="26" t="s">
        <v>57</v>
      </c>
      <c r="JB17" s="26"/>
      <c r="JC17" s="37">
        <v>915</v>
      </c>
      <c r="JD17" s="37">
        <v>914.87269141998422</v>
      </c>
      <c r="JE17" s="10">
        <v>4.2854397122452932</v>
      </c>
      <c r="JF17" s="11">
        <v>2.8692450963801568E-2</v>
      </c>
      <c r="JG17" s="26">
        <v>0.42199514029091684</v>
      </c>
      <c r="JH17" s="26" t="s">
        <v>57</v>
      </c>
      <c r="JI17" s="26"/>
      <c r="JJ17" s="37">
        <v>419</v>
      </c>
      <c r="JK17" s="37">
        <v>419</v>
      </c>
      <c r="JL17" s="10">
        <v>4.4272076372315006</v>
      </c>
      <c r="JM17" s="11">
        <v>4.2242594813941839E-2</v>
      </c>
      <c r="JN17" s="26">
        <v>-2.2949844056357596</v>
      </c>
      <c r="JO17" s="26" t="s">
        <v>59</v>
      </c>
      <c r="JP17" s="26"/>
      <c r="JQ17" s="37">
        <v>832</v>
      </c>
      <c r="JR17" s="37">
        <v>821.30058651000752</v>
      </c>
      <c r="JS17" s="10">
        <v>4.4187529169453663</v>
      </c>
      <c r="JT17" s="11">
        <v>3.0947074713976595E-2</v>
      </c>
      <c r="JU17" s="26">
        <v>-2.5307621003584844</v>
      </c>
      <c r="JV17" s="26" t="s">
        <v>59</v>
      </c>
      <c r="JW17" s="26"/>
      <c r="JX17" s="37">
        <v>251</v>
      </c>
      <c r="JY17" s="37">
        <v>251.02767075000077</v>
      </c>
      <c r="JZ17" s="10">
        <v>4.3953045616585715</v>
      </c>
      <c r="KA17" s="11">
        <v>5.3204138746316618E-2</v>
      </c>
      <c r="KB17" s="26">
        <v>-1.4571353869597512</v>
      </c>
      <c r="KC17" s="26" t="s">
        <v>57</v>
      </c>
      <c r="KD17" s="26"/>
      <c r="KE17" s="37">
        <v>892</v>
      </c>
      <c r="KF17" s="37">
        <v>891.40596203998734</v>
      </c>
      <c r="KG17" s="10">
        <v>4.2852859796876563</v>
      </c>
      <c r="KH17" s="11">
        <v>3.0687368379404816E-2</v>
      </c>
      <c r="KI17" s="26">
        <v>0.41297363604142218</v>
      </c>
      <c r="KJ17" s="26" t="s">
        <v>57</v>
      </c>
      <c r="KL17" s="9"/>
      <c r="KM17" s="9"/>
      <c r="KN17" s="10"/>
      <c r="KO17" s="11"/>
    </row>
    <row r="18" spans="1:301" s="7" customFormat="1" x14ac:dyDescent="0.25">
      <c r="B18" s="5" t="s">
        <v>13</v>
      </c>
      <c r="C18" s="9">
        <v>2476</v>
      </c>
      <c r="D18" s="9">
        <v>2482.950518680072</v>
      </c>
      <c r="E18" s="10">
        <v>4.1656341099332961</v>
      </c>
      <c r="F18" s="11">
        <v>2.0281700064344935E-2</v>
      </c>
      <c r="G18" s="11"/>
      <c r="H18" s="9">
        <v>2602</v>
      </c>
      <c r="I18" s="9">
        <v>2596.9793284099328</v>
      </c>
      <c r="J18" s="10">
        <v>4.0252996336325371</v>
      </c>
      <c r="K18" s="11">
        <v>2.1244577537007099E-2</v>
      </c>
      <c r="L18" s="26">
        <v>4.7779286096755307</v>
      </c>
      <c r="M18" s="26" t="s">
        <v>59</v>
      </c>
      <c r="N18" s="45">
        <f t="shared" si="12"/>
        <v>0.14033447630075901</v>
      </c>
      <c r="O18" s="11"/>
      <c r="P18" s="3">
        <v>826</v>
      </c>
      <c r="Q18" s="3">
        <v>825.56896630001029</v>
      </c>
      <c r="R18" s="10">
        <v>4.0462833186320584</v>
      </c>
      <c r="S18" s="11">
        <v>3.9105700942848619E-2</v>
      </c>
      <c r="T18" s="26">
        <v>2.7092989627893092</v>
      </c>
      <c r="U18" s="26" t="s">
        <v>59</v>
      </c>
      <c r="V18" s="27"/>
      <c r="W18" s="9">
        <v>698</v>
      </c>
      <c r="X18" s="9">
        <v>699.75255642000195</v>
      </c>
      <c r="Y18" s="10">
        <v>3.6609524639484134</v>
      </c>
      <c r="Z18" s="11">
        <v>4.0310430698369801E-2</v>
      </c>
      <c r="AA18" s="26">
        <v>11.184046317157911</v>
      </c>
      <c r="AB18" s="26" t="s">
        <v>59</v>
      </c>
      <c r="AC18" s="26"/>
      <c r="AD18" s="9">
        <v>730</v>
      </c>
      <c r="AE18" s="9">
        <v>743.9353902300079</v>
      </c>
      <c r="AF18" s="10">
        <v>3.9238492956592825</v>
      </c>
      <c r="AG18" s="11">
        <v>3.6801558938377173E-2</v>
      </c>
      <c r="AH18" s="26">
        <v>5.7540059182656718</v>
      </c>
      <c r="AI18" s="26" t="s">
        <v>59</v>
      </c>
      <c r="AJ18" s="45">
        <f t="shared" si="13"/>
        <v>0.24178481427401355</v>
      </c>
      <c r="AK18" s="27"/>
      <c r="AL18" s="28">
        <v>1125</v>
      </c>
      <c r="AM18" s="28">
        <v>1131.5165976600022</v>
      </c>
      <c r="AN18" s="29">
        <v>3.6931987732589029</v>
      </c>
      <c r="AO18" s="27">
        <v>3.1030642459669581E-2</v>
      </c>
      <c r="AP18" s="26">
        <v>12.744118376267499</v>
      </c>
      <c r="AQ18" s="26" t="s">
        <v>59</v>
      </c>
      <c r="AR18" s="27"/>
      <c r="AS18" s="30">
        <v>4372</v>
      </c>
      <c r="AT18" s="31">
        <v>4.2296802725320815</v>
      </c>
      <c r="AU18" s="32">
        <v>1.4349972709588547E-2</v>
      </c>
      <c r="AV18" s="26">
        <v>-2.5778393815909757</v>
      </c>
      <c r="AW18" s="26" t="s">
        <v>59</v>
      </c>
      <c r="AX18" s="27"/>
      <c r="AY18" s="33">
        <v>421</v>
      </c>
      <c r="AZ18" s="34">
        <v>4.4546835821679904</v>
      </c>
      <c r="BA18" s="35">
        <v>4.2535720785951144E-2</v>
      </c>
      <c r="BB18" s="26">
        <v>-6.1338563398760781</v>
      </c>
      <c r="BC18" s="26" t="s">
        <v>59</v>
      </c>
      <c r="BD18" s="35"/>
      <c r="BE18" s="33">
        <v>580</v>
      </c>
      <c r="BF18" s="34">
        <v>4.3371507821642323</v>
      </c>
      <c r="BG18" s="35">
        <v>3.4971090863331618E-2</v>
      </c>
      <c r="BH18" s="26">
        <v>-4.2426498369363248</v>
      </c>
      <c r="BI18" s="26" t="s">
        <v>59</v>
      </c>
      <c r="BJ18" s="35"/>
      <c r="BK18" s="33">
        <v>590</v>
      </c>
      <c r="BL18" s="34">
        <v>4.3446400999091503</v>
      </c>
      <c r="BM18" s="35">
        <v>3.5630190762024609E-2</v>
      </c>
      <c r="BN18" s="26">
        <v>-4.3661843661042088</v>
      </c>
      <c r="BO18" s="26" t="s">
        <v>59</v>
      </c>
      <c r="BP18" s="35"/>
      <c r="BQ18" s="33">
        <v>934</v>
      </c>
      <c r="BR18" s="34">
        <v>4.2944267622072374</v>
      </c>
      <c r="BS18" s="35">
        <v>3.1122607014843349E-2</v>
      </c>
      <c r="BT18" s="26">
        <v>-3.4670268462226965</v>
      </c>
      <c r="BU18" s="26" t="s">
        <v>59</v>
      </c>
      <c r="BV18" s="35"/>
      <c r="BW18" s="33">
        <v>1040</v>
      </c>
      <c r="BX18" s="34">
        <v>4.222927162454936</v>
      </c>
      <c r="BY18" s="35">
        <v>2.973072570687537E-2</v>
      </c>
      <c r="BZ18" s="26">
        <v>-1.5919261371099633</v>
      </c>
      <c r="CA18" s="26" t="s">
        <v>57</v>
      </c>
      <c r="CB18" s="27"/>
      <c r="CC18" s="9">
        <v>9319</v>
      </c>
      <c r="CD18" s="9">
        <v>9388.6979203292285</v>
      </c>
      <c r="CE18" s="10">
        <v>4.3377315181441922</v>
      </c>
      <c r="CF18" s="11">
        <v>9.568305613658859E-3</v>
      </c>
      <c r="CG18" s="26">
        <v>-7.6742083450752387</v>
      </c>
      <c r="CH18" s="26" t="s">
        <v>59</v>
      </c>
      <c r="CI18" s="26"/>
      <c r="CJ18" s="9">
        <v>265</v>
      </c>
      <c r="CK18" s="9">
        <v>265</v>
      </c>
      <c r="CL18" s="10">
        <v>4.2566037735849092</v>
      </c>
      <c r="CM18" s="11">
        <v>5.3273481200874745E-2</v>
      </c>
      <c r="CN18" s="26">
        <v>-1.5958580377379223</v>
      </c>
      <c r="CO18" s="26" t="s">
        <v>57</v>
      </c>
      <c r="CP18" s="26"/>
      <c r="CQ18" s="9">
        <v>2677</v>
      </c>
      <c r="CR18" s="9">
        <v>2737.7533714999176</v>
      </c>
      <c r="CS18" s="10">
        <v>4.1608835363824888</v>
      </c>
      <c r="CT18" s="11">
        <v>1.8724685451605813E-2</v>
      </c>
      <c r="CU18" s="26">
        <v>0.1720995033838722</v>
      </c>
      <c r="CV18" s="26" t="s">
        <v>57</v>
      </c>
      <c r="CW18" s="26"/>
      <c r="CX18" s="9">
        <v>2183</v>
      </c>
      <c r="CY18" s="9">
        <v>2182.9433310100471</v>
      </c>
      <c r="CZ18" s="10">
        <v>4.3183466668273329</v>
      </c>
      <c r="DA18" s="11">
        <v>1.9384298323679522E-2</v>
      </c>
      <c r="DB18" s="26">
        <v>-5.4432745463457888</v>
      </c>
      <c r="DC18" s="26" t="s">
        <v>59</v>
      </c>
      <c r="DD18" s="26"/>
      <c r="DE18" s="9">
        <v>500</v>
      </c>
      <c r="DF18" s="9">
        <v>502.05069913999665</v>
      </c>
      <c r="DG18" s="10">
        <v>4.9345783726897201</v>
      </c>
      <c r="DH18" s="11">
        <v>1.3637366044551876E-2</v>
      </c>
      <c r="DI18" s="26">
        <v>-31.462228074870847</v>
      </c>
      <c r="DJ18" s="26" t="s">
        <v>59</v>
      </c>
      <c r="DK18" s="26"/>
      <c r="DL18" s="9">
        <v>858</v>
      </c>
      <c r="DM18" s="9">
        <v>858</v>
      </c>
      <c r="DN18" s="10">
        <v>4.8519813519813493</v>
      </c>
      <c r="DO18" s="11">
        <v>1.4196864514767763E-2</v>
      </c>
      <c r="DP18" s="26">
        <v>-27.723603411071313</v>
      </c>
      <c r="DQ18" s="26" t="s">
        <v>59</v>
      </c>
      <c r="DR18" s="26"/>
      <c r="DS18" s="9">
        <v>360</v>
      </c>
      <c r="DT18" s="9">
        <v>360</v>
      </c>
      <c r="DU18" s="10">
        <v>4.9888888888888836</v>
      </c>
      <c r="DV18" s="11">
        <v>5.5322942298514826E-3</v>
      </c>
      <c r="DW18" s="26">
        <v>-39.160290457469699</v>
      </c>
      <c r="DX18" s="26" t="s">
        <v>59</v>
      </c>
      <c r="DY18" s="36"/>
      <c r="DZ18" s="9">
        <v>788</v>
      </c>
      <c r="EA18" s="9">
        <v>791.26636318000044</v>
      </c>
      <c r="EB18" s="10">
        <v>4.0428707985812444</v>
      </c>
      <c r="EC18" s="11">
        <v>3.8881530491562663E-2</v>
      </c>
      <c r="ED18" s="11"/>
      <c r="EE18" s="9">
        <v>784</v>
      </c>
      <c r="EF18" s="9">
        <v>783.52993020000361</v>
      </c>
      <c r="EG18" s="10">
        <v>3.9019660046548661</v>
      </c>
      <c r="EH18" s="11">
        <v>4.2124503906554138E-2</v>
      </c>
      <c r="EI18" s="6">
        <v>2.4579647581440485</v>
      </c>
      <c r="EJ18" s="6" t="s">
        <v>59</v>
      </c>
      <c r="EK18" s="45">
        <f t="shared" si="14"/>
        <v>0.14090479392637834</v>
      </c>
      <c r="EL18" s="11"/>
      <c r="EM18" s="9">
        <v>508</v>
      </c>
      <c r="EN18" s="9">
        <v>507.74989121999749</v>
      </c>
      <c r="EO18" s="10">
        <v>3.9458524849627437</v>
      </c>
      <c r="EP18" s="11">
        <v>5.1701556253909035E-2</v>
      </c>
      <c r="EQ18" s="6">
        <v>1.4997369973168577</v>
      </c>
      <c r="ER18" s="6" t="s">
        <v>57</v>
      </c>
      <c r="ES18" s="11"/>
      <c r="ET18" s="9">
        <v>569</v>
      </c>
      <c r="EU18" s="9">
        <v>569.91723133999949</v>
      </c>
      <c r="EV18" s="10">
        <v>4.0692129375124422</v>
      </c>
      <c r="EW18" s="11">
        <v>4.5546041400758207E-2</v>
      </c>
      <c r="EX18" s="6">
        <v>-0.43987862249287024</v>
      </c>
      <c r="EY18" s="6" t="s">
        <v>57</v>
      </c>
      <c r="EZ18" s="11"/>
      <c r="FA18" s="9">
        <v>530</v>
      </c>
      <c r="FB18" s="9">
        <v>534.72687020000251</v>
      </c>
      <c r="FC18" s="10">
        <v>3.991924064750318</v>
      </c>
      <c r="FD18" s="11">
        <v>4.8285550255577701E-2</v>
      </c>
      <c r="FE18" s="6">
        <v>0.82179978726871949</v>
      </c>
      <c r="FF18" s="6" t="s">
        <v>57</v>
      </c>
      <c r="FG18" s="45">
        <f t="shared" si="15"/>
        <v>5.0946733830926405E-2</v>
      </c>
      <c r="FH18" s="11"/>
      <c r="FI18" s="28">
        <v>635</v>
      </c>
      <c r="FJ18" s="28">
        <v>634.90057169999807</v>
      </c>
      <c r="FK18" s="29">
        <v>4.0100128160429511</v>
      </c>
      <c r="FL18" s="27">
        <v>4.4758809756465311E-2</v>
      </c>
      <c r="FM18" s="6">
        <v>0.55420512918847398</v>
      </c>
      <c r="FN18" s="6" t="s">
        <v>57</v>
      </c>
      <c r="FO18" s="11"/>
      <c r="FP18" s="37">
        <v>3537</v>
      </c>
      <c r="FQ18" s="37">
        <v>3540.389486359848</v>
      </c>
      <c r="FR18" s="10">
        <v>4.2337523518975333</v>
      </c>
      <c r="FS18" s="11">
        <v>1.6273509060797609E-2</v>
      </c>
      <c r="FT18" s="26">
        <v>-4.5286532529025347</v>
      </c>
      <c r="FU18" s="26" t="s">
        <v>59</v>
      </c>
      <c r="FV18" s="26"/>
      <c r="FW18" s="9">
        <v>921</v>
      </c>
      <c r="FX18" s="9">
        <v>920.85010913998383</v>
      </c>
      <c r="FY18" s="10">
        <v>4.2269176840247606</v>
      </c>
      <c r="FZ18" s="11">
        <v>3.0417317258334502E-2</v>
      </c>
      <c r="GA18" s="26">
        <v>-3.7282231739719571</v>
      </c>
      <c r="GB18" s="26" t="s">
        <v>59</v>
      </c>
      <c r="GC18" s="26"/>
      <c r="GD18" s="37">
        <v>251</v>
      </c>
      <c r="GE18" s="37">
        <v>251.02767075000077</v>
      </c>
      <c r="GF18" s="10">
        <v>4.4225466602271002</v>
      </c>
      <c r="GG18" s="11">
        <v>5.3142164540095752E-2</v>
      </c>
      <c r="GH18" s="26">
        <v>-5.7660075704705909</v>
      </c>
      <c r="GI18" s="26" t="s">
        <v>59</v>
      </c>
      <c r="GJ18" s="26"/>
      <c r="GK18" s="37">
        <v>381</v>
      </c>
      <c r="GL18" s="37">
        <v>381.02721004999921</v>
      </c>
      <c r="GM18" s="10">
        <v>4.0989873416784333</v>
      </c>
      <c r="GN18" s="11">
        <v>4.822668803709948E-2</v>
      </c>
      <c r="GO18" s="26">
        <v>-0.90586149747794442</v>
      </c>
      <c r="GP18" s="26" t="s">
        <v>57</v>
      </c>
      <c r="GQ18" s="26"/>
      <c r="GR18" s="37">
        <v>901</v>
      </c>
      <c r="GS18" s="37">
        <v>901.00237112001025</v>
      </c>
      <c r="GT18" s="10">
        <v>4.3307463578698071</v>
      </c>
      <c r="GU18" s="11">
        <v>3.1437610370866322E-2</v>
      </c>
      <c r="GV18" s="26">
        <v>-5.7573997705738895</v>
      </c>
      <c r="GW18" s="26" t="s">
        <v>59</v>
      </c>
      <c r="GX18" s="26"/>
      <c r="GY18" s="37">
        <v>295</v>
      </c>
      <c r="GZ18" s="37">
        <v>295.21576212000053</v>
      </c>
      <c r="HA18" s="10">
        <v>4.4840661144031744</v>
      </c>
      <c r="HB18" s="11">
        <v>4.8260186787264507E-2</v>
      </c>
      <c r="HC18" s="26">
        <v>-7.1189996210575899</v>
      </c>
      <c r="HD18" s="26" t="s">
        <v>59</v>
      </c>
      <c r="HE18" s="15"/>
      <c r="HF18" s="37">
        <v>762</v>
      </c>
      <c r="HG18" s="37">
        <v>761.98533176000649</v>
      </c>
      <c r="HH18" s="10">
        <v>4.2467120020352427</v>
      </c>
      <c r="HI18" s="11">
        <v>3.5567475018825435E-2</v>
      </c>
      <c r="HJ18" s="11"/>
      <c r="HK18" s="37">
        <v>774</v>
      </c>
      <c r="HL18" s="37">
        <v>773.97018795000747</v>
      </c>
      <c r="HM18" s="10">
        <v>4.0515556483198569</v>
      </c>
      <c r="HN18" s="11">
        <v>3.9683144179299273E-2</v>
      </c>
      <c r="HO18" s="6">
        <v>3.6621744724974992</v>
      </c>
      <c r="HP18" s="6" t="s">
        <v>59</v>
      </c>
      <c r="HQ18" s="45">
        <f t="shared" si="16"/>
        <v>0.19515635371538576</v>
      </c>
      <c r="HR18" s="27"/>
      <c r="HS18" s="3">
        <v>538</v>
      </c>
      <c r="HT18" s="3">
        <v>538.02240835999487</v>
      </c>
      <c r="HU18" s="29">
        <v>4.0983941606100869</v>
      </c>
      <c r="HV18" s="27">
        <v>4.4494281047320616E-2</v>
      </c>
      <c r="HW18" s="6">
        <v>2.6037563657696761</v>
      </c>
      <c r="HX18" s="6" t="s">
        <v>59</v>
      </c>
      <c r="HY18" s="27"/>
      <c r="HZ18" s="9">
        <v>581</v>
      </c>
      <c r="IA18" s="9">
        <v>581.93522065000252</v>
      </c>
      <c r="IB18" s="10">
        <v>4.2213332574476858</v>
      </c>
      <c r="IC18" s="11">
        <v>3.949157811751549E-2</v>
      </c>
      <c r="ID18" s="6">
        <v>0.47751756321247107</v>
      </c>
      <c r="IE18" s="6" t="s">
        <v>57</v>
      </c>
      <c r="IF18" s="27"/>
      <c r="IG18" s="9">
        <v>1113</v>
      </c>
      <c r="IH18" s="9">
        <v>1114.743577359995</v>
      </c>
      <c r="II18" s="10">
        <v>3.9930539717050073</v>
      </c>
      <c r="IJ18" s="11">
        <v>3.2699469154131258E-2</v>
      </c>
      <c r="IK18" s="6">
        <v>5.2501320703676653</v>
      </c>
      <c r="IL18" s="6" t="s">
        <v>59</v>
      </c>
      <c r="IM18" s="45">
        <f t="shared" si="17"/>
        <v>0.25365803033023537</v>
      </c>
      <c r="IN18" s="11"/>
      <c r="IO18" s="28">
        <v>1139</v>
      </c>
      <c r="IP18" s="28">
        <v>1142.0224408999941</v>
      </c>
      <c r="IQ18" s="29">
        <v>3.9579162991822403</v>
      </c>
      <c r="IR18" s="27">
        <v>3.3544602090034292E-2</v>
      </c>
      <c r="IS18" s="6">
        <v>5.9069844623677046</v>
      </c>
      <c r="IT18" s="6" t="s">
        <v>59</v>
      </c>
      <c r="IU18" s="27"/>
      <c r="IV18" s="37">
        <v>4062</v>
      </c>
      <c r="IW18" s="37">
        <v>4049.2394506699939</v>
      </c>
      <c r="IX18" s="10">
        <v>4.2966176352429075</v>
      </c>
      <c r="IY18" s="11">
        <v>1.4900890355217702E-2</v>
      </c>
      <c r="IZ18" s="26">
        <v>-1.294142617643355</v>
      </c>
      <c r="JA18" s="26" t="s">
        <v>57</v>
      </c>
      <c r="JB18" s="26"/>
      <c r="JC18" s="37">
        <v>921</v>
      </c>
      <c r="JD18" s="37">
        <v>920.85010913998383</v>
      </c>
      <c r="JE18" s="10">
        <v>4.2269176840247606</v>
      </c>
      <c r="JF18" s="11">
        <v>3.0417317258334502E-2</v>
      </c>
      <c r="JG18" s="26">
        <v>0.42295372984584734</v>
      </c>
      <c r="JH18" s="26" t="s">
        <v>57</v>
      </c>
      <c r="JI18" s="26"/>
      <c r="JJ18" s="37">
        <v>422</v>
      </c>
      <c r="JK18" s="37">
        <v>422</v>
      </c>
      <c r="JL18" s="10">
        <v>4.37914691943128</v>
      </c>
      <c r="JM18" s="11">
        <v>4.50981408964687E-2</v>
      </c>
      <c r="JN18" s="26">
        <v>-2.3057846639382338</v>
      </c>
      <c r="JO18" s="26" t="s">
        <v>59</v>
      </c>
      <c r="JP18" s="26"/>
      <c r="JQ18" s="37">
        <v>818</v>
      </c>
      <c r="JR18" s="37">
        <v>806.13386134000734</v>
      </c>
      <c r="JS18" s="10">
        <v>4.4051029953848664</v>
      </c>
      <c r="JT18" s="11">
        <v>3.2327381458265962E-2</v>
      </c>
      <c r="JU18" s="26">
        <v>-3.2954493006317165</v>
      </c>
      <c r="JV18" s="26" t="s">
        <v>59</v>
      </c>
      <c r="JW18" s="26"/>
      <c r="JX18" s="37">
        <v>251</v>
      </c>
      <c r="JY18" s="37">
        <v>251.02767075000077</v>
      </c>
      <c r="JZ18" s="10">
        <v>4.4225466602271002</v>
      </c>
      <c r="KA18" s="11">
        <v>5.3142164540095752E-2</v>
      </c>
      <c r="KB18" s="26">
        <v>-2.7497218254787081</v>
      </c>
      <c r="KC18" s="26" t="s">
        <v>59</v>
      </c>
      <c r="KD18" s="26"/>
      <c r="KE18" s="37">
        <v>888</v>
      </c>
      <c r="KF18" s="37">
        <v>887.24247767998747</v>
      </c>
      <c r="KG18" s="10">
        <v>4.2383672886278045</v>
      </c>
      <c r="KH18" s="11">
        <v>3.3450624691093798E-2</v>
      </c>
      <c r="KI18" s="26">
        <v>0.1709067635812806</v>
      </c>
      <c r="KJ18" s="26" t="s">
        <v>57</v>
      </c>
      <c r="KL18" s="9"/>
      <c r="KM18" s="9"/>
      <c r="KN18" s="10"/>
      <c r="KO18" s="11"/>
    </row>
    <row r="19" spans="1:301" s="7" customFormat="1" x14ac:dyDescent="0.25">
      <c r="B19" s="5"/>
      <c r="C19" s="9"/>
      <c r="D19" s="9"/>
      <c r="E19" s="10"/>
      <c r="F19" s="11"/>
      <c r="G19" s="11"/>
      <c r="H19" s="9"/>
      <c r="I19" s="9"/>
      <c r="J19" s="10"/>
      <c r="K19" s="11"/>
      <c r="L19" s="26"/>
      <c r="M19" s="26"/>
      <c r="N19" s="45"/>
      <c r="O19" s="11"/>
      <c r="P19" s="3"/>
      <c r="Q19" s="3"/>
      <c r="R19" s="10"/>
      <c r="S19" s="11"/>
      <c r="T19" s="26"/>
      <c r="U19" s="26"/>
      <c r="V19" s="27"/>
      <c r="W19" s="9"/>
      <c r="X19" s="9"/>
      <c r="Y19" s="10"/>
      <c r="Z19" s="11"/>
      <c r="AA19" s="26"/>
      <c r="AB19" s="26"/>
      <c r="AC19" s="26"/>
      <c r="AD19" s="9"/>
      <c r="AE19" s="9"/>
      <c r="AF19" s="10"/>
      <c r="AG19" s="11"/>
      <c r="AH19" s="26"/>
      <c r="AI19" s="26"/>
      <c r="AJ19" s="45"/>
      <c r="AK19" s="27"/>
      <c r="AL19" s="28"/>
      <c r="AM19" s="28"/>
      <c r="AN19" s="29"/>
      <c r="AO19" s="27"/>
      <c r="AP19" s="26"/>
      <c r="AQ19" s="26"/>
      <c r="AR19" s="27"/>
      <c r="AS19" s="30"/>
      <c r="AT19" s="31"/>
      <c r="AU19" s="32"/>
      <c r="AV19" s="26"/>
      <c r="AW19" s="26"/>
      <c r="AX19" s="27"/>
      <c r="AY19" s="33"/>
      <c r="AZ19" s="34"/>
      <c r="BA19" s="35"/>
      <c r="BB19" s="26"/>
      <c r="BC19" s="26"/>
      <c r="BD19" s="35"/>
      <c r="BE19" s="33"/>
      <c r="BF19" s="34"/>
      <c r="BG19" s="35"/>
      <c r="BH19" s="26"/>
      <c r="BI19" s="26"/>
      <c r="BJ19" s="35"/>
      <c r="BK19" s="33"/>
      <c r="BL19" s="34"/>
      <c r="BM19" s="35"/>
      <c r="BN19" s="26"/>
      <c r="BO19" s="26"/>
      <c r="BP19" s="35"/>
      <c r="BQ19" s="33"/>
      <c r="BR19" s="34"/>
      <c r="BS19" s="35"/>
      <c r="BT19" s="26"/>
      <c r="BU19" s="26"/>
      <c r="BV19" s="35"/>
      <c r="BW19" s="33"/>
      <c r="BX19" s="34"/>
      <c r="BY19" s="35"/>
      <c r="BZ19" s="26"/>
      <c r="CA19" s="26"/>
      <c r="CB19" s="27"/>
      <c r="CC19" s="9"/>
      <c r="CD19" s="9"/>
      <c r="CE19" s="10"/>
      <c r="CF19" s="11"/>
      <c r="CG19" s="26"/>
      <c r="CH19" s="26"/>
      <c r="CI19" s="26"/>
      <c r="CJ19" s="9"/>
      <c r="CK19" s="9"/>
      <c r="CL19" s="10"/>
      <c r="CM19" s="11"/>
      <c r="CN19" s="26"/>
      <c r="CO19" s="26"/>
      <c r="CP19" s="26"/>
      <c r="CQ19" s="9"/>
      <c r="CR19" s="9"/>
      <c r="CS19" s="10"/>
      <c r="CT19" s="11"/>
      <c r="CU19" s="26"/>
      <c r="CV19" s="26"/>
      <c r="CW19" s="26"/>
      <c r="CX19" s="9"/>
      <c r="CY19" s="9"/>
      <c r="CZ19" s="10"/>
      <c r="DA19" s="11"/>
      <c r="DB19" s="26"/>
      <c r="DC19" s="26"/>
      <c r="DD19" s="26"/>
      <c r="DE19" s="9"/>
      <c r="DF19" s="9"/>
      <c r="DG19" s="10"/>
      <c r="DH19" s="11"/>
      <c r="DI19" s="26"/>
      <c r="DJ19" s="26"/>
      <c r="DK19" s="26"/>
      <c r="DL19" s="9"/>
      <c r="DM19" s="9"/>
      <c r="DN19" s="10"/>
      <c r="DO19" s="11"/>
      <c r="DP19" s="26"/>
      <c r="DQ19" s="26"/>
      <c r="DR19" s="26"/>
      <c r="DS19" s="9"/>
      <c r="DT19" s="9"/>
      <c r="DU19" s="10"/>
      <c r="DV19" s="11"/>
      <c r="DW19" s="26"/>
      <c r="DX19" s="26"/>
      <c r="DY19" s="36"/>
      <c r="DZ19" s="9"/>
      <c r="EA19" s="9"/>
      <c r="EB19" s="10"/>
      <c r="EC19" s="11"/>
      <c r="ED19" s="11"/>
      <c r="EE19" s="9"/>
      <c r="EF19" s="9"/>
      <c r="EG19" s="10"/>
      <c r="EH19" s="11"/>
      <c r="EI19" s="6"/>
      <c r="EJ19" s="6"/>
      <c r="EK19" s="45"/>
      <c r="EL19" s="11"/>
      <c r="EM19" s="9"/>
      <c r="EN19" s="9"/>
      <c r="EO19" s="10"/>
      <c r="EP19" s="11"/>
      <c r="EQ19" s="6"/>
      <c r="ER19" s="6"/>
      <c r="ES19" s="11"/>
      <c r="ET19" s="9"/>
      <c r="EU19" s="9"/>
      <c r="EV19" s="10"/>
      <c r="EW19" s="11"/>
      <c r="EX19" s="6"/>
      <c r="EY19" s="6"/>
      <c r="EZ19" s="11"/>
      <c r="FA19" s="9"/>
      <c r="FB19" s="9"/>
      <c r="FC19" s="10"/>
      <c r="FD19" s="11"/>
      <c r="FE19" s="6"/>
      <c r="FF19" s="6"/>
      <c r="FG19" s="45"/>
      <c r="FH19" s="11"/>
      <c r="FI19" s="28"/>
      <c r="FJ19" s="28"/>
      <c r="FK19" s="29"/>
      <c r="FL19" s="27"/>
      <c r="FM19" s="6"/>
      <c r="FN19" s="6"/>
      <c r="FO19" s="11"/>
      <c r="FP19" s="37"/>
      <c r="FQ19" s="37"/>
      <c r="FR19" s="10"/>
      <c r="FS19" s="11"/>
      <c r="FT19" s="26"/>
      <c r="FU19" s="26"/>
      <c r="FV19" s="26"/>
      <c r="FW19" s="9"/>
      <c r="FX19" s="9"/>
      <c r="FY19" s="10"/>
      <c r="FZ19" s="11"/>
      <c r="GA19" s="26"/>
      <c r="GB19" s="26"/>
      <c r="GC19" s="26"/>
      <c r="GD19" s="37"/>
      <c r="GE19" s="37"/>
      <c r="GF19" s="10"/>
      <c r="GG19" s="11"/>
      <c r="GH19" s="26"/>
      <c r="GI19" s="26"/>
      <c r="GJ19" s="26"/>
      <c r="GK19" s="37"/>
      <c r="GL19" s="37"/>
      <c r="GM19" s="10"/>
      <c r="GN19" s="11"/>
      <c r="GO19" s="26"/>
      <c r="GP19" s="26"/>
      <c r="GQ19" s="26"/>
      <c r="GR19" s="37"/>
      <c r="GS19" s="37"/>
      <c r="GT19" s="10"/>
      <c r="GU19" s="11"/>
      <c r="GV19" s="26"/>
      <c r="GW19" s="26"/>
      <c r="GX19" s="26"/>
      <c r="GY19" s="37"/>
      <c r="GZ19" s="37"/>
      <c r="HA19" s="10"/>
      <c r="HB19" s="11"/>
      <c r="HC19" s="26"/>
      <c r="HD19" s="26"/>
      <c r="HE19" s="15"/>
      <c r="HF19" s="37"/>
      <c r="HG19" s="37"/>
      <c r="HH19" s="10"/>
      <c r="HI19" s="11"/>
      <c r="HJ19" s="11"/>
      <c r="HK19" s="37"/>
      <c r="HL19" s="37"/>
      <c r="HM19" s="10"/>
      <c r="HN19" s="11"/>
      <c r="HO19" s="6"/>
      <c r="HP19" s="6"/>
      <c r="HQ19" s="45"/>
      <c r="HR19" s="27"/>
      <c r="HS19" s="3"/>
      <c r="HT19" s="3"/>
      <c r="HU19" s="29"/>
      <c r="HV19" s="27"/>
      <c r="HW19" s="6"/>
      <c r="HX19" s="6"/>
      <c r="HY19" s="27"/>
      <c r="HZ19" s="9"/>
      <c r="IA19" s="9"/>
      <c r="IB19" s="10"/>
      <c r="IC19" s="11"/>
      <c r="ID19" s="6"/>
      <c r="IE19" s="6"/>
      <c r="IF19" s="27"/>
      <c r="IG19" s="9"/>
      <c r="IH19" s="9"/>
      <c r="II19" s="10"/>
      <c r="IJ19" s="11"/>
      <c r="IK19" s="6"/>
      <c r="IL19" s="6"/>
      <c r="IM19" s="45"/>
      <c r="IN19" s="11"/>
      <c r="IO19" s="28"/>
      <c r="IP19" s="28"/>
      <c r="IQ19" s="29"/>
      <c r="IR19" s="27"/>
      <c r="IS19" s="6"/>
      <c r="IT19" s="6"/>
      <c r="IU19" s="27"/>
      <c r="IV19" s="37"/>
      <c r="IW19" s="37"/>
      <c r="IX19" s="10"/>
      <c r="IY19" s="11"/>
      <c r="IZ19" s="26"/>
      <c r="JA19" s="26"/>
      <c r="JB19" s="26"/>
      <c r="JC19" s="37"/>
      <c r="JD19" s="37"/>
      <c r="JE19" s="10"/>
      <c r="JF19" s="11"/>
      <c r="JG19" s="26"/>
      <c r="JH19" s="26"/>
      <c r="JI19" s="26"/>
      <c r="JJ19" s="37"/>
      <c r="JK19" s="37"/>
      <c r="JL19" s="10"/>
      <c r="JM19" s="11"/>
      <c r="JN19" s="26"/>
      <c r="JO19" s="26"/>
      <c r="JP19" s="26"/>
      <c r="JQ19" s="37"/>
      <c r="JR19" s="37"/>
      <c r="JS19" s="10"/>
      <c r="JT19" s="11"/>
      <c r="JU19" s="26"/>
      <c r="JV19" s="26"/>
      <c r="JW19" s="26"/>
      <c r="JX19" s="37"/>
      <c r="JY19" s="37"/>
      <c r="JZ19" s="10"/>
      <c r="KA19" s="11"/>
      <c r="KB19" s="26"/>
      <c r="KC19" s="26"/>
      <c r="KD19" s="26"/>
      <c r="KE19" s="37"/>
      <c r="KF19" s="37"/>
      <c r="KG19" s="10"/>
      <c r="KH19" s="11"/>
      <c r="KI19" s="26"/>
      <c r="KJ19" s="26"/>
      <c r="KL19" s="9"/>
      <c r="KM19" s="9"/>
      <c r="KN19" s="10"/>
      <c r="KO19" s="11"/>
    </row>
    <row r="20" spans="1:301" s="7" customFormat="1" x14ac:dyDescent="0.25">
      <c r="A20" s="14"/>
      <c r="B20" s="5" t="s">
        <v>14</v>
      </c>
      <c r="C20" s="9">
        <v>2552</v>
      </c>
      <c r="D20" s="9">
        <v>2561.1005716100708</v>
      </c>
      <c r="E20" s="10">
        <v>3.9435690882810053</v>
      </c>
      <c r="F20" s="11">
        <v>2.1753285121199502E-2</v>
      </c>
      <c r="G20" s="11"/>
      <c r="H20" s="9">
        <v>2720</v>
      </c>
      <c r="I20" s="9">
        <v>2713.9562300399293</v>
      </c>
      <c r="J20" s="10">
        <v>3.9347494753563508</v>
      </c>
      <c r="K20" s="11">
        <v>2.062356838523419E-2</v>
      </c>
      <c r="L20" s="26">
        <v>0.29422633758821143</v>
      </c>
      <c r="M20" s="26" t="s">
        <v>57</v>
      </c>
      <c r="N20" s="45">
        <f t="shared" ref="N20:N21" si="18">E20-J20</f>
        <v>8.8196129246544963E-3</v>
      </c>
      <c r="O20" s="11"/>
      <c r="P20" s="3">
        <v>858</v>
      </c>
      <c r="Q20" s="3">
        <v>857.61315900001159</v>
      </c>
      <c r="R20" s="10">
        <v>3.8650460496024146</v>
      </c>
      <c r="S20" s="11">
        <v>3.9214867169649795E-2</v>
      </c>
      <c r="T20" s="26">
        <v>1.7510149362137892</v>
      </c>
      <c r="U20" s="26" t="s">
        <v>57</v>
      </c>
      <c r="V20" s="27"/>
      <c r="W20" s="9">
        <v>512</v>
      </c>
      <c r="X20" s="9">
        <v>512.43557712000086</v>
      </c>
      <c r="Y20" s="10">
        <v>3.7971565697210372</v>
      </c>
      <c r="Z20" s="11">
        <v>4.9526373121239572E-2</v>
      </c>
      <c r="AA20" s="26">
        <v>2.7066747696229045</v>
      </c>
      <c r="AB20" s="26" t="s">
        <v>59</v>
      </c>
      <c r="AC20" s="26"/>
      <c r="AD20" s="9">
        <v>742</v>
      </c>
      <c r="AE20" s="9">
        <v>776.9970283900077</v>
      </c>
      <c r="AF20" s="10">
        <v>3.4370528604641586</v>
      </c>
      <c r="AG20" s="11">
        <v>4.2221530210718894E-2</v>
      </c>
      <c r="AH20" s="26">
        <v>10.664414107693108</v>
      </c>
      <c r="AI20" s="26" t="s">
        <v>59</v>
      </c>
      <c r="AJ20" s="45">
        <f t="shared" ref="AJ20:AJ21" si="19">E20-AF20</f>
        <v>0.50651622781684669</v>
      </c>
      <c r="AK20" s="27"/>
      <c r="AL20" s="28">
        <v>907</v>
      </c>
      <c r="AM20" s="28">
        <v>944.94858233999685</v>
      </c>
      <c r="AN20" s="29">
        <v>3.266639466219492</v>
      </c>
      <c r="AO20" s="27">
        <v>3.8671077498977947E-2</v>
      </c>
      <c r="AP20" s="26">
        <v>15.256623178033886</v>
      </c>
      <c r="AQ20" s="26" t="s">
        <v>59</v>
      </c>
      <c r="AR20" s="27"/>
      <c r="AS20" s="30">
        <v>3919</v>
      </c>
      <c r="AT20" s="31">
        <v>4.0254629342846266</v>
      </c>
      <c r="AU20" s="32">
        <v>1.6513574240797049E-2</v>
      </c>
      <c r="AV20" s="26">
        <v>-2.9985405831206315</v>
      </c>
      <c r="AW20" s="26" t="s">
        <v>59</v>
      </c>
      <c r="AX20" s="27"/>
      <c r="AY20" s="33">
        <v>42</v>
      </c>
      <c r="AZ20" s="34">
        <v>4.1904761904761907</v>
      </c>
      <c r="BA20" s="35">
        <v>0.1332221413254959</v>
      </c>
      <c r="BB20" s="26">
        <v>-1.8291249537269676</v>
      </c>
      <c r="BC20" s="26" t="s">
        <v>57</v>
      </c>
      <c r="BD20" s="35"/>
      <c r="BE20" s="33">
        <v>527</v>
      </c>
      <c r="BF20" s="34">
        <v>3.9539319483256214</v>
      </c>
      <c r="BG20" s="35">
        <v>4.6686808602220325E-2</v>
      </c>
      <c r="BH20" s="26">
        <v>-0.20119731453715206</v>
      </c>
      <c r="BI20" s="26" t="s">
        <v>57</v>
      </c>
      <c r="BJ20" s="35"/>
      <c r="BK20" s="33">
        <v>586</v>
      </c>
      <c r="BL20" s="34">
        <v>4.0893214248928746</v>
      </c>
      <c r="BM20" s="35">
        <v>4.24539186645774E-2</v>
      </c>
      <c r="BN20" s="26">
        <v>-3.0554362673761268</v>
      </c>
      <c r="BO20" s="26" t="s">
        <v>59</v>
      </c>
      <c r="BP20" s="35"/>
      <c r="BQ20" s="33">
        <v>933</v>
      </c>
      <c r="BR20" s="34">
        <v>3.9549639779778403</v>
      </c>
      <c r="BS20" s="35">
        <v>3.8636000779478465E-2</v>
      </c>
      <c r="BT20" s="26">
        <v>-0.25699480036735695</v>
      </c>
      <c r="BU20" s="26" t="s">
        <v>57</v>
      </c>
      <c r="BV20" s="35"/>
      <c r="BW20" s="33">
        <v>1069</v>
      </c>
      <c r="BX20" s="34">
        <v>3.9330757678175159</v>
      </c>
      <c r="BY20" s="35">
        <v>3.3630747876515835E-2</v>
      </c>
      <c r="BZ20" s="26">
        <v>0.26198671257532141</v>
      </c>
      <c r="CA20" s="26" t="s">
        <v>57</v>
      </c>
      <c r="CB20" s="27"/>
      <c r="CC20" s="9">
        <v>10165</v>
      </c>
      <c r="CD20" s="9">
        <v>10238.205543329155</v>
      </c>
      <c r="CE20" s="10">
        <v>4.2465453037563643</v>
      </c>
      <c r="CF20" s="11">
        <v>9.6610317946483996E-3</v>
      </c>
      <c r="CG20" s="26">
        <v>-12.728958883074615</v>
      </c>
      <c r="CH20" s="26" t="s">
        <v>59</v>
      </c>
      <c r="CI20" s="26"/>
      <c r="CJ20" s="9">
        <v>422</v>
      </c>
      <c r="CK20" s="9">
        <v>422</v>
      </c>
      <c r="CL20" s="10">
        <v>4.0971563981042696</v>
      </c>
      <c r="CM20" s="11">
        <v>4.9596575120000916E-2</v>
      </c>
      <c r="CN20" s="26">
        <v>-2.8359423688977072</v>
      </c>
      <c r="CO20" s="26" t="s">
        <v>59</v>
      </c>
      <c r="CP20" s="26"/>
      <c r="CQ20" s="9">
        <v>2742</v>
      </c>
      <c r="CR20" s="9">
        <v>2803.2639782299148</v>
      </c>
      <c r="CS20" s="10">
        <v>4.074918215894388</v>
      </c>
      <c r="CT20" s="11">
        <v>1.8476087750386401E-2</v>
      </c>
      <c r="CU20" s="26">
        <v>-4.6021700156365544</v>
      </c>
      <c r="CV20" s="26" t="s">
        <v>59</v>
      </c>
      <c r="CW20" s="26"/>
      <c r="CX20" s="9">
        <v>2511</v>
      </c>
      <c r="CY20" s="9">
        <v>2511.0070035700655</v>
      </c>
      <c r="CZ20" s="10">
        <v>4.2473040967576372</v>
      </c>
      <c r="DA20" s="11">
        <v>1.8646804265284787E-2</v>
      </c>
      <c r="DB20" s="26">
        <v>-10.601014202109866</v>
      </c>
      <c r="DC20" s="26" t="s">
        <v>59</v>
      </c>
      <c r="DD20" s="26"/>
      <c r="DE20" s="9">
        <v>521</v>
      </c>
      <c r="DF20" s="9">
        <v>523.83398991999627</v>
      </c>
      <c r="DG20" s="10">
        <v>4.9558541266794567</v>
      </c>
      <c r="DH20" s="11">
        <v>9.3835220336698083E-3</v>
      </c>
      <c r="DI20" s="26">
        <v>-42.728963554100936</v>
      </c>
      <c r="DJ20" s="26" t="s">
        <v>59</v>
      </c>
      <c r="DK20" s="26"/>
      <c r="DL20" s="9">
        <v>882</v>
      </c>
      <c r="DM20" s="9">
        <v>882</v>
      </c>
      <c r="DN20" s="10">
        <v>4.8684807256235869</v>
      </c>
      <c r="DO20" s="11">
        <v>1.2045477437521122E-2</v>
      </c>
      <c r="DP20" s="26">
        <v>-37.196407143391461</v>
      </c>
      <c r="DQ20" s="26" t="s">
        <v>59</v>
      </c>
      <c r="DR20" s="26"/>
      <c r="DS20" s="9">
        <v>535</v>
      </c>
      <c r="DT20" s="9">
        <v>535</v>
      </c>
      <c r="DU20" s="10">
        <v>4.9906542056074716</v>
      </c>
      <c r="DV20" s="11">
        <v>4.1638830821155506E-3</v>
      </c>
      <c r="DW20" s="26">
        <v>-47.276280066021037</v>
      </c>
      <c r="DX20" s="26" t="s">
        <v>59</v>
      </c>
      <c r="DY20" s="36"/>
      <c r="DZ20" s="9">
        <v>842</v>
      </c>
      <c r="EA20" s="9">
        <v>847.3929409000018</v>
      </c>
      <c r="EB20" s="10">
        <v>3.9182737024969225</v>
      </c>
      <c r="EC20" s="11">
        <v>3.8895862613835715E-2</v>
      </c>
      <c r="ED20" s="11"/>
      <c r="EE20" s="9">
        <v>826</v>
      </c>
      <c r="EF20" s="9">
        <v>823.99741750000373</v>
      </c>
      <c r="EG20" s="10">
        <v>3.8940568531818225</v>
      </c>
      <c r="EH20" s="11">
        <v>4.0241382373635753E-2</v>
      </c>
      <c r="EI20" s="6">
        <v>0.43270204362394249</v>
      </c>
      <c r="EJ20" s="6" t="s">
        <v>57</v>
      </c>
      <c r="EK20" s="45">
        <f t="shared" ref="EK20:EK21" si="20">EB20-EG20</f>
        <v>2.4216849315100042E-2</v>
      </c>
      <c r="EL20" s="11"/>
      <c r="EM20" s="9">
        <v>539</v>
      </c>
      <c r="EN20" s="9">
        <v>538.60085810999556</v>
      </c>
      <c r="EO20" s="10">
        <v>3.8523604076142051</v>
      </c>
      <c r="EP20" s="11">
        <v>5.1806623869765187E-2</v>
      </c>
      <c r="EQ20" s="6">
        <v>1.0174501491571164</v>
      </c>
      <c r="ER20" s="6" t="s">
        <v>57</v>
      </c>
      <c r="ES20" s="11"/>
      <c r="ET20" s="9">
        <v>593</v>
      </c>
      <c r="EU20" s="9">
        <v>594.09115509999958</v>
      </c>
      <c r="EV20" s="10">
        <v>3.8798220405453061</v>
      </c>
      <c r="EW20" s="11">
        <v>4.7946696770596521E-2</v>
      </c>
      <c r="EX20" s="6">
        <v>0.62280422750472286</v>
      </c>
      <c r="EY20" s="6" t="s">
        <v>57</v>
      </c>
      <c r="EZ20" s="11"/>
      <c r="FA20" s="9">
        <v>539</v>
      </c>
      <c r="FB20" s="9">
        <v>546.62796239000215</v>
      </c>
      <c r="FC20" s="10">
        <v>3.9315439410080844</v>
      </c>
      <c r="FD20" s="11">
        <v>4.6950219005342554E-2</v>
      </c>
      <c r="FE20" s="6">
        <v>-0.21765573285765807</v>
      </c>
      <c r="FF20" s="6" t="s">
        <v>57</v>
      </c>
      <c r="FG20" s="45">
        <f t="shared" ref="FG20:FG21" si="21">EB20-FC20</f>
        <v>-1.3270238511161825E-2</v>
      </c>
      <c r="FH20" s="11"/>
      <c r="FI20" s="28">
        <v>628</v>
      </c>
      <c r="FJ20" s="28">
        <v>627.22114302999785</v>
      </c>
      <c r="FK20" s="29">
        <v>3.9477823723196264</v>
      </c>
      <c r="FL20" s="27">
        <v>4.276478985831457E-2</v>
      </c>
      <c r="FM20" s="6">
        <v>-0.51046374728598587</v>
      </c>
      <c r="FN20" s="6" t="s">
        <v>57</v>
      </c>
      <c r="FO20" s="11"/>
      <c r="FP20" s="37">
        <v>3172</v>
      </c>
      <c r="FQ20" s="37">
        <v>3181.8642419798571</v>
      </c>
      <c r="FR20" s="10">
        <v>4.0684268811464284</v>
      </c>
      <c r="FS20" s="11">
        <v>1.8749763077920329E-2</v>
      </c>
      <c r="FT20" s="26">
        <v>-3.4774438112972907</v>
      </c>
      <c r="FU20" s="26" t="s">
        <v>59</v>
      </c>
      <c r="FV20" s="26"/>
      <c r="FW20" s="9">
        <v>931</v>
      </c>
      <c r="FX20" s="9">
        <v>930.8175664599836</v>
      </c>
      <c r="FY20" s="10">
        <v>4.2384807973105039</v>
      </c>
      <c r="FZ20" s="11">
        <v>2.8864478567435851E-2</v>
      </c>
      <c r="GA20" s="26">
        <v>-6.6109316253497274</v>
      </c>
      <c r="GB20" s="26" t="s">
        <v>59</v>
      </c>
      <c r="GC20" s="26"/>
      <c r="GD20" s="37">
        <v>14</v>
      </c>
      <c r="GE20" s="37">
        <v>13.720000000000004</v>
      </c>
      <c r="GF20" s="10">
        <v>4.5000000000000009</v>
      </c>
      <c r="GG20" s="11">
        <v>0.17574127434281619</v>
      </c>
      <c r="GH20" s="26" t="s">
        <v>60</v>
      </c>
      <c r="GI20" s="26"/>
      <c r="GJ20" s="26"/>
      <c r="GK20" s="37">
        <v>344</v>
      </c>
      <c r="GL20" s="37">
        <v>348.42285615999845</v>
      </c>
      <c r="GM20" s="10">
        <v>3.9854651162790691</v>
      </c>
      <c r="GN20" s="11">
        <v>5.6604344420767887E-2</v>
      </c>
      <c r="GO20" s="26">
        <v>-0.9783260240709325</v>
      </c>
      <c r="GP20" s="26" t="s">
        <v>57</v>
      </c>
      <c r="GQ20" s="26"/>
      <c r="GR20" s="37">
        <v>920</v>
      </c>
      <c r="GS20" s="37">
        <v>920.00257924001096</v>
      </c>
      <c r="GT20" s="10">
        <v>4.0163041552039909</v>
      </c>
      <c r="GU20" s="11">
        <v>3.7622735559611396E-2</v>
      </c>
      <c r="GV20" s="26">
        <v>-1.8115440415361681</v>
      </c>
      <c r="GW20" s="26" t="s">
        <v>57</v>
      </c>
      <c r="GX20" s="26"/>
      <c r="GY20" s="37">
        <v>121</v>
      </c>
      <c r="GZ20" s="37">
        <v>121.50829921999971</v>
      </c>
      <c r="HA20" s="10">
        <v>4.3966942148760308</v>
      </c>
      <c r="HB20" s="11">
        <v>8.0698630666083807E-2</v>
      </c>
      <c r="HC20" s="26">
        <v>-5.3405135323842163</v>
      </c>
      <c r="HD20" s="26" t="s">
        <v>59</v>
      </c>
      <c r="HE20" s="15"/>
      <c r="HF20" s="37">
        <v>762</v>
      </c>
      <c r="HG20" s="37">
        <v>761.83777400000611</v>
      </c>
      <c r="HH20" s="10">
        <v>4.2190238846833497</v>
      </c>
      <c r="HI20" s="11">
        <v>3.3700119304699933E-2</v>
      </c>
      <c r="HJ20" s="11"/>
      <c r="HK20" s="37">
        <v>764</v>
      </c>
      <c r="HL20" s="37">
        <v>764.08569915000783</v>
      </c>
      <c r="HM20" s="10">
        <v>4.0902011503509001</v>
      </c>
      <c r="HN20" s="11">
        <v>3.7615613729273363E-2</v>
      </c>
      <c r="HO20" s="6">
        <v>2.5507539849961982</v>
      </c>
      <c r="HP20" s="6" t="s">
        <v>59</v>
      </c>
      <c r="HQ20" s="45">
        <f t="shared" ref="HQ20:HQ21" si="22">HH20-HM20</f>
        <v>0.12882273433244951</v>
      </c>
      <c r="HR20" s="27"/>
      <c r="HS20" s="3">
        <v>518</v>
      </c>
      <c r="HT20" s="3">
        <v>517.7974784599943</v>
      </c>
      <c r="HU20" s="29">
        <v>4.040766021945057</v>
      </c>
      <c r="HV20" s="27">
        <v>4.8603400742683663E-2</v>
      </c>
      <c r="HW20" s="6">
        <v>3.0139739888879462</v>
      </c>
      <c r="HX20" s="6" t="s">
        <v>59</v>
      </c>
      <c r="HY20" s="27"/>
      <c r="HZ20" s="9">
        <v>579</v>
      </c>
      <c r="IA20" s="9">
        <v>580.11393080000244</v>
      </c>
      <c r="IB20" s="10">
        <v>4.3010874218606112</v>
      </c>
      <c r="IC20" s="11">
        <v>3.5507477471203815E-2</v>
      </c>
      <c r="ID20" s="6">
        <v>-1.6763450592553282</v>
      </c>
      <c r="IE20" s="6" t="s">
        <v>57</v>
      </c>
      <c r="IF20" s="27"/>
      <c r="IG20" s="9">
        <v>1095</v>
      </c>
      <c r="IH20" s="9">
        <v>1099.1939669099966</v>
      </c>
      <c r="II20" s="10">
        <v>3.9792416991114461</v>
      </c>
      <c r="IJ20" s="11">
        <v>3.2335819013823666E-2</v>
      </c>
      <c r="IK20" s="6">
        <v>5.1340358025237709</v>
      </c>
      <c r="IL20" s="6" t="s">
        <v>59</v>
      </c>
      <c r="IM20" s="45">
        <f t="shared" ref="IM20:IM21" si="23">HH20-II20</f>
        <v>0.23978218557190356</v>
      </c>
      <c r="IN20" s="11"/>
      <c r="IO20" s="28">
        <v>1107</v>
      </c>
      <c r="IP20" s="28">
        <v>1112.3400799199924</v>
      </c>
      <c r="IQ20" s="29">
        <v>4.0432981595012398</v>
      </c>
      <c r="IR20" s="27">
        <v>3.1666299707228333E-2</v>
      </c>
      <c r="IS20" s="6">
        <v>3.8000169367135856</v>
      </c>
      <c r="IT20" s="6" t="s">
        <v>59</v>
      </c>
      <c r="IU20" s="27"/>
      <c r="IV20" s="37">
        <v>3789</v>
      </c>
      <c r="IW20" s="37">
        <v>3789.6729226500424</v>
      </c>
      <c r="IX20" s="10">
        <v>4.268235477371797</v>
      </c>
      <c r="IY20" s="11">
        <v>1.4942442331349661E-2</v>
      </c>
      <c r="IZ20" s="26">
        <v>-1.3349400023590079</v>
      </c>
      <c r="JA20" s="26" t="s">
        <v>57</v>
      </c>
      <c r="JB20" s="26"/>
      <c r="JC20" s="37">
        <v>931</v>
      </c>
      <c r="JD20" s="37">
        <v>930.8175664599836</v>
      </c>
      <c r="JE20" s="10">
        <v>4.2384807973105039</v>
      </c>
      <c r="JF20" s="11">
        <v>2.8864478567435851E-2</v>
      </c>
      <c r="JG20" s="26">
        <v>-0.4384973103420205</v>
      </c>
      <c r="JH20" s="26" t="s">
        <v>57</v>
      </c>
      <c r="JI20" s="26"/>
      <c r="JJ20" s="37">
        <v>376</v>
      </c>
      <c r="JK20" s="37">
        <v>376</v>
      </c>
      <c r="JL20" s="10">
        <v>4.2792553191489375</v>
      </c>
      <c r="JM20" s="11">
        <v>4.5947718631530333E-2</v>
      </c>
      <c r="JN20" s="26">
        <v>-1.057034979306724</v>
      </c>
      <c r="JO20" s="26" t="s">
        <v>57</v>
      </c>
      <c r="JP20" s="26"/>
      <c r="JQ20" s="37">
        <v>808</v>
      </c>
      <c r="JR20" s="37">
        <v>810.48261523000747</v>
      </c>
      <c r="JS20" s="10">
        <v>4.4390227911415856</v>
      </c>
      <c r="JT20" s="11">
        <v>2.9300991736299496E-2</v>
      </c>
      <c r="JU20" s="26">
        <v>-4.9264166582157234</v>
      </c>
      <c r="JV20" s="26" t="s">
        <v>59</v>
      </c>
      <c r="JW20" s="26"/>
      <c r="JX20" s="37">
        <v>14</v>
      </c>
      <c r="JY20" s="37">
        <v>13.720000000000004</v>
      </c>
      <c r="JZ20" s="10">
        <v>4.5000000000000009</v>
      </c>
      <c r="KA20" s="11">
        <v>0.17574127434281619</v>
      </c>
      <c r="KB20" s="26" t="s">
        <v>60</v>
      </c>
      <c r="KC20" s="26"/>
      <c r="KD20" s="26"/>
      <c r="KE20" s="37">
        <v>898</v>
      </c>
      <c r="KF20" s="37">
        <v>896.81496695998749</v>
      </c>
      <c r="KG20" s="10">
        <v>4.1784109401768417</v>
      </c>
      <c r="KH20" s="11">
        <v>3.3945295372207959E-2</v>
      </c>
      <c r="KI20" s="26">
        <v>0.84905976195653377</v>
      </c>
      <c r="KJ20" s="26" t="s">
        <v>57</v>
      </c>
      <c r="KL20" s="9"/>
      <c r="KM20" s="9"/>
      <c r="KN20" s="10"/>
      <c r="KO20" s="11"/>
    </row>
    <row r="21" spans="1:301" s="7" customFormat="1" x14ac:dyDescent="0.25">
      <c r="B21" s="5" t="s">
        <v>15</v>
      </c>
      <c r="C21" s="9">
        <v>2533</v>
      </c>
      <c r="D21" s="9">
        <v>2540.2099315300707</v>
      </c>
      <c r="E21" s="10">
        <v>3.9100968821374344</v>
      </c>
      <c r="F21" s="11">
        <v>2.2068951278672966E-2</v>
      </c>
      <c r="G21" s="11"/>
      <c r="H21" s="9">
        <v>2677</v>
      </c>
      <c r="I21" s="9">
        <v>2671.4055170299298</v>
      </c>
      <c r="J21" s="10">
        <v>3.8661898803378154</v>
      </c>
      <c r="K21" s="11">
        <v>2.0927703382400482E-2</v>
      </c>
      <c r="L21" s="26">
        <v>1.4436475677890992</v>
      </c>
      <c r="M21" s="26" t="s">
        <v>57</v>
      </c>
      <c r="N21" s="45">
        <f t="shared" si="18"/>
        <v>4.3907001799619039E-2</v>
      </c>
      <c r="O21" s="11"/>
      <c r="P21" s="3">
        <v>846</v>
      </c>
      <c r="Q21" s="3">
        <v>845.65495440001109</v>
      </c>
      <c r="R21" s="10">
        <v>3.8457062771274377</v>
      </c>
      <c r="S21" s="11">
        <v>3.9382675578365986E-2</v>
      </c>
      <c r="T21" s="26">
        <v>1.4263195017951029</v>
      </c>
      <c r="U21" s="26" t="s">
        <v>57</v>
      </c>
      <c r="V21" s="27"/>
      <c r="W21" s="9">
        <v>504</v>
      </c>
      <c r="X21" s="9">
        <v>504.11766408000079</v>
      </c>
      <c r="Y21" s="10">
        <v>3.8066277358522984</v>
      </c>
      <c r="Z21" s="11">
        <v>4.8473725376514426E-2</v>
      </c>
      <c r="AA21" s="26">
        <v>1.9426790144208874</v>
      </c>
      <c r="AB21" s="26" t="s">
        <v>57</v>
      </c>
      <c r="AC21" s="26"/>
      <c r="AD21" s="9">
        <v>738</v>
      </c>
      <c r="AE21" s="9">
        <v>770.43251364000764</v>
      </c>
      <c r="AF21" s="10">
        <v>3.699419381840618</v>
      </c>
      <c r="AG21" s="11">
        <v>3.6914744243784305E-2</v>
      </c>
      <c r="AH21" s="26">
        <v>4.8985006543528442</v>
      </c>
      <c r="AI21" s="26" t="s">
        <v>59</v>
      </c>
      <c r="AJ21" s="45">
        <f t="shared" si="19"/>
        <v>0.21067750029681642</v>
      </c>
      <c r="AK21" s="27"/>
      <c r="AL21" s="28">
        <v>903</v>
      </c>
      <c r="AM21" s="28">
        <v>941.56894113999692</v>
      </c>
      <c r="AN21" s="29">
        <v>3.6013022176522878</v>
      </c>
      <c r="AO21" s="27">
        <v>3.406109375629051E-2</v>
      </c>
      <c r="AP21" s="26">
        <v>7.6084651124889033</v>
      </c>
      <c r="AQ21" s="26" t="s">
        <v>59</v>
      </c>
      <c r="AR21" s="27"/>
      <c r="AS21" s="30">
        <v>3942</v>
      </c>
      <c r="AT21" s="31">
        <v>4.0749342597576304</v>
      </c>
      <c r="AU21" s="32">
        <v>1.5864474482765845E-2</v>
      </c>
      <c r="AV21" s="26">
        <v>-6.064789347129115</v>
      </c>
      <c r="AW21" s="26" t="s">
        <v>59</v>
      </c>
      <c r="AX21" s="27"/>
      <c r="AY21" s="33">
        <v>41</v>
      </c>
      <c r="AZ21" s="34">
        <v>4.3658536585365848</v>
      </c>
      <c r="BA21" s="35">
        <v>0.1195498951279806</v>
      </c>
      <c r="BB21" s="26">
        <v>-3.7489309026089175</v>
      </c>
      <c r="BC21" s="26" t="s">
        <v>59</v>
      </c>
      <c r="BD21" s="35"/>
      <c r="BE21" s="33">
        <v>528</v>
      </c>
      <c r="BF21" s="34">
        <v>4.1750623650872161</v>
      </c>
      <c r="BG21" s="35">
        <v>4.0850004756087299E-2</v>
      </c>
      <c r="BH21" s="26">
        <v>-5.7067512997225567</v>
      </c>
      <c r="BI21" s="26" t="s">
        <v>59</v>
      </c>
      <c r="BJ21" s="35"/>
      <c r="BK21" s="33">
        <v>595</v>
      </c>
      <c r="BL21" s="34">
        <v>4.2158674629223771</v>
      </c>
      <c r="BM21" s="35">
        <v>3.9093228324214503E-2</v>
      </c>
      <c r="BN21" s="26">
        <v>-6.8112024097515542</v>
      </c>
      <c r="BO21" s="26" t="s">
        <v>59</v>
      </c>
      <c r="BP21" s="35"/>
      <c r="BQ21" s="33">
        <v>937</v>
      </c>
      <c r="BR21" s="34">
        <v>4.157939067749199</v>
      </c>
      <c r="BS21" s="35">
        <v>3.2363600741764392E-2</v>
      </c>
      <c r="BT21" s="26">
        <v>-6.3270329452922267</v>
      </c>
      <c r="BU21" s="26" t="s">
        <v>59</v>
      </c>
      <c r="BV21" s="35"/>
      <c r="BW21" s="33">
        <v>1067</v>
      </c>
      <c r="BX21" s="34">
        <v>4.0001719614434244</v>
      </c>
      <c r="BY21" s="35">
        <v>3.1728632941468757E-2</v>
      </c>
      <c r="BZ21" s="26">
        <v>-2.3305930977876983</v>
      </c>
      <c r="CA21" s="26" t="s">
        <v>59</v>
      </c>
      <c r="CB21" s="27"/>
      <c r="CC21" s="9">
        <v>10008</v>
      </c>
      <c r="CD21" s="9">
        <v>10080.697310779136</v>
      </c>
      <c r="CE21" s="10">
        <v>4.2374452170466741</v>
      </c>
      <c r="CF21" s="11">
        <v>9.7064538448832453E-3</v>
      </c>
      <c r="CG21" s="26">
        <v>-13.577731379789846</v>
      </c>
      <c r="CH21" s="26" t="s">
        <v>59</v>
      </c>
      <c r="CI21" s="26"/>
      <c r="CJ21" s="9">
        <v>379</v>
      </c>
      <c r="CK21" s="9">
        <v>379</v>
      </c>
      <c r="CL21" s="10">
        <v>4.2559366754617427</v>
      </c>
      <c r="CM21" s="11">
        <v>4.3746946196015685E-2</v>
      </c>
      <c r="CN21" s="26">
        <v>-7.0581990937324548</v>
      </c>
      <c r="CO21" s="26" t="s">
        <v>59</v>
      </c>
      <c r="CP21" s="26"/>
      <c r="CQ21" s="9">
        <v>2731</v>
      </c>
      <c r="CR21" s="9">
        <v>2793.7510204199152</v>
      </c>
      <c r="CS21" s="10">
        <v>4.0488627070280181</v>
      </c>
      <c r="CT21" s="11">
        <v>1.881940394268071E-2</v>
      </c>
      <c r="CU21" s="26">
        <v>-4.7844351905602576</v>
      </c>
      <c r="CV21" s="26" t="s">
        <v>59</v>
      </c>
      <c r="CW21" s="26"/>
      <c r="CX21" s="9">
        <v>2444</v>
      </c>
      <c r="CY21" s="9">
        <v>2443.9894012300633</v>
      </c>
      <c r="CZ21" s="10">
        <v>4.2532569978079593</v>
      </c>
      <c r="DA21" s="11">
        <v>1.8110379151934974E-2</v>
      </c>
      <c r="DB21" s="26">
        <v>-12.020194319573079</v>
      </c>
      <c r="DC21" s="26" t="s">
        <v>59</v>
      </c>
      <c r="DD21" s="26"/>
      <c r="DE21" s="9">
        <v>505</v>
      </c>
      <c r="DF21" s="9">
        <v>507.74695759999651</v>
      </c>
      <c r="DG21" s="10">
        <v>4.9168316831683123</v>
      </c>
      <c r="DH21" s="11">
        <v>1.3767675890830281E-2</v>
      </c>
      <c r="DI21" s="26">
        <v>-38.703754253194717</v>
      </c>
      <c r="DJ21" s="26" t="s">
        <v>59</v>
      </c>
      <c r="DK21" s="26"/>
      <c r="DL21" s="9">
        <v>883</v>
      </c>
      <c r="DM21" s="9">
        <v>883</v>
      </c>
      <c r="DN21" s="10">
        <v>4.8765571913929771</v>
      </c>
      <c r="DO21" s="11">
        <v>1.196767788492434E-2</v>
      </c>
      <c r="DP21" s="26">
        <v>-38.496637569279514</v>
      </c>
      <c r="DQ21" s="26" t="s">
        <v>59</v>
      </c>
      <c r="DR21" s="26"/>
      <c r="DS21" s="9">
        <v>533</v>
      </c>
      <c r="DT21" s="9">
        <v>533</v>
      </c>
      <c r="DU21" s="10">
        <v>4.9943714821763638</v>
      </c>
      <c r="DV21" s="11">
        <v>3.2435122088217646E-3</v>
      </c>
      <c r="DW21" s="26">
        <v>-48.60903494378698</v>
      </c>
      <c r="DX21" s="26" t="s">
        <v>59</v>
      </c>
      <c r="DY21" s="36"/>
      <c r="DZ21" s="9">
        <v>830</v>
      </c>
      <c r="EA21" s="9">
        <v>834.12405781000132</v>
      </c>
      <c r="EB21" s="10">
        <v>3.9453049481994524</v>
      </c>
      <c r="EC21" s="11">
        <v>3.6433377584257416E-2</v>
      </c>
      <c r="ED21" s="11"/>
      <c r="EE21" s="9">
        <v>822</v>
      </c>
      <c r="EF21" s="9">
        <v>820.66948990000367</v>
      </c>
      <c r="EG21" s="10">
        <v>3.9038189339661939</v>
      </c>
      <c r="EH21" s="11">
        <v>3.7879016405249627E-2</v>
      </c>
      <c r="EI21" s="6">
        <v>0.78935669305379708</v>
      </c>
      <c r="EJ21" s="6" t="s">
        <v>57</v>
      </c>
      <c r="EK21" s="45">
        <f t="shared" si="20"/>
        <v>4.1486014233258484E-2</v>
      </c>
      <c r="EL21" s="11"/>
      <c r="EM21" s="9">
        <v>545</v>
      </c>
      <c r="EN21" s="9">
        <v>544.57453265999527</v>
      </c>
      <c r="EO21" s="10">
        <v>3.8472760366634207</v>
      </c>
      <c r="EP21" s="11">
        <v>5.0089559497954877E-2</v>
      </c>
      <c r="EQ21" s="6">
        <v>1.5826860991942924</v>
      </c>
      <c r="ER21" s="6" t="s">
        <v>57</v>
      </c>
      <c r="ES21" s="11"/>
      <c r="ET21" s="9">
        <v>595</v>
      </c>
      <c r="EU21" s="9">
        <v>596.15080664999971</v>
      </c>
      <c r="EV21" s="10">
        <v>3.9972730314177793</v>
      </c>
      <c r="EW21" s="11">
        <v>4.4615455100339339E-2</v>
      </c>
      <c r="EX21" s="6">
        <v>-0.90220057547388111</v>
      </c>
      <c r="EY21" s="6" t="s">
        <v>57</v>
      </c>
      <c r="EZ21" s="11"/>
      <c r="FA21" s="9">
        <v>539</v>
      </c>
      <c r="FB21" s="9">
        <v>546.62796239000215</v>
      </c>
      <c r="FC21" s="10">
        <v>3.9088608909391027</v>
      </c>
      <c r="FD21" s="11">
        <v>4.5516299717044781E-2</v>
      </c>
      <c r="FE21" s="6">
        <v>0.62509090746298213</v>
      </c>
      <c r="FF21" s="6" t="s">
        <v>57</v>
      </c>
      <c r="FG21" s="45">
        <f t="shared" si="21"/>
        <v>3.6444057260349716E-2</v>
      </c>
      <c r="FH21" s="11"/>
      <c r="FI21" s="28">
        <v>618</v>
      </c>
      <c r="FJ21" s="28">
        <v>617.71085737999738</v>
      </c>
      <c r="FK21" s="29">
        <v>3.9237609086883367</v>
      </c>
      <c r="FL21" s="27">
        <v>4.3332989172029927E-2</v>
      </c>
      <c r="FM21" s="6">
        <v>0.38054297208313687</v>
      </c>
      <c r="FN21" s="6" t="s">
        <v>57</v>
      </c>
      <c r="FO21" s="11"/>
      <c r="FP21" s="37">
        <v>3128</v>
      </c>
      <c r="FQ21" s="37">
        <v>3136.4621971298602</v>
      </c>
      <c r="FR21" s="10">
        <v>4.1418431511519831</v>
      </c>
      <c r="FS21" s="11">
        <v>1.7441753237257589E-2</v>
      </c>
      <c r="FT21" s="26">
        <v>-4.8656331992293431</v>
      </c>
      <c r="FU21" s="26" t="s">
        <v>59</v>
      </c>
      <c r="FV21" s="26"/>
      <c r="FW21" s="9">
        <v>908</v>
      </c>
      <c r="FX21" s="9">
        <v>907.88630127998465</v>
      </c>
      <c r="FY21" s="10">
        <v>4.240126278866243</v>
      </c>
      <c r="FZ21" s="11">
        <v>2.9024269773429267E-2</v>
      </c>
      <c r="GA21" s="26">
        <v>-6.3292044659817037</v>
      </c>
      <c r="GB21" s="26" t="s">
        <v>59</v>
      </c>
      <c r="GC21" s="26"/>
      <c r="GD21" s="37">
        <v>14</v>
      </c>
      <c r="GE21" s="37">
        <v>13.720000000000004</v>
      </c>
      <c r="GF21" s="10">
        <v>4.4285714285714288</v>
      </c>
      <c r="GG21" s="11">
        <v>0.17459636785991703</v>
      </c>
      <c r="GH21" s="26" t="s">
        <v>60</v>
      </c>
      <c r="GI21" s="26"/>
      <c r="GJ21" s="26"/>
      <c r="GK21" s="37">
        <v>330</v>
      </c>
      <c r="GL21" s="37">
        <v>334.24285619999853</v>
      </c>
      <c r="GM21" s="10">
        <v>4.0969696969697003</v>
      </c>
      <c r="GN21" s="11">
        <v>5.0898680164688438E-2</v>
      </c>
      <c r="GO21" s="26">
        <v>-2.4229739257003562</v>
      </c>
      <c r="GP21" s="26" t="s">
        <v>59</v>
      </c>
      <c r="GQ21" s="26"/>
      <c r="GR21" s="37">
        <v>930</v>
      </c>
      <c r="GS21" s="37">
        <v>930.00168672001132</v>
      </c>
      <c r="GT21" s="10">
        <v>4.198928146993457</v>
      </c>
      <c r="GU21" s="11">
        <v>3.316317645568196E-2</v>
      </c>
      <c r="GV21" s="26">
        <v>-5.1479857072059394</v>
      </c>
      <c r="GW21" s="26" t="s">
        <v>59</v>
      </c>
      <c r="GX21" s="26"/>
      <c r="GY21" s="37">
        <v>116</v>
      </c>
      <c r="GZ21" s="37">
        <v>116.48729511999974</v>
      </c>
      <c r="HA21" s="10">
        <v>4.4224137931034475</v>
      </c>
      <c r="HB21" s="11">
        <v>7.5469431115940261E-2</v>
      </c>
      <c r="HC21" s="26">
        <v>-5.6931854219245865</v>
      </c>
      <c r="HD21" s="26" t="s">
        <v>59</v>
      </c>
      <c r="HE21" s="15"/>
      <c r="HF21" s="37">
        <v>764</v>
      </c>
      <c r="HG21" s="37">
        <v>763.82734320000611</v>
      </c>
      <c r="HH21" s="10">
        <v>4.1807249475800061</v>
      </c>
      <c r="HI21" s="11">
        <v>3.4580328442387398E-2</v>
      </c>
      <c r="HJ21" s="11"/>
      <c r="HK21" s="37">
        <v>758</v>
      </c>
      <c r="HL21" s="37">
        <v>758.05849950000766</v>
      </c>
      <c r="HM21" s="10">
        <v>3.9986253520926294</v>
      </c>
      <c r="HN21" s="11">
        <v>3.9538300786271498E-2</v>
      </c>
      <c r="HO21" s="6">
        <v>3.4667867036922186</v>
      </c>
      <c r="HP21" s="6" t="s">
        <v>59</v>
      </c>
      <c r="HQ21" s="45">
        <f t="shared" si="22"/>
        <v>0.18209959548737675</v>
      </c>
      <c r="HR21" s="27"/>
      <c r="HS21" s="3">
        <v>514</v>
      </c>
      <c r="HT21" s="3">
        <v>513.79176417999417</v>
      </c>
      <c r="HU21" s="29">
        <v>4.0450966902845913</v>
      </c>
      <c r="HV21" s="27">
        <v>4.8579057956263973E-2</v>
      </c>
      <c r="HW21" s="6">
        <v>2.2745011498854795</v>
      </c>
      <c r="HX21" s="6" t="s">
        <v>59</v>
      </c>
      <c r="HY21" s="27"/>
      <c r="HZ21" s="9">
        <v>583</v>
      </c>
      <c r="IA21" s="9">
        <v>583.59756157000265</v>
      </c>
      <c r="IB21" s="10">
        <v>4.1393294257111881</v>
      </c>
      <c r="IC21" s="11">
        <v>4.0292498349449653E-2</v>
      </c>
      <c r="ID21" s="6">
        <v>0.77962167936196591</v>
      </c>
      <c r="IE21" s="6" t="s">
        <v>57</v>
      </c>
      <c r="IF21" s="27"/>
      <c r="IG21" s="9">
        <v>1086</v>
      </c>
      <c r="IH21" s="9">
        <v>1089.6544579999963</v>
      </c>
      <c r="II21" s="10">
        <v>3.9132171327288798</v>
      </c>
      <c r="IJ21" s="11">
        <v>3.257308482693063E-2</v>
      </c>
      <c r="IK21" s="6">
        <v>5.6310509776855326</v>
      </c>
      <c r="IL21" s="6" t="s">
        <v>59</v>
      </c>
      <c r="IM21" s="45">
        <f t="shared" si="23"/>
        <v>0.26750781485112629</v>
      </c>
      <c r="IN21" s="11"/>
      <c r="IO21" s="28">
        <v>1110</v>
      </c>
      <c r="IP21" s="28">
        <v>1114.7096712299924</v>
      </c>
      <c r="IQ21" s="29">
        <v>3.9607513146255218</v>
      </c>
      <c r="IR21" s="27">
        <v>3.1902101277415183E-2</v>
      </c>
      <c r="IS21" s="6">
        <v>4.6754845710949784</v>
      </c>
      <c r="IT21" s="6" t="s">
        <v>59</v>
      </c>
      <c r="IU21" s="27"/>
      <c r="IV21" s="37">
        <v>3789</v>
      </c>
      <c r="IW21" s="37">
        <v>3785.5787492000454</v>
      </c>
      <c r="IX21" s="10">
        <v>4.2301340671605852</v>
      </c>
      <c r="IY21" s="11">
        <v>1.5442924088001405E-2</v>
      </c>
      <c r="IZ21" s="26">
        <v>-1.3046369871981758</v>
      </c>
      <c r="JA21" s="26" t="s">
        <v>57</v>
      </c>
      <c r="JB21" s="26"/>
      <c r="JC21" s="37">
        <v>908</v>
      </c>
      <c r="JD21" s="37">
        <v>907.88630127998465</v>
      </c>
      <c r="JE21" s="10">
        <v>4.240126278866243</v>
      </c>
      <c r="JF21" s="11">
        <v>2.9024269773429267E-2</v>
      </c>
      <c r="JG21" s="26">
        <v>-1.3157458127313357</v>
      </c>
      <c r="JH21" s="26" t="s">
        <v>57</v>
      </c>
      <c r="JI21" s="26"/>
      <c r="JJ21" s="37">
        <v>384</v>
      </c>
      <c r="JK21" s="37">
        <v>384</v>
      </c>
      <c r="JL21" s="10">
        <v>4.2499999999999991</v>
      </c>
      <c r="JM21" s="11">
        <v>4.9749153178215232E-2</v>
      </c>
      <c r="JN21" s="26">
        <v>-1.1433990867888666</v>
      </c>
      <c r="JO21" s="26" t="s">
        <v>57</v>
      </c>
      <c r="JP21" s="26"/>
      <c r="JQ21" s="37">
        <v>813</v>
      </c>
      <c r="JR21" s="37">
        <v>811.19614326000749</v>
      </c>
      <c r="JS21" s="10">
        <v>4.3865755138945328</v>
      </c>
      <c r="JT21" s="11">
        <v>3.1296523394746416E-2</v>
      </c>
      <c r="JU21" s="26">
        <v>-4.4136239949048521</v>
      </c>
      <c r="JV21" s="26" t="s">
        <v>59</v>
      </c>
      <c r="JW21" s="26"/>
      <c r="JX21" s="37">
        <v>14</v>
      </c>
      <c r="JY21" s="37">
        <v>13.720000000000004</v>
      </c>
      <c r="JZ21" s="10">
        <v>4.4285714285714288</v>
      </c>
      <c r="KA21" s="11">
        <v>0.17459636785991703</v>
      </c>
      <c r="KB21" s="26" t="s">
        <v>60</v>
      </c>
      <c r="KC21" s="26"/>
      <c r="KD21" s="26"/>
      <c r="KE21" s="37">
        <v>906</v>
      </c>
      <c r="KF21" s="37">
        <v>904.94896145998712</v>
      </c>
      <c r="KG21" s="10">
        <v>4.1101410761101818</v>
      </c>
      <c r="KH21" s="11">
        <v>3.4572936468695747E-2</v>
      </c>
      <c r="KI21" s="26">
        <v>1.4434700642912046</v>
      </c>
      <c r="KJ21" s="26" t="s">
        <v>57</v>
      </c>
      <c r="KL21" s="9"/>
      <c r="KM21" s="9"/>
      <c r="KN21" s="10"/>
      <c r="KO21" s="11"/>
    </row>
    <row r="22" spans="1:301" s="7" customFormat="1" x14ac:dyDescent="0.25">
      <c r="B22" s="5"/>
      <c r="C22" s="9"/>
      <c r="D22" s="9"/>
      <c r="E22" s="10"/>
      <c r="F22" s="11"/>
      <c r="G22" s="11"/>
      <c r="H22" s="9"/>
      <c r="I22" s="9"/>
      <c r="J22" s="10"/>
      <c r="K22" s="11"/>
      <c r="L22" s="26"/>
      <c r="M22" s="26"/>
      <c r="N22" s="45"/>
      <c r="O22" s="11"/>
      <c r="P22" s="3"/>
      <c r="Q22" s="3"/>
      <c r="R22" s="10"/>
      <c r="S22" s="11"/>
      <c r="T22" s="26"/>
      <c r="U22" s="26"/>
      <c r="V22" s="27"/>
      <c r="W22" s="9"/>
      <c r="X22" s="9"/>
      <c r="Y22" s="10"/>
      <c r="Z22" s="11"/>
      <c r="AA22" s="26"/>
      <c r="AB22" s="26"/>
      <c r="AC22" s="26"/>
      <c r="AD22" s="9"/>
      <c r="AE22" s="9"/>
      <c r="AF22" s="10"/>
      <c r="AG22" s="11"/>
      <c r="AH22" s="26"/>
      <c r="AI22" s="26"/>
      <c r="AJ22" s="45"/>
      <c r="AK22" s="27"/>
      <c r="AL22" s="28"/>
      <c r="AM22" s="28"/>
      <c r="AN22" s="29"/>
      <c r="AO22" s="27"/>
      <c r="AP22" s="26"/>
      <c r="AQ22" s="26"/>
      <c r="AR22" s="27"/>
      <c r="AS22" s="30"/>
      <c r="AT22" s="31"/>
      <c r="AU22" s="32"/>
      <c r="AV22" s="26"/>
      <c r="AW22" s="26"/>
      <c r="AX22" s="27"/>
      <c r="AY22" s="33"/>
      <c r="AZ22" s="34"/>
      <c r="BA22" s="35"/>
      <c r="BB22" s="26"/>
      <c r="BC22" s="26"/>
      <c r="BD22" s="35"/>
      <c r="BE22" s="33"/>
      <c r="BF22" s="34"/>
      <c r="BG22" s="35"/>
      <c r="BH22" s="26"/>
      <c r="BI22" s="26"/>
      <c r="BJ22" s="35"/>
      <c r="BK22" s="33"/>
      <c r="BL22" s="34"/>
      <c r="BM22" s="35"/>
      <c r="BN22" s="26"/>
      <c r="BO22" s="26"/>
      <c r="BP22" s="35"/>
      <c r="BQ22" s="33"/>
      <c r="BR22" s="34"/>
      <c r="BS22" s="35"/>
      <c r="BT22" s="26"/>
      <c r="BU22" s="26"/>
      <c r="BV22" s="35"/>
      <c r="BW22" s="33"/>
      <c r="BX22" s="34"/>
      <c r="BY22" s="35"/>
      <c r="BZ22" s="26"/>
      <c r="CA22" s="26"/>
      <c r="CB22" s="27"/>
      <c r="CC22" s="9"/>
      <c r="CD22" s="9"/>
      <c r="CE22" s="10"/>
      <c r="CF22" s="11"/>
      <c r="CG22" s="26"/>
      <c r="CH22" s="26"/>
      <c r="CI22" s="26"/>
      <c r="CJ22" s="9"/>
      <c r="CK22" s="9"/>
      <c r="CL22" s="10"/>
      <c r="CM22" s="11"/>
      <c r="CN22" s="26"/>
      <c r="CO22" s="26"/>
      <c r="CP22" s="26"/>
      <c r="CQ22" s="9"/>
      <c r="CR22" s="9"/>
      <c r="CS22" s="10"/>
      <c r="CT22" s="11"/>
      <c r="CU22" s="26"/>
      <c r="CV22" s="26"/>
      <c r="CW22" s="26"/>
      <c r="CX22" s="9"/>
      <c r="CY22" s="9"/>
      <c r="CZ22" s="10"/>
      <c r="DA22" s="11"/>
      <c r="DB22" s="26"/>
      <c r="DC22" s="26"/>
      <c r="DD22" s="26"/>
      <c r="DE22" s="9"/>
      <c r="DF22" s="9"/>
      <c r="DG22" s="10"/>
      <c r="DH22" s="11"/>
      <c r="DI22" s="26"/>
      <c r="DJ22" s="26"/>
      <c r="DK22" s="26"/>
      <c r="DL22" s="9"/>
      <c r="DM22" s="9"/>
      <c r="DN22" s="10"/>
      <c r="DO22" s="11"/>
      <c r="DP22" s="26"/>
      <c r="DQ22" s="26"/>
      <c r="DR22" s="26"/>
      <c r="DS22" s="9"/>
      <c r="DT22" s="9"/>
      <c r="DU22" s="10"/>
      <c r="DV22" s="11"/>
      <c r="DW22" s="26"/>
      <c r="DX22" s="26"/>
      <c r="DY22" s="36"/>
      <c r="DZ22" s="9"/>
      <c r="EA22" s="9"/>
      <c r="EB22" s="10"/>
      <c r="EC22" s="11"/>
      <c r="ED22" s="11"/>
      <c r="EE22" s="9"/>
      <c r="EF22" s="9"/>
      <c r="EG22" s="10"/>
      <c r="EH22" s="11"/>
      <c r="EI22" s="6"/>
      <c r="EJ22" s="6"/>
      <c r="EK22" s="45"/>
      <c r="EL22" s="11"/>
      <c r="EM22" s="9"/>
      <c r="EN22" s="9"/>
      <c r="EO22" s="10"/>
      <c r="EP22" s="11"/>
      <c r="EQ22" s="6"/>
      <c r="ER22" s="6"/>
      <c r="ES22" s="11"/>
      <c r="ET22" s="9"/>
      <c r="EU22" s="9"/>
      <c r="EV22" s="10"/>
      <c r="EW22" s="11"/>
      <c r="EX22" s="6"/>
      <c r="EY22" s="6"/>
      <c r="EZ22" s="11"/>
      <c r="FA22" s="9"/>
      <c r="FB22" s="9"/>
      <c r="FC22" s="10"/>
      <c r="FD22" s="11"/>
      <c r="FE22" s="6"/>
      <c r="FF22" s="6"/>
      <c r="FG22" s="45"/>
      <c r="FH22" s="11"/>
      <c r="FI22" s="28"/>
      <c r="FJ22" s="28"/>
      <c r="FK22" s="29"/>
      <c r="FL22" s="27"/>
      <c r="FM22" s="6"/>
      <c r="FN22" s="6"/>
      <c r="FO22" s="11"/>
      <c r="FP22" s="37"/>
      <c r="FQ22" s="37"/>
      <c r="FR22" s="10"/>
      <c r="FS22" s="11"/>
      <c r="FT22" s="26"/>
      <c r="FU22" s="26"/>
      <c r="FV22" s="26"/>
      <c r="FW22" s="9"/>
      <c r="FX22" s="9"/>
      <c r="FY22" s="10"/>
      <c r="FZ22" s="11"/>
      <c r="GA22" s="26"/>
      <c r="GB22" s="26"/>
      <c r="GC22" s="26"/>
      <c r="GD22" s="37"/>
      <c r="GE22" s="37"/>
      <c r="GF22" s="10"/>
      <c r="GG22" s="11"/>
      <c r="GH22" s="26"/>
      <c r="GI22" s="26"/>
      <c r="GJ22" s="26"/>
      <c r="GK22" s="37"/>
      <c r="GL22" s="37"/>
      <c r="GM22" s="10"/>
      <c r="GN22" s="11"/>
      <c r="GO22" s="26"/>
      <c r="GP22" s="26"/>
      <c r="GQ22" s="26"/>
      <c r="GR22" s="37"/>
      <c r="GS22" s="37"/>
      <c r="GT22" s="10"/>
      <c r="GU22" s="11"/>
      <c r="GV22" s="26"/>
      <c r="GW22" s="26"/>
      <c r="GX22" s="26"/>
      <c r="GY22" s="37"/>
      <c r="GZ22" s="37"/>
      <c r="HA22" s="10"/>
      <c r="HB22" s="11"/>
      <c r="HC22" s="26"/>
      <c r="HD22" s="26"/>
      <c r="HE22" s="15"/>
      <c r="HF22" s="37"/>
      <c r="HG22" s="37"/>
      <c r="HH22" s="10"/>
      <c r="HI22" s="11"/>
      <c r="HJ22" s="11"/>
      <c r="HK22" s="37"/>
      <c r="HL22" s="37"/>
      <c r="HM22" s="10"/>
      <c r="HN22" s="11"/>
      <c r="HO22" s="6"/>
      <c r="HP22" s="6"/>
      <c r="HQ22" s="45"/>
      <c r="HR22" s="27"/>
      <c r="HS22" s="3"/>
      <c r="HT22" s="3"/>
      <c r="HU22" s="29"/>
      <c r="HV22" s="27"/>
      <c r="HW22" s="6"/>
      <c r="HX22" s="6"/>
      <c r="HY22" s="27"/>
      <c r="HZ22" s="9"/>
      <c r="IA22" s="9"/>
      <c r="IB22" s="10"/>
      <c r="IC22" s="11"/>
      <c r="ID22" s="6"/>
      <c r="IE22" s="6"/>
      <c r="IF22" s="27"/>
      <c r="IG22" s="9"/>
      <c r="IH22" s="9"/>
      <c r="II22" s="10"/>
      <c r="IJ22" s="11"/>
      <c r="IK22" s="6"/>
      <c r="IL22" s="6"/>
      <c r="IM22" s="45"/>
      <c r="IN22" s="11"/>
      <c r="IO22" s="28"/>
      <c r="IP22" s="28"/>
      <c r="IQ22" s="29"/>
      <c r="IR22" s="27"/>
      <c r="IS22" s="6"/>
      <c r="IT22" s="6"/>
      <c r="IU22" s="27"/>
      <c r="IV22" s="37"/>
      <c r="IW22" s="37"/>
      <c r="IX22" s="10"/>
      <c r="IY22" s="11"/>
      <c r="IZ22" s="26"/>
      <c r="JA22" s="26"/>
      <c r="JB22" s="26"/>
      <c r="JC22" s="37"/>
      <c r="JD22" s="37"/>
      <c r="JE22" s="10"/>
      <c r="JF22" s="11"/>
      <c r="JG22" s="26"/>
      <c r="JH22" s="26"/>
      <c r="JI22" s="26"/>
      <c r="JJ22" s="37"/>
      <c r="JK22" s="37"/>
      <c r="JL22" s="10"/>
      <c r="JM22" s="11"/>
      <c r="JN22" s="26"/>
      <c r="JO22" s="26"/>
      <c r="JP22" s="26"/>
      <c r="JQ22" s="37"/>
      <c r="JR22" s="37"/>
      <c r="JS22" s="10"/>
      <c r="JT22" s="11"/>
      <c r="JU22" s="26"/>
      <c r="JV22" s="26"/>
      <c r="JW22" s="26"/>
      <c r="JX22" s="37"/>
      <c r="JY22" s="37"/>
      <c r="JZ22" s="10"/>
      <c r="KA22" s="11"/>
      <c r="KB22" s="26"/>
      <c r="KC22" s="26"/>
      <c r="KD22" s="26"/>
      <c r="KE22" s="37"/>
      <c r="KF22" s="37"/>
      <c r="KG22" s="10"/>
      <c r="KH22" s="11"/>
      <c r="KI22" s="26"/>
      <c r="KJ22" s="26"/>
      <c r="KL22" s="9"/>
      <c r="KM22" s="9"/>
      <c r="KN22" s="10"/>
      <c r="KO22" s="11"/>
    </row>
    <row r="23" spans="1:301" s="7" customFormat="1" x14ac:dyDescent="0.25">
      <c r="A23" s="14"/>
      <c r="B23" s="5" t="s">
        <v>16</v>
      </c>
      <c r="C23" s="9">
        <v>2724</v>
      </c>
      <c r="D23" s="9">
        <v>2726.5167537900707</v>
      </c>
      <c r="E23" s="10">
        <v>3.8198377482672075</v>
      </c>
      <c r="F23" s="11">
        <v>2.1803458355391769E-2</v>
      </c>
      <c r="G23" s="11"/>
      <c r="H23" s="9">
        <v>2825</v>
      </c>
      <c r="I23" s="9">
        <v>2823.0239375299238</v>
      </c>
      <c r="J23" s="10">
        <v>3.7913102818619819</v>
      </c>
      <c r="K23" s="11">
        <v>2.0946447632054058E-2</v>
      </c>
      <c r="L23" s="26">
        <v>0.9435301571794541</v>
      </c>
      <c r="M23" s="26" t="s">
        <v>57</v>
      </c>
      <c r="N23" s="45">
        <f t="shared" ref="N23:N26" si="24">E23-J23</f>
        <v>2.8527466405225521E-2</v>
      </c>
      <c r="O23" s="11"/>
      <c r="P23" s="3">
        <v>900</v>
      </c>
      <c r="Q23" s="3">
        <v>899.97383994001325</v>
      </c>
      <c r="R23" s="10">
        <v>3.7529767455298222</v>
      </c>
      <c r="S23" s="11">
        <v>3.8629178131872631E-2</v>
      </c>
      <c r="T23" s="26">
        <v>1.5073149796460763</v>
      </c>
      <c r="U23" s="26" t="s">
        <v>57</v>
      </c>
      <c r="V23" s="27"/>
      <c r="W23" s="9">
        <v>1001</v>
      </c>
      <c r="X23" s="9">
        <v>1001.3789944500068</v>
      </c>
      <c r="Y23" s="10">
        <v>3.3235756043374618</v>
      </c>
      <c r="Z23" s="11">
        <v>3.1266976397701839E-2</v>
      </c>
      <c r="AA23" s="26">
        <v>13.018955932453132</v>
      </c>
      <c r="AB23" s="26" t="s">
        <v>59</v>
      </c>
      <c r="AC23" s="26"/>
      <c r="AD23" s="9">
        <v>1016</v>
      </c>
      <c r="AE23" s="9">
        <v>1020.029688220019</v>
      </c>
      <c r="AF23" s="10">
        <v>3.591441850847267</v>
      </c>
      <c r="AG23" s="11">
        <v>3.1967306312550271E-2</v>
      </c>
      <c r="AH23" s="26">
        <v>5.9024723768698548</v>
      </c>
      <c r="AI23" s="26" t="s">
        <v>59</v>
      </c>
      <c r="AJ23" s="45">
        <f t="shared" ref="AJ23:AJ26" si="25">E23-AF23</f>
        <v>0.22839589741994049</v>
      </c>
      <c r="AK23" s="27"/>
      <c r="AL23" s="28">
        <v>1170</v>
      </c>
      <c r="AM23" s="28">
        <v>1172.2123273200041</v>
      </c>
      <c r="AN23" s="29">
        <v>3.5900938219967826</v>
      </c>
      <c r="AO23" s="27">
        <v>2.9640740412258035E-2</v>
      </c>
      <c r="AP23" s="26">
        <v>6.2436770864346656</v>
      </c>
      <c r="AQ23" s="26" t="s">
        <v>59</v>
      </c>
      <c r="AR23" s="27"/>
      <c r="AS23" s="30">
        <v>4913</v>
      </c>
      <c r="AT23" s="31">
        <v>4.0456668664603548</v>
      </c>
      <c r="AU23" s="32">
        <v>1.4629822232686884E-2</v>
      </c>
      <c r="AV23" s="26">
        <v>-8.6007676209946364</v>
      </c>
      <c r="AW23" s="26" t="s">
        <v>59</v>
      </c>
      <c r="AX23" s="27"/>
      <c r="AY23" s="33">
        <v>498</v>
      </c>
      <c r="AZ23" s="34">
        <v>4.3001755240473019</v>
      </c>
      <c r="BA23" s="35">
        <v>4.4096901710526243E-2</v>
      </c>
      <c r="BB23" s="26">
        <v>-9.7643999985852474</v>
      </c>
      <c r="BC23" s="26" t="s">
        <v>59</v>
      </c>
      <c r="BD23" s="35"/>
      <c r="BE23" s="33">
        <v>691</v>
      </c>
      <c r="BF23" s="34">
        <v>4.1170413083352031</v>
      </c>
      <c r="BG23" s="35">
        <v>3.6647680137056091E-2</v>
      </c>
      <c r="BH23" s="26">
        <v>-6.9695402508269249</v>
      </c>
      <c r="BI23" s="26" t="s">
        <v>59</v>
      </c>
      <c r="BJ23" s="35"/>
      <c r="BK23" s="33">
        <v>691</v>
      </c>
      <c r="BL23" s="34">
        <v>4.1658252868096026</v>
      </c>
      <c r="BM23" s="35">
        <v>3.5948564309933685E-2</v>
      </c>
      <c r="BN23" s="26">
        <v>-8.2291957978981074</v>
      </c>
      <c r="BO23" s="26" t="s">
        <v>59</v>
      </c>
      <c r="BP23" s="35"/>
      <c r="BQ23" s="33">
        <v>1105</v>
      </c>
      <c r="BR23" s="34">
        <v>4.0732908197402677</v>
      </c>
      <c r="BS23" s="35">
        <v>3.0877070536767234E-2</v>
      </c>
      <c r="BT23" s="26">
        <v>-6.7052384503960116</v>
      </c>
      <c r="BU23" s="26" t="s">
        <v>59</v>
      </c>
      <c r="BV23" s="35"/>
      <c r="BW23" s="33">
        <v>1192</v>
      </c>
      <c r="BX23" s="34">
        <v>3.9640237136824172</v>
      </c>
      <c r="BY23" s="35">
        <v>3.020881027481391E-2</v>
      </c>
      <c r="BZ23" s="26">
        <v>-3.8702056526778046</v>
      </c>
      <c r="CA23" s="26" t="s">
        <v>59</v>
      </c>
      <c r="CB23" s="27"/>
      <c r="CC23" s="9">
        <v>10993</v>
      </c>
      <c r="CD23" s="9">
        <v>11036.880537869154</v>
      </c>
      <c r="CE23" s="10">
        <v>4.1403727036198585</v>
      </c>
      <c r="CF23" s="11">
        <v>9.7684672809586499E-3</v>
      </c>
      <c r="CG23" s="26">
        <v>-13.416158637569078</v>
      </c>
      <c r="CH23" s="26" t="s">
        <v>59</v>
      </c>
      <c r="CI23" s="26"/>
      <c r="CJ23" s="9">
        <v>429</v>
      </c>
      <c r="CK23" s="9">
        <v>429</v>
      </c>
      <c r="CL23" s="10">
        <v>4.1888111888111901</v>
      </c>
      <c r="CM23" s="11">
        <v>4.2886346154732864E-2</v>
      </c>
      <c r="CN23" s="26">
        <v>-7.6692759684729577</v>
      </c>
      <c r="CO23" s="26" t="s">
        <v>59</v>
      </c>
      <c r="CP23" s="26"/>
      <c r="CQ23" s="9">
        <v>3032</v>
      </c>
      <c r="CR23" s="9">
        <v>3073.4921839798913</v>
      </c>
      <c r="CS23" s="10">
        <v>3.9629203643386437</v>
      </c>
      <c r="CT23" s="11">
        <v>1.846547698927176E-2</v>
      </c>
      <c r="CU23" s="26">
        <v>-5.0077746825199094</v>
      </c>
      <c r="CV23" s="26" t="s">
        <v>59</v>
      </c>
      <c r="CW23" s="26"/>
      <c r="CX23" s="9">
        <v>2794</v>
      </c>
      <c r="CY23" s="9">
        <v>2794.0021480800792</v>
      </c>
      <c r="CZ23" s="10">
        <v>4.0869564700502963</v>
      </c>
      <c r="DA23" s="11">
        <v>1.868996860958818E-2</v>
      </c>
      <c r="DB23" s="26">
        <v>-9.3015392653081115</v>
      </c>
      <c r="DC23" s="26" t="s">
        <v>59</v>
      </c>
      <c r="DD23" s="26"/>
      <c r="DE23" s="9">
        <v>591</v>
      </c>
      <c r="DF23" s="9">
        <v>590.86945201999526</v>
      </c>
      <c r="DG23" s="10">
        <v>4.8842893516896746</v>
      </c>
      <c r="DH23" s="11">
        <v>1.7497530747959695E-2</v>
      </c>
      <c r="DI23" s="26">
        <v>-38.075561820994245</v>
      </c>
      <c r="DJ23" s="26" t="s">
        <v>59</v>
      </c>
      <c r="DK23" s="26"/>
      <c r="DL23" s="9">
        <v>885</v>
      </c>
      <c r="DM23" s="9">
        <v>885</v>
      </c>
      <c r="DN23" s="10">
        <v>4.8723163841807882</v>
      </c>
      <c r="DO23" s="11">
        <v>1.2206717474193626E-2</v>
      </c>
      <c r="DP23" s="26">
        <v>-42.119544735801497</v>
      </c>
      <c r="DQ23" s="26" t="s">
        <v>59</v>
      </c>
      <c r="DR23" s="26"/>
      <c r="DS23" s="9">
        <v>538</v>
      </c>
      <c r="DT23" s="9">
        <v>538</v>
      </c>
      <c r="DU23" s="10">
        <v>4.9962825278810374</v>
      </c>
      <c r="DV23" s="11">
        <v>2.6262010713283754E-3</v>
      </c>
      <c r="DW23" s="26">
        <v>-53.569604637735296</v>
      </c>
      <c r="DX23" s="26" t="s">
        <v>59</v>
      </c>
      <c r="DY23" s="36"/>
      <c r="DZ23" s="9">
        <v>945</v>
      </c>
      <c r="EA23" s="9">
        <v>945.38113071000453</v>
      </c>
      <c r="EB23" s="10">
        <v>3.8262955298391979</v>
      </c>
      <c r="EC23" s="11">
        <v>3.6516977256227406E-2</v>
      </c>
      <c r="ED23" s="11"/>
      <c r="EE23" s="9">
        <v>895</v>
      </c>
      <c r="EF23" s="9">
        <v>894.77284755000676</v>
      </c>
      <c r="EG23" s="10">
        <v>3.7973673094278033</v>
      </c>
      <c r="EH23" s="11">
        <v>3.796409152400141E-2</v>
      </c>
      <c r="EI23" s="6">
        <v>0.54917259728637247</v>
      </c>
      <c r="EJ23" s="6" t="s">
        <v>57</v>
      </c>
      <c r="EK23" s="45">
        <f t="shared" ref="EK23:EK26" si="26">EB23-EG23</f>
        <v>2.8928220411394534E-2</v>
      </c>
      <c r="EL23" s="11"/>
      <c r="EM23" s="9">
        <v>599</v>
      </c>
      <c r="EN23" s="9">
        <v>599.14473727999473</v>
      </c>
      <c r="EO23" s="10">
        <v>3.7239254046177201</v>
      </c>
      <c r="EP23" s="11">
        <v>4.9373815153506542E-2</v>
      </c>
      <c r="EQ23" s="6">
        <v>1.6669777762749494</v>
      </c>
      <c r="ER23" s="6" t="s">
        <v>57</v>
      </c>
      <c r="ES23" s="11"/>
      <c r="ET23" s="9">
        <v>650</v>
      </c>
      <c r="EU23" s="9">
        <v>649.87853951000261</v>
      </c>
      <c r="EV23" s="10">
        <v>3.8539831488641743</v>
      </c>
      <c r="EW23" s="11">
        <v>4.3964058561234969E-2</v>
      </c>
      <c r="EX23" s="6">
        <v>-0.48445752795284996</v>
      </c>
      <c r="EY23" s="6" t="s">
        <v>57</v>
      </c>
      <c r="EZ23" s="11"/>
      <c r="FA23" s="9">
        <v>594</v>
      </c>
      <c r="FB23" s="9">
        <v>590.91247119000172</v>
      </c>
      <c r="FC23" s="10">
        <v>3.8196712781583204</v>
      </c>
      <c r="FD23" s="11">
        <v>4.6615160802654945E-2</v>
      </c>
      <c r="FE23" s="6">
        <v>0.11186705471446313</v>
      </c>
      <c r="FF23" s="6" t="s">
        <v>57</v>
      </c>
      <c r="FG23" s="45">
        <f t="shared" ref="FG23:FG26" si="27">EB23-FC23</f>
        <v>6.6242516808774354E-3</v>
      </c>
      <c r="FH23" s="11"/>
      <c r="FI23" s="28">
        <v>692</v>
      </c>
      <c r="FJ23" s="28">
        <v>692.16571461999888</v>
      </c>
      <c r="FK23" s="29">
        <v>3.7788390886941858</v>
      </c>
      <c r="FL23" s="27">
        <v>4.1988319263777489E-2</v>
      </c>
      <c r="FM23" s="6">
        <v>0.85282323171972918</v>
      </c>
      <c r="FN23" s="6" t="s">
        <v>57</v>
      </c>
      <c r="FO23" s="11"/>
      <c r="FP23" s="37">
        <v>4210</v>
      </c>
      <c r="FQ23" s="37">
        <v>4210.1523435397721</v>
      </c>
      <c r="FR23" s="10">
        <v>4.0610044651006731</v>
      </c>
      <c r="FS23" s="11">
        <v>1.551726716270288E-2</v>
      </c>
      <c r="FT23" s="26">
        <v>-5.9154705314021809</v>
      </c>
      <c r="FU23" s="26" t="s">
        <v>59</v>
      </c>
      <c r="FV23" s="26"/>
      <c r="FW23" s="9">
        <v>1041</v>
      </c>
      <c r="FX23" s="9">
        <v>1041.0327229799786</v>
      </c>
      <c r="FY23" s="10">
        <v>4.1105775295616782</v>
      </c>
      <c r="FZ23" s="11">
        <v>2.9408088498625043E-2</v>
      </c>
      <c r="GA23" s="26">
        <v>-6.0632207866747558</v>
      </c>
      <c r="GB23" s="26" t="s">
        <v>59</v>
      </c>
      <c r="GC23" s="26"/>
      <c r="GD23" s="37">
        <v>273</v>
      </c>
      <c r="GE23" s="37">
        <v>273.08169810000072</v>
      </c>
      <c r="GF23" s="10">
        <v>4.2560835324613793</v>
      </c>
      <c r="GG23" s="11">
        <v>5.4437588862734296E-2</v>
      </c>
      <c r="GH23" s="26">
        <v>-6.5565383768111243</v>
      </c>
      <c r="GI23" s="26" t="s">
        <v>59</v>
      </c>
      <c r="GJ23" s="26"/>
      <c r="GK23" s="37">
        <v>542</v>
      </c>
      <c r="GL23" s="37">
        <v>541.58918251000046</v>
      </c>
      <c r="GM23" s="10">
        <v>3.9707008637313277</v>
      </c>
      <c r="GN23" s="11">
        <v>3.9366760587619017E-2</v>
      </c>
      <c r="GO23" s="26">
        <v>-2.6893261851287393</v>
      </c>
      <c r="GP23" s="26" t="s">
        <v>59</v>
      </c>
      <c r="GQ23" s="26"/>
      <c r="GR23" s="37">
        <v>1060</v>
      </c>
      <c r="GS23" s="37">
        <v>1059.9968680000154</v>
      </c>
      <c r="GT23" s="10">
        <v>4.0915077511719504</v>
      </c>
      <c r="GU23" s="11">
        <v>3.153224925003268E-2</v>
      </c>
      <c r="GV23" s="26">
        <v>-5.4969688829330803</v>
      </c>
      <c r="GW23" s="26" t="s">
        <v>59</v>
      </c>
      <c r="GX23" s="26"/>
      <c r="GY23" s="37">
        <v>349</v>
      </c>
      <c r="GZ23" s="37">
        <v>349.07074124000047</v>
      </c>
      <c r="HA23" s="10">
        <v>4.443688384164842</v>
      </c>
      <c r="HB23" s="11">
        <v>4.3367711488189499E-2</v>
      </c>
      <c r="HC23" s="26">
        <v>-10.889850198955143</v>
      </c>
      <c r="HD23" s="26" t="s">
        <v>59</v>
      </c>
      <c r="HE23" s="15"/>
      <c r="HF23" s="37">
        <v>887</v>
      </c>
      <c r="HG23" s="37">
        <v>886.96667548000846</v>
      </c>
      <c r="HH23" s="10">
        <v>4.0743694181794439</v>
      </c>
      <c r="HI23" s="11">
        <v>3.3177579716274698E-2</v>
      </c>
      <c r="HJ23" s="11"/>
      <c r="HK23" s="37">
        <v>864</v>
      </c>
      <c r="HL23" s="37">
        <v>863.97071136000841</v>
      </c>
      <c r="HM23" s="10">
        <v>3.8911535991515622</v>
      </c>
      <c r="HN23" s="11">
        <v>3.851254691311963E-2</v>
      </c>
      <c r="HO23" s="6">
        <v>3.6042872647441944</v>
      </c>
      <c r="HP23" s="6" t="s">
        <v>59</v>
      </c>
      <c r="HQ23" s="45">
        <f t="shared" ref="HQ23:HQ26" si="28">HH23-HM23</f>
        <v>0.18321581902788164</v>
      </c>
      <c r="HR23" s="27"/>
      <c r="HS23" s="3">
        <v>612</v>
      </c>
      <c r="HT23" s="3">
        <v>611.95139988999722</v>
      </c>
      <c r="HU23" s="29">
        <v>3.9297930370488219</v>
      </c>
      <c r="HV23" s="27">
        <v>4.3890266459756647E-2</v>
      </c>
      <c r="HW23" s="6">
        <v>2.6277463596657977</v>
      </c>
      <c r="HX23" s="6" t="s">
        <v>59</v>
      </c>
      <c r="HY23" s="27"/>
      <c r="HZ23" s="9">
        <v>659</v>
      </c>
      <c r="IA23" s="9">
        <v>659.00558414000398</v>
      </c>
      <c r="IB23" s="10">
        <v>4.0200141702095147</v>
      </c>
      <c r="IC23" s="11">
        <v>4.0371211765927117E-2</v>
      </c>
      <c r="ID23" s="6">
        <v>1.040191999580252</v>
      </c>
      <c r="IE23" s="6" t="s">
        <v>57</v>
      </c>
      <c r="IF23" s="27"/>
      <c r="IG23" s="9">
        <v>1298</v>
      </c>
      <c r="IH23" s="9">
        <v>1298.8374526899913</v>
      </c>
      <c r="II23" s="10">
        <v>3.8104334781692133</v>
      </c>
      <c r="IJ23" s="11">
        <v>3.0982776977155038E-2</v>
      </c>
      <c r="IK23" s="6">
        <v>5.8142379894809739</v>
      </c>
      <c r="IL23" s="6" t="s">
        <v>59</v>
      </c>
      <c r="IM23" s="45">
        <f t="shared" ref="IM23:IM26" si="29">HH23-II23</f>
        <v>0.26393594001023057</v>
      </c>
      <c r="IN23" s="11"/>
      <c r="IO23" s="28">
        <v>1293</v>
      </c>
      <c r="IP23" s="28">
        <v>1297.9138554000033</v>
      </c>
      <c r="IQ23" s="29">
        <v>3.8843180722932282</v>
      </c>
      <c r="IR23" s="27">
        <v>3.0463127358272668E-2</v>
      </c>
      <c r="IS23" s="6">
        <v>4.2194540623968591</v>
      </c>
      <c r="IT23" s="6" t="s">
        <v>59</v>
      </c>
      <c r="IU23" s="27"/>
      <c r="IV23" s="37">
        <v>4602</v>
      </c>
      <c r="IW23" s="37">
        <v>4585.0362521999259</v>
      </c>
      <c r="IX23" s="10">
        <v>4.1465092474542002</v>
      </c>
      <c r="IY23" s="11">
        <v>1.4515952748723856E-2</v>
      </c>
      <c r="IZ23" s="26">
        <v>-1.9920342940507807</v>
      </c>
      <c r="JA23" s="26" t="s">
        <v>59</v>
      </c>
      <c r="JB23" s="26"/>
      <c r="JC23" s="37">
        <v>1041</v>
      </c>
      <c r="JD23" s="37">
        <v>1041.0327229799786</v>
      </c>
      <c r="JE23" s="10">
        <v>4.1105775295616782</v>
      </c>
      <c r="JF23" s="11">
        <v>2.9408088498625043E-2</v>
      </c>
      <c r="JG23" s="26">
        <v>-0.81669460301046382</v>
      </c>
      <c r="JH23" s="26" t="s">
        <v>57</v>
      </c>
      <c r="JI23" s="26"/>
      <c r="JJ23" s="37">
        <v>485</v>
      </c>
      <c r="JK23" s="37">
        <v>485</v>
      </c>
      <c r="JL23" s="10">
        <v>4.127835051546394</v>
      </c>
      <c r="JM23" s="11">
        <v>4.5504856262209382E-2</v>
      </c>
      <c r="JN23" s="26">
        <v>-0.94939340422222329</v>
      </c>
      <c r="JO23" s="26" t="s">
        <v>57</v>
      </c>
      <c r="JP23" s="26"/>
      <c r="JQ23" s="37">
        <v>892</v>
      </c>
      <c r="JR23" s="37">
        <v>874.91424048000817</v>
      </c>
      <c r="JS23" s="10">
        <v>4.3336155981640765</v>
      </c>
      <c r="JT23" s="11">
        <v>3.1578179406063805E-2</v>
      </c>
      <c r="JU23" s="26">
        <v>-5.660001376103085</v>
      </c>
      <c r="JV23" s="26" t="s">
        <v>59</v>
      </c>
      <c r="JW23" s="26"/>
      <c r="JX23" s="37">
        <v>273</v>
      </c>
      <c r="JY23" s="37">
        <v>273.08169810000072</v>
      </c>
      <c r="JZ23" s="10">
        <v>4.2560835324613793</v>
      </c>
      <c r="KA23" s="11">
        <v>5.4437588862734296E-2</v>
      </c>
      <c r="KB23" s="26">
        <v>-2.850368251990083</v>
      </c>
      <c r="KC23" s="26" t="s">
        <v>59</v>
      </c>
      <c r="KD23" s="26"/>
      <c r="KE23" s="37">
        <v>1024</v>
      </c>
      <c r="KF23" s="37">
        <v>1024.040915159984</v>
      </c>
      <c r="KG23" s="10">
        <v>4.0652858923801469</v>
      </c>
      <c r="KH23" s="11">
        <v>3.2578224514245475E-2</v>
      </c>
      <c r="KI23" s="26">
        <v>0.19535175538651681</v>
      </c>
      <c r="KJ23" s="26" t="s">
        <v>57</v>
      </c>
      <c r="KL23" s="9"/>
      <c r="KM23" s="9"/>
      <c r="KN23" s="10"/>
      <c r="KO23" s="11"/>
    </row>
    <row r="24" spans="1:301" s="7" customFormat="1" x14ac:dyDescent="0.25">
      <c r="B24" s="5" t="s">
        <v>17</v>
      </c>
      <c r="C24" s="9">
        <v>2756</v>
      </c>
      <c r="D24" s="9">
        <v>2756.5233741500701</v>
      </c>
      <c r="E24" s="10">
        <v>4.0029281408696491</v>
      </c>
      <c r="F24" s="11">
        <v>1.9233569911928622E-2</v>
      </c>
      <c r="G24" s="11"/>
      <c r="H24" s="9">
        <v>2854</v>
      </c>
      <c r="I24" s="9">
        <v>2852.3257304499216</v>
      </c>
      <c r="J24" s="10">
        <v>3.9646075812652559</v>
      </c>
      <c r="K24" s="11">
        <v>1.8598507419023188E-2</v>
      </c>
      <c r="L24" s="26">
        <v>1.4322719022713333</v>
      </c>
      <c r="M24" s="26" t="s">
        <v>57</v>
      </c>
      <c r="N24" s="45">
        <f t="shared" si="24"/>
        <v>3.8320559604393178E-2</v>
      </c>
      <c r="O24" s="11"/>
      <c r="P24" s="3">
        <v>905</v>
      </c>
      <c r="Q24" s="3">
        <v>904.89194282001347</v>
      </c>
      <c r="R24" s="10">
        <v>3.9463653021279534</v>
      </c>
      <c r="S24" s="11">
        <v>3.3714147715582246E-2</v>
      </c>
      <c r="T24" s="26">
        <v>1.4572563887231753</v>
      </c>
      <c r="U24" s="26" t="s">
        <v>57</v>
      </c>
      <c r="V24" s="27"/>
      <c r="W24" s="9">
        <v>1014</v>
      </c>
      <c r="X24" s="9">
        <v>1014.473762940007</v>
      </c>
      <c r="Y24" s="10">
        <v>3.8826372884450433</v>
      </c>
      <c r="Z24" s="11">
        <v>2.4984692125413935E-2</v>
      </c>
      <c r="AA24" s="26">
        <v>3.8150774261976177</v>
      </c>
      <c r="AB24" s="26" t="s">
        <v>59</v>
      </c>
      <c r="AC24" s="26"/>
      <c r="AD24" s="9">
        <v>1027</v>
      </c>
      <c r="AE24" s="9">
        <v>1030.3314535900195</v>
      </c>
      <c r="AF24" s="10">
        <v>3.8911812948451252</v>
      </c>
      <c r="AG24" s="11">
        <v>2.6467382940021749E-2</v>
      </c>
      <c r="AH24" s="26">
        <v>3.4154785285354095</v>
      </c>
      <c r="AI24" s="26" t="s">
        <v>59</v>
      </c>
      <c r="AJ24" s="45">
        <f t="shared" si="25"/>
        <v>0.11174684602452389</v>
      </c>
      <c r="AK24" s="27"/>
      <c r="AL24" s="28">
        <v>1182</v>
      </c>
      <c r="AM24" s="28">
        <v>1183.2428396400044</v>
      </c>
      <c r="AN24" s="29">
        <v>3.7207197858551657</v>
      </c>
      <c r="AO24" s="27">
        <v>2.7434154608997879E-2</v>
      </c>
      <c r="AP24" s="26">
        <v>8.4229552942981023</v>
      </c>
      <c r="AQ24" s="26" t="s">
        <v>59</v>
      </c>
      <c r="AR24" s="27"/>
      <c r="AS24" s="30">
        <v>4969</v>
      </c>
      <c r="AT24" s="31">
        <v>4.1280150619985365</v>
      </c>
      <c r="AU24" s="32">
        <v>1.3324194689312046E-2</v>
      </c>
      <c r="AV24" s="26">
        <v>-5.3460617509455597</v>
      </c>
      <c r="AW24" s="26" t="s">
        <v>59</v>
      </c>
      <c r="AX24" s="27"/>
      <c r="AY24" s="33">
        <v>483</v>
      </c>
      <c r="AZ24" s="34">
        <v>4.3298819780052415</v>
      </c>
      <c r="BA24" s="35">
        <v>4.2637292237174315E-2</v>
      </c>
      <c r="BB24" s="26">
        <v>-6.989977713399</v>
      </c>
      <c r="BC24" s="26" t="s">
        <v>59</v>
      </c>
      <c r="BD24" s="35"/>
      <c r="BE24" s="33">
        <v>692</v>
      </c>
      <c r="BF24" s="34">
        <v>4.1691680934517032</v>
      </c>
      <c r="BG24" s="35">
        <v>3.4756014768384295E-2</v>
      </c>
      <c r="BH24" s="26">
        <v>-4.1849876964847637</v>
      </c>
      <c r="BI24" s="26" t="s">
        <v>59</v>
      </c>
      <c r="BJ24" s="35"/>
      <c r="BK24" s="33">
        <v>692</v>
      </c>
      <c r="BL24" s="34">
        <v>4.2370835851811757</v>
      </c>
      <c r="BM24" s="35">
        <v>3.3560880103308363E-2</v>
      </c>
      <c r="BN24" s="26">
        <v>-6.0534130447626726</v>
      </c>
      <c r="BO24" s="26" t="s">
        <v>59</v>
      </c>
      <c r="BP24" s="35"/>
      <c r="BQ24" s="33">
        <v>1111</v>
      </c>
      <c r="BR24" s="34">
        <v>4.0980941095781338</v>
      </c>
      <c r="BS24" s="35">
        <v>2.9044450876826632E-2</v>
      </c>
      <c r="BT24" s="26">
        <v>-2.7318693926638806</v>
      </c>
      <c r="BU24" s="26" t="s">
        <v>59</v>
      </c>
      <c r="BV24" s="35"/>
      <c r="BW24" s="33">
        <v>1219</v>
      </c>
      <c r="BX24" s="34">
        <v>4.0620457041447331</v>
      </c>
      <c r="BY24" s="35">
        <v>2.6751860437689085E-2</v>
      </c>
      <c r="BZ24" s="26">
        <v>-1.794250839347812</v>
      </c>
      <c r="CA24" s="26" t="s">
        <v>57</v>
      </c>
      <c r="CB24" s="27"/>
      <c r="CC24" s="9">
        <v>11172</v>
      </c>
      <c r="CD24" s="9">
        <v>11206.22566469913</v>
      </c>
      <c r="CE24" s="10">
        <v>4.2391254748725302</v>
      </c>
      <c r="CF24" s="11">
        <v>8.7909278339859728E-3</v>
      </c>
      <c r="CG24" s="26">
        <v>-11.169119444895699</v>
      </c>
      <c r="CH24" s="26" t="s">
        <v>59</v>
      </c>
      <c r="CI24" s="26"/>
      <c r="CJ24" s="9">
        <v>445</v>
      </c>
      <c r="CK24" s="9">
        <v>445</v>
      </c>
      <c r="CL24" s="10">
        <v>4.2269662921348354</v>
      </c>
      <c r="CM24" s="11">
        <v>3.9358943742785292E-2</v>
      </c>
      <c r="CN24" s="26">
        <v>-5.1142043947035658</v>
      </c>
      <c r="CO24" s="26" t="s">
        <v>59</v>
      </c>
      <c r="CP24" s="26"/>
      <c r="CQ24" s="9">
        <v>3080</v>
      </c>
      <c r="CR24" s="9">
        <v>3113.7706958898862</v>
      </c>
      <c r="CS24" s="10">
        <v>4.0224568531787677</v>
      </c>
      <c r="CT24" s="11">
        <v>1.7349490057496086E-2</v>
      </c>
      <c r="CU24" s="26">
        <v>-0.75393408533523054</v>
      </c>
      <c r="CV24" s="26" t="s">
        <v>57</v>
      </c>
      <c r="CW24" s="26"/>
      <c r="CX24" s="9">
        <v>2872</v>
      </c>
      <c r="CY24" s="9">
        <v>2872.0077474400819</v>
      </c>
      <c r="CZ24" s="10">
        <v>4.2127342689324587</v>
      </c>
      <c r="DA24" s="11">
        <v>1.6456501476017137E-2</v>
      </c>
      <c r="DB24" s="26">
        <v>-8.2884819507206533</v>
      </c>
      <c r="DC24" s="26" t="s">
        <v>59</v>
      </c>
      <c r="DD24" s="26"/>
      <c r="DE24" s="9">
        <v>601</v>
      </c>
      <c r="DF24" s="9">
        <v>600.92384721999508</v>
      </c>
      <c r="DG24" s="10">
        <v>4.938093216949035</v>
      </c>
      <c r="DH24" s="11">
        <v>1.18922666766838E-2</v>
      </c>
      <c r="DI24" s="26">
        <v>-41.354855616879838</v>
      </c>
      <c r="DJ24" s="26" t="s">
        <v>59</v>
      </c>
      <c r="DK24" s="26"/>
      <c r="DL24" s="9">
        <v>883</v>
      </c>
      <c r="DM24" s="9">
        <v>883</v>
      </c>
      <c r="DN24" s="10">
        <v>4.8958097395243545</v>
      </c>
      <c r="DO24" s="11">
        <v>1.1354906491420576E-2</v>
      </c>
      <c r="DP24" s="26">
        <v>-39.976313403117381</v>
      </c>
      <c r="DQ24" s="26" t="s">
        <v>59</v>
      </c>
      <c r="DR24" s="26"/>
      <c r="DS24" s="9">
        <v>535</v>
      </c>
      <c r="DT24" s="9">
        <v>535</v>
      </c>
      <c r="DU24" s="10">
        <v>5</v>
      </c>
      <c r="DV24" s="11">
        <v>0</v>
      </c>
      <c r="DW24" s="26">
        <v>-51.840186907370168</v>
      </c>
      <c r="DX24" s="26" t="s">
        <v>59</v>
      </c>
      <c r="DY24" s="36"/>
      <c r="DZ24" s="9">
        <v>972</v>
      </c>
      <c r="EA24" s="9">
        <v>972.27773244000537</v>
      </c>
      <c r="EB24" s="10">
        <v>3.9601574618779116</v>
      </c>
      <c r="EC24" s="11">
        <v>3.2205878690466226E-2</v>
      </c>
      <c r="ED24" s="11"/>
      <c r="EE24" s="9">
        <v>917</v>
      </c>
      <c r="EF24" s="9">
        <v>917.62842929000772</v>
      </c>
      <c r="EG24" s="10">
        <v>3.9558999198277771</v>
      </c>
      <c r="EH24" s="11">
        <v>3.3281691117953219E-2</v>
      </c>
      <c r="EI24" s="6">
        <v>9.1929833962342528E-2</v>
      </c>
      <c r="EJ24" s="6" t="s">
        <v>57</v>
      </c>
      <c r="EK24" s="45">
        <f t="shared" si="26"/>
        <v>4.2575420501345107E-3</v>
      </c>
      <c r="EL24" s="11"/>
      <c r="EM24" s="9">
        <v>615</v>
      </c>
      <c r="EN24" s="9">
        <v>615.23075549999544</v>
      </c>
      <c r="EO24" s="10">
        <v>3.8812099798219553</v>
      </c>
      <c r="EP24" s="11">
        <v>4.1418922117896828E-2</v>
      </c>
      <c r="EQ24" s="6">
        <v>1.5047184090798995</v>
      </c>
      <c r="ER24" s="6" t="s">
        <v>57</v>
      </c>
      <c r="ES24" s="11"/>
      <c r="ET24" s="9">
        <v>655</v>
      </c>
      <c r="EU24" s="9">
        <v>654.82445782000286</v>
      </c>
      <c r="EV24" s="10">
        <v>3.9520132536823511</v>
      </c>
      <c r="EW24" s="11">
        <v>3.9656691039245177E-2</v>
      </c>
      <c r="EX24" s="6">
        <v>0.1594187071120966</v>
      </c>
      <c r="EY24" s="6" t="s">
        <v>57</v>
      </c>
      <c r="EZ24" s="11"/>
      <c r="FA24" s="9">
        <v>612</v>
      </c>
      <c r="FB24" s="9">
        <v>604.47467592000191</v>
      </c>
      <c r="FC24" s="10">
        <v>3.9396510558287989</v>
      </c>
      <c r="FD24" s="11">
        <v>4.2010711452428594E-2</v>
      </c>
      <c r="FE24" s="6">
        <v>0.38738812525338734</v>
      </c>
      <c r="FF24" s="6" t="s">
        <v>57</v>
      </c>
      <c r="FG24" s="45">
        <f t="shared" si="27"/>
        <v>2.0506406049112691E-2</v>
      </c>
      <c r="FH24" s="11"/>
      <c r="FI24" s="28">
        <v>698</v>
      </c>
      <c r="FJ24" s="28">
        <v>698.11600032999866</v>
      </c>
      <c r="FK24" s="29">
        <v>3.9422306400785314</v>
      </c>
      <c r="FL24" s="27">
        <v>3.8349165358182009E-2</v>
      </c>
      <c r="FM24" s="6">
        <v>0.35797292140307485</v>
      </c>
      <c r="FN24" s="6" t="s">
        <v>57</v>
      </c>
      <c r="FO24" s="11"/>
      <c r="FP24" s="37">
        <v>4270</v>
      </c>
      <c r="FQ24" s="37">
        <v>4269.958562149769</v>
      </c>
      <c r="FR24" s="10">
        <v>4.1512777104690963</v>
      </c>
      <c r="FS24" s="11">
        <v>1.4024998524856403E-2</v>
      </c>
      <c r="FT24" s="26">
        <v>-5.4408072383067072</v>
      </c>
      <c r="FU24" s="26" t="s">
        <v>59</v>
      </c>
      <c r="FV24" s="26"/>
      <c r="FW24" s="9">
        <v>1013</v>
      </c>
      <c r="FX24" s="9">
        <v>1013.0718790599799</v>
      </c>
      <c r="FY24" s="10">
        <v>4.1984517329674063</v>
      </c>
      <c r="FZ24" s="11">
        <v>2.6993815807947723E-2</v>
      </c>
      <c r="GA24" s="26">
        <v>-5.6706445807634545</v>
      </c>
      <c r="GB24" s="26" t="s">
        <v>59</v>
      </c>
      <c r="GC24" s="26"/>
      <c r="GD24" s="37">
        <v>276</v>
      </c>
      <c r="GE24" s="37">
        <v>276.08613645000065</v>
      </c>
      <c r="GF24" s="10">
        <v>4.3620414673306227</v>
      </c>
      <c r="GG24" s="11">
        <v>4.7578965944390539E-2</v>
      </c>
      <c r="GH24" s="26">
        <v>-6.9948675877484323</v>
      </c>
      <c r="GI24" s="26" t="s">
        <v>59</v>
      </c>
      <c r="GJ24" s="26"/>
      <c r="GK24" s="37">
        <v>566</v>
      </c>
      <c r="GL24" s="37">
        <v>565.46367225999893</v>
      </c>
      <c r="GM24" s="10">
        <v>4.0860627771462283</v>
      </c>
      <c r="GN24" s="11">
        <v>3.4305330155063964E-2</v>
      </c>
      <c r="GO24" s="26">
        <v>-2.6757650047903305</v>
      </c>
      <c r="GP24" s="26" t="s">
        <v>59</v>
      </c>
      <c r="GQ24" s="26"/>
      <c r="GR24" s="37">
        <v>1080</v>
      </c>
      <c r="GS24" s="37">
        <v>1079.9972713600143</v>
      </c>
      <c r="GT24" s="10">
        <v>4.1564783864936885</v>
      </c>
      <c r="GU24" s="11">
        <v>2.9564481011369784E-2</v>
      </c>
      <c r="GV24" s="26">
        <v>-4.4906039687232306</v>
      </c>
      <c r="GW24" s="26" t="s">
        <v>59</v>
      </c>
      <c r="GX24" s="26"/>
      <c r="GY24" s="37">
        <v>363</v>
      </c>
      <c r="GZ24" s="37">
        <v>363.06187058000046</v>
      </c>
      <c r="HA24" s="10">
        <v>4.4572924802452238</v>
      </c>
      <c r="HB24" s="11">
        <v>3.9618853411360663E-2</v>
      </c>
      <c r="HC24" s="26">
        <v>-9.7367605182338011</v>
      </c>
      <c r="HD24" s="26" t="s">
        <v>59</v>
      </c>
      <c r="HE24" s="15"/>
      <c r="HF24" s="37">
        <v>913</v>
      </c>
      <c r="HG24" s="37">
        <v>912.97863284000891</v>
      </c>
      <c r="HH24" s="10">
        <v>4.1872717085482627</v>
      </c>
      <c r="HI24" s="11">
        <v>3.0310067628806985E-2</v>
      </c>
      <c r="HJ24" s="11"/>
      <c r="HK24" s="37">
        <v>889</v>
      </c>
      <c r="HL24" s="37">
        <v>888.99289833000876</v>
      </c>
      <c r="HM24" s="10">
        <v>4.0370296041080129</v>
      </c>
      <c r="HN24" s="11">
        <v>3.3234263844772481E-2</v>
      </c>
      <c r="HO24" s="6">
        <v>3.3401846801904993</v>
      </c>
      <c r="HP24" s="6" t="s">
        <v>59</v>
      </c>
      <c r="HQ24" s="45">
        <f t="shared" si="28"/>
        <v>0.15024210444024977</v>
      </c>
      <c r="HR24" s="27"/>
      <c r="HS24" s="3">
        <v>638</v>
      </c>
      <c r="HT24" s="3">
        <v>637.94927100999803</v>
      </c>
      <c r="HU24" s="29">
        <v>4.070485395067247</v>
      </c>
      <c r="HV24" s="27">
        <v>3.9066388620290091E-2</v>
      </c>
      <c r="HW24" s="6">
        <v>2.3619076691331831</v>
      </c>
      <c r="HX24" s="6" t="s">
        <v>59</v>
      </c>
      <c r="HY24" s="27"/>
      <c r="HZ24" s="9">
        <v>670</v>
      </c>
      <c r="IA24" s="9">
        <v>670.21479529000408</v>
      </c>
      <c r="IB24" s="10">
        <v>4.1469114696988933</v>
      </c>
      <c r="IC24" s="11">
        <v>3.6675865172733142E-2</v>
      </c>
      <c r="ID24" s="6">
        <v>0.84826754289266459</v>
      </c>
      <c r="IE24" s="6" t="s">
        <v>57</v>
      </c>
      <c r="IF24" s="27"/>
      <c r="IG24" s="9">
        <v>1321</v>
      </c>
      <c r="IH24" s="9">
        <v>1322.1151012599908</v>
      </c>
      <c r="II24" s="10">
        <v>3.9450636460390012</v>
      </c>
      <c r="IJ24" s="11">
        <v>2.8216898595764428E-2</v>
      </c>
      <c r="IK24" s="6">
        <v>5.8488436245285182</v>
      </c>
      <c r="IL24" s="6" t="s">
        <v>59</v>
      </c>
      <c r="IM24" s="45">
        <f t="shared" si="29"/>
        <v>0.24220806250926152</v>
      </c>
      <c r="IN24" s="11"/>
      <c r="IO24" s="28">
        <v>1332</v>
      </c>
      <c r="IP24" s="28">
        <v>1337.7485727400056</v>
      </c>
      <c r="IQ24" s="29">
        <v>3.9570150303339791</v>
      </c>
      <c r="IR24" s="27">
        <v>2.7179103812242186E-2</v>
      </c>
      <c r="IS24" s="6">
        <v>5.6558522925382348</v>
      </c>
      <c r="IT24" s="6" t="s">
        <v>59</v>
      </c>
      <c r="IU24" s="27"/>
      <c r="IV24" s="37">
        <v>4650</v>
      </c>
      <c r="IW24" s="37">
        <v>4632.1285977399193</v>
      </c>
      <c r="IX24" s="10">
        <v>4.2328269118405268</v>
      </c>
      <c r="IY24" s="11">
        <v>1.3163345623304122E-2</v>
      </c>
      <c r="IZ24" s="26">
        <v>-1.3785796597359099</v>
      </c>
      <c r="JA24" s="26" t="s">
        <v>57</v>
      </c>
      <c r="JB24" s="26"/>
      <c r="JC24" s="37">
        <v>1013</v>
      </c>
      <c r="JD24" s="37">
        <v>1013.0718790599799</v>
      </c>
      <c r="JE24" s="10">
        <v>4.1984517329674063</v>
      </c>
      <c r="JF24" s="11">
        <v>2.6993815807947723E-2</v>
      </c>
      <c r="JG24" s="26">
        <v>-0.27545310010454271</v>
      </c>
      <c r="JH24" s="26" t="s">
        <v>57</v>
      </c>
      <c r="JI24" s="26"/>
      <c r="JJ24" s="37">
        <v>492</v>
      </c>
      <c r="JK24" s="37">
        <v>492</v>
      </c>
      <c r="JL24" s="10">
        <v>4.2398373983739859</v>
      </c>
      <c r="JM24" s="11">
        <v>3.9957753580911991E-2</v>
      </c>
      <c r="JN24" s="26">
        <v>-1.0481068274656151</v>
      </c>
      <c r="JO24" s="26" t="s">
        <v>57</v>
      </c>
      <c r="JP24" s="26"/>
      <c r="JQ24" s="37">
        <v>920</v>
      </c>
      <c r="JR24" s="37">
        <v>901.7822048500085</v>
      </c>
      <c r="JS24" s="10">
        <v>4.3550525352884408</v>
      </c>
      <c r="JT24" s="11">
        <v>2.9601785975083759E-2</v>
      </c>
      <c r="JU24" s="26">
        <v>-3.9601736055578756</v>
      </c>
      <c r="JV24" s="26" t="s">
        <v>59</v>
      </c>
      <c r="JW24" s="26"/>
      <c r="JX24" s="37">
        <v>276</v>
      </c>
      <c r="JY24" s="37">
        <v>276.08613645000065</v>
      </c>
      <c r="JZ24" s="10">
        <v>4.3620414673306227</v>
      </c>
      <c r="KA24" s="11">
        <v>4.7578965944390539E-2</v>
      </c>
      <c r="KB24" s="26">
        <v>-3.0980251049728045</v>
      </c>
      <c r="KC24" s="26" t="s">
        <v>59</v>
      </c>
      <c r="KD24" s="26"/>
      <c r="KE24" s="37">
        <v>1036</v>
      </c>
      <c r="KF24" s="37">
        <v>1036.209744539985</v>
      </c>
      <c r="KG24" s="10">
        <v>4.1624464265337799</v>
      </c>
      <c r="KH24" s="11">
        <v>2.9114614538333777E-2</v>
      </c>
      <c r="KI24" s="26">
        <v>0.59068298333326896</v>
      </c>
      <c r="KJ24" s="26" t="s">
        <v>57</v>
      </c>
      <c r="KL24" s="9"/>
      <c r="KM24" s="9"/>
      <c r="KN24" s="10"/>
      <c r="KO24" s="11"/>
    </row>
    <row r="25" spans="1:301" s="7" customFormat="1" x14ac:dyDescent="0.25">
      <c r="B25" s="5" t="s">
        <v>18</v>
      </c>
      <c r="C25" s="9">
        <v>2784</v>
      </c>
      <c r="D25" s="9">
        <v>2784.6308142300722</v>
      </c>
      <c r="E25" s="10">
        <v>3.7332310940416611</v>
      </c>
      <c r="F25" s="11">
        <v>2.2920984976019153E-2</v>
      </c>
      <c r="G25" s="11"/>
      <c r="H25" s="9">
        <v>2907</v>
      </c>
      <c r="I25" s="9">
        <v>2906.1091019099199</v>
      </c>
      <c r="J25" s="10">
        <v>3.7781720268842216</v>
      </c>
      <c r="K25" s="11">
        <v>2.1289836189749212E-2</v>
      </c>
      <c r="L25" s="26">
        <v>-1.4365909092186802</v>
      </c>
      <c r="M25" s="26" t="s">
        <v>57</v>
      </c>
      <c r="N25" s="45">
        <f t="shared" si="24"/>
        <v>-4.494093284256051E-2</v>
      </c>
      <c r="O25" s="11"/>
      <c r="P25" s="3">
        <v>923</v>
      </c>
      <c r="Q25" s="3">
        <v>922.9092968000142</v>
      </c>
      <c r="R25" s="10">
        <v>3.6474694360235667</v>
      </c>
      <c r="S25" s="11">
        <v>4.0998834967645448E-2</v>
      </c>
      <c r="T25" s="26">
        <v>1.8258422235907898</v>
      </c>
      <c r="U25" s="26" t="s">
        <v>57</v>
      </c>
      <c r="V25" s="27"/>
      <c r="W25" s="9">
        <v>1014</v>
      </c>
      <c r="X25" s="9">
        <v>1014.3893949000068</v>
      </c>
      <c r="Y25" s="10">
        <v>2.7536474778951741</v>
      </c>
      <c r="Z25" s="11">
        <v>3.9815882755849206E-2</v>
      </c>
      <c r="AA25" s="26">
        <v>21.322136507720309</v>
      </c>
      <c r="AB25" s="26" t="s">
        <v>59</v>
      </c>
      <c r="AC25" s="26"/>
      <c r="AD25" s="9">
        <v>1032</v>
      </c>
      <c r="AE25" s="9">
        <v>1034.0573634300197</v>
      </c>
      <c r="AF25" s="10">
        <v>2.9369628493009494</v>
      </c>
      <c r="AG25" s="11">
        <v>3.897078204942437E-2</v>
      </c>
      <c r="AH25" s="26">
        <v>17.612014233007219</v>
      </c>
      <c r="AI25" s="26" t="s">
        <v>59</v>
      </c>
      <c r="AJ25" s="45">
        <f t="shared" si="25"/>
        <v>0.79626824474071167</v>
      </c>
      <c r="AK25" s="27"/>
      <c r="AL25" s="28">
        <v>1182</v>
      </c>
      <c r="AM25" s="28">
        <v>1184.4316246000042</v>
      </c>
      <c r="AN25" s="29">
        <v>3.0480411755463042</v>
      </c>
      <c r="AO25" s="27">
        <v>3.5028600854674047E-2</v>
      </c>
      <c r="AP25" s="26">
        <v>16.368071391885767</v>
      </c>
      <c r="AQ25" s="26" t="s">
        <v>59</v>
      </c>
      <c r="AR25" s="27"/>
      <c r="AS25" s="30">
        <v>5003</v>
      </c>
      <c r="AT25" s="31">
        <v>3.9177129540266966</v>
      </c>
      <c r="AU25" s="32">
        <v>1.588444921126448E-2</v>
      </c>
      <c r="AV25" s="26">
        <v>-6.6153247847951686</v>
      </c>
      <c r="AW25" s="26" t="s">
        <v>59</v>
      </c>
      <c r="AX25" s="27"/>
      <c r="AY25" s="33">
        <v>468</v>
      </c>
      <c r="AZ25" s="34">
        <v>4.1191829200080914</v>
      </c>
      <c r="BA25" s="35">
        <v>5.2723669623369433E-2</v>
      </c>
      <c r="BB25" s="26">
        <v>-6.7133155356670491</v>
      </c>
      <c r="BC25" s="26" t="s">
        <v>59</v>
      </c>
      <c r="BD25" s="35"/>
      <c r="BE25" s="33">
        <v>710</v>
      </c>
      <c r="BF25" s="34">
        <v>3.8764333982255774</v>
      </c>
      <c r="BG25" s="35">
        <v>4.3011658180477377E-2</v>
      </c>
      <c r="BH25" s="26">
        <v>-2.9382177639206328</v>
      </c>
      <c r="BI25" s="26" t="s">
        <v>59</v>
      </c>
      <c r="BJ25" s="35"/>
      <c r="BK25" s="33">
        <v>689</v>
      </c>
      <c r="BL25" s="34">
        <v>4.0446616847022572</v>
      </c>
      <c r="BM25" s="35">
        <v>4.1883311238941248E-2</v>
      </c>
      <c r="BN25" s="26">
        <v>-6.5227920752272439</v>
      </c>
      <c r="BO25" s="26" t="s">
        <v>59</v>
      </c>
      <c r="BP25" s="35"/>
      <c r="BQ25" s="33">
        <v>1127</v>
      </c>
      <c r="BR25" s="34">
        <v>3.8189614338822984</v>
      </c>
      <c r="BS25" s="35">
        <v>3.6655912897666627E-2</v>
      </c>
      <c r="BT25" s="26">
        <v>-1.983018196037297</v>
      </c>
      <c r="BU25" s="26" t="s">
        <v>59</v>
      </c>
      <c r="BV25" s="35"/>
      <c r="BW25" s="33">
        <v>1245</v>
      </c>
      <c r="BX25" s="34">
        <v>3.7302010570151309</v>
      </c>
      <c r="BY25" s="35">
        <v>3.4884784043598911E-2</v>
      </c>
      <c r="BZ25" s="26">
        <v>7.2591205845974949E-2</v>
      </c>
      <c r="CA25" s="26" t="s">
        <v>57</v>
      </c>
      <c r="CB25" s="27"/>
      <c r="CC25" s="9">
        <v>11297</v>
      </c>
      <c r="CD25" s="9">
        <v>11328.926906709139</v>
      </c>
      <c r="CE25" s="10">
        <v>4.0679632342692651</v>
      </c>
      <c r="CF25" s="11">
        <v>1.0264593784444494E-2</v>
      </c>
      <c r="CG25" s="26">
        <v>-13.328291626704235</v>
      </c>
      <c r="CH25" s="26" t="s">
        <v>59</v>
      </c>
      <c r="CI25" s="26"/>
      <c r="CJ25" s="9">
        <v>448</v>
      </c>
      <c r="CK25" s="9">
        <v>448</v>
      </c>
      <c r="CL25" s="10">
        <v>4.0758928571428585</v>
      </c>
      <c r="CM25" s="11">
        <v>4.5326245097212829E-2</v>
      </c>
      <c r="CN25" s="26">
        <v>-6.7463560043018393</v>
      </c>
      <c r="CO25" s="26" t="s">
        <v>59</v>
      </c>
      <c r="CP25" s="26"/>
      <c r="CQ25" s="9">
        <v>3122</v>
      </c>
      <c r="CR25" s="9">
        <v>3153.3599620298824</v>
      </c>
      <c r="CS25" s="10">
        <v>3.928077197091068</v>
      </c>
      <c r="CT25" s="11">
        <v>1.861639380357023E-2</v>
      </c>
      <c r="CU25" s="26">
        <v>-6.5985423382905362</v>
      </c>
      <c r="CV25" s="26" t="s">
        <v>59</v>
      </c>
      <c r="CW25" s="26"/>
      <c r="CX25" s="9">
        <v>2928</v>
      </c>
      <c r="CY25" s="9">
        <v>2928.0068437100836</v>
      </c>
      <c r="CZ25" s="10">
        <v>3.9603711184387183</v>
      </c>
      <c r="DA25" s="11">
        <v>2.0339408501294096E-2</v>
      </c>
      <c r="DB25" s="26">
        <v>-7.412185550505396</v>
      </c>
      <c r="DC25" s="26" t="s">
        <v>59</v>
      </c>
      <c r="DD25" s="26"/>
      <c r="DE25" s="9">
        <v>602</v>
      </c>
      <c r="DF25" s="9">
        <v>601.92928673999506</v>
      </c>
      <c r="DG25" s="10">
        <v>4.9098004777703173</v>
      </c>
      <c r="DH25" s="11">
        <v>1.4451003636528261E-2</v>
      </c>
      <c r="DI25" s="26">
        <v>-43.42196255683389</v>
      </c>
      <c r="DJ25" s="26" t="s">
        <v>59</v>
      </c>
      <c r="DK25" s="26"/>
      <c r="DL25" s="9">
        <v>879</v>
      </c>
      <c r="DM25" s="9">
        <v>879</v>
      </c>
      <c r="DN25" s="10">
        <v>4.8430034129692796</v>
      </c>
      <c r="DO25" s="11">
        <v>1.3769926605800892E-2</v>
      </c>
      <c r="DP25" s="26">
        <v>-41.503641484494359</v>
      </c>
      <c r="DQ25" s="26" t="s">
        <v>59</v>
      </c>
      <c r="DR25" s="26"/>
      <c r="DS25" s="9">
        <v>534</v>
      </c>
      <c r="DT25" s="9">
        <v>534</v>
      </c>
      <c r="DU25" s="10">
        <v>4.9981273408239693</v>
      </c>
      <c r="DV25" s="11">
        <v>1.8726591760299628E-3</v>
      </c>
      <c r="DW25" s="26">
        <v>-55.00181068071555</v>
      </c>
      <c r="DX25" s="26" t="s">
        <v>59</v>
      </c>
      <c r="DY25" s="36"/>
      <c r="DZ25" s="9">
        <v>992</v>
      </c>
      <c r="EA25" s="9">
        <v>992.00360680000597</v>
      </c>
      <c r="EB25" s="10">
        <v>3.7130172868843268</v>
      </c>
      <c r="EC25" s="11">
        <v>3.9734302206607959E-2</v>
      </c>
      <c r="ED25" s="11"/>
      <c r="EE25" s="9">
        <v>935</v>
      </c>
      <c r="EF25" s="9">
        <v>935.65348811000865</v>
      </c>
      <c r="EG25" s="10">
        <v>3.7375674137377546</v>
      </c>
      <c r="EH25" s="11">
        <v>4.0322754353853421E-2</v>
      </c>
      <c r="EI25" s="6">
        <v>-0.43366801094531793</v>
      </c>
      <c r="EJ25" s="6" t="s">
        <v>57</v>
      </c>
      <c r="EK25" s="45">
        <f t="shared" si="26"/>
        <v>-2.4550126853427834E-2</v>
      </c>
      <c r="EL25" s="11"/>
      <c r="EM25" s="9">
        <v>619</v>
      </c>
      <c r="EN25" s="9">
        <v>619.2132051999954</v>
      </c>
      <c r="EO25" s="10">
        <v>3.5677040888952916</v>
      </c>
      <c r="EP25" s="11">
        <v>5.2575109702084621E-2</v>
      </c>
      <c r="EQ25" s="6">
        <v>2.2050188138324791</v>
      </c>
      <c r="ER25" s="6" t="s">
        <v>59</v>
      </c>
      <c r="ES25" s="11"/>
      <c r="ET25" s="9">
        <v>666</v>
      </c>
      <c r="EU25" s="9">
        <v>665.4074359400031</v>
      </c>
      <c r="EV25" s="10">
        <v>3.6910162982631034</v>
      </c>
      <c r="EW25" s="11">
        <v>4.7099985188399085E-2</v>
      </c>
      <c r="EX25" s="6">
        <v>0.3570336283953181</v>
      </c>
      <c r="EY25" s="6" t="s">
        <v>57</v>
      </c>
      <c r="EZ25" s="11"/>
      <c r="FA25" s="9">
        <v>620</v>
      </c>
      <c r="FB25" s="9">
        <v>615.50853474000189</v>
      </c>
      <c r="FC25" s="10">
        <v>3.741020456593124</v>
      </c>
      <c r="FD25" s="11">
        <v>5.097438483380852E-2</v>
      </c>
      <c r="FE25" s="6">
        <v>-0.43327578556527296</v>
      </c>
      <c r="FF25" s="6" t="s">
        <v>57</v>
      </c>
      <c r="FG25" s="45">
        <f t="shared" si="27"/>
        <v>-2.8003169708797238E-2</v>
      </c>
      <c r="FH25" s="11"/>
      <c r="FI25" s="28">
        <v>704</v>
      </c>
      <c r="FJ25" s="28">
        <v>704.16800033999891</v>
      </c>
      <c r="FK25" s="29">
        <v>3.7358081754493599</v>
      </c>
      <c r="FL25" s="27">
        <v>4.361144491720019E-2</v>
      </c>
      <c r="FM25" s="6">
        <v>-0.38629884813603832</v>
      </c>
      <c r="FN25" s="6" t="s">
        <v>57</v>
      </c>
      <c r="FO25" s="11"/>
      <c r="FP25" s="37">
        <v>4367</v>
      </c>
      <c r="FQ25" s="37">
        <v>4366.5265411697546</v>
      </c>
      <c r="FR25" s="10">
        <v>3.9318314611983975</v>
      </c>
      <c r="FS25" s="11">
        <v>1.7215032721637193E-2</v>
      </c>
      <c r="FT25" s="26">
        <v>-5.0530649694343035</v>
      </c>
      <c r="FU25" s="26" t="s">
        <v>59</v>
      </c>
      <c r="FV25" s="26"/>
      <c r="FW25" s="9">
        <v>1070</v>
      </c>
      <c r="FX25" s="9">
        <v>1070.0407477199776</v>
      </c>
      <c r="FY25" s="10">
        <v>4.0411889323036663</v>
      </c>
      <c r="FZ25" s="11">
        <v>3.1043624556005085E-2</v>
      </c>
      <c r="GA25" s="26">
        <v>-6.5083177248114454</v>
      </c>
      <c r="GB25" s="26" t="s">
        <v>59</v>
      </c>
      <c r="GC25" s="26"/>
      <c r="GD25" s="37">
        <v>281</v>
      </c>
      <c r="GE25" s="37">
        <v>281.07205425000052</v>
      </c>
      <c r="GF25" s="10">
        <v>4.1600324783978406</v>
      </c>
      <c r="GG25" s="11">
        <v>6.1513001177336254E-2</v>
      </c>
      <c r="GH25" s="26">
        <v>-6.1042454149944501</v>
      </c>
      <c r="GI25" s="26" t="s">
        <v>59</v>
      </c>
      <c r="GJ25" s="26"/>
      <c r="GK25" s="37">
        <v>570</v>
      </c>
      <c r="GL25" s="37">
        <v>569.41863823999881</v>
      </c>
      <c r="GM25" s="10">
        <v>3.8891241741662306</v>
      </c>
      <c r="GN25" s="11">
        <v>4.0094257737735943E-2</v>
      </c>
      <c r="GO25" s="26">
        <v>-3.1198134697341864</v>
      </c>
      <c r="GP25" s="26" t="s">
        <v>59</v>
      </c>
      <c r="GQ25" s="26"/>
      <c r="GR25" s="37">
        <v>1095</v>
      </c>
      <c r="GS25" s="37">
        <v>1094.9964796800132</v>
      </c>
      <c r="GT25" s="10">
        <v>3.8383538635925771</v>
      </c>
      <c r="GU25" s="11">
        <v>3.8094116924739803E-2</v>
      </c>
      <c r="GV25" s="26">
        <v>-2.2769746600625211</v>
      </c>
      <c r="GW25" s="26" t="s">
        <v>59</v>
      </c>
      <c r="GX25" s="26"/>
      <c r="GY25" s="37">
        <v>359</v>
      </c>
      <c r="GZ25" s="37">
        <v>358.99501448000046</v>
      </c>
      <c r="HA25" s="10">
        <v>4.3847138976569076</v>
      </c>
      <c r="HB25" s="11">
        <v>4.6592292141893796E-2</v>
      </c>
      <c r="HC25" s="26">
        <v>-10.969262186185693</v>
      </c>
      <c r="HD25" s="26" t="s">
        <v>59</v>
      </c>
      <c r="HE25" s="15"/>
      <c r="HF25" s="37">
        <v>926</v>
      </c>
      <c r="HG25" s="37">
        <v>925.97846328000912</v>
      </c>
      <c r="HH25" s="10">
        <v>4.1250843243046074</v>
      </c>
      <c r="HI25" s="11">
        <v>3.4365824034489886E-2</v>
      </c>
      <c r="HJ25" s="11"/>
      <c r="HK25" s="37">
        <v>897</v>
      </c>
      <c r="HL25" s="37">
        <v>896.96482695000873</v>
      </c>
      <c r="HM25" s="10">
        <v>3.9742716132153451</v>
      </c>
      <c r="HN25" s="11">
        <v>3.6970285287471677E-2</v>
      </c>
      <c r="HO25" s="6">
        <v>2.9878188991813999</v>
      </c>
      <c r="HP25" s="6" t="s">
        <v>59</v>
      </c>
      <c r="HQ25" s="45">
        <f t="shared" si="28"/>
        <v>0.15081271108926231</v>
      </c>
      <c r="HR25" s="27"/>
      <c r="HS25" s="3">
        <v>648</v>
      </c>
      <c r="HT25" s="3">
        <v>647.96355670999833</v>
      </c>
      <c r="HU25" s="29">
        <v>3.9213915572989588</v>
      </c>
      <c r="HV25" s="27">
        <v>4.5002113031253226E-2</v>
      </c>
      <c r="HW25" s="6">
        <v>3.5973301716623598</v>
      </c>
      <c r="HX25" s="6" t="s">
        <v>59</v>
      </c>
      <c r="HY25" s="27"/>
      <c r="HZ25" s="9">
        <v>678</v>
      </c>
      <c r="IA25" s="9">
        <v>678.13575041000422</v>
      </c>
      <c r="IB25" s="10">
        <v>4.1717109567953008</v>
      </c>
      <c r="IC25" s="11">
        <v>3.6786114267764278E-2</v>
      </c>
      <c r="ID25" s="6">
        <v>-0.92621370433265449</v>
      </c>
      <c r="IE25" s="6" t="s">
        <v>57</v>
      </c>
      <c r="IF25" s="27"/>
      <c r="IG25" s="9">
        <v>1335</v>
      </c>
      <c r="IH25" s="9">
        <v>1336.493344049991</v>
      </c>
      <c r="II25" s="10">
        <v>3.8182190885412166</v>
      </c>
      <c r="IJ25" s="11">
        <v>3.1648681440011088E-2</v>
      </c>
      <c r="IK25" s="6">
        <v>6.5683418930604223</v>
      </c>
      <c r="IL25" s="6" t="s">
        <v>59</v>
      </c>
      <c r="IM25" s="45">
        <f t="shared" si="29"/>
        <v>0.30686523576339075</v>
      </c>
      <c r="IN25" s="11"/>
      <c r="IO25" s="28">
        <v>1358</v>
      </c>
      <c r="IP25" s="28">
        <v>1363.228341460007</v>
      </c>
      <c r="IQ25" s="29">
        <v>3.9689745077374901</v>
      </c>
      <c r="IR25" s="27">
        <v>2.9782438552638849E-2</v>
      </c>
      <c r="IS25" s="6">
        <v>3.4328480298194135</v>
      </c>
      <c r="IT25" s="6" t="s">
        <v>59</v>
      </c>
      <c r="IU25" s="27"/>
      <c r="IV25" s="37">
        <v>4754</v>
      </c>
      <c r="IW25" s="37">
        <v>4735.5865897998965</v>
      </c>
      <c r="IX25" s="10">
        <v>4.1263552892557946</v>
      </c>
      <c r="IY25" s="11">
        <v>1.506175117516787E-2</v>
      </c>
      <c r="IZ25" s="26">
        <v>-3.3872939120315318E-2</v>
      </c>
      <c r="JA25" s="26" t="s">
        <v>57</v>
      </c>
      <c r="JB25" s="26"/>
      <c r="JC25" s="37">
        <v>1070</v>
      </c>
      <c r="JD25" s="37">
        <v>1070.0407477199776</v>
      </c>
      <c r="JE25" s="10">
        <v>4.0411889323036663</v>
      </c>
      <c r="JF25" s="11">
        <v>3.1043624556005085E-2</v>
      </c>
      <c r="JG25" s="26">
        <v>1.8115618342455395</v>
      </c>
      <c r="JH25" s="26" t="s">
        <v>57</v>
      </c>
      <c r="JI25" s="26"/>
      <c r="JJ25" s="37">
        <v>494</v>
      </c>
      <c r="JK25" s="37">
        <v>494</v>
      </c>
      <c r="JL25" s="10">
        <v>4.0587044534412948</v>
      </c>
      <c r="JM25" s="11">
        <v>4.9853715550533813E-2</v>
      </c>
      <c r="JN25" s="26">
        <v>1.0962669323447205</v>
      </c>
      <c r="JO25" s="26" t="s">
        <v>57</v>
      </c>
      <c r="JP25" s="26"/>
      <c r="JQ25" s="37">
        <v>922</v>
      </c>
      <c r="JR25" s="37">
        <v>903.45381045000852</v>
      </c>
      <c r="JS25" s="10">
        <v>4.3044694131103247</v>
      </c>
      <c r="JT25" s="11">
        <v>3.2477406842673355E-2</v>
      </c>
      <c r="JU25" s="26">
        <v>-3.7937670375595549</v>
      </c>
      <c r="JV25" s="26" t="s">
        <v>59</v>
      </c>
      <c r="JW25" s="26"/>
      <c r="JX25" s="37">
        <v>281</v>
      </c>
      <c r="JY25" s="37">
        <v>281.07205425000052</v>
      </c>
      <c r="JZ25" s="10">
        <v>4.1600324783978406</v>
      </c>
      <c r="KA25" s="11">
        <v>6.1513001177336254E-2</v>
      </c>
      <c r="KB25" s="26">
        <v>-0.49598754936107653</v>
      </c>
      <c r="KC25" s="26" t="s">
        <v>57</v>
      </c>
      <c r="KD25" s="26"/>
      <c r="KE25" s="37">
        <v>1061</v>
      </c>
      <c r="KF25" s="37">
        <v>1061.0415140999858</v>
      </c>
      <c r="KG25" s="10">
        <v>4.0842685954807809</v>
      </c>
      <c r="KH25" s="11">
        <v>3.2230182035358164E-2</v>
      </c>
      <c r="KI25" s="26">
        <v>0.8663056977410909</v>
      </c>
      <c r="KJ25" s="26" t="s">
        <v>57</v>
      </c>
      <c r="KL25" s="9"/>
      <c r="KM25" s="9"/>
      <c r="KN25" s="10"/>
      <c r="KO25" s="11"/>
    </row>
    <row r="26" spans="1:301" s="7" customFormat="1" x14ac:dyDescent="0.25">
      <c r="B26" s="5" t="s">
        <v>19</v>
      </c>
      <c r="C26" s="9">
        <v>2827</v>
      </c>
      <c r="D26" s="9">
        <v>2827.1718131500702</v>
      </c>
      <c r="E26" s="10">
        <v>4.1175226106968825</v>
      </c>
      <c r="F26" s="11">
        <v>1.8460654674415575E-2</v>
      </c>
      <c r="G26" s="11"/>
      <c r="H26" s="9">
        <v>2899</v>
      </c>
      <c r="I26" s="9">
        <v>2898.1254901399202</v>
      </c>
      <c r="J26" s="10">
        <v>4.0960073563641846</v>
      </c>
      <c r="K26" s="11">
        <v>1.8014746452239445E-2</v>
      </c>
      <c r="L26" s="26">
        <v>0.83412080874094696</v>
      </c>
      <c r="M26" s="26" t="s">
        <v>57</v>
      </c>
      <c r="N26" s="45">
        <f t="shared" si="24"/>
        <v>2.1515254332697964E-2</v>
      </c>
      <c r="O26" s="11"/>
      <c r="P26" s="3">
        <v>942</v>
      </c>
      <c r="Q26" s="3">
        <v>941.90760312001498</v>
      </c>
      <c r="R26" s="10">
        <v>4.0756994871087349</v>
      </c>
      <c r="S26" s="11">
        <v>3.2342371604601863E-2</v>
      </c>
      <c r="T26" s="26">
        <v>1.1230670097490258</v>
      </c>
      <c r="U26" s="26" t="s">
        <v>57</v>
      </c>
      <c r="V26" s="27"/>
      <c r="W26" s="9">
        <v>1024</v>
      </c>
      <c r="X26" s="9">
        <v>1024.1118418800068</v>
      </c>
      <c r="Y26" s="10">
        <v>4.1352719523052146</v>
      </c>
      <c r="Z26" s="11">
        <v>2.5645279898548489E-2</v>
      </c>
      <c r="AA26" s="26">
        <v>-0.56171160920914165</v>
      </c>
      <c r="AB26" s="26" t="s">
        <v>57</v>
      </c>
      <c r="AC26" s="26"/>
      <c r="AD26" s="9">
        <v>1045</v>
      </c>
      <c r="AE26" s="9">
        <v>1045.7926072300202</v>
      </c>
      <c r="AF26" s="10">
        <v>4.1152001549897204</v>
      </c>
      <c r="AG26" s="11">
        <v>2.812027750345442E-2</v>
      </c>
      <c r="AH26" s="26">
        <v>6.9041684014351748E-2</v>
      </c>
      <c r="AI26" s="26" t="s">
        <v>57</v>
      </c>
      <c r="AJ26" s="45">
        <f t="shared" si="25"/>
        <v>2.3224557071621632E-3</v>
      </c>
      <c r="AK26" s="27"/>
      <c r="AL26" s="28">
        <v>1190</v>
      </c>
      <c r="AM26" s="28">
        <v>1191.7852994800044</v>
      </c>
      <c r="AN26" s="29">
        <v>3.8676701599115102</v>
      </c>
      <c r="AO26" s="27">
        <v>2.7010574494182385E-2</v>
      </c>
      <c r="AP26" s="26">
        <v>7.6369030515649419</v>
      </c>
      <c r="AQ26" s="26" t="s">
        <v>59</v>
      </c>
      <c r="AR26" s="27"/>
      <c r="AS26" s="30">
        <v>5229</v>
      </c>
      <c r="AT26" s="31">
        <v>4.1971186486295746</v>
      </c>
      <c r="AU26" s="32">
        <v>1.2988822984795208E-2</v>
      </c>
      <c r="AV26" s="26">
        <v>-3.5262824854515347</v>
      </c>
      <c r="AW26" s="26" t="s">
        <v>59</v>
      </c>
      <c r="AX26" s="27"/>
      <c r="AY26" s="33">
        <v>564</v>
      </c>
      <c r="AZ26" s="34">
        <v>4.3860012946004261</v>
      </c>
      <c r="BA26" s="35">
        <v>3.7246492985627142E-2</v>
      </c>
      <c r="BB26" s="26">
        <v>-6.4584120643665299</v>
      </c>
      <c r="BC26" s="26" t="s">
        <v>59</v>
      </c>
      <c r="BD26" s="35"/>
      <c r="BE26" s="33">
        <v>748</v>
      </c>
      <c r="BF26" s="34">
        <v>4.2801816623797313</v>
      </c>
      <c r="BG26" s="35">
        <v>3.2333331711567458E-2</v>
      </c>
      <c r="BH26" s="26">
        <v>-4.3687682322020898</v>
      </c>
      <c r="BI26" s="26" t="s">
        <v>59</v>
      </c>
      <c r="BJ26" s="35"/>
      <c r="BK26" s="33">
        <v>772</v>
      </c>
      <c r="BL26" s="34">
        <v>4.3764971237410029</v>
      </c>
      <c r="BM26" s="35">
        <v>2.9971744136722357E-2</v>
      </c>
      <c r="BN26" s="26">
        <v>-7.3570487405426475</v>
      </c>
      <c r="BO26" s="26" t="s">
        <v>59</v>
      </c>
      <c r="BP26" s="35"/>
      <c r="BQ26" s="33">
        <v>1161</v>
      </c>
      <c r="BR26" s="34">
        <v>4.2006760267235057</v>
      </c>
      <c r="BS26" s="35">
        <v>2.7306691490504815E-2</v>
      </c>
      <c r="BT26" s="26">
        <v>-2.5227544967861961</v>
      </c>
      <c r="BU26" s="26" t="s">
        <v>59</v>
      </c>
      <c r="BV26" s="35"/>
      <c r="BW26" s="33">
        <v>1256</v>
      </c>
      <c r="BX26" s="34">
        <v>4.0960472841147144</v>
      </c>
      <c r="BY26" s="35">
        <v>2.7439494028891974E-2</v>
      </c>
      <c r="BZ26" s="26">
        <v>0.64936126910607694</v>
      </c>
      <c r="CA26" s="26" t="s">
        <v>57</v>
      </c>
      <c r="CB26" s="27"/>
      <c r="CC26" s="9">
        <v>11376</v>
      </c>
      <c r="CD26" s="9">
        <v>11407.088963669146</v>
      </c>
      <c r="CE26" s="10">
        <v>4.3018333567289249</v>
      </c>
      <c r="CF26" s="11">
        <v>8.4876788279003666E-3</v>
      </c>
      <c r="CG26" s="26">
        <v>-9.0711350515520905</v>
      </c>
      <c r="CH26" s="26" t="s">
        <v>59</v>
      </c>
      <c r="CI26" s="26"/>
      <c r="CJ26" s="9">
        <v>477</v>
      </c>
      <c r="CK26" s="9">
        <v>477</v>
      </c>
      <c r="CL26" s="10">
        <v>4.2893081761006284</v>
      </c>
      <c r="CM26" s="11">
        <v>3.8358324537634138E-2</v>
      </c>
      <c r="CN26" s="26">
        <v>-4.0354203360127299</v>
      </c>
      <c r="CO26" s="26" t="s">
        <v>59</v>
      </c>
      <c r="CP26" s="26"/>
      <c r="CQ26" s="9">
        <v>3126</v>
      </c>
      <c r="CR26" s="9">
        <v>3157.0074913898834</v>
      </c>
      <c r="CS26" s="10">
        <v>4.0864796800180576</v>
      </c>
      <c r="CT26" s="11">
        <v>1.7133812957510233E-2</v>
      </c>
      <c r="CU26" s="26">
        <v>1.2325191741479531</v>
      </c>
      <c r="CV26" s="26" t="s">
        <v>57</v>
      </c>
      <c r="CW26" s="26"/>
      <c r="CX26" s="9">
        <v>2939</v>
      </c>
      <c r="CY26" s="9">
        <v>2938.9912514300809</v>
      </c>
      <c r="CZ26" s="10">
        <v>4.2772987101453541</v>
      </c>
      <c r="DA26" s="11">
        <v>1.5936610529371804E-2</v>
      </c>
      <c r="DB26" s="26">
        <v>-6.5514405304894892</v>
      </c>
      <c r="DC26" s="26" t="s">
        <v>59</v>
      </c>
      <c r="DD26" s="26"/>
      <c r="DE26" s="9">
        <v>600</v>
      </c>
      <c r="DF26" s="9">
        <v>599.9184076999951</v>
      </c>
      <c r="DG26" s="10">
        <v>4.9597769493813137</v>
      </c>
      <c r="DH26" s="11">
        <v>9.6146368433079783E-3</v>
      </c>
      <c r="DI26" s="26">
        <v>-40.465087196360017</v>
      </c>
      <c r="DJ26" s="26" t="s">
        <v>59</v>
      </c>
      <c r="DK26" s="26"/>
      <c r="DL26" s="9">
        <v>874</v>
      </c>
      <c r="DM26" s="9">
        <v>874</v>
      </c>
      <c r="DN26" s="10">
        <v>4.8878718535469101</v>
      </c>
      <c r="DO26" s="11">
        <v>1.1505949049540823E-2</v>
      </c>
      <c r="DP26" s="26">
        <v>-35.41385959187388</v>
      </c>
      <c r="DQ26" s="26" t="s">
        <v>59</v>
      </c>
      <c r="DR26" s="26"/>
      <c r="DS26" s="9">
        <v>533</v>
      </c>
      <c r="DT26" s="9">
        <v>533</v>
      </c>
      <c r="DU26" s="10">
        <v>5</v>
      </c>
      <c r="DV26" s="11">
        <v>0</v>
      </c>
      <c r="DW26" s="26">
        <v>-47.803147010064244</v>
      </c>
      <c r="DX26" s="26" t="s">
        <v>59</v>
      </c>
      <c r="DY26" s="36"/>
      <c r="DZ26" s="9">
        <v>1002</v>
      </c>
      <c r="EA26" s="9">
        <v>1002.5332223400054</v>
      </c>
      <c r="EB26" s="10">
        <v>4.074543986198857</v>
      </c>
      <c r="EC26" s="11">
        <v>3.1978157392592736E-2</v>
      </c>
      <c r="ED26" s="11"/>
      <c r="EE26" s="9">
        <v>943</v>
      </c>
      <c r="EF26" s="9">
        <v>943.63516271000901</v>
      </c>
      <c r="EG26" s="10">
        <v>4.0290904181772635</v>
      </c>
      <c r="EH26" s="11">
        <v>3.3272733176854218E-2</v>
      </c>
      <c r="EI26" s="6">
        <v>0.98494295219755001</v>
      </c>
      <c r="EJ26" s="6" t="s">
        <v>57</v>
      </c>
      <c r="EK26" s="45">
        <f t="shared" si="26"/>
        <v>4.5453568021593505E-2</v>
      </c>
      <c r="EL26" s="11"/>
      <c r="EM26" s="9">
        <v>643</v>
      </c>
      <c r="EN26" s="9">
        <v>643.18601310999622</v>
      </c>
      <c r="EO26" s="10">
        <v>3.9839943664038602</v>
      </c>
      <c r="EP26" s="11">
        <v>4.0700412448911184E-2</v>
      </c>
      <c r="EQ26" s="6">
        <v>1.7494037435923848</v>
      </c>
      <c r="ER26" s="6" t="s">
        <v>57</v>
      </c>
      <c r="ES26" s="11"/>
      <c r="ET26" s="9">
        <v>671</v>
      </c>
      <c r="EU26" s="9">
        <v>670.62430167000286</v>
      </c>
      <c r="EV26" s="10">
        <v>4.0395632376636694</v>
      </c>
      <c r="EW26" s="11">
        <v>4.0010532025952873E-2</v>
      </c>
      <c r="EX26" s="6">
        <v>0.68295658710148743</v>
      </c>
      <c r="EY26" s="6" t="s">
        <v>57</v>
      </c>
      <c r="EZ26" s="11"/>
      <c r="FA26" s="9">
        <v>634</v>
      </c>
      <c r="FB26" s="9">
        <v>629.01513254000201</v>
      </c>
      <c r="FC26" s="10">
        <v>4.0285994280890423</v>
      </c>
      <c r="FD26" s="11">
        <v>4.0282011019502725E-2</v>
      </c>
      <c r="FE26" s="6">
        <v>0.89330814764024458</v>
      </c>
      <c r="FF26" s="6" t="s">
        <v>57</v>
      </c>
      <c r="FG26" s="45">
        <f t="shared" si="27"/>
        <v>4.5944558109814793E-2</v>
      </c>
      <c r="FH26" s="11"/>
      <c r="FI26" s="28">
        <v>722</v>
      </c>
      <c r="FJ26" s="28">
        <v>722.22228607</v>
      </c>
      <c r="FK26" s="29">
        <v>4.0243644812952946</v>
      </c>
      <c r="FL26" s="27">
        <v>3.832493449223353E-2</v>
      </c>
      <c r="FM26" s="6">
        <v>1.0053201030199532</v>
      </c>
      <c r="FN26" s="6" t="s">
        <v>57</v>
      </c>
      <c r="FO26" s="11"/>
      <c r="FP26" s="37">
        <v>4430</v>
      </c>
      <c r="FQ26" s="37">
        <v>4430.4393140597485</v>
      </c>
      <c r="FR26" s="10">
        <v>4.2379356971947875</v>
      </c>
      <c r="FS26" s="11">
        <v>1.3765628236572475E-2</v>
      </c>
      <c r="FT26" s="26">
        <v>-4.693120205943476</v>
      </c>
      <c r="FU26" s="26" t="s">
        <v>59</v>
      </c>
      <c r="FV26" s="26"/>
      <c r="FW26" s="9">
        <v>1036</v>
      </c>
      <c r="FX26" s="9">
        <v>1036.0413526399791</v>
      </c>
      <c r="FY26" s="10">
        <v>4.2394994555069836</v>
      </c>
      <c r="FZ26" s="11">
        <v>2.7115593067858421E-2</v>
      </c>
      <c r="GA26" s="26">
        <v>-3.9343666720828843</v>
      </c>
      <c r="GB26" s="26" t="s">
        <v>59</v>
      </c>
      <c r="GC26" s="26"/>
      <c r="GD26" s="37">
        <v>298</v>
      </c>
      <c r="GE26" s="37">
        <v>298.07572545000016</v>
      </c>
      <c r="GF26" s="10">
        <v>4.466149633420275</v>
      </c>
      <c r="GG26" s="11">
        <v>4.5377514926279942E-2</v>
      </c>
      <c r="GH26" s="26">
        <v>-7.0542729235138157</v>
      </c>
      <c r="GI26" s="26" t="s">
        <v>59</v>
      </c>
      <c r="GJ26" s="26"/>
      <c r="GK26" s="37">
        <v>608</v>
      </c>
      <c r="GL26" s="37">
        <v>607.76251568999965</v>
      </c>
      <c r="GM26" s="10">
        <v>4.202999761888786</v>
      </c>
      <c r="GN26" s="11">
        <v>3.3099794188406813E-2</v>
      </c>
      <c r="GO26" s="26">
        <v>-2.7910670152571755</v>
      </c>
      <c r="GP26" s="26" t="s">
        <v>59</v>
      </c>
      <c r="GQ26" s="26"/>
      <c r="GR26" s="37">
        <v>1117</v>
      </c>
      <c r="GS26" s="37">
        <v>1116.9988054000119</v>
      </c>
      <c r="GT26" s="10">
        <v>4.2444034589475095</v>
      </c>
      <c r="GU26" s="11">
        <v>2.8943381525203076E-2</v>
      </c>
      <c r="GV26" s="26">
        <v>-3.9381814679292839</v>
      </c>
      <c r="GW26" s="26" t="s">
        <v>59</v>
      </c>
      <c r="GX26" s="26"/>
      <c r="GY26" s="37">
        <v>369</v>
      </c>
      <c r="GZ26" s="37">
        <v>369.02769254000054</v>
      </c>
      <c r="HA26" s="10">
        <v>4.531053903817142</v>
      </c>
      <c r="HB26" s="11">
        <v>3.8186060533113651E-2</v>
      </c>
      <c r="HC26" s="26">
        <v>-9.1655026272711364</v>
      </c>
      <c r="HD26" s="26" t="s">
        <v>59</v>
      </c>
      <c r="HE26" s="15"/>
      <c r="HF26" s="37">
        <v>935</v>
      </c>
      <c r="HG26" s="37">
        <v>934.98685884000929</v>
      </c>
      <c r="HH26" s="10">
        <v>4.2491971014106795</v>
      </c>
      <c r="HI26" s="11">
        <v>2.9710638288288377E-2</v>
      </c>
      <c r="HJ26" s="11"/>
      <c r="HK26" s="37">
        <v>911</v>
      </c>
      <c r="HL26" s="37">
        <v>910.97467815000891</v>
      </c>
      <c r="HM26" s="10">
        <v>4.1195058854885875</v>
      </c>
      <c r="HN26" s="11">
        <v>3.2583684067428322E-2</v>
      </c>
      <c r="HO26" s="6">
        <v>2.9411399503201952</v>
      </c>
      <c r="HP26" s="6" t="s">
        <v>59</v>
      </c>
      <c r="HQ26" s="45">
        <f t="shared" si="28"/>
        <v>0.12969121592209198</v>
      </c>
      <c r="HR26" s="27"/>
      <c r="HS26" s="3">
        <v>645</v>
      </c>
      <c r="HT26" s="3">
        <v>644.97890684999822</v>
      </c>
      <c r="HU26" s="29">
        <v>4.1255213566058906</v>
      </c>
      <c r="HV26" s="27">
        <v>3.9164572894957873E-2</v>
      </c>
      <c r="HW26" s="6">
        <v>2.5158423593343224</v>
      </c>
      <c r="HX26" s="6" t="s">
        <v>59</v>
      </c>
      <c r="HY26" s="27"/>
      <c r="HZ26" s="9">
        <v>684</v>
      </c>
      <c r="IA26" s="9">
        <v>684.07646675000433</v>
      </c>
      <c r="IB26" s="10">
        <v>4.2175186368520077</v>
      </c>
      <c r="IC26" s="11">
        <v>3.452101720338021E-2</v>
      </c>
      <c r="ID26" s="6">
        <v>0.69552941204897045</v>
      </c>
      <c r="IE26" s="6" t="s">
        <v>57</v>
      </c>
      <c r="IF26" s="27"/>
      <c r="IG26" s="9">
        <v>1363</v>
      </c>
      <c r="IH26" s="9">
        <v>1363.7800247099906</v>
      </c>
      <c r="II26" s="10">
        <v>3.9848232023017043</v>
      </c>
      <c r="IJ26" s="11">
        <v>2.7535072985623792E-2</v>
      </c>
      <c r="IK26" s="6">
        <v>6.5264530497012201</v>
      </c>
      <c r="IL26" s="6" t="s">
        <v>59</v>
      </c>
      <c r="IM26" s="45">
        <f t="shared" si="29"/>
        <v>0.26437389910897524</v>
      </c>
      <c r="IN26" s="11"/>
      <c r="IO26" s="28">
        <v>1368</v>
      </c>
      <c r="IP26" s="28">
        <v>1372.370225900007</v>
      </c>
      <c r="IQ26" s="29">
        <v>4.028024929092866</v>
      </c>
      <c r="IR26" s="27">
        <v>2.7230809963377636E-2</v>
      </c>
      <c r="IS26" s="6">
        <v>5.487891434295471</v>
      </c>
      <c r="IT26" s="6" t="s">
        <v>59</v>
      </c>
      <c r="IU26" s="27"/>
      <c r="IV26" s="37">
        <v>4848</v>
      </c>
      <c r="IW26" s="37">
        <v>4831.0950232898795</v>
      </c>
      <c r="IX26" s="10">
        <v>4.3079686550103942</v>
      </c>
      <c r="IY26" s="11">
        <v>1.2674801359016337E-2</v>
      </c>
      <c r="IZ26" s="26">
        <v>-1.8194807031131794</v>
      </c>
      <c r="JA26" s="26" t="s">
        <v>57</v>
      </c>
      <c r="JB26" s="26"/>
      <c r="JC26" s="37">
        <v>1036</v>
      </c>
      <c r="JD26" s="37">
        <v>1036.0413526399791</v>
      </c>
      <c r="JE26" s="10">
        <v>4.2394994555069836</v>
      </c>
      <c r="JF26" s="11">
        <v>2.7115593067858421E-2</v>
      </c>
      <c r="JG26" s="26">
        <v>0.24109049845299629</v>
      </c>
      <c r="JH26" s="26" t="s">
        <v>57</v>
      </c>
      <c r="JI26" s="26"/>
      <c r="JJ26" s="37">
        <v>535</v>
      </c>
      <c r="JK26" s="37">
        <v>535</v>
      </c>
      <c r="JL26" s="10">
        <v>4.3607476635514022</v>
      </c>
      <c r="JM26" s="11">
        <v>3.6727777121520311E-2</v>
      </c>
      <c r="JN26" s="26">
        <v>-2.3613402071769962</v>
      </c>
      <c r="JO26" s="26" t="s">
        <v>59</v>
      </c>
      <c r="JP26" s="26"/>
      <c r="JQ26" s="37">
        <v>932</v>
      </c>
      <c r="JR26" s="37">
        <v>915.27732442000865</v>
      </c>
      <c r="JS26" s="10">
        <v>4.4502880992503213</v>
      </c>
      <c r="JT26" s="11">
        <v>2.7395171736981989E-2</v>
      </c>
      <c r="JU26" s="26">
        <v>-4.9758882905697694</v>
      </c>
      <c r="JV26" s="26" t="s">
        <v>59</v>
      </c>
      <c r="JW26" s="26"/>
      <c r="JX26" s="37">
        <v>298</v>
      </c>
      <c r="JY26" s="37">
        <v>298.07572545000016</v>
      </c>
      <c r="JZ26" s="10">
        <v>4.466149633420275</v>
      </c>
      <c r="KA26" s="11">
        <v>4.5377514926279942E-2</v>
      </c>
      <c r="KB26" s="26">
        <v>-3.9999552544362658</v>
      </c>
      <c r="KC26" s="26" t="s">
        <v>59</v>
      </c>
      <c r="KD26" s="26"/>
      <c r="KE26" s="37">
        <v>1112</v>
      </c>
      <c r="KF26" s="37">
        <v>1111.7137619399844</v>
      </c>
      <c r="KG26" s="10">
        <v>4.2362227704384301</v>
      </c>
      <c r="KH26" s="11">
        <v>2.7772166576439612E-2</v>
      </c>
      <c r="KI26" s="26">
        <v>0.31901802053018652</v>
      </c>
      <c r="KJ26" s="26" t="s">
        <v>57</v>
      </c>
      <c r="KL26" s="9"/>
      <c r="KM26" s="9"/>
      <c r="KN26" s="10"/>
      <c r="KO26" s="11"/>
    </row>
    <row r="27" spans="1:301" s="7" customFormat="1" x14ac:dyDescent="0.25">
      <c r="B27" s="5"/>
      <c r="C27" s="9"/>
      <c r="D27" s="9"/>
      <c r="E27" s="10"/>
      <c r="F27" s="11"/>
      <c r="G27" s="11"/>
      <c r="H27" s="9"/>
      <c r="I27" s="9"/>
      <c r="J27" s="10"/>
      <c r="K27" s="11"/>
      <c r="L27" s="26"/>
      <c r="M27" s="26"/>
      <c r="N27" s="45"/>
      <c r="O27" s="11"/>
      <c r="P27" s="3"/>
      <c r="Q27" s="3"/>
      <c r="R27" s="10"/>
      <c r="S27" s="11"/>
      <c r="T27" s="26"/>
      <c r="U27" s="26"/>
      <c r="V27" s="27"/>
      <c r="W27" s="9"/>
      <c r="X27" s="9"/>
      <c r="Y27" s="10"/>
      <c r="Z27" s="11"/>
      <c r="AA27" s="26"/>
      <c r="AB27" s="26"/>
      <c r="AC27" s="26"/>
      <c r="AD27" s="9"/>
      <c r="AE27" s="9"/>
      <c r="AF27" s="10"/>
      <c r="AG27" s="11"/>
      <c r="AH27" s="26"/>
      <c r="AI27" s="26"/>
      <c r="AJ27" s="45"/>
      <c r="AK27" s="27"/>
      <c r="AL27" s="28"/>
      <c r="AM27" s="28"/>
      <c r="AN27" s="29"/>
      <c r="AO27" s="27"/>
      <c r="AP27" s="26"/>
      <c r="AQ27" s="26"/>
      <c r="AR27" s="27"/>
      <c r="AS27" s="30"/>
      <c r="AT27" s="31"/>
      <c r="AU27" s="32"/>
      <c r="AV27" s="26"/>
      <c r="AW27" s="26"/>
      <c r="AX27" s="27"/>
      <c r="AY27" s="33"/>
      <c r="AZ27" s="34"/>
      <c r="BA27" s="35"/>
      <c r="BB27" s="26"/>
      <c r="BC27" s="26"/>
      <c r="BD27" s="35"/>
      <c r="BE27" s="33"/>
      <c r="BF27" s="34"/>
      <c r="BG27" s="35"/>
      <c r="BH27" s="26"/>
      <c r="BI27" s="26"/>
      <c r="BJ27" s="35"/>
      <c r="BK27" s="33"/>
      <c r="BL27" s="34"/>
      <c r="BM27" s="35"/>
      <c r="BN27" s="26"/>
      <c r="BO27" s="26"/>
      <c r="BP27" s="35"/>
      <c r="BQ27" s="33"/>
      <c r="BR27" s="34"/>
      <c r="BS27" s="35"/>
      <c r="BT27" s="26"/>
      <c r="BU27" s="26"/>
      <c r="BV27" s="35"/>
      <c r="BW27" s="33"/>
      <c r="BX27" s="34"/>
      <c r="BY27" s="35"/>
      <c r="BZ27" s="26"/>
      <c r="CA27" s="26"/>
      <c r="CB27" s="27"/>
      <c r="CC27" s="9"/>
      <c r="CD27" s="9"/>
      <c r="CE27" s="10"/>
      <c r="CF27" s="11"/>
      <c r="CG27" s="26"/>
      <c r="CH27" s="26"/>
      <c r="CI27" s="26"/>
      <c r="CJ27" s="9"/>
      <c r="CK27" s="9"/>
      <c r="CL27" s="10"/>
      <c r="CM27" s="11"/>
      <c r="CN27" s="26"/>
      <c r="CO27" s="26"/>
      <c r="CP27" s="26"/>
      <c r="CQ27" s="9"/>
      <c r="CR27" s="9"/>
      <c r="CS27" s="10"/>
      <c r="CT27" s="11"/>
      <c r="CU27" s="26"/>
      <c r="CV27" s="26"/>
      <c r="CW27" s="26"/>
      <c r="CX27" s="9"/>
      <c r="CY27" s="9"/>
      <c r="CZ27" s="10"/>
      <c r="DA27" s="11"/>
      <c r="DB27" s="26"/>
      <c r="DC27" s="26"/>
      <c r="DD27" s="26"/>
      <c r="DE27" s="9"/>
      <c r="DF27" s="9"/>
      <c r="DG27" s="10"/>
      <c r="DH27" s="11"/>
      <c r="DI27" s="26"/>
      <c r="DJ27" s="26"/>
      <c r="DK27" s="26"/>
      <c r="DL27" s="9"/>
      <c r="DM27" s="9"/>
      <c r="DN27" s="10"/>
      <c r="DO27" s="11"/>
      <c r="DP27" s="26"/>
      <c r="DQ27" s="26"/>
      <c r="DR27" s="26"/>
      <c r="DS27" s="9"/>
      <c r="DT27" s="9"/>
      <c r="DU27" s="10"/>
      <c r="DV27" s="11"/>
      <c r="DW27" s="26"/>
      <c r="DX27" s="26"/>
      <c r="DY27" s="36"/>
      <c r="DZ27" s="9"/>
      <c r="EA27" s="9"/>
      <c r="EB27" s="10"/>
      <c r="EC27" s="11"/>
      <c r="ED27" s="11"/>
      <c r="EE27" s="9"/>
      <c r="EF27" s="9"/>
      <c r="EG27" s="10"/>
      <c r="EH27" s="11"/>
      <c r="EI27" s="6"/>
      <c r="EJ27" s="6"/>
      <c r="EK27" s="45"/>
      <c r="EL27" s="11"/>
      <c r="EM27" s="9"/>
      <c r="EN27" s="9"/>
      <c r="EO27" s="10"/>
      <c r="EP27" s="11"/>
      <c r="EQ27" s="6"/>
      <c r="ER27" s="6"/>
      <c r="ES27" s="11"/>
      <c r="ET27" s="9"/>
      <c r="EU27" s="9"/>
      <c r="EV27" s="10"/>
      <c r="EW27" s="11"/>
      <c r="EX27" s="6"/>
      <c r="EY27" s="6"/>
      <c r="EZ27" s="11"/>
      <c r="FA27" s="9"/>
      <c r="FB27" s="9"/>
      <c r="FC27" s="10"/>
      <c r="FD27" s="11"/>
      <c r="FE27" s="6"/>
      <c r="FF27" s="6"/>
      <c r="FG27" s="45"/>
      <c r="FH27" s="11"/>
      <c r="FI27" s="28"/>
      <c r="FJ27" s="28"/>
      <c r="FK27" s="29"/>
      <c r="FL27" s="27"/>
      <c r="FM27" s="6"/>
      <c r="FN27" s="6"/>
      <c r="FO27" s="11"/>
      <c r="FP27" s="37"/>
      <c r="FQ27" s="37"/>
      <c r="FR27" s="10"/>
      <c r="FS27" s="11"/>
      <c r="FT27" s="26"/>
      <c r="FU27" s="26"/>
      <c r="FV27" s="26"/>
      <c r="FW27" s="9"/>
      <c r="FX27" s="9"/>
      <c r="FY27" s="10"/>
      <c r="FZ27" s="11"/>
      <c r="GA27" s="26"/>
      <c r="GB27" s="26"/>
      <c r="GC27" s="26"/>
      <c r="GD27" s="37"/>
      <c r="GE27" s="37"/>
      <c r="GF27" s="10"/>
      <c r="GG27" s="11"/>
      <c r="GH27" s="26"/>
      <c r="GI27" s="26"/>
      <c r="GJ27" s="26"/>
      <c r="GK27" s="37"/>
      <c r="GL27" s="37"/>
      <c r="GM27" s="10"/>
      <c r="GN27" s="11"/>
      <c r="GO27" s="26"/>
      <c r="GP27" s="26"/>
      <c r="GQ27" s="26"/>
      <c r="GR27" s="37"/>
      <c r="GS27" s="37"/>
      <c r="GT27" s="10"/>
      <c r="GU27" s="11"/>
      <c r="GV27" s="26"/>
      <c r="GW27" s="26"/>
      <c r="GX27" s="26"/>
      <c r="GY27" s="37"/>
      <c r="GZ27" s="37"/>
      <c r="HA27" s="10"/>
      <c r="HB27" s="11"/>
      <c r="HC27" s="26"/>
      <c r="HD27" s="26"/>
      <c r="HE27" s="15"/>
      <c r="HF27" s="37"/>
      <c r="HG27" s="37"/>
      <c r="HH27" s="10"/>
      <c r="HI27" s="11"/>
      <c r="HJ27" s="11"/>
      <c r="HK27" s="37"/>
      <c r="HL27" s="37"/>
      <c r="HM27" s="10"/>
      <c r="HN27" s="11"/>
      <c r="HO27" s="6"/>
      <c r="HP27" s="6"/>
      <c r="HQ27" s="45"/>
      <c r="HR27" s="27"/>
      <c r="HS27" s="3"/>
      <c r="HT27" s="3"/>
      <c r="HU27" s="29"/>
      <c r="HV27" s="27"/>
      <c r="HW27" s="6"/>
      <c r="HX27" s="6"/>
      <c r="HY27" s="27"/>
      <c r="HZ27" s="9"/>
      <c r="IA27" s="9"/>
      <c r="IB27" s="10"/>
      <c r="IC27" s="11"/>
      <c r="ID27" s="6"/>
      <c r="IE27" s="6"/>
      <c r="IF27" s="27"/>
      <c r="IG27" s="9"/>
      <c r="IH27" s="9"/>
      <c r="II27" s="10"/>
      <c r="IJ27" s="11"/>
      <c r="IK27" s="6"/>
      <c r="IL27" s="6"/>
      <c r="IM27" s="45"/>
      <c r="IN27" s="11"/>
      <c r="IO27" s="28"/>
      <c r="IP27" s="28"/>
      <c r="IQ27" s="29"/>
      <c r="IR27" s="27"/>
      <c r="IS27" s="6"/>
      <c r="IT27" s="6"/>
      <c r="IU27" s="27"/>
      <c r="IV27" s="37"/>
      <c r="IW27" s="37"/>
      <c r="IX27" s="10"/>
      <c r="IY27" s="11"/>
      <c r="IZ27" s="26"/>
      <c r="JA27" s="26"/>
      <c r="JB27" s="26"/>
      <c r="JC27" s="37"/>
      <c r="JD27" s="37"/>
      <c r="JE27" s="10"/>
      <c r="JF27" s="11"/>
      <c r="JG27" s="26"/>
      <c r="JH27" s="26"/>
      <c r="JI27" s="26"/>
      <c r="JJ27" s="37"/>
      <c r="JK27" s="37"/>
      <c r="JL27" s="10"/>
      <c r="JM27" s="11"/>
      <c r="JN27" s="26"/>
      <c r="JO27" s="26"/>
      <c r="JP27" s="26"/>
      <c r="JQ27" s="37"/>
      <c r="JR27" s="37"/>
      <c r="JS27" s="10"/>
      <c r="JT27" s="11"/>
      <c r="JU27" s="26"/>
      <c r="JV27" s="26"/>
      <c r="JW27" s="26"/>
      <c r="JX27" s="37"/>
      <c r="JY27" s="37"/>
      <c r="JZ27" s="10"/>
      <c r="KA27" s="11"/>
      <c r="KB27" s="26"/>
      <c r="KC27" s="26"/>
      <c r="KD27" s="26"/>
      <c r="KE27" s="37"/>
      <c r="KF27" s="37"/>
      <c r="KG27" s="10"/>
      <c r="KH27" s="11"/>
      <c r="KI27" s="26"/>
      <c r="KJ27" s="26"/>
      <c r="KL27" s="9"/>
      <c r="KM27" s="9"/>
      <c r="KN27" s="10"/>
      <c r="KO27" s="11"/>
    </row>
    <row r="28" spans="1:301" s="7" customFormat="1" x14ac:dyDescent="0.25">
      <c r="A28" s="14"/>
      <c r="B28" s="5" t="s">
        <v>20</v>
      </c>
      <c r="C28" s="9">
        <v>2997</v>
      </c>
      <c r="D28" s="9">
        <v>2996.8610000400668</v>
      </c>
      <c r="E28" s="10">
        <v>4.1605513529001126</v>
      </c>
      <c r="F28" s="11">
        <v>1.7592748818365429E-2</v>
      </c>
      <c r="G28" s="11"/>
      <c r="H28" s="9">
        <v>3071</v>
      </c>
      <c r="I28" s="9">
        <v>3071.2769156799181</v>
      </c>
      <c r="J28" s="10">
        <v>4.0839415541802184</v>
      </c>
      <c r="K28" s="11">
        <v>1.8378187955919282E-2</v>
      </c>
      <c r="L28" s="26">
        <v>3.011230935260075</v>
      </c>
      <c r="M28" s="26" t="s">
        <v>59</v>
      </c>
      <c r="N28" s="45">
        <f t="shared" ref="N28:N31" si="30">E28-J28</f>
        <v>7.6609798719894151E-2</v>
      </c>
      <c r="O28" s="11"/>
      <c r="P28" s="3">
        <v>990</v>
      </c>
      <c r="Q28" s="3">
        <v>990.00724512001693</v>
      </c>
      <c r="R28" s="10">
        <v>4.04628001383408</v>
      </c>
      <c r="S28" s="11">
        <v>3.3183748492696057E-2</v>
      </c>
      <c r="T28" s="26">
        <v>3.0424624082158553</v>
      </c>
      <c r="U28" s="26" t="s">
        <v>59</v>
      </c>
      <c r="V28" s="27"/>
      <c r="W28" s="9">
        <v>1067</v>
      </c>
      <c r="X28" s="9">
        <v>1067.1332636700083</v>
      </c>
      <c r="Y28" s="10">
        <v>3.804508417877873</v>
      </c>
      <c r="Z28" s="11">
        <v>2.773690622164706E-2</v>
      </c>
      <c r="AA28" s="26">
        <v>10.839860562806829</v>
      </c>
      <c r="AB28" s="26" t="s">
        <v>59</v>
      </c>
      <c r="AC28" s="26"/>
      <c r="AD28" s="9">
        <v>1080</v>
      </c>
      <c r="AE28" s="9">
        <v>1080.9756570700195</v>
      </c>
      <c r="AF28" s="10">
        <v>3.9219176536326641</v>
      </c>
      <c r="AG28" s="11">
        <v>2.6739441923398836E-2</v>
      </c>
      <c r="AH28" s="26">
        <v>7.4554738036369166</v>
      </c>
      <c r="AI28" s="26" t="s">
        <v>59</v>
      </c>
      <c r="AJ28" s="45">
        <f t="shared" ref="AJ28:AJ31" si="31">E28-AF28</f>
        <v>0.23863369926744848</v>
      </c>
      <c r="AK28" s="27"/>
      <c r="AL28" s="28">
        <v>1231</v>
      </c>
      <c r="AM28" s="28">
        <v>1230.5873691400056</v>
      </c>
      <c r="AN28" s="29">
        <v>3.6144823791166156</v>
      </c>
      <c r="AO28" s="27">
        <v>2.9764165307128235E-2</v>
      </c>
      <c r="AP28" s="26">
        <v>15.793885906316254</v>
      </c>
      <c r="AQ28" s="26" t="s">
        <v>59</v>
      </c>
      <c r="AR28" s="27"/>
      <c r="AS28" s="30">
        <v>6180</v>
      </c>
      <c r="AT28" s="31">
        <v>4.1390310369578103</v>
      </c>
      <c r="AU28" s="32">
        <v>1.2625196346869308E-2</v>
      </c>
      <c r="AV28" s="26">
        <v>0.99382140010836906</v>
      </c>
      <c r="AW28" s="26" t="s">
        <v>57</v>
      </c>
      <c r="AX28" s="27"/>
      <c r="AY28" s="33">
        <v>777</v>
      </c>
      <c r="AZ28" s="34">
        <v>4.3443192694784667</v>
      </c>
      <c r="BA28" s="35">
        <v>3.2141617553223548E-2</v>
      </c>
      <c r="BB28" s="26">
        <v>-5.0153153787382561</v>
      </c>
      <c r="BC28" s="26" t="s">
        <v>59</v>
      </c>
      <c r="BD28" s="35"/>
      <c r="BE28" s="33">
        <v>985</v>
      </c>
      <c r="BF28" s="34">
        <v>4.2786858721145355</v>
      </c>
      <c r="BG28" s="35">
        <v>2.8450897227461219E-2</v>
      </c>
      <c r="BH28" s="26">
        <v>-3.5315865543410752</v>
      </c>
      <c r="BI28" s="26" t="s">
        <v>59</v>
      </c>
      <c r="BJ28" s="35"/>
      <c r="BK28" s="33">
        <v>1002</v>
      </c>
      <c r="BL28" s="34">
        <v>4.3495404985450339</v>
      </c>
      <c r="BM28" s="35">
        <v>2.8476952488568959E-2</v>
      </c>
      <c r="BN28" s="26">
        <v>-5.6460177950899171</v>
      </c>
      <c r="BO28" s="26" t="s">
        <v>59</v>
      </c>
      <c r="BP28" s="35"/>
      <c r="BQ28" s="33">
        <v>1356</v>
      </c>
      <c r="BR28" s="34">
        <v>4.1814074905688399</v>
      </c>
      <c r="BS28" s="35">
        <v>2.6076672437663404E-2</v>
      </c>
      <c r="BT28" s="26">
        <v>-0.66301980280205752</v>
      </c>
      <c r="BU28" s="26" t="s">
        <v>57</v>
      </c>
      <c r="BV28" s="35"/>
      <c r="BW28" s="33">
        <v>1413</v>
      </c>
      <c r="BX28" s="34">
        <v>4.2266227136787871</v>
      </c>
      <c r="BY28" s="35">
        <v>2.4213637951249894E-2</v>
      </c>
      <c r="BZ28" s="26">
        <v>-2.2075293808384155</v>
      </c>
      <c r="CA28" s="26" t="s">
        <v>59</v>
      </c>
      <c r="CB28" s="27"/>
      <c r="CC28" s="9">
        <v>11945</v>
      </c>
      <c r="CD28" s="9">
        <v>11946.673191579188</v>
      </c>
      <c r="CE28" s="10">
        <v>4.2381014489192665</v>
      </c>
      <c r="CF28" s="11">
        <v>8.7846581375112236E-3</v>
      </c>
      <c r="CG28" s="26">
        <v>-3.943749088056717</v>
      </c>
      <c r="CH28" s="26" t="s">
        <v>59</v>
      </c>
      <c r="CI28" s="26"/>
      <c r="CJ28" s="9">
        <v>539</v>
      </c>
      <c r="CK28" s="9">
        <v>539</v>
      </c>
      <c r="CL28" s="10">
        <v>4.1873840445268993</v>
      </c>
      <c r="CM28" s="11">
        <v>3.8060762975165065E-2</v>
      </c>
      <c r="CN28" s="26">
        <v>-0.63993988789019096</v>
      </c>
      <c r="CO28" s="26" t="s">
        <v>57</v>
      </c>
      <c r="CP28" s="26"/>
      <c r="CQ28" s="9">
        <v>3394</v>
      </c>
      <c r="CR28" s="9">
        <v>3395.8747240198718</v>
      </c>
      <c r="CS28" s="10">
        <v>3.9718462725395134</v>
      </c>
      <c r="CT28" s="11">
        <v>1.8132695643190904E-2</v>
      </c>
      <c r="CU28" s="26">
        <v>7.4691529567728283</v>
      </c>
      <c r="CV28" s="26" t="s">
        <v>59</v>
      </c>
      <c r="CW28" s="26"/>
      <c r="CX28" s="9">
        <v>2997</v>
      </c>
      <c r="CY28" s="9">
        <v>2996.997301740078</v>
      </c>
      <c r="CZ28" s="10">
        <v>4.1681596175069711</v>
      </c>
      <c r="DA28" s="11">
        <v>1.7144664356190272E-2</v>
      </c>
      <c r="DB28" s="26">
        <v>-0.30971839790039685</v>
      </c>
      <c r="DC28" s="26" t="s">
        <v>57</v>
      </c>
      <c r="DD28" s="26"/>
      <c r="DE28" s="9">
        <v>604</v>
      </c>
      <c r="DF28" s="9">
        <v>603.94016577999503</v>
      </c>
      <c r="DG28" s="10">
        <v>4.9173139188291835</v>
      </c>
      <c r="DH28" s="11">
        <v>1.1931702465480505E-2</v>
      </c>
      <c r="DI28" s="26">
        <v>-35.600223595321815</v>
      </c>
      <c r="DJ28" s="26" t="s">
        <v>59</v>
      </c>
      <c r="DK28" s="26"/>
      <c r="DL28" s="9">
        <v>881</v>
      </c>
      <c r="DM28" s="9">
        <v>881</v>
      </c>
      <c r="DN28" s="10">
        <v>4.8808172531214495</v>
      </c>
      <c r="DO28" s="11">
        <v>1.1719702362134123E-2</v>
      </c>
      <c r="DP28" s="26">
        <v>-34.072887833151576</v>
      </c>
      <c r="DQ28" s="26" t="s">
        <v>59</v>
      </c>
      <c r="DR28" s="26"/>
      <c r="DS28" s="9">
        <v>533</v>
      </c>
      <c r="DT28" s="9">
        <v>533</v>
      </c>
      <c r="DU28" s="10">
        <v>4.9831144465290791</v>
      </c>
      <c r="DV28" s="11">
        <v>6.7312985131935147E-3</v>
      </c>
      <c r="DW28" s="26">
        <v>-43.668484225927678</v>
      </c>
      <c r="DX28" s="26" t="s">
        <v>59</v>
      </c>
      <c r="DY28" s="36"/>
      <c r="DZ28" s="9">
        <v>1088</v>
      </c>
      <c r="EA28" s="9">
        <v>1088.1544961200059</v>
      </c>
      <c r="EB28" s="10">
        <v>4.0431716055096141</v>
      </c>
      <c r="EC28" s="11">
        <v>3.1967349606330353E-2</v>
      </c>
      <c r="ED28" s="11"/>
      <c r="EE28" s="9">
        <v>1015</v>
      </c>
      <c r="EF28" s="9">
        <v>1015.38184615001</v>
      </c>
      <c r="EG28" s="10">
        <v>3.9176219262072136</v>
      </c>
      <c r="EH28" s="11">
        <v>3.3641424935131274E-2</v>
      </c>
      <c r="EI28" s="6">
        <v>2.7053742249385944</v>
      </c>
      <c r="EJ28" s="6" t="s">
        <v>59</v>
      </c>
      <c r="EK28" s="45">
        <f t="shared" ref="EK28:EK31" si="32">EB28-EG28</f>
        <v>0.12554967930240046</v>
      </c>
      <c r="EL28" s="11"/>
      <c r="EM28" s="9">
        <v>705</v>
      </c>
      <c r="EN28" s="9">
        <v>705.01812973999745</v>
      </c>
      <c r="EO28" s="10">
        <v>3.9954495523098377</v>
      </c>
      <c r="EP28" s="11">
        <v>3.9924883351771676E-2</v>
      </c>
      <c r="EQ28" s="6">
        <v>0.93305642584626891</v>
      </c>
      <c r="ER28" s="6" t="s">
        <v>57</v>
      </c>
      <c r="ES28" s="11"/>
      <c r="ET28" s="9">
        <v>734</v>
      </c>
      <c r="EU28" s="9">
        <v>733.4034829900047</v>
      </c>
      <c r="EV28" s="10">
        <v>3.9638984850166552</v>
      </c>
      <c r="EW28" s="11">
        <v>3.9046562075125947E-2</v>
      </c>
      <c r="EX28" s="6">
        <v>1.5709061432994851</v>
      </c>
      <c r="EY28" s="6" t="s">
        <v>57</v>
      </c>
      <c r="EZ28" s="11"/>
      <c r="FA28" s="9">
        <v>710</v>
      </c>
      <c r="FB28" s="9">
        <v>711.30883610000228</v>
      </c>
      <c r="FC28" s="10">
        <v>3.9431380053961345</v>
      </c>
      <c r="FD28" s="11">
        <v>3.8602259151775231E-2</v>
      </c>
      <c r="FE28" s="6">
        <v>1.9958693908245997</v>
      </c>
      <c r="FF28" s="6" t="s">
        <v>59</v>
      </c>
      <c r="FG28" s="45">
        <f t="shared" ref="FG28:FG31" si="33">EB28-FC28</f>
        <v>0.10003360011347961</v>
      </c>
      <c r="FH28" s="11"/>
      <c r="FI28" s="28">
        <v>781</v>
      </c>
      <c r="FJ28" s="28">
        <v>780.96228606000125</v>
      </c>
      <c r="FK28" s="29">
        <v>3.9930971606488335</v>
      </c>
      <c r="FL28" s="27">
        <v>3.7335403377986472E-2</v>
      </c>
      <c r="FM28" s="6">
        <v>1.0187830694517415</v>
      </c>
      <c r="FN28" s="6" t="s">
        <v>57</v>
      </c>
      <c r="FO28" s="11"/>
      <c r="FP28" s="37">
        <v>5011</v>
      </c>
      <c r="FQ28" s="37">
        <v>5011.0888682499344</v>
      </c>
      <c r="FR28" s="10">
        <v>4.1712724570398034</v>
      </c>
      <c r="FS28" s="11">
        <v>1.3456110009713378E-2</v>
      </c>
      <c r="FT28" s="26">
        <v>-3.6933725170915852</v>
      </c>
      <c r="FU28" s="26" t="s">
        <v>59</v>
      </c>
      <c r="FV28" s="26"/>
      <c r="FW28" s="9">
        <v>1109</v>
      </c>
      <c r="FX28" s="9">
        <v>1109.0085880999759</v>
      </c>
      <c r="FY28" s="10">
        <v>4.2805075373067778</v>
      </c>
      <c r="FZ28" s="11">
        <v>2.502963903249425E-2</v>
      </c>
      <c r="GA28" s="26">
        <v>-5.8456518378653071</v>
      </c>
      <c r="GB28" s="26" t="s">
        <v>59</v>
      </c>
      <c r="GC28" s="26"/>
      <c r="GD28" s="37">
        <v>380</v>
      </c>
      <c r="GE28" s="37">
        <v>380.00372529999851</v>
      </c>
      <c r="GF28" s="10">
        <v>4.4024319588690073</v>
      </c>
      <c r="GG28" s="11">
        <v>4.4682444130691716E-2</v>
      </c>
      <c r="GH28" s="26">
        <v>-6.5391089935230848</v>
      </c>
      <c r="GI28" s="26" t="s">
        <v>59</v>
      </c>
      <c r="GJ28" s="26"/>
      <c r="GK28" s="37">
        <v>699</v>
      </c>
      <c r="GL28" s="37">
        <v>698.9678896300037</v>
      </c>
      <c r="GM28" s="10">
        <v>4.0438862820382706</v>
      </c>
      <c r="GN28" s="11">
        <v>3.463551835508237E-2</v>
      </c>
      <c r="GO28" s="26">
        <v>-1.5162938450892666E-2</v>
      </c>
      <c r="GP28" s="26" t="s">
        <v>57</v>
      </c>
      <c r="GQ28" s="26"/>
      <c r="GR28" s="37">
        <v>1345</v>
      </c>
      <c r="GS28" s="37">
        <v>1344.9995521199967</v>
      </c>
      <c r="GT28" s="10">
        <v>4.1457278620286973</v>
      </c>
      <c r="GU28" s="11">
        <v>2.7057672443155042E-2</v>
      </c>
      <c r="GV28" s="26">
        <v>-2.4487461459759547</v>
      </c>
      <c r="GW28" s="26" t="s">
        <v>59</v>
      </c>
      <c r="GX28" s="26"/>
      <c r="GY28" s="37">
        <v>390</v>
      </c>
      <c r="GZ28" s="37">
        <v>389.95461698000065</v>
      </c>
      <c r="HA28" s="10">
        <v>4.3092518936022337</v>
      </c>
      <c r="HB28" s="11">
        <v>4.4464614773920247E-2</v>
      </c>
      <c r="HC28" s="26">
        <v>-4.858738194385622</v>
      </c>
      <c r="HD28" s="26" t="s">
        <v>59</v>
      </c>
      <c r="HE28" s="15"/>
      <c r="HF28" s="37">
        <v>990</v>
      </c>
      <c r="HG28" s="37">
        <v>989.98897912001019</v>
      </c>
      <c r="HH28" s="10">
        <v>4.032155011693459</v>
      </c>
      <c r="HI28" s="11">
        <v>3.4288885846290008E-2</v>
      </c>
      <c r="HJ28" s="11"/>
      <c r="HK28" s="37">
        <v>952</v>
      </c>
      <c r="HL28" s="37">
        <v>951.96216822000929</v>
      </c>
      <c r="HM28" s="10">
        <v>3.9874837450396998</v>
      </c>
      <c r="HN28" s="11">
        <v>3.4759690015022313E-2</v>
      </c>
      <c r="HO28" s="6">
        <v>0.91491014663112591</v>
      </c>
      <c r="HP28" s="6" t="s">
        <v>57</v>
      </c>
      <c r="HQ28" s="45">
        <f t="shared" ref="HQ28:HQ31" si="34">HH28-HM28</f>
        <v>4.4671266653759201E-2</v>
      </c>
      <c r="HR28" s="27"/>
      <c r="HS28" s="3">
        <v>688</v>
      </c>
      <c r="HT28" s="3">
        <v>687.98142780999956</v>
      </c>
      <c r="HU28" s="29">
        <v>3.9301880868893679</v>
      </c>
      <c r="HV28" s="27">
        <v>4.2283026796671952E-2</v>
      </c>
      <c r="HW28" s="6">
        <v>1.8730563540848224</v>
      </c>
      <c r="HX28" s="6" t="s">
        <v>57</v>
      </c>
      <c r="HY28" s="27"/>
      <c r="HZ28" s="9">
        <v>728</v>
      </c>
      <c r="IA28" s="9">
        <v>728.11856670000498</v>
      </c>
      <c r="IB28" s="10">
        <v>4.0215390212902751</v>
      </c>
      <c r="IC28" s="11">
        <v>3.8279526481712761E-2</v>
      </c>
      <c r="ID28" s="6">
        <v>0.20657236360408868</v>
      </c>
      <c r="IE28" s="6" t="s">
        <v>57</v>
      </c>
      <c r="IF28" s="27"/>
      <c r="IG28" s="9">
        <v>1469</v>
      </c>
      <c r="IH28" s="9">
        <v>1468.8821150499905</v>
      </c>
      <c r="II28" s="10">
        <v>3.8847904934330035</v>
      </c>
      <c r="IJ28" s="11">
        <v>2.8570955158091122E-2</v>
      </c>
      <c r="IK28" s="6">
        <v>3.3017584635823236</v>
      </c>
      <c r="IL28" s="6" t="s">
        <v>59</v>
      </c>
      <c r="IM28" s="45">
        <f t="shared" ref="IM28:IM31" si="35">HH28-II28</f>
        <v>0.14736451826045549</v>
      </c>
      <c r="IN28" s="11"/>
      <c r="IO28" s="28">
        <v>1464</v>
      </c>
      <c r="IP28" s="28">
        <v>1464.002963710012</v>
      </c>
      <c r="IQ28" s="29">
        <v>3.8660857560334558</v>
      </c>
      <c r="IR28" s="27">
        <v>2.889247435512346E-2</v>
      </c>
      <c r="IS28" s="6">
        <v>3.7037093809233013</v>
      </c>
      <c r="IT28" s="6" t="s">
        <v>59</v>
      </c>
      <c r="IU28" s="27"/>
      <c r="IV28" s="37">
        <v>5465</v>
      </c>
      <c r="IW28" s="37">
        <v>5464.0500922997808</v>
      </c>
      <c r="IX28" s="10">
        <v>4.272726039539795</v>
      </c>
      <c r="IY28" s="11">
        <v>1.2372870302223086E-2</v>
      </c>
      <c r="IZ28" s="26">
        <v>-6.5994989296445112</v>
      </c>
      <c r="JA28" s="26" t="s">
        <v>59</v>
      </c>
      <c r="JB28" s="26"/>
      <c r="JC28" s="37">
        <v>1109</v>
      </c>
      <c r="JD28" s="37">
        <v>1109.0085880999759</v>
      </c>
      <c r="JE28" s="10">
        <v>4.2805075373067778</v>
      </c>
      <c r="JF28" s="11">
        <v>2.502963903249425E-2</v>
      </c>
      <c r="JG28" s="26">
        <v>-5.8501340867000442</v>
      </c>
      <c r="JH28" s="26" t="s">
        <v>59</v>
      </c>
      <c r="JI28" s="26"/>
      <c r="JJ28" s="37">
        <v>678</v>
      </c>
      <c r="JK28" s="37">
        <v>678</v>
      </c>
      <c r="JL28" s="10">
        <v>4.4572271386430664</v>
      </c>
      <c r="JM28" s="11">
        <v>3.1528028921438002E-2</v>
      </c>
      <c r="JN28" s="26">
        <v>-9.1255353130526693</v>
      </c>
      <c r="JO28" s="26" t="s">
        <v>59</v>
      </c>
      <c r="JP28" s="26"/>
      <c r="JQ28" s="37">
        <v>976</v>
      </c>
      <c r="JR28" s="37">
        <v>975.15588742000944</v>
      </c>
      <c r="JS28" s="10">
        <v>4.3678610997253875</v>
      </c>
      <c r="JT28" s="11">
        <v>2.840337698658291E-2</v>
      </c>
      <c r="JU28" s="26">
        <v>-7.5397138353301436</v>
      </c>
      <c r="JV28" s="26" t="s">
        <v>59</v>
      </c>
      <c r="JW28" s="26"/>
      <c r="JX28" s="37">
        <v>380</v>
      </c>
      <c r="JY28" s="37">
        <v>380.00372529999851</v>
      </c>
      <c r="JZ28" s="10">
        <v>4.4024319588690073</v>
      </c>
      <c r="KA28" s="11">
        <v>4.4682444130691716E-2</v>
      </c>
      <c r="KB28" s="26">
        <v>-6.574202446916015</v>
      </c>
      <c r="KC28" s="26" t="s">
        <v>59</v>
      </c>
      <c r="KD28" s="26"/>
      <c r="KE28" s="37">
        <v>1332</v>
      </c>
      <c r="KF28" s="37">
        <v>1331.892912359978</v>
      </c>
      <c r="KG28" s="10">
        <v>4.2444812211989458</v>
      </c>
      <c r="KH28" s="11">
        <v>2.4243798962791361E-2</v>
      </c>
      <c r="KI28" s="26">
        <v>-5.0561176390994875</v>
      </c>
      <c r="KJ28" s="26" t="s">
        <v>59</v>
      </c>
      <c r="KL28" s="9"/>
      <c r="KM28" s="9"/>
      <c r="KN28" s="10"/>
      <c r="KO28" s="11"/>
    </row>
    <row r="29" spans="1:301" s="7" customFormat="1" x14ac:dyDescent="0.25">
      <c r="B29" s="5" t="s">
        <v>21</v>
      </c>
      <c r="C29" s="9">
        <v>2859</v>
      </c>
      <c r="D29" s="9">
        <v>2857.6532148600718</v>
      </c>
      <c r="E29" s="10">
        <v>4.1357081818407453</v>
      </c>
      <c r="F29" s="11">
        <v>1.8238207268386264E-2</v>
      </c>
      <c r="G29" s="11"/>
      <c r="H29" s="9">
        <v>2928</v>
      </c>
      <c r="I29" s="9">
        <v>2928.4297980499214</v>
      </c>
      <c r="J29" s="10">
        <v>4.05807099424519</v>
      </c>
      <c r="K29" s="11">
        <v>1.8690763751225595E-2</v>
      </c>
      <c r="L29" s="26">
        <v>2.9729320099703211</v>
      </c>
      <c r="M29" s="26" t="s">
        <v>59</v>
      </c>
      <c r="N29" s="45">
        <f t="shared" si="30"/>
        <v>7.7637187595555268E-2</v>
      </c>
      <c r="O29" s="11"/>
      <c r="P29" s="3">
        <v>959</v>
      </c>
      <c r="Q29" s="3">
        <v>959.03739302001566</v>
      </c>
      <c r="R29" s="10">
        <v>4.0452902273218143</v>
      </c>
      <c r="S29" s="11">
        <v>3.3689148551309243E-2</v>
      </c>
      <c r="T29" s="26">
        <v>2.3602182697316558</v>
      </c>
      <c r="U29" s="26" t="s">
        <v>59</v>
      </c>
      <c r="V29" s="27"/>
      <c r="W29" s="9">
        <v>1050</v>
      </c>
      <c r="X29" s="9">
        <v>1050.3013788600076</v>
      </c>
      <c r="Y29" s="10">
        <v>3.5025517587465362</v>
      </c>
      <c r="Z29" s="11">
        <v>3.1063162003942508E-2</v>
      </c>
      <c r="AA29" s="26">
        <v>17.577155361944143</v>
      </c>
      <c r="AB29" s="26" t="s">
        <v>59</v>
      </c>
      <c r="AC29" s="26"/>
      <c r="AD29" s="9">
        <v>1043</v>
      </c>
      <c r="AE29" s="9">
        <v>1042.6525636200199</v>
      </c>
      <c r="AF29" s="10">
        <v>3.7253686991802613</v>
      </c>
      <c r="AG29" s="11">
        <v>2.8886669991633973E-2</v>
      </c>
      <c r="AH29" s="26">
        <v>12.011424032838683</v>
      </c>
      <c r="AI29" s="26" t="s">
        <v>59</v>
      </c>
      <c r="AJ29" s="45">
        <f t="shared" si="31"/>
        <v>0.41033948266048403</v>
      </c>
      <c r="AK29" s="27"/>
      <c r="AL29" s="28">
        <v>1214</v>
      </c>
      <c r="AM29" s="28">
        <v>1214.7379128400053</v>
      </c>
      <c r="AN29" s="29">
        <v>3.54640581203908</v>
      </c>
      <c r="AO29" s="27">
        <v>3.0340771421406162E-2</v>
      </c>
      <c r="AP29" s="26">
        <v>16.646729692354118</v>
      </c>
      <c r="AQ29" s="26" t="s">
        <v>59</v>
      </c>
      <c r="AR29" s="27"/>
      <c r="AS29" s="30">
        <v>5880</v>
      </c>
      <c r="AT29" s="31">
        <v>4.1997584752493209</v>
      </c>
      <c r="AU29" s="32">
        <v>1.230381730676877E-2</v>
      </c>
      <c r="AV29" s="26">
        <v>-2.9113284773963026</v>
      </c>
      <c r="AW29" s="26" t="s">
        <v>59</v>
      </c>
      <c r="AX29" s="27"/>
      <c r="AY29" s="33">
        <v>743</v>
      </c>
      <c r="AZ29" s="34">
        <v>4.3740635634403011</v>
      </c>
      <c r="BA29" s="35">
        <v>3.075039284373712E-2</v>
      </c>
      <c r="BB29" s="26">
        <v>-6.6668755847981078</v>
      </c>
      <c r="BC29" s="26" t="s">
        <v>59</v>
      </c>
      <c r="BD29" s="35"/>
      <c r="BE29" s="33">
        <v>937</v>
      </c>
      <c r="BF29" s="34">
        <v>4.3879291344021087</v>
      </c>
      <c r="BG29" s="35">
        <v>2.7144491174395765E-2</v>
      </c>
      <c r="BH29" s="26">
        <v>-7.7125817603955324</v>
      </c>
      <c r="BI29" s="26" t="s">
        <v>59</v>
      </c>
      <c r="BJ29" s="35"/>
      <c r="BK29" s="33">
        <v>958</v>
      </c>
      <c r="BL29" s="34">
        <v>4.3430280331034732</v>
      </c>
      <c r="BM29" s="35">
        <v>2.8688538399495055E-2</v>
      </c>
      <c r="BN29" s="26">
        <v>-6.0985278794288504</v>
      </c>
      <c r="BO29" s="26" t="s">
        <v>59</v>
      </c>
      <c r="BP29" s="35"/>
      <c r="BQ29" s="33">
        <v>1275</v>
      </c>
      <c r="BR29" s="34">
        <v>4.205468892313406</v>
      </c>
      <c r="BS29" s="35">
        <v>2.5954571745424232E-2</v>
      </c>
      <c r="BT29" s="26">
        <v>-2.1991416358841649</v>
      </c>
      <c r="BU29" s="26" t="s">
        <v>59</v>
      </c>
      <c r="BV29" s="35"/>
      <c r="BW29" s="33">
        <v>1336</v>
      </c>
      <c r="BX29" s="34">
        <v>4.2745094455662338</v>
      </c>
      <c r="BY29" s="35">
        <v>2.3716383570888407E-2</v>
      </c>
      <c r="BZ29" s="26">
        <v>-4.639357835553839</v>
      </c>
      <c r="CA29" s="26" t="s">
        <v>59</v>
      </c>
      <c r="CB29" s="27"/>
      <c r="CC29" s="9">
        <v>11582</v>
      </c>
      <c r="CD29" s="9">
        <v>11591.941470309186</v>
      </c>
      <c r="CE29" s="10">
        <v>4.2810607148150908</v>
      </c>
      <c r="CF29" s="11">
        <v>8.7034990169769927E-3</v>
      </c>
      <c r="CG29" s="26">
        <v>-7.1926466243776819</v>
      </c>
      <c r="CH29" s="26" t="s">
        <v>59</v>
      </c>
      <c r="CI29" s="26"/>
      <c r="CJ29" s="9">
        <v>539</v>
      </c>
      <c r="CK29" s="9">
        <v>539</v>
      </c>
      <c r="CL29" s="10">
        <v>4.1873840445269037</v>
      </c>
      <c r="CM29" s="11">
        <v>3.8689798874373529E-2</v>
      </c>
      <c r="CN29" s="26">
        <v>-1.2081410543976407</v>
      </c>
      <c r="CO29" s="26" t="s">
        <v>57</v>
      </c>
      <c r="CP29" s="26"/>
      <c r="CQ29" s="9">
        <v>3231</v>
      </c>
      <c r="CR29" s="9">
        <v>3242.5500291298777</v>
      </c>
      <c r="CS29" s="10">
        <v>4.0459533127357847</v>
      </c>
      <c r="CT29" s="11">
        <v>1.7760581578859645E-2</v>
      </c>
      <c r="CU29" s="26">
        <v>3.5257125702326735</v>
      </c>
      <c r="CV29" s="26" t="s">
        <v>59</v>
      </c>
      <c r="CW29" s="26"/>
      <c r="CX29" s="9">
        <v>2979</v>
      </c>
      <c r="CY29" s="9">
        <v>2978.9993227800769</v>
      </c>
      <c r="CZ29" s="10">
        <v>4.2638408586600631</v>
      </c>
      <c r="DA29" s="11">
        <v>1.6721785161453534E-2</v>
      </c>
      <c r="DB29" s="26">
        <v>-5.1783976222706807</v>
      </c>
      <c r="DC29" s="26" t="s">
        <v>59</v>
      </c>
      <c r="DD29" s="26"/>
      <c r="DE29" s="9">
        <v>567</v>
      </c>
      <c r="DF29" s="9">
        <v>566.7389035399957</v>
      </c>
      <c r="DG29" s="10">
        <v>4.9479581787031552</v>
      </c>
      <c r="DH29" s="11">
        <v>1.1450060968158827E-2</v>
      </c>
      <c r="DI29" s="26">
        <v>-37.718487161348996</v>
      </c>
      <c r="DJ29" s="26" t="s">
        <v>59</v>
      </c>
      <c r="DK29" s="26"/>
      <c r="DL29" s="9">
        <v>871</v>
      </c>
      <c r="DM29" s="9">
        <v>871</v>
      </c>
      <c r="DN29" s="10">
        <v>4.8840413318025284</v>
      </c>
      <c r="DO29" s="11">
        <v>1.156140641804293E-2</v>
      </c>
      <c r="DP29" s="26">
        <v>-34.654772930264357</v>
      </c>
      <c r="DQ29" s="26" t="s">
        <v>59</v>
      </c>
      <c r="DR29" s="26"/>
      <c r="DS29" s="9">
        <v>536</v>
      </c>
      <c r="DT29" s="9">
        <v>536</v>
      </c>
      <c r="DU29" s="10">
        <v>4.9832089552238807</v>
      </c>
      <c r="DV29" s="11">
        <v>6.1508222799620963E-3</v>
      </c>
      <c r="DW29" s="26">
        <v>-44.031818015900498</v>
      </c>
      <c r="DX29" s="26" t="s">
        <v>59</v>
      </c>
      <c r="DY29" s="36"/>
      <c r="DZ29" s="9">
        <v>1022</v>
      </c>
      <c r="EA29" s="9">
        <v>1022.2590967000053</v>
      </c>
      <c r="EB29" s="10">
        <v>4.0793087949735174</v>
      </c>
      <c r="EC29" s="11">
        <v>3.1068301376510021E-2</v>
      </c>
      <c r="ED29" s="11"/>
      <c r="EE29" s="9">
        <v>941</v>
      </c>
      <c r="EF29" s="9">
        <v>940.86634941000898</v>
      </c>
      <c r="EG29" s="10">
        <v>3.9552992234908029</v>
      </c>
      <c r="EH29" s="11">
        <v>3.3937424285579373E-2</v>
      </c>
      <c r="EI29" s="6">
        <v>2.6952310213010153</v>
      </c>
      <c r="EJ29" s="6" t="s">
        <v>59</v>
      </c>
      <c r="EK29" s="45">
        <f t="shared" si="32"/>
        <v>0.12400957148271452</v>
      </c>
      <c r="EL29" s="11"/>
      <c r="EM29" s="9">
        <v>652</v>
      </c>
      <c r="EN29" s="9">
        <v>651.92521408999676</v>
      </c>
      <c r="EO29" s="10">
        <v>4.0599397463780367</v>
      </c>
      <c r="EP29" s="11">
        <v>3.8476119756813351E-2</v>
      </c>
      <c r="EQ29" s="6">
        <v>0.39166163721627995</v>
      </c>
      <c r="ER29" s="6" t="s">
        <v>57</v>
      </c>
      <c r="ES29" s="11"/>
      <c r="ET29" s="9">
        <v>696</v>
      </c>
      <c r="EU29" s="9">
        <v>696.43768290000355</v>
      </c>
      <c r="EV29" s="10">
        <v>4.0241472065382391</v>
      </c>
      <c r="EW29" s="11">
        <v>3.8132490460125769E-2</v>
      </c>
      <c r="EX29" s="6">
        <v>1.1214748824974736</v>
      </c>
      <c r="EY29" s="6" t="s">
        <v>57</v>
      </c>
      <c r="EZ29" s="11"/>
      <c r="FA29" s="9">
        <v>666</v>
      </c>
      <c r="FB29" s="9">
        <v>668.37191065000218</v>
      </c>
      <c r="FC29" s="10">
        <v>4.0207604983077641</v>
      </c>
      <c r="FD29" s="11">
        <v>3.889241682018664E-2</v>
      </c>
      <c r="FE29" s="6">
        <v>1.1761857993616311</v>
      </c>
      <c r="FF29" s="6" t="s">
        <v>57</v>
      </c>
      <c r="FG29" s="45">
        <f t="shared" si="33"/>
        <v>5.8548296665753341E-2</v>
      </c>
      <c r="FH29" s="11"/>
      <c r="FI29" s="28">
        <v>745</v>
      </c>
      <c r="FJ29" s="28">
        <v>744.75200030000087</v>
      </c>
      <c r="FK29" s="29">
        <v>4.0769598470993165</v>
      </c>
      <c r="FL29" s="27">
        <v>3.6492527855424457E-2</v>
      </c>
      <c r="FM29" s="6">
        <v>4.9011521127379776E-2</v>
      </c>
      <c r="FN29" s="6" t="s">
        <v>57</v>
      </c>
      <c r="FO29" s="11"/>
      <c r="FP29" s="37">
        <v>4733</v>
      </c>
      <c r="FQ29" s="37">
        <v>4733.2498296798176</v>
      </c>
      <c r="FR29" s="10">
        <v>4.2077926994097545</v>
      </c>
      <c r="FS29" s="11">
        <v>1.3439960897060291E-2</v>
      </c>
      <c r="FT29" s="26">
        <v>-3.7956022124388711</v>
      </c>
      <c r="FU29" s="26" t="s">
        <v>59</v>
      </c>
      <c r="FV29" s="26"/>
      <c r="FW29" s="9">
        <v>1019</v>
      </c>
      <c r="FX29" s="9">
        <v>1018.9805216599794</v>
      </c>
      <c r="FY29" s="10">
        <v>4.3052981906594274</v>
      </c>
      <c r="FZ29" s="11">
        <v>2.5568231472494252E-2</v>
      </c>
      <c r="GA29" s="26">
        <v>-5.6165308546408834</v>
      </c>
      <c r="GB29" s="26" t="s">
        <v>59</v>
      </c>
      <c r="GC29" s="26"/>
      <c r="GD29" s="37">
        <v>363</v>
      </c>
      <c r="GE29" s="37">
        <v>362.9785746499989</v>
      </c>
      <c r="GF29" s="10">
        <v>4.4461391660820491</v>
      </c>
      <c r="GG29" s="11">
        <v>4.2184971225890211E-2</v>
      </c>
      <c r="GH29" s="26">
        <v>-7.0017895100010055</v>
      </c>
      <c r="GI29" s="26" t="s">
        <v>59</v>
      </c>
      <c r="GJ29" s="26"/>
      <c r="GK29" s="37">
        <v>681</v>
      </c>
      <c r="GL29" s="37">
        <v>681.02584885000306</v>
      </c>
      <c r="GM29" s="10">
        <v>4.0599150141054192</v>
      </c>
      <c r="GN29" s="11">
        <v>3.3168054061929568E-2</v>
      </c>
      <c r="GO29" s="26">
        <v>0.42674131538137589</v>
      </c>
      <c r="GP29" s="26" t="s">
        <v>57</v>
      </c>
      <c r="GQ29" s="26"/>
      <c r="GR29" s="37">
        <v>1274</v>
      </c>
      <c r="GS29" s="37">
        <v>1274.0001335200025</v>
      </c>
      <c r="GT29" s="10">
        <v>4.1789642888419802</v>
      </c>
      <c r="GU29" s="11">
        <v>2.7974638645730538E-2</v>
      </c>
      <c r="GV29" s="26">
        <v>-2.3837072838244042</v>
      </c>
      <c r="GW29" s="26" t="s">
        <v>59</v>
      </c>
      <c r="GX29" s="26"/>
      <c r="GY29" s="37">
        <v>374</v>
      </c>
      <c r="GZ29" s="37">
        <v>374.00565430000057</v>
      </c>
      <c r="HA29" s="10">
        <v>4.4294709203812177</v>
      </c>
      <c r="HB29" s="11">
        <v>4.3678072419547645E-2</v>
      </c>
      <c r="HC29" s="26">
        <v>-6.532814805930979</v>
      </c>
      <c r="HD29" s="26" t="s">
        <v>59</v>
      </c>
      <c r="HE29" s="15"/>
      <c r="HF29" s="37">
        <v>896</v>
      </c>
      <c r="HG29" s="37">
        <v>896.03655344000879</v>
      </c>
      <c r="HH29" s="10">
        <v>4.0367671477614566</v>
      </c>
      <c r="HI29" s="11">
        <v>3.5449130731197875E-2</v>
      </c>
      <c r="HJ29" s="11"/>
      <c r="HK29" s="37">
        <v>888</v>
      </c>
      <c r="HL29" s="37">
        <v>887.97228066000866</v>
      </c>
      <c r="HM29" s="10">
        <v>3.9910585499086784</v>
      </c>
      <c r="HN29" s="11">
        <v>3.5950116181717569E-2</v>
      </c>
      <c r="HO29" s="6">
        <v>0.90533346746302201</v>
      </c>
      <c r="HP29" s="6" t="s">
        <v>57</v>
      </c>
      <c r="HQ29" s="45">
        <f t="shared" si="34"/>
        <v>4.5708597852778254E-2</v>
      </c>
      <c r="HR29" s="27"/>
      <c r="HS29" s="3">
        <v>634</v>
      </c>
      <c r="HT29" s="3">
        <v>633.98282842999788</v>
      </c>
      <c r="HU29" s="29">
        <v>3.9652491715042819</v>
      </c>
      <c r="HV29" s="27">
        <v>4.1745216862900447E-2</v>
      </c>
      <c r="HW29" s="6">
        <v>1.3058851201184345</v>
      </c>
      <c r="HX29" s="6" t="s">
        <v>57</v>
      </c>
      <c r="HY29" s="27"/>
      <c r="HZ29" s="9">
        <v>678</v>
      </c>
      <c r="IA29" s="9">
        <v>677.34100576000446</v>
      </c>
      <c r="IB29" s="10">
        <v>4.0457843223520804</v>
      </c>
      <c r="IC29" s="11">
        <v>3.8100793899602053E-2</v>
      </c>
      <c r="ID29" s="6">
        <v>-0.17326912508377443</v>
      </c>
      <c r="IE29" s="6" t="s">
        <v>57</v>
      </c>
      <c r="IF29" s="27"/>
      <c r="IG29" s="9">
        <v>1334</v>
      </c>
      <c r="IH29" s="9">
        <v>1334.1687772199923</v>
      </c>
      <c r="II29" s="10">
        <v>3.8942130591797528</v>
      </c>
      <c r="IJ29" s="11">
        <v>2.9420025360556011E-2</v>
      </c>
      <c r="IK29" s="6">
        <v>3.0944872370912564</v>
      </c>
      <c r="IL29" s="6" t="s">
        <v>59</v>
      </c>
      <c r="IM29" s="45">
        <f t="shared" si="35"/>
        <v>0.14255408858170382</v>
      </c>
      <c r="IN29" s="11"/>
      <c r="IO29" s="28">
        <v>1350</v>
      </c>
      <c r="IP29" s="28">
        <v>1348.7924992500061</v>
      </c>
      <c r="IQ29" s="29">
        <v>3.8441563421157179</v>
      </c>
      <c r="IR29" s="27">
        <v>3.0867458414262958E-2</v>
      </c>
      <c r="IS29" s="6">
        <v>4.0976933720346711</v>
      </c>
      <c r="IT29" s="6" t="s">
        <v>59</v>
      </c>
      <c r="IU29" s="27"/>
      <c r="IV29" s="37">
        <v>5077</v>
      </c>
      <c r="IW29" s="37">
        <v>5072.5063759098375</v>
      </c>
      <c r="IX29" s="10">
        <v>4.2994746045001282</v>
      </c>
      <c r="IY29" s="11">
        <v>1.2512280747884859E-2</v>
      </c>
      <c r="IZ29" s="26">
        <v>-6.9882894842291909</v>
      </c>
      <c r="JA29" s="26" t="s">
        <v>59</v>
      </c>
      <c r="JB29" s="26"/>
      <c r="JC29" s="37">
        <v>1019</v>
      </c>
      <c r="JD29" s="37">
        <v>1018.9805216599794</v>
      </c>
      <c r="JE29" s="10">
        <v>4.3052981906594274</v>
      </c>
      <c r="JF29" s="11">
        <v>2.5568231472494252E-2</v>
      </c>
      <c r="JG29" s="26">
        <v>-6.1437728148924071</v>
      </c>
      <c r="JH29" s="26" t="s">
        <v>59</v>
      </c>
      <c r="JI29" s="26"/>
      <c r="JJ29" s="37">
        <v>633</v>
      </c>
      <c r="JK29" s="37">
        <v>633</v>
      </c>
      <c r="JL29" s="10">
        <v>4.4265402843601889</v>
      </c>
      <c r="JM29" s="11">
        <v>3.3119959806944314E-2</v>
      </c>
      <c r="JN29" s="26">
        <v>-8.0343010986922838</v>
      </c>
      <c r="JO29" s="26" t="s">
        <v>59</v>
      </c>
      <c r="JP29" s="26"/>
      <c r="JQ29" s="37">
        <v>911</v>
      </c>
      <c r="JR29" s="37">
        <v>906.96676154000852</v>
      </c>
      <c r="JS29" s="10">
        <v>4.3673852376069631</v>
      </c>
      <c r="JT29" s="11">
        <v>2.888905839970227E-2</v>
      </c>
      <c r="JU29" s="26">
        <v>-7.2298102564488387</v>
      </c>
      <c r="JV29" s="26" t="s">
        <v>59</v>
      </c>
      <c r="JW29" s="26"/>
      <c r="JX29" s="37">
        <v>363</v>
      </c>
      <c r="JY29" s="37">
        <v>362.9785746499989</v>
      </c>
      <c r="JZ29" s="10">
        <v>4.4461391660820491</v>
      </c>
      <c r="KA29" s="11">
        <v>4.2184971225890211E-2</v>
      </c>
      <c r="KB29" s="26">
        <v>-7.429371239920064</v>
      </c>
      <c r="KC29" s="26" t="s">
        <v>59</v>
      </c>
      <c r="KD29" s="26"/>
      <c r="KE29" s="37">
        <v>1255</v>
      </c>
      <c r="KF29" s="37">
        <v>1254.5439646199798</v>
      </c>
      <c r="KG29" s="10">
        <v>4.3267355123295079</v>
      </c>
      <c r="KH29" s="11">
        <v>2.3897556654004084E-2</v>
      </c>
      <c r="KI29" s="26">
        <v>-6.7825673322709363</v>
      </c>
      <c r="KJ29" s="26" t="s">
        <v>59</v>
      </c>
      <c r="KL29" s="9"/>
      <c r="KM29" s="9"/>
      <c r="KN29" s="10"/>
      <c r="KO29" s="11"/>
    </row>
    <row r="30" spans="1:301" s="7" customFormat="1" x14ac:dyDescent="0.25">
      <c r="B30" s="5" t="s">
        <v>22</v>
      </c>
      <c r="C30" s="9">
        <v>2991</v>
      </c>
      <c r="D30" s="9">
        <v>2990.4038913600693</v>
      </c>
      <c r="E30" s="10">
        <v>3.7824526344787013</v>
      </c>
      <c r="F30" s="11">
        <v>2.1149149484226117E-2</v>
      </c>
      <c r="G30" s="11"/>
      <c r="H30" s="9">
        <v>3046</v>
      </c>
      <c r="I30" s="9">
        <v>3046.7040720199179</v>
      </c>
      <c r="J30" s="10">
        <v>3.7186345845851601</v>
      </c>
      <c r="K30" s="11">
        <v>2.1150977697430556E-2</v>
      </c>
      <c r="L30" s="26">
        <v>2.1336189182545082</v>
      </c>
      <c r="M30" s="26" t="s">
        <v>59</v>
      </c>
      <c r="N30" s="45">
        <f t="shared" si="30"/>
        <v>6.3818049893541229E-2</v>
      </c>
      <c r="O30" s="11"/>
      <c r="P30" s="3">
        <v>990</v>
      </c>
      <c r="Q30" s="3">
        <v>989.98056276001694</v>
      </c>
      <c r="R30" s="10">
        <v>3.7044099633793133</v>
      </c>
      <c r="S30" s="11">
        <v>3.6898646897024788E-2</v>
      </c>
      <c r="T30" s="26">
        <v>1.8350049946836036</v>
      </c>
      <c r="U30" s="26" t="s">
        <v>57</v>
      </c>
      <c r="V30" s="27"/>
      <c r="W30" s="9">
        <v>1070</v>
      </c>
      <c r="X30" s="9">
        <v>1070.1681130200079</v>
      </c>
      <c r="Y30" s="10">
        <v>2.8820230242763358</v>
      </c>
      <c r="Z30" s="11">
        <v>4.0126185027551414E-2</v>
      </c>
      <c r="AA30" s="26">
        <v>19.851379448993132</v>
      </c>
      <c r="AB30" s="26" t="s">
        <v>59</v>
      </c>
      <c r="AC30" s="26"/>
      <c r="AD30" s="9">
        <v>1080</v>
      </c>
      <c r="AE30" s="9">
        <v>1080.1223744800195</v>
      </c>
      <c r="AF30" s="10">
        <v>3.1418478053597916</v>
      </c>
      <c r="AG30" s="11">
        <v>3.8493591864581768E-2</v>
      </c>
      <c r="AH30" s="26">
        <v>14.585430035558046</v>
      </c>
      <c r="AI30" s="26" t="s">
        <v>59</v>
      </c>
      <c r="AJ30" s="45">
        <f t="shared" si="31"/>
        <v>0.6406048291189097</v>
      </c>
      <c r="AK30" s="27"/>
      <c r="AL30" s="28">
        <v>1234</v>
      </c>
      <c r="AM30" s="28">
        <v>1234.0136887600058</v>
      </c>
      <c r="AN30" s="29">
        <v>3.1762791068862355</v>
      </c>
      <c r="AO30" s="27">
        <v>3.3423446914416968E-2</v>
      </c>
      <c r="AP30" s="26">
        <v>15.32573150057371</v>
      </c>
      <c r="AQ30" s="26" t="s">
        <v>59</v>
      </c>
      <c r="AR30" s="27"/>
      <c r="AS30" s="30">
        <v>6175</v>
      </c>
      <c r="AT30" s="31">
        <v>3.958309323373034</v>
      </c>
      <c r="AU30" s="32">
        <v>1.332593801346057E-2</v>
      </c>
      <c r="AV30" s="26">
        <v>-7.0350152890653899</v>
      </c>
      <c r="AW30" s="26" t="s">
        <v>59</v>
      </c>
      <c r="AX30" s="27"/>
      <c r="AY30" s="33">
        <v>785</v>
      </c>
      <c r="AZ30" s="34">
        <v>4.1123643880858456</v>
      </c>
      <c r="BA30" s="35">
        <v>3.6852521971797003E-2</v>
      </c>
      <c r="BB30" s="26">
        <v>-7.7644676102530781</v>
      </c>
      <c r="BC30" s="26" t="s">
        <v>59</v>
      </c>
      <c r="BD30" s="35"/>
      <c r="BE30" s="33">
        <v>982</v>
      </c>
      <c r="BF30" s="34">
        <v>3.9455756081137809</v>
      </c>
      <c r="BG30" s="35">
        <v>3.3069189943326659E-2</v>
      </c>
      <c r="BH30" s="26">
        <v>-4.1556010039070213</v>
      </c>
      <c r="BI30" s="26" t="s">
        <v>59</v>
      </c>
      <c r="BJ30" s="35"/>
      <c r="BK30" s="33">
        <v>996</v>
      </c>
      <c r="BL30" s="34">
        <v>4.0359170215497437</v>
      </c>
      <c r="BM30" s="35">
        <v>3.2256670930398697E-2</v>
      </c>
      <c r="BN30" s="26">
        <v>-6.5712453885762523</v>
      </c>
      <c r="BO30" s="26" t="s">
        <v>59</v>
      </c>
      <c r="BP30" s="35"/>
      <c r="BQ30" s="33">
        <v>1360</v>
      </c>
      <c r="BR30" s="34">
        <v>3.8661978771211931</v>
      </c>
      <c r="BS30" s="35">
        <v>2.9510205366001338E-2</v>
      </c>
      <c r="BT30" s="26">
        <v>-2.3066387436199141</v>
      </c>
      <c r="BU30" s="26" t="s">
        <v>59</v>
      </c>
      <c r="BV30" s="35"/>
      <c r="BW30" s="33">
        <v>1421</v>
      </c>
      <c r="BX30" s="34">
        <v>4.0552887756940059</v>
      </c>
      <c r="BY30" s="35">
        <v>2.5806397541916045E-2</v>
      </c>
      <c r="BZ30" s="26">
        <v>-8.1771929227121163</v>
      </c>
      <c r="CA30" s="26" t="s">
        <v>59</v>
      </c>
      <c r="CB30" s="27"/>
      <c r="CC30" s="9">
        <v>11924</v>
      </c>
      <c r="CD30" s="9">
        <v>11925.099538269184</v>
      </c>
      <c r="CE30" s="10">
        <v>3.9893053586587977</v>
      </c>
      <c r="CF30" s="11">
        <v>1.0130276083181245E-2</v>
      </c>
      <c r="CG30" s="26">
        <v>-8.8209594193992054</v>
      </c>
      <c r="CH30" s="26" t="s">
        <v>59</v>
      </c>
      <c r="CI30" s="26"/>
      <c r="CJ30" s="9">
        <v>539</v>
      </c>
      <c r="CK30" s="9">
        <v>539</v>
      </c>
      <c r="CL30" s="10">
        <v>3.5009276437847845</v>
      </c>
      <c r="CM30" s="11">
        <v>4.9368194637552217E-2</v>
      </c>
      <c r="CN30" s="26">
        <v>5.2418102082202642</v>
      </c>
      <c r="CO30" s="26" t="s">
        <v>59</v>
      </c>
      <c r="CP30" s="26"/>
      <c r="CQ30" s="9">
        <v>3377</v>
      </c>
      <c r="CR30" s="9">
        <v>3378.7591331998724</v>
      </c>
      <c r="CS30" s="10">
        <v>3.8740752573010302</v>
      </c>
      <c r="CT30" s="11">
        <v>1.8730041446633428E-2</v>
      </c>
      <c r="CU30" s="26">
        <v>-3.2432005036983305</v>
      </c>
      <c r="CV30" s="26" t="s">
        <v>59</v>
      </c>
      <c r="CW30" s="26"/>
      <c r="CX30" s="9">
        <v>3005</v>
      </c>
      <c r="CY30" s="9">
        <v>3005.0017874500786</v>
      </c>
      <c r="CZ30" s="10">
        <v>3.8166500764089273</v>
      </c>
      <c r="DA30" s="11">
        <v>1.9975337607238835E-2</v>
      </c>
      <c r="DB30" s="26">
        <v>-1.1755234227367628</v>
      </c>
      <c r="DC30" s="26" t="s">
        <v>57</v>
      </c>
      <c r="DD30" s="26"/>
      <c r="DE30" s="9">
        <v>603</v>
      </c>
      <c r="DF30" s="9">
        <v>602.93472625999505</v>
      </c>
      <c r="DG30" s="10">
        <v>4.8532533060272796</v>
      </c>
      <c r="DH30" s="11">
        <v>1.6734558467681477E-2</v>
      </c>
      <c r="DI30" s="26">
        <v>-39.704734457821594</v>
      </c>
      <c r="DJ30" s="26" t="s">
        <v>59</v>
      </c>
      <c r="DK30" s="26"/>
      <c r="DL30" s="9">
        <v>872</v>
      </c>
      <c r="DM30" s="9">
        <v>872</v>
      </c>
      <c r="DN30" s="10">
        <v>4.8428899082568844</v>
      </c>
      <c r="DO30" s="11">
        <v>1.4215194263635175E-2</v>
      </c>
      <c r="DP30" s="26">
        <v>-41.614319379798609</v>
      </c>
      <c r="DQ30" s="26" t="s">
        <v>59</v>
      </c>
      <c r="DR30" s="26"/>
      <c r="DS30" s="9">
        <v>537</v>
      </c>
      <c r="DT30" s="9">
        <v>537</v>
      </c>
      <c r="DU30" s="10">
        <v>4.9664804469273731</v>
      </c>
      <c r="DV30" s="11">
        <v>1.139847630666653E-2</v>
      </c>
      <c r="DW30" s="26">
        <v>-49.282679090880649</v>
      </c>
      <c r="DX30" s="26" t="s">
        <v>59</v>
      </c>
      <c r="DY30" s="36"/>
      <c r="DZ30" s="9">
        <v>1089</v>
      </c>
      <c r="EA30" s="9">
        <v>1088.607447150006</v>
      </c>
      <c r="EB30" s="10">
        <v>3.8854963713813122</v>
      </c>
      <c r="EC30" s="11">
        <v>3.2138107922258144E-2</v>
      </c>
      <c r="ED30" s="11"/>
      <c r="EE30" s="9">
        <v>1009</v>
      </c>
      <c r="EF30" s="9">
        <v>1008.8431654500097</v>
      </c>
      <c r="EG30" s="10">
        <v>3.7364899390963151</v>
      </c>
      <c r="EH30" s="11">
        <v>3.4796056938258955E-2</v>
      </c>
      <c r="EI30" s="6">
        <v>3.145792122201192</v>
      </c>
      <c r="EJ30" s="6" t="s">
        <v>59</v>
      </c>
      <c r="EK30" s="45">
        <f t="shared" si="32"/>
        <v>0.1490064322849971</v>
      </c>
      <c r="EL30" s="11"/>
      <c r="EM30" s="9">
        <v>700</v>
      </c>
      <c r="EN30" s="9">
        <v>699.9489396199973</v>
      </c>
      <c r="EO30" s="10">
        <v>3.7634243192083461</v>
      </c>
      <c r="EP30" s="11">
        <v>4.2907387908085702E-2</v>
      </c>
      <c r="EQ30" s="6">
        <v>2.2770904113621064</v>
      </c>
      <c r="ER30" s="6" t="s">
        <v>59</v>
      </c>
      <c r="ES30" s="11"/>
      <c r="ET30" s="9">
        <v>732</v>
      </c>
      <c r="EU30" s="9">
        <v>732.02119999000479</v>
      </c>
      <c r="EV30" s="10">
        <v>3.764133332651626</v>
      </c>
      <c r="EW30" s="11">
        <v>4.1268349737924225E-2</v>
      </c>
      <c r="EX30" s="6">
        <v>2.3202435839886437</v>
      </c>
      <c r="EY30" s="6" t="s">
        <v>59</v>
      </c>
      <c r="EZ30" s="11"/>
      <c r="FA30" s="9">
        <v>698</v>
      </c>
      <c r="FB30" s="9">
        <v>699.53670504000218</v>
      </c>
      <c r="FC30" s="10">
        <v>3.7816239903504956</v>
      </c>
      <c r="FD30" s="11">
        <v>4.1221082808806833E-2</v>
      </c>
      <c r="FE30" s="6">
        <v>1.9872701350943012</v>
      </c>
      <c r="FF30" s="6" t="s">
        <v>59</v>
      </c>
      <c r="FG30" s="45">
        <f t="shared" si="33"/>
        <v>0.10387238103081664</v>
      </c>
      <c r="FH30" s="11"/>
      <c r="FI30" s="28">
        <v>776</v>
      </c>
      <c r="FJ30" s="28">
        <v>776.13085751000119</v>
      </c>
      <c r="FK30" s="29">
        <v>3.8085970776028799</v>
      </c>
      <c r="FL30" s="27">
        <v>3.8109342761616684E-2</v>
      </c>
      <c r="FM30" s="6">
        <v>1.5425648380148631</v>
      </c>
      <c r="FN30" s="6" t="s">
        <v>57</v>
      </c>
      <c r="FO30" s="11"/>
      <c r="FP30" s="37">
        <v>5002</v>
      </c>
      <c r="FQ30" s="37">
        <v>5001.6161744199289</v>
      </c>
      <c r="FR30" s="10">
        <v>3.8754618164353172</v>
      </c>
      <c r="FS30" s="11">
        <v>1.502514285480807E-2</v>
      </c>
      <c r="FT30" s="26">
        <v>0.28284729273261461</v>
      </c>
      <c r="FU30" s="26" t="s">
        <v>57</v>
      </c>
      <c r="FV30" s="26"/>
      <c r="FW30" s="9">
        <v>1102</v>
      </c>
      <c r="FX30" s="9">
        <v>1102.0069145999762</v>
      </c>
      <c r="FY30" s="10">
        <v>4.0643125491147494</v>
      </c>
      <c r="FZ30" s="11">
        <v>2.8223965905089063E-2</v>
      </c>
      <c r="GA30" s="26">
        <v>-4.1806759649352347</v>
      </c>
      <c r="GB30" s="26" t="s">
        <v>59</v>
      </c>
      <c r="GC30" s="26"/>
      <c r="GD30" s="37">
        <v>381</v>
      </c>
      <c r="GE30" s="37">
        <v>380.98372529999847</v>
      </c>
      <c r="GF30" s="10">
        <v>3.8948533091053781</v>
      </c>
      <c r="GG30" s="11">
        <v>5.5620270785660682E-2</v>
      </c>
      <c r="GH30" s="26">
        <v>-0.1456613267007239</v>
      </c>
      <c r="GI30" s="26" t="s">
        <v>57</v>
      </c>
      <c r="GJ30" s="26"/>
      <c r="GK30" s="37">
        <v>696</v>
      </c>
      <c r="GL30" s="37">
        <v>696.02578079000352</v>
      </c>
      <c r="GM30" s="10">
        <v>3.5621232068960453</v>
      </c>
      <c r="GN30" s="11">
        <v>3.9427844044116533E-2</v>
      </c>
      <c r="GO30" s="26">
        <v>6.3572766324602625</v>
      </c>
      <c r="GP30" s="26" t="s">
        <v>59</v>
      </c>
      <c r="GQ30" s="26"/>
      <c r="GR30" s="37">
        <v>1347</v>
      </c>
      <c r="GS30" s="37">
        <v>1346.9997237599969</v>
      </c>
      <c r="GT30" s="10">
        <v>3.832962309233491</v>
      </c>
      <c r="GU30" s="11">
        <v>3.052545180007402E-2</v>
      </c>
      <c r="GV30" s="26">
        <v>1.185215031031198</v>
      </c>
      <c r="GW30" s="26" t="s">
        <v>57</v>
      </c>
      <c r="GX30" s="26"/>
      <c r="GY30" s="37">
        <v>387</v>
      </c>
      <c r="GZ30" s="37">
        <v>386.99258282000062</v>
      </c>
      <c r="HA30" s="10">
        <v>4.0018524228417389</v>
      </c>
      <c r="HB30" s="11">
        <v>5.4958989009056006E-2</v>
      </c>
      <c r="HC30" s="26">
        <v>-1.8276036002293636</v>
      </c>
      <c r="HD30" s="26" t="s">
        <v>57</v>
      </c>
      <c r="HE30" s="15"/>
      <c r="HF30" s="37">
        <v>983</v>
      </c>
      <c r="HG30" s="37">
        <v>982.98244924001006</v>
      </c>
      <c r="HH30" s="10">
        <v>3.9803903416028379</v>
      </c>
      <c r="HI30" s="11">
        <v>3.3150842099191953E-2</v>
      </c>
      <c r="HJ30" s="11"/>
      <c r="HK30" s="37">
        <v>950</v>
      </c>
      <c r="HL30" s="37">
        <v>949.96382460000927</v>
      </c>
      <c r="HM30" s="10">
        <v>4.0264304489916523</v>
      </c>
      <c r="HN30" s="11">
        <v>3.3478320058650958E-2</v>
      </c>
      <c r="HO30" s="6">
        <v>-0.97719610698910331</v>
      </c>
      <c r="HP30" s="6" t="s">
        <v>57</v>
      </c>
      <c r="HQ30" s="45">
        <f t="shared" si="34"/>
        <v>-4.6040107388814366E-2</v>
      </c>
      <c r="HR30" s="27"/>
      <c r="HS30" s="3">
        <v>686</v>
      </c>
      <c r="HT30" s="3">
        <v>685.99820651999948</v>
      </c>
      <c r="HU30" s="29">
        <v>3.9841138080735181</v>
      </c>
      <c r="HV30" s="27">
        <v>3.9116071316529707E-2</v>
      </c>
      <c r="HW30" s="6">
        <v>-7.2618689499557923E-2</v>
      </c>
      <c r="HX30" s="6" t="s">
        <v>57</v>
      </c>
      <c r="HY30" s="27"/>
      <c r="HZ30" s="9">
        <v>723</v>
      </c>
      <c r="IA30" s="9">
        <v>723.16796975000489</v>
      </c>
      <c r="IB30" s="10">
        <v>4.0631499416045571</v>
      </c>
      <c r="IC30" s="11">
        <v>3.6064150975592492E-2</v>
      </c>
      <c r="ID30" s="6">
        <v>-1.6894635917554222</v>
      </c>
      <c r="IE30" s="6" t="s">
        <v>57</v>
      </c>
      <c r="IF30" s="27"/>
      <c r="IG30" s="9">
        <v>1454</v>
      </c>
      <c r="IH30" s="9">
        <v>1454.0710491699908</v>
      </c>
      <c r="II30" s="10">
        <v>3.9569118554586655</v>
      </c>
      <c r="IJ30" s="11">
        <v>2.6401755347206454E-2</v>
      </c>
      <c r="IK30" s="6">
        <v>0.55400434968461509</v>
      </c>
      <c r="IL30" s="6" t="s">
        <v>57</v>
      </c>
      <c r="IM30" s="45">
        <f t="shared" si="35"/>
        <v>2.3478486144172361E-2</v>
      </c>
      <c r="IN30" s="11"/>
      <c r="IO30" s="28">
        <v>1458</v>
      </c>
      <c r="IP30" s="28">
        <v>1458.0565084000118</v>
      </c>
      <c r="IQ30" s="29">
        <v>3.9548415825170933</v>
      </c>
      <c r="IR30" s="27">
        <v>2.6570734684530341E-2</v>
      </c>
      <c r="IS30" s="6">
        <v>0.60135834296804191</v>
      </c>
      <c r="IT30" s="6" t="s">
        <v>57</v>
      </c>
      <c r="IU30" s="27"/>
      <c r="IV30" s="37">
        <v>5451</v>
      </c>
      <c r="IW30" s="37">
        <v>5448.1640199397716</v>
      </c>
      <c r="IX30" s="10">
        <v>4.028442518263553</v>
      </c>
      <c r="IY30" s="11">
        <v>1.3936239478558446E-2</v>
      </c>
      <c r="IZ30" s="26">
        <v>-1.3362284173708987</v>
      </c>
      <c r="JA30" s="26" t="s">
        <v>57</v>
      </c>
      <c r="JB30" s="26"/>
      <c r="JC30" s="37">
        <v>1102</v>
      </c>
      <c r="JD30" s="37">
        <v>1102.0069145999762</v>
      </c>
      <c r="JE30" s="10">
        <v>4.0643125491147494</v>
      </c>
      <c r="JF30" s="11">
        <v>2.8223965905089063E-2</v>
      </c>
      <c r="JG30" s="26">
        <v>-1.9275556216340481</v>
      </c>
      <c r="JH30" s="26" t="s">
        <v>57</v>
      </c>
      <c r="JI30" s="26"/>
      <c r="JJ30" s="37">
        <v>680</v>
      </c>
      <c r="JK30" s="37">
        <v>680</v>
      </c>
      <c r="JL30" s="10">
        <v>4.1411764705882348</v>
      </c>
      <c r="JM30" s="11">
        <v>3.8949179609734437E-2</v>
      </c>
      <c r="JN30" s="26">
        <v>-3.1436074172322899</v>
      </c>
      <c r="JO30" s="26" t="s">
        <v>59</v>
      </c>
      <c r="JP30" s="26"/>
      <c r="JQ30" s="37">
        <v>971</v>
      </c>
      <c r="JR30" s="37">
        <v>968.66654944000936</v>
      </c>
      <c r="JS30" s="10">
        <v>4.193170367169361</v>
      </c>
      <c r="JT30" s="11">
        <v>3.2060795595186382E-2</v>
      </c>
      <c r="JU30" s="26">
        <v>-4.6138140074698493</v>
      </c>
      <c r="JV30" s="26" t="s">
        <v>59</v>
      </c>
      <c r="JW30" s="26"/>
      <c r="JX30" s="37">
        <v>381</v>
      </c>
      <c r="JY30" s="37">
        <v>380.98372529999847</v>
      </c>
      <c r="JZ30" s="10">
        <v>3.8948533091053781</v>
      </c>
      <c r="KA30" s="11">
        <v>5.5620270785660682E-2</v>
      </c>
      <c r="KB30" s="26">
        <v>1.3210304688038625</v>
      </c>
      <c r="KC30" s="26" t="s">
        <v>57</v>
      </c>
      <c r="KD30" s="26"/>
      <c r="KE30" s="37">
        <v>1334</v>
      </c>
      <c r="KF30" s="37">
        <v>1333.5243813599782</v>
      </c>
      <c r="KG30" s="10">
        <v>3.8952430745829116</v>
      </c>
      <c r="KH30" s="11">
        <v>2.9588045992213773E-2</v>
      </c>
      <c r="KI30" s="26">
        <v>1.9162393520372341</v>
      </c>
      <c r="KJ30" s="26" t="s">
        <v>57</v>
      </c>
      <c r="KL30" s="9"/>
      <c r="KM30" s="9"/>
      <c r="KN30" s="10"/>
      <c r="KO30" s="11"/>
    </row>
    <row r="31" spans="1:301" s="7" customFormat="1" x14ac:dyDescent="0.25">
      <c r="B31" s="5" t="s">
        <v>23</v>
      </c>
      <c r="C31" s="9">
        <v>676</v>
      </c>
      <c r="D31" s="9">
        <v>673.2492290199973</v>
      </c>
      <c r="E31" s="10">
        <v>3.8799717533317826</v>
      </c>
      <c r="F31" s="11">
        <v>4.6389410927977957E-2</v>
      </c>
      <c r="G31" s="11"/>
      <c r="H31" s="9">
        <v>657</v>
      </c>
      <c r="I31" s="9">
        <v>660.52663431999804</v>
      </c>
      <c r="J31" s="10">
        <v>3.6604596190872947</v>
      </c>
      <c r="K31" s="11">
        <v>4.8789726542752113E-2</v>
      </c>
      <c r="L31" s="26">
        <v>3.2605713245864387</v>
      </c>
      <c r="M31" s="26" t="s">
        <v>59</v>
      </c>
      <c r="N31" s="45">
        <f t="shared" si="30"/>
        <v>0.2195121342444879</v>
      </c>
      <c r="O31" s="11"/>
      <c r="P31" s="3">
        <v>249</v>
      </c>
      <c r="Q31" s="3">
        <v>249.03327510000133</v>
      </c>
      <c r="R31" s="10">
        <v>3.6467214583887539</v>
      </c>
      <c r="S31" s="11">
        <v>8.1958261985045022E-2</v>
      </c>
      <c r="T31" s="26">
        <v>2.4767466802683309</v>
      </c>
      <c r="U31" s="26" t="s">
        <v>59</v>
      </c>
      <c r="V31" s="27"/>
      <c r="W31" s="9">
        <v>588</v>
      </c>
      <c r="X31" s="9">
        <v>587.6591892000032</v>
      </c>
      <c r="Y31" s="10">
        <v>2.0624912231526475</v>
      </c>
      <c r="Z31" s="11">
        <v>5.1857479813861768E-2</v>
      </c>
      <c r="AA31" s="26">
        <v>26.12127351299592</v>
      </c>
      <c r="AB31" s="26" t="s">
        <v>59</v>
      </c>
      <c r="AC31" s="26"/>
      <c r="AD31" s="9">
        <v>532</v>
      </c>
      <c r="AE31" s="9">
        <v>520.67475208000201</v>
      </c>
      <c r="AF31" s="10">
        <v>2.2743080176625399</v>
      </c>
      <c r="AG31" s="11">
        <v>5.5925050004189403E-2</v>
      </c>
      <c r="AH31" s="26">
        <v>22.098080686144822</v>
      </c>
      <c r="AI31" s="26" t="s">
        <v>59</v>
      </c>
      <c r="AJ31" s="45">
        <f t="shared" si="31"/>
        <v>1.6056637356692427</v>
      </c>
      <c r="AK31" s="27"/>
      <c r="AL31" s="28">
        <v>604</v>
      </c>
      <c r="AM31" s="28">
        <v>598.89030071999423</v>
      </c>
      <c r="AN31" s="29">
        <v>2.5559354788677098</v>
      </c>
      <c r="AO31" s="27">
        <v>4.8779270457474384E-2</v>
      </c>
      <c r="AP31" s="26">
        <v>19.669075107492485</v>
      </c>
      <c r="AQ31" s="26" t="s">
        <v>59</v>
      </c>
      <c r="AR31" s="27"/>
      <c r="AS31" s="30">
        <v>2126</v>
      </c>
      <c r="AT31" s="31">
        <v>4.0010329213596494</v>
      </c>
      <c r="AU31" s="32">
        <v>2.4316088432438349E-2</v>
      </c>
      <c r="AV31" s="26">
        <v>-2.3113845035913601</v>
      </c>
      <c r="AW31" s="26" t="s">
        <v>59</v>
      </c>
      <c r="AX31" s="27"/>
      <c r="AY31" s="33">
        <v>419</v>
      </c>
      <c r="AZ31" s="34">
        <v>4.2712954979073707</v>
      </c>
      <c r="BA31" s="35">
        <v>4.6910900104404206E-2</v>
      </c>
      <c r="BB31" s="26">
        <v>-5.931456136878861</v>
      </c>
      <c r="BC31" s="26" t="s">
        <v>59</v>
      </c>
      <c r="BD31" s="35"/>
      <c r="BE31" s="33">
        <v>347</v>
      </c>
      <c r="BF31" s="34">
        <v>4.258067530208506</v>
      </c>
      <c r="BG31" s="35">
        <v>5.0980946099278293E-2</v>
      </c>
      <c r="BH31" s="26">
        <v>-5.4853929387928657</v>
      </c>
      <c r="BI31" s="26" t="s">
        <v>59</v>
      </c>
      <c r="BJ31" s="35"/>
      <c r="BK31" s="33">
        <v>492</v>
      </c>
      <c r="BL31" s="34">
        <v>4.1707793826096147</v>
      </c>
      <c r="BM31" s="35">
        <v>4.5911256577771571E-2</v>
      </c>
      <c r="BN31" s="26">
        <v>-4.4556403126647801</v>
      </c>
      <c r="BO31" s="26" t="s">
        <v>59</v>
      </c>
      <c r="BP31" s="35"/>
      <c r="BQ31" s="33">
        <v>425</v>
      </c>
      <c r="BR31" s="34">
        <v>4.1481049318704342</v>
      </c>
      <c r="BS31" s="35">
        <v>4.8254241646987113E-2</v>
      </c>
      <c r="BT31" s="26">
        <v>-4.0058047173890694</v>
      </c>
      <c r="BU31" s="26" t="s">
        <v>59</v>
      </c>
      <c r="BV31" s="35"/>
      <c r="BW31" s="33">
        <v>330</v>
      </c>
      <c r="BX31" s="34">
        <v>4.046316522119505</v>
      </c>
      <c r="BY31" s="35">
        <v>5.8870344884420236E-2</v>
      </c>
      <c r="BZ31" s="26">
        <v>-2.219371840070044</v>
      </c>
      <c r="CA31" s="26" t="s">
        <v>59</v>
      </c>
      <c r="CB31" s="27"/>
      <c r="CC31" s="9">
        <v>2974</v>
      </c>
      <c r="CD31" s="9">
        <v>2916.3643418100155</v>
      </c>
      <c r="CE31" s="10">
        <v>3.9701146199943262</v>
      </c>
      <c r="CF31" s="11">
        <v>2.181961680935884E-2</v>
      </c>
      <c r="CG31" s="26">
        <v>-1.7583796243851317</v>
      </c>
      <c r="CH31" s="26" t="s">
        <v>57</v>
      </c>
      <c r="CI31" s="26"/>
      <c r="CJ31" s="9">
        <v>194</v>
      </c>
      <c r="CK31" s="9">
        <v>194</v>
      </c>
      <c r="CL31" s="10">
        <v>4.1288659793814437</v>
      </c>
      <c r="CM31" s="11">
        <v>6.9292969999476303E-2</v>
      </c>
      <c r="CN31" s="26">
        <v>-2.9847867394537673</v>
      </c>
      <c r="CO31" s="26" t="s">
        <v>59</v>
      </c>
      <c r="CP31" s="26"/>
      <c r="CQ31" s="9">
        <v>775</v>
      </c>
      <c r="CR31" s="9">
        <v>722.63743191000719</v>
      </c>
      <c r="CS31" s="10">
        <v>3.5977886623977176</v>
      </c>
      <c r="CT31" s="11">
        <v>4.6206622446933264E-2</v>
      </c>
      <c r="CU31" s="26">
        <v>4.309756716109379</v>
      </c>
      <c r="CV31" s="26" t="s">
        <v>59</v>
      </c>
      <c r="CW31" s="26"/>
      <c r="CX31" s="9">
        <v>881</v>
      </c>
      <c r="CY31" s="9">
        <v>881.08593026998619</v>
      </c>
      <c r="CZ31" s="10">
        <v>3.8353877256267683</v>
      </c>
      <c r="DA31" s="11">
        <v>3.9458004582508428E-2</v>
      </c>
      <c r="DB31" s="26">
        <v>0.73207581632171637</v>
      </c>
      <c r="DC31" s="26" t="s">
        <v>57</v>
      </c>
      <c r="DD31" s="26"/>
      <c r="DE31" s="9">
        <v>74</v>
      </c>
      <c r="DF31" s="9">
        <v>71.391750610000059</v>
      </c>
      <c r="DG31" s="10">
        <v>4.873249281567098</v>
      </c>
      <c r="DH31" s="11">
        <v>4.8710385971952971E-2</v>
      </c>
      <c r="DI31" s="26">
        <v>-14.766470975890389</v>
      </c>
      <c r="DJ31" s="26" t="s">
        <v>59</v>
      </c>
      <c r="DK31" s="26"/>
      <c r="DL31" s="9">
        <v>158</v>
      </c>
      <c r="DM31" s="9">
        <v>158</v>
      </c>
      <c r="DN31" s="10">
        <v>4.8354430379746809</v>
      </c>
      <c r="DO31" s="11">
        <v>3.6870174658952613E-2</v>
      </c>
      <c r="DP31" s="26">
        <v>-16.124203737589063</v>
      </c>
      <c r="DQ31" s="26" t="s">
        <v>59</v>
      </c>
      <c r="DR31" s="26"/>
      <c r="DS31" s="9">
        <v>216</v>
      </c>
      <c r="DT31" s="9">
        <v>216</v>
      </c>
      <c r="DU31" s="10">
        <v>4.9722222222222197</v>
      </c>
      <c r="DV31" s="11">
        <v>1.2987548974550614E-2</v>
      </c>
      <c r="DW31" s="26">
        <v>-22.673421135568756</v>
      </c>
      <c r="DX31" s="26" t="s">
        <v>59</v>
      </c>
      <c r="DY31" s="36"/>
      <c r="DZ31" s="9">
        <v>233</v>
      </c>
      <c r="EA31" s="9">
        <v>235.70653978000024</v>
      </c>
      <c r="EB31" s="10">
        <v>3.900846858166032</v>
      </c>
      <c r="EC31" s="11">
        <v>7.6121023196820639E-2</v>
      </c>
      <c r="ED31" s="11"/>
      <c r="EE31" s="9">
        <v>208</v>
      </c>
      <c r="EF31" s="9">
        <v>206.55127203999916</v>
      </c>
      <c r="EG31" s="10">
        <v>3.5362890082736875</v>
      </c>
      <c r="EH31" s="11">
        <v>8.5670562370670444E-2</v>
      </c>
      <c r="EI31" s="6">
        <v>3.1810488499948311</v>
      </c>
      <c r="EJ31" s="6" t="s">
        <v>59</v>
      </c>
      <c r="EK31" s="45">
        <f t="shared" si="32"/>
        <v>0.36455784989234452</v>
      </c>
      <c r="EL31" s="11"/>
      <c r="EM31" s="9">
        <v>175</v>
      </c>
      <c r="EN31" s="9">
        <v>174.9742166200005</v>
      </c>
      <c r="EO31" s="10">
        <v>3.5809805329820241</v>
      </c>
      <c r="EP31" s="11">
        <v>9.7801848379495196E-2</v>
      </c>
      <c r="EQ31" s="6">
        <v>2.5809429351012976</v>
      </c>
      <c r="ER31" s="6" t="s">
        <v>59</v>
      </c>
      <c r="ES31" s="11"/>
      <c r="ET31" s="9">
        <v>171</v>
      </c>
      <c r="EU31" s="9">
        <v>171.83278566000027</v>
      </c>
      <c r="EV31" s="10">
        <v>3.6370147876586549</v>
      </c>
      <c r="EW31" s="11">
        <v>9.2974218161804248E-2</v>
      </c>
      <c r="EX31" s="6">
        <v>2.195658590921552</v>
      </c>
      <c r="EY31" s="6" t="s">
        <v>59</v>
      </c>
      <c r="EZ31" s="11"/>
      <c r="FA31" s="9">
        <v>184</v>
      </c>
      <c r="FB31" s="9">
        <v>186.87755248000033</v>
      </c>
      <c r="FC31" s="10">
        <v>3.6632078114532463</v>
      </c>
      <c r="FD31" s="11">
        <v>8.8869831963692733E-2</v>
      </c>
      <c r="FE31" s="6">
        <v>2.030861362804389</v>
      </c>
      <c r="FF31" s="6" t="s">
        <v>59</v>
      </c>
      <c r="FG31" s="45">
        <f t="shared" si="33"/>
        <v>0.2376390467127858</v>
      </c>
      <c r="FH31" s="11"/>
      <c r="FI31" s="28">
        <v>201</v>
      </c>
      <c r="FJ31" s="28">
        <v>200.32628571000021</v>
      </c>
      <c r="FK31" s="29">
        <v>3.6956080222129524</v>
      </c>
      <c r="FL31" s="27">
        <v>8.4875184043416471E-2</v>
      </c>
      <c r="FM31" s="6">
        <v>1.8001878147650274</v>
      </c>
      <c r="FN31" s="6" t="s">
        <v>57</v>
      </c>
      <c r="FO31" s="11"/>
      <c r="FP31" s="37">
        <v>1218</v>
      </c>
      <c r="FQ31" s="37">
        <v>1221.7488136200166</v>
      </c>
      <c r="FR31" s="10">
        <v>4.0326823764548561</v>
      </c>
      <c r="FS31" s="11">
        <v>3.1001747018457364E-2</v>
      </c>
      <c r="FT31" s="26">
        <v>-1.6039952851464898</v>
      </c>
      <c r="FU31" s="26" t="s">
        <v>57</v>
      </c>
      <c r="FV31" s="26"/>
      <c r="FW31" s="9">
        <v>81</v>
      </c>
      <c r="FX31" s="9">
        <v>80.916747940000008</v>
      </c>
      <c r="FY31" s="10">
        <v>4.0614019399751964</v>
      </c>
      <c r="FZ31" s="11">
        <v>0.12712548789297687</v>
      </c>
      <c r="GA31" s="26">
        <v>-1.0835635063098035</v>
      </c>
      <c r="GB31" s="26" t="s">
        <v>57</v>
      </c>
      <c r="GC31" s="26"/>
      <c r="GD31" s="37">
        <v>119</v>
      </c>
      <c r="GE31" s="37">
        <v>118.93978060000022</v>
      </c>
      <c r="GF31" s="10">
        <v>4.1422379738272381</v>
      </c>
      <c r="GG31" s="11">
        <v>9.3514199290145372E-2</v>
      </c>
      <c r="GH31" s="26">
        <v>-2.0019318978492739</v>
      </c>
      <c r="GI31" s="26" t="s">
        <v>59</v>
      </c>
      <c r="GJ31" s="26"/>
      <c r="GK31" s="37">
        <v>255</v>
      </c>
      <c r="GL31" s="37">
        <v>256.25285651999934</v>
      </c>
      <c r="GM31" s="10">
        <v>4.0099755316085659</v>
      </c>
      <c r="GN31" s="11">
        <v>6.1446868447765347E-2</v>
      </c>
      <c r="GO31" s="26">
        <v>-1.1155267961381603</v>
      </c>
      <c r="GP31" s="26" t="s">
        <v>57</v>
      </c>
      <c r="GQ31" s="26"/>
      <c r="GR31" s="37">
        <v>411</v>
      </c>
      <c r="GS31" s="37">
        <v>411.00321195999783</v>
      </c>
      <c r="GT31" s="10">
        <v>4.0340600604390433</v>
      </c>
      <c r="GU31" s="11">
        <v>5.4771712907917679E-2</v>
      </c>
      <c r="GV31" s="26">
        <v>-1.4205135408688423</v>
      </c>
      <c r="GW31" s="26" t="s">
        <v>57</v>
      </c>
      <c r="GX31" s="26"/>
      <c r="GY31" s="37">
        <v>119</v>
      </c>
      <c r="GZ31" s="37">
        <v>118.92967681999984</v>
      </c>
      <c r="HA31" s="10">
        <v>4.2090264422195016</v>
      </c>
      <c r="HB31" s="11">
        <v>9.3948254315474308E-2</v>
      </c>
      <c r="HC31" s="26">
        <v>-2.548707573659772</v>
      </c>
      <c r="HD31" s="26" t="s">
        <v>59</v>
      </c>
      <c r="HE31" s="15"/>
      <c r="HF31" s="37">
        <v>86</v>
      </c>
      <c r="HG31" s="37">
        <v>85.994148880000012</v>
      </c>
      <c r="HH31" s="10">
        <v>3.7552835527290815</v>
      </c>
      <c r="HI31" s="11">
        <v>0.12262701229234024</v>
      </c>
      <c r="HJ31" s="11"/>
      <c r="HK31" s="37">
        <v>95</v>
      </c>
      <c r="HL31" s="37">
        <v>95.071442970000021</v>
      </c>
      <c r="HM31" s="10">
        <v>3.8533154311710565</v>
      </c>
      <c r="HN31" s="11">
        <v>0.13374138579049044</v>
      </c>
      <c r="HO31" s="6">
        <v>-0.54026904941038367</v>
      </c>
      <c r="HP31" s="6" t="s">
        <v>57</v>
      </c>
      <c r="HQ31" s="45">
        <f t="shared" si="34"/>
        <v>-9.8031878441974918E-2</v>
      </c>
      <c r="HR31" s="27"/>
      <c r="HS31" s="3">
        <v>69</v>
      </c>
      <c r="HT31" s="3">
        <v>68.961120380000082</v>
      </c>
      <c r="HU31" s="29">
        <v>3.9871867877851908</v>
      </c>
      <c r="HV31" s="27">
        <v>0.14955432928612034</v>
      </c>
      <c r="HW31" s="6">
        <v>-1.1990808595989608</v>
      </c>
      <c r="HX31" s="6" t="s">
        <v>57</v>
      </c>
      <c r="HY31" s="27"/>
      <c r="HZ31" s="9">
        <v>66</v>
      </c>
      <c r="IA31" s="9">
        <v>65.824726529999907</v>
      </c>
      <c r="IB31" s="10">
        <v>4.1028775531169703</v>
      </c>
      <c r="IC31" s="11">
        <v>0.11099981946868114</v>
      </c>
      <c r="ID31" s="6">
        <v>-2.101490195848434</v>
      </c>
      <c r="IE31" s="6" t="s">
        <v>59</v>
      </c>
      <c r="IF31" s="27"/>
      <c r="IG31" s="9">
        <v>167</v>
      </c>
      <c r="IH31" s="9">
        <v>166.14261626000038</v>
      </c>
      <c r="II31" s="10">
        <v>3.925191297393861</v>
      </c>
      <c r="IJ31" s="11">
        <v>7.8901858633178404E-2</v>
      </c>
      <c r="IK31" s="6">
        <v>-1.1652042367538833</v>
      </c>
      <c r="IL31" s="6" t="s">
        <v>57</v>
      </c>
      <c r="IM31" s="45">
        <f t="shared" si="35"/>
        <v>-0.16990774466477943</v>
      </c>
      <c r="IN31" s="11"/>
      <c r="IO31" s="28">
        <v>162</v>
      </c>
      <c r="IP31" s="28">
        <v>155.88165124000017</v>
      </c>
      <c r="IQ31" s="29">
        <v>3.5613602045135742</v>
      </c>
      <c r="IR31" s="27">
        <v>0.10181082081099703</v>
      </c>
      <c r="IS31" s="6">
        <v>1.2167155889849619</v>
      </c>
      <c r="IT31" s="6" t="s">
        <v>57</v>
      </c>
      <c r="IU31" s="27"/>
      <c r="IV31" s="37">
        <v>1070</v>
      </c>
      <c r="IW31" s="37">
        <v>1086.6291034599953</v>
      </c>
      <c r="IX31" s="10">
        <v>4.0739503103534824</v>
      </c>
      <c r="IY31" s="11">
        <v>3.2381956449263775E-2</v>
      </c>
      <c r="IZ31" s="26">
        <v>-2.5125404568206369</v>
      </c>
      <c r="JA31" s="26" t="s">
        <v>59</v>
      </c>
      <c r="JB31" s="26"/>
      <c r="JC31" s="37">
        <v>81</v>
      </c>
      <c r="JD31" s="37">
        <v>80.916747940000008</v>
      </c>
      <c r="JE31" s="10">
        <v>4.0614019399751964</v>
      </c>
      <c r="JF31" s="11">
        <v>0.12712548789297687</v>
      </c>
      <c r="JG31" s="26">
        <v>-1.7331020418675303</v>
      </c>
      <c r="JH31" s="26" t="s">
        <v>57</v>
      </c>
      <c r="JI31" s="26"/>
      <c r="JJ31" s="37">
        <v>221</v>
      </c>
      <c r="JK31" s="37">
        <v>221</v>
      </c>
      <c r="JL31" s="10">
        <v>4.3167420814479645</v>
      </c>
      <c r="JM31" s="11">
        <v>5.8752290501862037E-2</v>
      </c>
      <c r="JN31" s="26">
        <v>-4.1291288734647171</v>
      </c>
      <c r="JO31" s="26" t="s">
        <v>59</v>
      </c>
      <c r="JP31" s="26"/>
      <c r="JQ31" s="37">
        <v>174</v>
      </c>
      <c r="JR31" s="37">
        <v>191.63616680000013</v>
      </c>
      <c r="JS31" s="10">
        <v>4.0656687478681093</v>
      </c>
      <c r="JT31" s="11">
        <v>7.6503413610319052E-2</v>
      </c>
      <c r="JU31" s="26">
        <v>-2.1474850634146079</v>
      </c>
      <c r="JV31" s="26" t="s">
        <v>59</v>
      </c>
      <c r="JW31" s="26"/>
      <c r="JX31" s="37">
        <v>119</v>
      </c>
      <c r="JY31" s="37">
        <v>118.93978060000022</v>
      </c>
      <c r="JZ31" s="10">
        <v>4.1422379738272381</v>
      </c>
      <c r="KA31" s="11">
        <v>9.3514199290145372E-2</v>
      </c>
      <c r="KB31" s="26">
        <v>-2.5091867252319902</v>
      </c>
      <c r="KC31" s="26" t="s">
        <v>59</v>
      </c>
      <c r="KD31" s="26"/>
      <c r="KE31" s="37">
        <v>389</v>
      </c>
      <c r="KF31" s="37">
        <v>388.14225924000067</v>
      </c>
      <c r="KG31" s="10">
        <v>3.9920906221703043</v>
      </c>
      <c r="KH31" s="11">
        <v>5.7297507325551535E-2</v>
      </c>
      <c r="KI31" s="26">
        <v>-1.7495538887849873</v>
      </c>
      <c r="KJ31" s="26" t="s">
        <v>57</v>
      </c>
      <c r="KL31" s="9"/>
      <c r="KM31" s="9"/>
      <c r="KN31" s="10"/>
      <c r="KO31" s="11"/>
    </row>
    <row r="32" spans="1:301" s="7" customFormat="1" x14ac:dyDescent="0.25">
      <c r="B32" s="5"/>
      <c r="C32" s="9"/>
      <c r="D32" s="9"/>
      <c r="E32" s="10"/>
      <c r="F32" s="11"/>
      <c r="G32" s="11"/>
      <c r="H32" s="9"/>
      <c r="I32" s="9"/>
      <c r="J32" s="10"/>
      <c r="K32" s="11"/>
      <c r="L32" s="26"/>
      <c r="M32" s="26"/>
      <c r="N32" s="45"/>
      <c r="O32" s="11"/>
      <c r="P32" s="3"/>
      <c r="Q32" s="3"/>
      <c r="R32" s="10"/>
      <c r="S32" s="11"/>
      <c r="T32" s="26"/>
      <c r="U32" s="26"/>
      <c r="V32" s="27"/>
      <c r="W32" s="9"/>
      <c r="X32" s="9"/>
      <c r="Y32" s="10"/>
      <c r="Z32" s="11"/>
      <c r="AA32" s="26"/>
      <c r="AB32" s="26"/>
      <c r="AC32" s="26"/>
      <c r="AD32" s="9"/>
      <c r="AE32" s="9"/>
      <c r="AF32" s="10"/>
      <c r="AG32" s="11"/>
      <c r="AH32" s="26"/>
      <c r="AI32" s="26"/>
      <c r="AJ32" s="45"/>
      <c r="AK32" s="27"/>
      <c r="AL32" s="28"/>
      <c r="AM32" s="28"/>
      <c r="AN32" s="29"/>
      <c r="AO32" s="27"/>
      <c r="AP32" s="26"/>
      <c r="AQ32" s="26"/>
      <c r="AR32" s="27"/>
      <c r="AS32" s="30"/>
      <c r="AT32" s="31"/>
      <c r="AU32" s="32"/>
      <c r="AV32" s="26"/>
      <c r="AW32" s="26"/>
      <c r="AX32" s="27"/>
      <c r="AY32" s="33"/>
      <c r="AZ32" s="34"/>
      <c r="BA32" s="35"/>
      <c r="BB32" s="26"/>
      <c r="BC32" s="26"/>
      <c r="BD32" s="35"/>
      <c r="BE32" s="33"/>
      <c r="BF32" s="34"/>
      <c r="BG32" s="35"/>
      <c r="BH32" s="26"/>
      <c r="BI32" s="26"/>
      <c r="BJ32" s="35"/>
      <c r="BK32" s="33"/>
      <c r="BL32" s="34"/>
      <c r="BM32" s="35"/>
      <c r="BN32" s="26"/>
      <c r="BO32" s="26"/>
      <c r="BP32" s="35"/>
      <c r="BQ32" s="33"/>
      <c r="BR32" s="34"/>
      <c r="BS32" s="35"/>
      <c r="BT32" s="26"/>
      <c r="BU32" s="26"/>
      <c r="BV32" s="35"/>
      <c r="BW32" s="33"/>
      <c r="BX32" s="34"/>
      <c r="BY32" s="35"/>
      <c r="BZ32" s="26"/>
      <c r="CA32" s="26"/>
      <c r="CB32" s="27"/>
      <c r="CC32" s="9"/>
      <c r="CD32" s="9"/>
      <c r="CE32" s="10"/>
      <c r="CF32" s="11"/>
      <c r="CG32" s="26"/>
      <c r="CH32" s="26"/>
      <c r="CI32" s="26"/>
      <c r="CJ32" s="9"/>
      <c r="CK32" s="9"/>
      <c r="CL32" s="10"/>
      <c r="CM32" s="11"/>
      <c r="CN32" s="26"/>
      <c r="CO32" s="26"/>
      <c r="CP32" s="26"/>
      <c r="CQ32" s="9"/>
      <c r="CR32" s="9"/>
      <c r="CS32" s="10"/>
      <c r="CT32" s="11"/>
      <c r="CU32" s="26"/>
      <c r="CV32" s="26"/>
      <c r="CW32" s="26"/>
      <c r="CX32" s="9"/>
      <c r="CY32" s="9"/>
      <c r="CZ32" s="10"/>
      <c r="DA32" s="11"/>
      <c r="DB32" s="26"/>
      <c r="DC32" s="26"/>
      <c r="DD32" s="26"/>
      <c r="DE32" s="9"/>
      <c r="DF32" s="9"/>
      <c r="DG32" s="10"/>
      <c r="DH32" s="11"/>
      <c r="DI32" s="26"/>
      <c r="DJ32" s="26"/>
      <c r="DK32" s="26"/>
      <c r="DL32" s="9"/>
      <c r="DM32" s="9"/>
      <c r="DN32" s="10"/>
      <c r="DO32" s="11"/>
      <c r="DP32" s="26"/>
      <c r="DQ32" s="26"/>
      <c r="DR32" s="26"/>
      <c r="DS32" s="9"/>
      <c r="DT32" s="9"/>
      <c r="DU32" s="10"/>
      <c r="DV32" s="11"/>
      <c r="DW32" s="26"/>
      <c r="DX32" s="26"/>
      <c r="DY32" s="36"/>
      <c r="DZ32" s="9"/>
      <c r="EA32" s="9"/>
      <c r="EB32" s="10"/>
      <c r="EC32" s="11"/>
      <c r="ED32" s="11"/>
      <c r="EE32" s="9"/>
      <c r="EF32" s="9"/>
      <c r="EG32" s="10"/>
      <c r="EH32" s="11"/>
      <c r="EI32" s="6"/>
      <c r="EJ32" s="6"/>
      <c r="EK32" s="45"/>
      <c r="EL32" s="11"/>
      <c r="EM32" s="9"/>
      <c r="EN32" s="9"/>
      <c r="EO32" s="10"/>
      <c r="EP32" s="11"/>
      <c r="EQ32" s="6"/>
      <c r="ER32" s="6"/>
      <c r="ES32" s="11"/>
      <c r="ET32" s="9"/>
      <c r="EU32" s="9"/>
      <c r="EV32" s="10"/>
      <c r="EW32" s="11"/>
      <c r="EX32" s="6"/>
      <c r="EY32" s="6"/>
      <c r="EZ32" s="11"/>
      <c r="FA32" s="9"/>
      <c r="FB32" s="9"/>
      <c r="FC32" s="10"/>
      <c r="FD32" s="11"/>
      <c r="FE32" s="6"/>
      <c r="FF32" s="6"/>
      <c r="FG32" s="45"/>
      <c r="FH32" s="11"/>
      <c r="FI32" s="28"/>
      <c r="FJ32" s="28"/>
      <c r="FK32" s="29"/>
      <c r="FL32" s="27"/>
      <c r="FM32" s="6"/>
      <c r="FN32" s="6"/>
      <c r="FO32" s="11"/>
      <c r="FP32" s="37"/>
      <c r="FQ32" s="37"/>
      <c r="FR32" s="10"/>
      <c r="FS32" s="11"/>
      <c r="FT32" s="26"/>
      <c r="FU32" s="26"/>
      <c r="FV32" s="26"/>
      <c r="FW32" s="9"/>
      <c r="FX32" s="9"/>
      <c r="FY32" s="10"/>
      <c r="FZ32" s="11"/>
      <c r="GA32" s="26"/>
      <c r="GB32" s="26"/>
      <c r="GC32" s="26"/>
      <c r="GD32" s="37"/>
      <c r="GE32" s="37"/>
      <c r="GF32" s="10"/>
      <c r="GG32" s="11"/>
      <c r="GH32" s="26"/>
      <c r="GI32" s="26"/>
      <c r="GJ32" s="26"/>
      <c r="GK32" s="37"/>
      <c r="GL32" s="37"/>
      <c r="GM32" s="10"/>
      <c r="GN32" s="11"/>
      <c r="GO32" s="26"/>
      <c r="GP32" s="26"/>
      <c r="GQ32" s="26"/>
      <c r="GR32" s="37"/>
      <c r="GS32" s="37"/>
      <c r="GT32" s="10"/>
      <c r="GU32" s="11"/>
      <c r="GV32" s="26"/>
      <c r="GW32" s="26"/>
      <c r="GX32" s="26"/>
      <c r="GY32" s="37"/>
      <c r="GZ32" s="37"/>
      <c r="HA32" s="10"/>
      <c r="HB32" s="11"/>
      <c r="HC32" s="26"/>
      <c r="HD32" s="26"/>
      <c r="HE32" s="15"/>
      <c r="HF32" s="37"/>
      <c r="HG32" s="37"/>
      <c r="HH32" s="10"/>
      <c r="HI32" s="11"/>
      <c r="HJ32" s="11"/>
      <c r="HK32" s="37"/>
      <c r="HL32" s="37"/>
      <c r="HM32" s="10"/>
      <c r="HN32" s="11"/>
      <c r="HO32" s="6"/>
      <c r="HP32" s="6"/>
      <c r="HQ32" s="45"/>
      <c r="HR32" s="27"/>
      <c r="HS32" s="3"/>
      <c r="HT32" s="3"/>
      <c r="HU32" s="29"/>
      <c r="HV32" s="27"/>
      <c r="HW32" s="6"/>
      <c r="HX32" s="6"/>
      <c r="HY32" s="27"/>
      <c r="HZ32" s="9"/>
      <c r="IA32" s="9"/>
      <c r="IB32" s="10"/>
      <c r="IC32" s="11"/>
      <c r="ID32" s="6"/>
      <c r="IE32" s="6"/>
      <c r="IF32" s="27"/>
      <c r="IG32" s="9"/>
      <c r="IH32" s="9"/>
      <c r="II32" s="10"/>
      <c r="IJ32" s="11"/>
      <c r="IK32" s="6"/>
      <c r="IL32" s="6"/>
      <c r="IM32" s="45"/>
      <c r="IN32" s="11"/>
      <c r="IO32" s="28"/>
      <c r="IP32" s="28"/>
      <c r="IQ32" s="29"/>
      <c r="IR32" s="27"/>
      <c r="IS32" s="6"/>
      <c r="IT32" s="6"/>
      <c r="IU32" s="27"/>
      <c r="IV32" s="37"/>
      <c r="IW32" s="37"/>
      <c r="IX32" s="10"/>
      <c r="IY32" s="11"/>
      <c r="IZ32" s="26"/>
      <c r="JA32" s="26"/>
      <c r="JB32" s="26"/>
      <c r="JC32" s="37"/>
      <c r="JD32" s="37"/>
      <c r="JE32" s="10"/>
      <c r="JF32" s="11"/>
      <c r="JG32" s="26"/>
      <c r="JH32" s="26"/>
      <c r="JI32" s="26"/>
      <c r="JJ32" s="37"/>
      <c r="JK32" s="37"/>
      <c r="JL32" s="10"/>
      <c r="JM32" s="11"/>
      <c r="JN32" s="26"/>
      <c r="JO32" s="26"/>
      <c r="JP32" s="26"/>
      <c r="JQ32" s="37"/>
      <c r="JR32" s="37"/>
      <c r="JS32" s="10"/>
      <c r="JT32" s="11"/>
      <c r="JU32" s="26"/>
      <c r="JV32" s="26"/>
      <c r="JW32" s="26"/>
      <c r="JX32" s="37"/>
      <c r="JY32" s="37"/>
      <c r="JZ32" s="10"/>
      <c r="KA32" s="11"/>
      <c r="KB32" s="26"/>
      <c r="KC32" s="26"/>
      <c r="KD32" s="26"/>
      <c r="KE32" s="37"/>
      <c r="KF32" s="37"/>
      <c r="KG32" s="10"/>
      <c r="KH32" s="11"/>
      <c r="KI32" s="26"/>
      <c r="KJ32" s="26"/>
      <c r="KL32" s="9"/>
      <c r="KM32" s="9"/>
      <c r="KN32" s="10"/>
      <c r="KO32" s="11"/>
    </row>
    <row r="33" spans="1:301" s="7" customFormat="1" x14ac:dyDescent="0.25">
      <c r="A33" s="14"/>
      <c r="B33" s="5" t="s">
        <v>24</v>
      </c>
      <c r="C33" s="9">
        <v>2607</v>
      </c>
      <c r="D33" s="9">
        <v>2609.6239801800748</v>
      </c>
      <c r="E33" s="10">
        <v>4.076813950029746</v>
      </c>
      <c r="F33" s="11">
        <v>1.9177817240141948E-2</v>
      </c>
      <c r="G33" s="11"/>
      <c r="H33" s="9">
        <v>2688</v>
      </c>
      <c r="I33" s="9">
        <v>2687.0343579099299</v>
      </c>
      <c r="J33" s="10">
        <v>4.0024501892320838</v>
      </c>
      <c r="K33" s="11">
        <v>1.9366686304725107E-2</v>
      </c>
      <c r="L33" s="26">
        <v>2.7284039716690027</v>
      </c>
      <c r="M33" s="26" t="s">
        <v>59</v>
      </c>
      <c r="N33" s="45">
        <f t="shared" ref="N33:N43" si="36">E33-J33</f>
        <v>7.436376079766216E-2</v>
      </c>
      <c r="O33" s="11"/>
      <c r="P33" s="3">
        <v>862</v>
      </c>
      <c r="Q33" s="3">
        <v>862.05727438001168</v>
      </c>
      <c r="R33" s="10">
        <v>3.9167388152815938</v>
      </c>
      <c r="S33" s="11">
        <v>3.5838837009696645E-2</v>
      </c>
      <c r="T33" s="26">
        <v>3.9381398351920716</v>
      </c>
      <c r="U33" s="26" t="s">
        <v>59</v>
      </c>
      <c r="V33" s="27"/>
      <c r="W33" s="9">
        <v>514</v>
      </c>
      <c r="X33" s="9">
        <v>513.16516674000138</v>
      </c>
      <c r="Y33" s="10">
        <v>3.9590374299885984</v>
      </c>
      <c r="Z33" s="11">
        <v>4.5325778400359534E-2</v>
      </c>
      <c r="AA33" s="26">
        <v>2.3930533777704235</v>
      </c>
      <c r="AB33" s="26" t="s">
        <v>59</v>
      </c>
      <c r="AC33" s="26"/>
      <c r="AD33" s="9">
        <v>673</v>
      </c>
      <c r="AE33" s="9">
        <v>675.63399833000619</v>
      </c>
      <c r="AF33" s="10">
        <v>3.9022251778873107</v>
      </c>
      <c r="AG33" s="11">
        <v>3.85685579136264E-2</v>
      </c>
      <c r="AH33" s="26">
        <v>4.0532801739812774</v>
      </c>
      <c r="AI33" s="26" t="s">
        <v>59</v>
      </c>
      <c r="AJ33" s="45">
        <f t="shared" ref="AJ33:AJ43" si="37">E33-AF33</f>
        <v>0.17458877214243529</v>
      </c>
      <c r="AK33" s="27"/>
      <c r="AL33" s="28">
        <v>1127</v>
      </c>
      <c r="AM33" s="28">
        <v>1126.9652972200024</v>
      </c>
      <c r="AN33" s="29">
        <v>3.7755778469098451</v>
      </c>
      <c r="AO33" s="27">
        <v>2.8340631392775338E-2</v>
      </c>
      <c r="AP33" s="26">
        <v>8.8030317975435928</v>
      </c>
      <c r="AQ33" s="26" t="s">
        <v>59</v>
      </c>
      <c r="AR33" s="27"/>
      <c r="AS33" s="30">
        <v>5316</v>
      </c>
      <c r="AT33" s="31">
        <v>4.2215167459034957</v>
      </c>
      <c r="AU33" s="32">
        <v>1.2382404373172753E-2</v>
      </c>
      <c r="AV33" s="26">
        <v>-6.3388595656189821</v>
      </c>
      <c r="AW33" s="26" t="s">
        <v>59</v>
      </c>
      <c r="AX33" s="27"/>
      <c r="AY33" s="33">
        <v>700</v>
      </c>
      <c r="AZ33" s="34">
        <v>4.5025983210898772</v>
      </c>
      <c r="BA33" s="35">
        <v>3.1171402712093319E-2</v>
      </c>
      <c r="BB33" s="26">
        <v>-11.633952062207443</v>
      </c>
      <c r="BC33" s="26" t="s">
        <v>59</v>
      </c>
      <c r="BD33" s="35"/>
      <c r="BE33" s="33">
        <v>763</v>
      </c>
      <c r="BF33" s="34">
        <v>4.3587223693287145</v>
      </c>
      <c r="BG33" s="35">
        <v>2.817180723976051E-2</v>
      </c>
      <c r="BH33" s="26">
        <v>-8.2719855975049494</v>
      </c>
      <c r="BI33" s="26" t="s">
        <v>59</v>
      </c>
      <c r="BJ33" s="35"/>
      <c r="BK33" s="33">
        <v>877</v>
      </c>
      <c r="BL33" s="34">
        <v>4.3773460759610776</v>
      </c>
      <c r="BM33" s="35">
        <v>2.7036170099008751E-2</v>
      </c>
      <c r="BN33" s="26">
        <v>-9.0665656329193283</v>
      </c>
      <c r="BO33" s="26" t="s">
        <v>59</v>
      </c>
      <c r="BP33" s="35"/>
      <c r="BQ33" s="33">
        <v>1085</v>
      </c>
      <c r="BR33" s="34">
        <v>4.2368542574999273</v>
      </c>
      <c r="BS33" s="35">
        <v>2.6725888993151287E-2</v>
      </c>
      <c r="BT33" s="26">
        <v>-4.8652296080590354</v>
      </c>
      <c r="BU33" s="26" t="s">
        <v>59</v>
      </c>
      <c r="BV33" s="35"/>
      <c r="BW33" s="33">
        <v>1136</v>
      </c>
      <c r="BX33" s="34">
        <v>4.1870660637770252</v>
      </c>
      <c r="BY33" s="35">
        <v>2.6271752981217124E-2</v>
      </c>
      <c r="BZ33" s="26">
        <v>-3.3895760941071402</v>
      </c>
      <c r="CA33" s="26" t="s">
        <v>59</v>
      </c>
      <c r="CB33" s="27"/>
      <c r="CC33" s="9">
        <v>10406</v>
      </c>
      <c r="CD33" s="9">
        <v>10425.463559869237</v>
      </c>
      <c r="CE33" s="10">
        <v>4.2575290023778685</v>
      </c>
      <c r="CF33" s="11">
        <v>9.028031587025219E-3</v>
      </c>
      <c r="CG33" s="26">
        <v>-8.5256795428000931</v>
      </c>
      <c r="CH33" s="26" t="s">
        <v>59</v>
      </c>
      <c r="CI33" s="26"/>
      <c r="CJ33" s="9">
        <v>424</v>
      </c>
      <c r="CK33" s="9">
        <v>424</v>
      </c>
      <c r="CL33" s="10">
        <v>4.1886792452830157</v>
      </c>
      <c r="CM33" s="11">
        <v>3.9995989554947806E-2</v>
      </c>
      <c r="CN33" s="26">
        <v>-2.5219794911165225</v>
      </c>
      <c r="CO33" s="26" t="s">
        <v>59</v>
      </c>
      <c r="CP33" s="26"/>
      <c r="CQ33" s="9">
        <v>2921</v>
      </c>
      <c r="CR33" s="9">
        <v>2938.2186692599075</v>
      </c>
      <c r="CS33" s="10">
        <v>3.9666127715080148</v>
      </c>
      <c r="CT33" s="11">
        <v>1.8633522327555462E-2</v>
      </c>
      <c r="CU33" s="26">
        <v>4.1212995467400324</v>
      </c>
      <c r="CV33" s="26" t="s">
        <v>59</v>
      </c>
      <c r="CW33" s="26"/>
      <c r="CX33" s="9">
        <v>2510</v>
      </c>
      <c r="CY33" s="9">
        <v>2510.0071158500655</v>
      </c>
      <c r="CZ33" s="10">
        <v>4.2641287494659199</v>
      </c>
      <c r="DA33" s="11">
        <v>1.6419724333790981E-2</v>
      </c>
      <c r="DB33" s="26">
        <v>-7.4193766261257137</v>
      </c>
      <c r="DC33" s="26" t="s">
        <v>59</v>
      </c>
      <c r="DD33" s="26"/>
      <c r="DE33" s="9">
        <v>544</v>
      </c>
      <c r="DF33" s="9">
        <v>543.61379457999612</v>
      </c>
      <c r="DG33" s="10">
        <v>4.974106335379374</v>
      </c>
      <c r="DH33" s="11">
        <v>7.3008063750058701E-3</v>
      </c>
      <c r="DI33" s="26">
        <v>-43.726658156142584</v>
      </c>
      <c r="DJ33" s="26" t="s">
        <v>59</v>
      </c>
      <c r="DK33" s="26"/>
      <c r="DL33" s="9">
        <v>860</v>
      </c>
      <c r="DM33" s="9">
        <v>860</v>
      </c>
      <c r="DN33" s="10">
        <v>4.9000000000000155</v>
      </c>
      <c r="DO33" s="11">
        <v>1.1123137102791598E-2</v>
      </c>
      <c r="DP33" s="26">
        <v>-37.13047991128564</v>
      </c>
      <c r="DQ33" s="26" t="s">
        <v>59</v>
      </c>
      <c r="DR33" s="26"/>
      <c r="DS33" s="9">
        <v>540</v>
      </c>
      <c r="DT33" s="9">
        <v>540</v>
      </c>
      <c r="DU33" s="10">
        <v>4.9925925925925929</v>
      </c>
      <c r="DV33" s="11">
        <v>3.6933821684372141E-3</v>
      </c>
      <c r="DW33" s="26">
        <v>-46.890323776166056</v>
      </c>
      <c r="DX33" s="26" t="s">
        <v>59</v>
      </c>
      <c r="DY33" s="36"/>
      <c r="DZ33" s="9">
        <v>904</v>
      </c>
      <c r="EA33" s="9">
        <v>905.14309178000326</v>
      </c>
      <c r="EB33" s="10">
        <v>4.0338182887633929</v>
      </c>
      <c r="EC33" s="11">
        <v>3.3152354495695875E-2</v>
      </c>
      <c r="ED33" s="11"/>
      <c r="EE33" s="9">
        <v>831</v>
      </c>
      <c r="EF33" s="9">
        <v>829.41685543000392</v>
      </c>
      <c r="EG33" s="10">
        <v>3.904442962533107</v>
      </c>
      <c r="EH33" s="11">
        <v>3.6356290021278742E-2</v>
      </c>
      <c r="EI33" s="6">
        <v>2.6294611659856808</v>
      </c>
      <c r="EJ33" s="6" t="s">
        <v>59</v>
      </c>
      <c r="EK33" s="45">
        <f t="shared" ref="EK33:EK43" si="38">EB33-EG33</f>
        <v>0.12937532623028591</v>
      </c>
      <c r="EL33" s="11"/>
      <c r="EM33" s="9">
        <v>584</v>
      </c>
      <c r="EN33" s="9">
        <v>583.83302063999508</v>
      </c>
      <c r="EO33" s="10">
        <v>3.9379847353609594</v>
      </c>
      <c r="EP33" s="11">
        <v>4.2609409830115158E-2</v>
      </c>
      <c r="EQ33" s="6">
        <v>1.7751093040800552</v>
      </c>
      <c r="ER33" s="6" t="s">
        <v>57</v>
      </c>
      <c r="ES33" s="11"/>
      <c r="ET33" s="9">
        <v>610</v>
      </c>
      <c r="EU33" s="9">
        <v>610.44666674000086</v>
      </c>
      <c r="EV33" s="10">
        <v>3.9735194784233556</v>
      </c>
      <c r="EW33" s="11">
        <v>4.1914785254285172E-2</v>
      </c>
      <c r="EX33" s="6">
        <v>1.1283273867942183</v>
      </c>
      <c r="EY33" s="6" t="s">
        <v>57</v>
      </c>
      <c r="EZ33" s="11"/>
      <c r="FA33" s="9">
        <v>588</v>
      </c>
      <c r="FB33" s="9">
        <v>592.53572407000172</v>
      </c>
      <c r="FC33" s="10">
        <v>4.0164410043213685</v>
      </c>
      <c r="FD33" s="11">
        <v>4.0397973435331407E-2</v>
      </c>
      <c r="FE33" s="6">
        <v>0.33251795983055693</v>
      </c>
      <c r="FF33" s="6" t="s">
        <v>57</v>
      </c>
      <c r="FG33" s="45">
        <f t="shared" ref="FG33:FG43" si="39">EB33-FC33</f>
        <v>1.7377284442024354E-2</v>
      </c>
      <c r="FH33" s="11"/>
      <c r="FI33" s="28">
        <v>664</v>
      </c>
      <c r="FJ33" s="28">
        <v>663.48228593999897</v>
      </c>
      <c r="FK33" s="29">
        <v>3.9726352902635864</v>
      </c>
      <c r="FL33" s="27">
        <v>4.0185910062353544E-2</v>
      </c>
      <c r="FM33" s="6">
        <v>1.1744295167747321</v>
      </c>
      <c r="FN33" s="6" t="s">
        <v>57</v>
      </c>
      <c r="FO33" s="11"/>
      <c r="FP33" s="37">
        <v>4066</v>
      </c>
      <c r="FQ33" s="37">
        <v>4067.6747191998138</v>
      </c>
      <c r="FR33" s="10">
        <v>4.2165326421118667</v>
      </c>
      <c r="FS33" s="11">
        <v>1.4076724688557236E-2</v>
      </c>
      <c r="FT33" s="26">
        <v>-5.0729865038544357</v>
      </c>
      <c r="FU33" s="26" t="s">
        <v>59</v>
      </c>
      <c r="FV33" s="26"/>
      <c r="FW33" s="9">
        <v>912</v>
      </c>
      <c r="FX33" s="9">
        <v>911.98332439998433</v>
      </c>
      <c r="FY33" s="10">
        <v>4.2774429768290565</v>
      </c>
      <c r="FZ33" s="11">
        <v>2.8326822765856005E-2</v>
      </c>
      <c r="GA33" s="26">
        <v>-5.5869470972703796</v>
      </c>
      <c r="GB33" s="26" t="s">
        <v>59</v>
      </c>
      <c r="GC33" s="26"/>
      <c r="GD33" s="37">
        <v>301</v>
      </c>
      <c r="GE33" s="37">
        <v>300.97276655000024</v>
      </c>
      <c r="GF33" s="10">
        <v>4.4086371624575875</v>
      </c>
      <c r="GG33" s="11">
        <v>4.786479045007893E-2</v>
      </c>
      <c r="GH33" s="26">
        <v>-6.4374537576920101</v>
      </c>
      <c r="GI33" s="26" t="s">
        <v>59</v>
      </c>
      <c r="GJ33" s="26"/>
      <c r="GK33" s="37">
        <v>505</v>
      </c>
      <c r="GL33" s="37">
        <v>505.46394444999873</v>
      </c>
      <c r="GM33" s="10">
        <v>4.0575381678343989</v>
      </c>
      <c r="GN33" s="11">
        <v>3.8258434938277859E-2</v>
      </c>
      <c r="GO33" s="26">
        <v>-0.46855034371195015</v>
      </c>
      <c r="GP33" s="26" t="s">
        <v>57</v>
      </c>
      <c r="GQ33" s="26"/>
      <c r="GR33" s="37">
        <v>1097</v>
      </c>
      <c r="GS33" s="37">
        <v>1096.9997150800148</v>
      </c>
      <c r="GT33" s="10">
        <v>4.2570643077144608</v>
      </c>
      <c r="GU33" s="11">
        <v>2.6674932755307027E-2</v>
      </c>
      <c r="GV33" s="26">
        <v>-5.2464892778242715</v>
      </c>
      <c r="GW33" s="26" t="s">
        <v>59</v>
      </c>
      <c r="GX33" s="26"/>
      <c r="GY33" s="37">
        <v>347</v>
      </c>
      <c r="GZ33" s="37">
        <v>347.11187694000051</v>
      </c>
      <c r="HA33" s="10">
        <v>4.4698168151364932</v>
      </c>
      <c r="HB33" s="11">
        <v>4.0247345433594553E-2</v>
      </c>
      <c r="HC33" s="26">
        <v>-8.3615388872868373</v>
      </c>
      <c r="HD33" s="26" t="s">
        <v>59</v>
      </c>
      <c r="HE33" s="15"/>
      <c r="HF33" s="37">
        <v>841</v>
      </c>
      <c r="HG33" s="37">
        <v>840.9975437200078</v>
      </c>
      <c r="HH33" s="10">
        <v>4.1427476920669433</v>
      </c>
      <c r="HI33" s="11">
        <v>3.3158279494324629E-2</v>
      </c>
      <c r="HJ33" s="11"/>
      <c r="HK33" s="37">
        <v>809</v>
      </c>
      <c r="HL33" s="37">
        <v>808.9626471600078</v>
      </c>
      <c r="HM33" s="10">
        <v>3.9542207607730537</v>
      </c>
      <c r="HN33" s="11">
        <v>3.7380158978277685E-2</v>
      </c>
      <c r="HO33" s="6">
        <v>3.772993542322634</v>
      </c>
      <c r="HP33" s="6" t="s">
        <v>59</v>
      </c>
      <c r="HQ33" s="45">
        <f t="shared" ref="HQ33:HQ43" si="40">HH33-HM33</f>
        <v>0.18852693129388953</v>
      </c>
      <c r="HR33" s="27"/>
      <c r="HS33" s="3">
        <v>563</v>
      </c>
      <c r="HT33" s="3">
        <v>562.99921505999566</v>
      </c>
      <c r="HU33" s="29">
        <v>4.0214843749625979</v>
      </c>
      <c r="HV33" s="27">
        <v>4.3181926729826368E-2</v>
      </c>
      <c r="HW33" s="6">
        <v>2.2273031627815523</v>
      </c>
      <c r="HX33" s="6" t="s">
        <v>59</v>
      </c>
      <c r="HY33" s="27"/>
      <c r="HZ33" s="9">
        <v>632</v>
      </c>
      <c r="IA33" s="9">
        <v>632.27236061000349</v>
      </c>
      <c r="IB33" s="10">
        <v>4.132489420523112</v>
      </c>
      <c r="IC33" s="11">
        <v>3.7775584043525358E-2</v>
      </c>
      <c r="ID33" s="6">
        <v>0.20408798627437846</v>
      </c>
      <c r="IE33" s="6" t="s">
        <v>57</v>
      </c>
      <c r="IF33" s="27"/>
      <c r="IG33" s="9">
        <v>1199</v>
      </c>
      <c r="IH33" s="9">
        <v>1199.3490833599949</v>
      </c>
      <c r="II33" s="10">
        <v>3.9414274761913375</v>
      </c>
      <c r="IJ33" s="11">
        <v>2.9753504317230887E-2</v>
      </c>
      <c r="IK33" s="6">
        <v>4.5189267399541881</v>
      </c>
      <c r="IL33" s="6" t="s">
        <v>59</v>
      </c>
      <c r="IM33" s="45">
        <f t="shared" ref="IM33:IM43" si="41">HH33-II33</f>
        <v>0.20132021587560578</v>
      </c>
      <c r="IN33" s="11"/>
      <c r="IO33" s="28">
        <v>1198</v>
      </c>
      <c r="IP33" s="28">
        <v>1198.251422219997</v>
      </c>
      <c r="IQ33" s="29">
        <v>3.9030302118776343</v>
      </c>
      <c r="IR33" s="27">
        <v>2.9968621997112449E-2</v>
      </c>
      <c r="IS33" s="6">
        <v>5.3634785446150426</v>
      </c>
      <c r="IT33" s="6" t="s">
        <v>59</v>
      </c>
      <c r="IU33" s="27"/>
      <c r="IV33" s="37">
        <v>4485</v>
      </c>
      <c r="IW33" s="37">
        <v>4482.0666662399553</v>
      </c>
      <c r="IX33" s="10">
        <v>4.2624193056764019</v>
      </c>
      <c r="IY33" s="11">
        <v>1.353188669537791E-2</v>
      </c>
      <c r="IZ33" s="26">
        <v>-3.3415528168914825</v>
      </c>
      <c r="JA33" s="26" t="s">
        <v>59</v>
      </c>
      <c r="JB33" s="26"/>
      <c r="JC33" s="37">
        <v>912</v>
      </c>
      <c r="JD33" s="37">
        <v>911.98332439998433</v>
      </c>
      <c r="JE33" s="10">
        <v>4.2774429768290565</v>
      </c>
      <c r="JF33" s="11">
        <v>2.8326822765856005E-2</v>
      </c>
      <c r="JG33" s="26">
        <v>-3.0885937825088359</v>
      </c>
      <c r="JH33" s="26" t="s">
        <v>59</v>
      </c>
      <c r="JI33" s="26"/>
      <c r="JJ33" s="37">
        <v>515</v>
      </c>
      <c r="JK33" s="37">
        <v>515</v>
      </c>
      <c r="JL33" s="10">
        <v>4.3572815533980584</v>
      </c>
      <c r="JM33" s="11">
        <v>3.7399718921233144E-2</v>
      </c>
      <c r="JN33" s="26">
        <v>-4.2922137068809896</v>
      </c>
      <c r="JO33" s="26" t="s">
        <v>59</v>
      </c>
      <c r="JP33" s="26"/>
      <c r="JQ33" s="37">
        <v>819</v>
      </c>
      <c r="JR33" s="37">
        <v>817.36612205000756</v>
      </c>
      <c r="JS33" s="10">
        <v>4.3629070895011388</v>
      </c>
      <c r="JT33" s="11">
        <v>3.1107646304231507E-2</v>
      </c>
      <c r="JU33" s="26">
        <v>-4.84228648546837</v>
      </c>
      <c r="JV33" s="26" t="s">
        <v>59</v>
      </c>
      <c r="JW33" s="26"/>
      <c r="JX33" s="37">
        <v>301</v>
      </c>
      <c r="JY33" s="37">
        <v>300.97276655000024</v>
      </c>
      <c r="JZ33" s="10">
        <v>4.4086371624575875</v>
      </c>
      <c r="KA33" s="11">
        <v>4.786479045007893E-2</v>
      </c>
      <c r="KB33" s="26">
        <v>-4.5663442130103871</v>
      </c>
      <c r="KC33" s="26" t="s">
        <v>59</v>
      </c>
      <c r="KD33" s="26"/>
      <c r="KE33" s="37">
        <v>1097</v>
      </c>
      <c r="KF33" s="37">
        <v>1095.7469095199847</v>
      </c>
      <c r="KG33" s="10">
        <v>4.1820588097185505</v>
      </c>
      <c r="KH33" s="11">
        <v>2.8478717216422544E-2</v>
      </c>
      <c r="KI33" s="26">
        <v>-0.89937511412010596</v>
      </c>
      <c r="KJ33" s="26" t="s">
        <v>57</v>
      </c>
      <c r="KL33" s="9"/>
      <c r="KM33" s="9"/>
      <c r="KN33" s="10"/>
      <c r="KO33" s="11"/>
    </row>
    <row r="34" spans="1:301" s="7" customFormat="1" x14ac:dyDescent="0.25">
      <c r="B34" s="5" t="s">
        <v>25</v>
      </c>
      <c r="C34" s="9">
        <v>2317</v>
      </c>
      <c r="D34" s="9">
        <v>2320.0033778800648</v>
      </c>
      <c r="E34" s="10">
        <v>3.6515635843217162</v>
      </c>
      <c r="F34" s="11">
        <v>2.4303210610085706E-2</v>
      </c>
      <c r="G34" s="11"/>
      <c r="H34" s="9">
        <v>2437</v>
      </c>
      <c r="I34" s="9">
        <v>2434.7867659599397</v>
      </c>
      <c r="J34" s="10">
        <v>3.5876324990643984</v>
      </c>
      <c r="K34" s="11">
        <v>2.3386126886303722E-2</v>
      </c>
      <c r="L34" s="26">
        <v>1.8955074585877323</v>
      </c>
      <c r="M34" s="26" t="s">
        <v>57</v>
      </c>
      <c r="N34" s="45">
        <f t="shared" si="36"/>
        <v>6.3931085257317832E-2</v>
      </c>
      <c r="O34" s="11"/>
      <c r="P34" s="3">
        <v>791</v>
      </c>
      <c r="Q34" s="3">
        <v>790.99549316000878</v>
      </c>
      <c r="R34" s="10">
        <v>3.478946744116743</v>
      </c>
      <c r="S34" s="11">
        <v>4.3280585149048041E-2</v>
      </c>
      <c r="T34" s="26">
        <v>3.4775676014695183</v>
      </c>
      <c r="U34" s="26" t="s">
        <v>59</v>
      </c>
      <c r="V34" s="27"/>
      <c r="W34" s="9">
        <v>936</v>
      </c>
      <c r="X34" s="9">
        <v>937.50814476000471</v>
      </c>
      <c r="Y34" s="10">
        <v>3.7074288123755781</v>
      </c>
      <c r="Z34" s="11">
        <v>2.9629139842518457E-2</v>
      </c>
      <c r="AA34" s="26">
        <v>-1.4578064675680016</v>
      </c>
      <c r="AB34" s="26" t="s">
        <v>57</v>
      </c>
      <c r="AC34" s="26"/>
      <c r="AD34" s="9">
        <v>888</v>
      </c>
      <c r="AE34" s="9">
        <v>888.75164203001327</v>
      </c>
      <c r="AF34" s="10">
        <v>3.6811336218825987</v>
      </c>
      <c r="AG34" s="11">
        <v>3.2583641624977767E-2</v>
      </c>
      <c r="AH34" s="26">
        <v>-0.7274484136550996</v>
      </c>
      <c r="AI34" s="26" t="s">
        <v>57</v>
      </c>
      <c r="AJ34" s="45">
        <f t="shared" si="37"/>
        <v>-2.9570037560882501E-2</v>
      </c>
      <c r="AK34" s="27"/>
      <c r="AL34" s="28">
        <v>980</v>
      </c>
      <c r="AM34" s="28">
        <v>982.85133504000044</v>
      </c>
      <c r="AN34" s="29">
        <v>3.4326107478326766</v>
      </c>
      <c r="AO34" s="27">
        <v>3.2787310279986222E-2</v>
      </c>
      <c r="AP34" s="26">
        <v>5.3648577469707579</v>
      </c>
      <c r="AQ34" s="26" t="s">
        <v>59</v>
      </c>
      <c r="AR34" s="27"/>
      <c r="AS34" s="30">
        <v>4834</v>
      </c>
      <c r="AT34" s="31">
        <v>3.9199655739567176</v>
      </c>
      <c r="AU34" s="32">
        <v>1.502146934061685E-2</v>
      </c>
      <c r="AV34" s="26">
        <v>-9.3942764582140121</v>
      </c>
      <c r="AW34" s="26" t="s">
        <v>59</v>
      </c>
      <c r="AX34" s="27"/>
      <c r="AY34" s="33">
        <v>635</v>
      </c>
      <c r="AZ34" s="34">
        <v>4.3605194961347422</v>
      </c>
      <c r="BA34" s="35">
        <v>3.521946867672212E-2</v>
      </c>
      <c r="BB34" s="26">
        <v>-16.567931642401565</v>
      </c>
      <c r="BC34" s="26" t="s">
        <v>59</v>
      </c>
      <c r="BD34" s="35"/>
      <c r="BE34" s="33">
        <v>736</v>
      </c>
      <c r="BF34" s="34">
        <v>4.0031809537569432</v>
      </c>
      <c r="BG34" s="35">
        <v>3.6637274314545533E-2</v>
      </c>
      <c r="BH34" s="26">
        <v>-7.9976352394138326</v>
      </c>
      <c r="BI34" s="26" t="s">
        <v>59</v>
      </c>
      <c r="BJ34" s="35"/>
      <c r="BK34" s="33">
        <v>778</v>
      </c>
      <c r="BL34" s="34">
        <v>4.218856211277326</v>
      </c>
      <c r="BM34" s="35">
        <v>3.2272497018030727E-2</v>
      </c>
      <c r="BN34" s="26">
        <v>-14.041896234774148</v>
      </c>
      <c r="BO34" s="26" t="s">
        <v>59</v>
      </c>
      <c r="BP34" s="35"/>
      <c r="BQ34" s="33">
        <v>1032</v>
      </c>
      <c r="BR34" s="34">
        <v>3.7460747500550693</v>
      </c>
      <c r="BS34" s="35">
        <v>3.3125160655886061E-2</v>
      </c>
      <c r="BT34" s="26">
        <v>-2.3004187176237294</v>
      </c>
      <c r="BU34" s="26" t="s">
        <v>59</v>
      </c>
      <c r="BV34" s="35"/>
      <c r="BW34" s="33">
        <v>1032</v>
      </c>
      <c r="BX34" s="34">
        <v>3.7890825248035367</v>
      </c>
      <c r="BY34" s="35">
        <v>3.3851565543017124E-2</v>
      </c>
      <c r="BZ34" s="26">
        <v>-3.3000141603597535</v>
      </c>
      <c r="CA34" s="26" t="s">
        <v>59</v>
      </c>
      <c r="CB34" s="27"/>
      <c r="CC34" s="9">
        <v>9529</v>
      </c>
      <c r="CD34" s="9">
        <v>9537.7637614191772</v>
      </c>
      <c r="CE34" s="10">
        <v>3.9532876802136871</v>
      </c>
      <c r="CF34" s="11">
        <v>1.1228481541642295E-2</v>
      </c>
      <c r="CG34" s="26">
        <v>-11.270255592796303</v>
      </c>
      <c r="CH34" s="26" t="s">
        <v>59</v>
      </c>
      <c r="CI34" s="26"/>
      <c r="CJ34" s="9">
        <v>396</v>
      </c>
      <c r="CK34" s="9">
        <v>396</v>
      </c>
      <c r="CL34" s="10">
        <v>3.9545454545454537</v>
      </c>
      <c r="CM34" s="11">
        <v>4.5874545977978971E-2</v>
      </c>
      <c r="CN34" s="26">
        <v>-5.8361653448018433</v>
      </c>
      <c r="CO34" s="26" t="s">
        <v>59</v>
      </c>
      <c r="CP34" s="26"/>
      <c r="CQ34" s="9">
        <v>2688</v>
      </c>
      <c r="CR34" s="9">
        <v>2693.3960310699254</v>
      </c>
      <c r="CS34" s="10">
        <v>3.599924556478268</v>
      </c>
      <c r="CT34" s="11">
        <v>2.1312600736227087E-2</v>
      </c>
      <c r="CU34" s="26">
        <v>1.5975200036875532</v>
      </c>
      <c r="CV34" s="26" t="s">
        <v>57</v>
      </c>
      <c r="CW34" s="26"/>
      <c r="CX34" s="9">
        <v>2303</v>
      </c>
      <c r="CY34" s="9">
        <v>2302.994464810055</v>
      </c>
      <c r="CZ34" s="10">
        <v>3.9135926699691823</v>
      </c>
      <c r="DA34" s="11">
        <v>2.06641261545495E-2</v>
      </c>
      <c r="DB34" s="26">
        <v>-8.2139077863570584</v>
      </c>
      <c r="DC34" s="26" t="s">
        <v>59</v>
      </c>
      <c r="DD34" s="26"/>
      <c r="DE34" s="9">
        <v>437</v>
      </c>
      <c r="DF34" s="9">
        <v>437.36988765999791</v>
      </c>
      <c r="DG34" s="10">
        <v>4.8720303242881018</v>
      </c>
      <c r="DH34" s="11">
        <v>1.843964657738242E-2</v>
      </c>
      <c r="DI34" s="26">
        <v>-40.006345544592307</v>
      </c>
      <c r="DJ34" s="26" t="s">
        <v>59</v>
      </c>
      <c r="DK34" s="26"/>
      <c r="DL34" s="9">
        <v>858</v>
      </c>
      <c r="DM34" s="9">
        <v>858</v>
      </c>
      <c r="DN34" s="10">
        <v>4.8799533799533767</v>
      </c>
      <c r="DO34" s="11">
        <v>1.2042488360634217E-2</v>
      </c>
      <c r="DP34" s="26">
        <v>-45.289277625749023</v>
      </c>
      <c r="DQ34" s="26" t="s">
        <v>59</v>
      </c>
      <c r="DR34" s="26"/>
      <c r="DS34" s="9">
        <v>530</v>
      </c>
      <c r="DT34" s="9">
        <v>530</v>
      </c>
      <c r="DU34" s="10">
        <v>4.9830188679245273</v>
      </c>
      <c r="DV34" s="11">
        <v>6.7692095966780091E-3</v>
      </c>
      <c r="DW34" s="26">
        <v>-52.776211964948537</v>
      </c>
      <c r="DX34" s="26" t="s">
        <v>59</v>
      </c>
      <c r="DY34" s="36"/>
      <c r="DZ34" s="9">
        <v>807</v>
      </c>
      <c r="EA34" s="9">
        <v>807.3725643000007</v>
      </c>
      <c r="EB34" s="10">
        <v>3.6486914607187364</v>
      </c>
      <c r="EC34" s="11">
        <v>4.2730097111688022E-2</v>
      </c>
      <c r="ED34" s="11"/>
      <c r="EE34" s="9">
        <v>768</v>
      </c>
      <c r="EF34" s="9">
        <v>767.65496896000343</v>
      </c>
      <c r="EG34" s="10">
        <v>3.5402871859370597</v>
      </c>
      <c r="EH34" s="11">
        <v>4.3786986816339718E-2</v>
      </c>
      <c r="EI34" s="6">
        <v>1.7718507254711526</v>
      </c>
      <c r="EJ34" s="6" t="s">
        <v>57</v>
      </c>
      <c r="EK34" s="45">
        <f t="shared" si="38"/>
        <v>0.10840427478167669</v>
      </c>
      <c r="EL34" s="11"/>
      <c r="EM34" s="9">
        <v>551</v>
      </c>
      <c r="EN34" s="9">
        <v>550.91271918999564</v>
      </c>
      <c r="EO34" s="10">
        <v>3.4841194054879301</v>
      </c>
      <c r="EP34" s="11">
        <v>5.3107207325303593E-2</v>
      </c>
      <c r="EQ34" s="6">
        <v>2.4143789097644146</v>
      </c>
      <c r="ER34" s="6" t="s">
        <v>59</v>
      </c>
      <c r="ES34" s="11"/>
      <c r="ET34" s="9">
        <v>537</v>
      </c>
      <c r="EU34" s="9">
        <v>538.31754363999914</v>
      </c>
      <c r="EV34" s="10">
        <v>3.5599996116634043</v>
      </c>
      <c r="EW34" s="11">
        <v>5.1712276283503271E-2</v>
      </c>
      <c r="EX34" s="6">
        <v>1.3221369800893943</v>
      </c>
      <c r="EY34" s="6" t="s">
        <v>57</v>
      </c>
      <c r="EZ34" s="11"/>
      <c r="FA34" s="9">
        <v>545</v>
      </c>
      <c r="FB34" s="9">
        <v>545.68737482000222</v>
      </c>
      <c r="FC34" s="10">
        <v>3.6229120773998558</v>
      </c>
      <c r="FD34" s="11">
        <v>5.111691608745228E-2</v>
      </c>
      <c r="FE34" s="6">
        <v>0.38693651905389942</v>
      </c>
      <c r="FF34" s="6" t="s">
        <v>57</v>
      </c>
      <c r="FG34" s="45">
        <f t="shared" si="39"/>
        <v>2.5779383318880633E-2</v>
      </c>
      <c r="FH34" s="11"/>
      <c r="FI34" s="28">
        <v>574</v>
      </c>
      <c r="FJ34" s="28">
        <v>573.9737145399971</v>
      </c>
      <c r="FK34" s="29">
        <v>3.6003012580918243</v>
      </c>
      <c r="FL34" s="27">
        <v>4.9601768092609577E-2</v>
      </c>
      <c r="FM34" s="6">
        <v>0.73913096529541467</v>
      </c>
      <c r="FN34" s="6" t="s">
        <v>57</v>
      </c>
      <c r="FO34" s="11"/>
      <c r="FP34" s="37">
        <v>3676</v>
      </c>
      <c r="FQ34" s="37">
        <v>3676.6195487898481</v>
      </c>
      <c r="FR34" s="10">
        <v>3.7827536211537374</v>
      </c>
      <c r="FS34" s="11">
        <v>1.8083640061267475E-2</v>
      </c>
      <c r="FT34" s="26">
        <v>-2.8893248924708104</v>
      </c>
      <c r="FU34" s="26" t="s">
        <v>59</v>
      </c>
      <c r="FV34" s="26"/>
      <c r="FW34" s="9">
        <v>845</v>
      </c>
      <c r="FX34" s="9">
        <v>844.9018064999874</v>
      </c>
      <c r="FY34" s="10">
        <v>3.7598497979066616</v>
      </c>
      <c r="FZ34" s="11">
        <v>3.5132280219666905E-2</v>
      </c>
      <c r="GA34" s="26">
        <v>-2.0094236687168836</v>
      </c>
      <c r="GB34" s="26" t="s">
        <v>59</v>
      </c>
      <c r="GC34" s="26"/>
      <c r="GD34" s="37">
        <v>274</v>
      </c>
      <c r="GE34" s="37">
        <v>274.01873920000088</v>
      </c>
      <c r="GF34" s="10">
        <v>4.1569205745765281</v>
      </c>
      <c r="GG34" s="11">
        <v>5.5001332402233948E-2</v>
      </c>
      <c r="GH34" s="26">
        <v>-7.2969867060340388</v>
      </c>
      <c r="GI34" s="26" t="s">
        <v>59</v>
      </c>
      <c r="GJ34" s="26"/>
      <c r="GK34" s="37">
        <v>426</v>
      </c>
      <c r="GL34" s="37">
        <v>426.21993102999909</v>
      </c>
      <c r="GM34" s="10">
        <v>3.7960846440944991</v>
      </c>
      <c r="GN34" s="11">
        <v>4.7231169644162477E-2</v>
      </c>
      <c r="GO34" s="26">
        <v>-2.3141628584464926</v>
      </c>
      <c r="GP34" s="26" t="s">
        <v>59</v>
      </c>
      <c r="GQ34" s="26"/>
      <c r="GR34" s="37">
        <v>1037</v>
      </c>
      <c r="GS34" s="37">
        <v>1036.9998180400153</v>
      </c>
      <c r="GT34" s="10">
        <v>3.7251659084196627</v>
      </c>
      <c r="GU34" s="11">
        <v>3.5770972101078401E-2</v>
      </c>
      <c r="GV34" s="26">
        <v>-1.3723216709130626</v>
      </c>
      <c r="GW34" s="26" t="s">
        <v>57</v>
      </c>
      <c r="GX34" s="26"/>
      <c r="GY34" s="37">
        <v>287</v>
      </c>
      <c r="GZ34" s="37">
        <v>287.10668972000065</v>
      </c>
      <c r="HA34" s="10">
        <v>4.0582516775778066</v>
      </c>
      <c r="HB34" s="11">
        <v>5.6968353431992344E-2</v>
      </c>
      <c r="HC34" s="26">
        <v>-5.7512210688121979</v>
      </c>
      <c r="HD34" s="26" t="s">
        <v>59</v>
      </c>
      <c r="HE34" s="15"/>
      <c r="HF34" s="37">
        <v>683</v>
      </c>
      <c r="HG34" s="37">
        <v>682.94852684000512</v>
      </c>
      <c r="HH34" s="10">
        <v>3.3266858960986805</v>
      </c>
      <c r="HI34" s="11">
        <v>5.0930483775099046E-2</v>
      </c>
      <c r="HJ34" s="11"/>
      <c r="HK34" s="37">
        <v>739</v>
      </c>
      <c r="HL34" s="37">
        <v>738.96700581000709</v>
      </c>
      <c r="HM34" s="10">
        <v>3.2486013766590736</v>
      </c>
      <c r="HN34" s="11">
        <v>4.784161299623739E-2</v>
      </c>
      <c r="HO34" s="6">
        <v>1.1174636480073068</v>
      </c>
      <c r="HP34" s="6" t="s">
        <v>57</v>
      </c>
      <c r="HQ34" s="45">
        <f t="shared" si="40"/>
        <v>7.8084519439606925E-2</v>
      </c>
      <c r="HR34" s="27"/>
      <c r="HS34" s="3">
        <v>538</v>
      </c>
      <c r="HT34" s="3">
        <v>537.9831366599949</v>
      </c>
      <c r="HU34" s="29">
        <v>3.2048689684480878</v>
      </c>
      <c r="HV34" s="27">
        <v>5.840349819222803E-2</v>
      </c>
      <c r="HW34" s="6">
        <v>1.5720102554958166</v>
      </c>
      <c r="HX34" s="6" t="s">
        <v>57</v>
      </c>
      <c r="HY34" s="27"/>
      <c r="HZ34" s="9">
        <v>551</v>
      </c>
      <c r="IA34" s="9">
        <v>550.16530286000261</v>
      </c>
      <c r="IB34" s="10">
        <v>3.454541624271855</v>
      </c>
      <c r="IC34" s="11">
        <v>5.2151748026522615E-2</v>
      </c>
      <c r="ID34" s="6">
        <v>-1.7539648989413823</v>
      </c>
      <c r="IE34" s="6" t="s">
        <v>57</v>
      </c>
      <c r="IF34" s="27"/>
      <c r="IG34" s="9">
        <v>1111</v>
      </c>
      <c r="IH34" s="9">
        <v>1110.9402855099966</v>
      </c>
      <c r="II34" s="10">
        <v>3.2411493505584921</v>
      </c>
      <c r="IJ34" s="11">
        <v>3.8584117156802281E-2</v>
      </c>
      <c r="IK34" s="6">
        <v>1.3386921715574083</v>
      </c>
      <c r="IL34" s="6" t="s">
        <v>57</v>
      </c>
      <c r="IM34" s="45">
        <f t="shared" si="41"/>
        <v>8.5536545540188413E-2</v>
      </c>
      <c r="IN34" s="11"/>
      <c r="IO34" s="28">
        <v>1147</v>
      </c>
      <c r="IP34" s="28">
        <v>1146.5288475899956</v>
      </c>
      <c r="IQ34" s="29">
        <v>3.2153419292667347</v>
      </c>
      <c r="IR34" s="27">
        <v>3.8165803658824146E-2</v>
      </c>
      <c r="IS34" s="6">
        <v>1.7494844226759283</v>
      </c>
      <c r="IT34" s="6" t="s">
        <v>57</v>
      </c>
      <c r="IU34" s="27"/>
      <c r="IV34" s="37">
        <v>4041</v>
      </c>
      <c r="IW34" s="37">
        <v>4054.682014869989</v>
      </c>
      <c r="IX34" s="10">
        <v>3.7889830504113142</v>
      </c>
      <c r="IY34" s="11">
        <v>1.7542256836315523E-2</v>
      </c>
      <c r="IZ34" s="26">
        <v>-8.582208964193299</v>
      </c>
      <c r="JA34" s="26" t="s">
        <v>59</v>
      </c>
      <c r="JB34" s="26"/>
      <c r="JC34" s="37">
        <v>845</v>
      </c>
      <c r="JD34" s="37">
        <v>844.9018064999874</v>
      </c>
      <c r="JE34" s="10">
        <v>3.7598497979066616</v>
      </c>
      <c r="JF34" s="11">
        <v>3.5132280219666905E-2</v>
      </c>
      <c r="JG34" s="26">
        <v>-7.0009252652498146</v>
      </c>
      <c r="JH34" s="26" t="s">
        <v>59</v>
      </c>
      <c r="JI34" s="26"/>
      <c r="JJ34" s="37">
        <v>529</v>
      </c>
      <c r="JK34" s="37">
        <v>529</v>
      </c>
      <c r="JL34" s="10">
        <v>4.0680529300567061</v>
      </c>
      <c r="JM34" s="11">
        <v>4.1262291124069837E-2</v>
      </c>
      <c r="JN34" s="26">
        <v>-11.310357309847641</v>
      </c>
      <c r="JO34" s="26" t="s">
        <v>59</v>
      </c>
      <c r="JP34" s="26"/>
      <c r="JQ34" s="37">
        <v>682</v>
      </c>
      <c r="JR34" s="37">
        <v>695.93016651000653</v>
      </c>
      <c r="JS34" s="10">
        <v>3.6808704341359961</v>
      </c>
      <c r="JT34" s="11">
        <v>4.5760159512029573E-2</v>
      </c>
      <c r="JU34" s="26">
        <v>-5.1729720665414263</v>
      </c>
      <c r="JV34" s="26" t="s">
        <v>59</v>
      </c>
      <c r="JW34" s="26"/>
      <c r="JX34" s="37">
        <v>274</v>
      </c>
      <c r="JY34" s="37">
        <v>274.01873920000088</v>
      </c>
      <c r="JZ34" s="10">
        <v>4.1569205745765281</v>
      </c>
      <c r="KA34" s="11">
        <v>5.5001332402233948E-2</v>
      </c>
      <c r="KB34" s="26">
        <v>-11.07564446553854</v>
      </c>
      <c r="KC34" s="26" t="s">
        <v>59</v>
      </c>
      <c r="KD34" s="26"/>
      <c r="KE34" s="37">
        <v>1028</v>
      </c>
      <c r="KF34" s="37">
        <v>1027.8827758199843</v>
      </c>
      <c r="KG34" s="10">
        <v>3.9515784264014973</v>
      </c>
      <c r="KH34" s="11">
        <v>3.0702863453705081E-2</v>
      </c>
      <c r="KI34" s="26">
        <v>-10.507843354488523</v>
      </c>
      <c r="KJ34" s="26" t="s">
        <v>59</v>
      </c>
      <c r="KL34" s="9"/>
      <c r="KM34" s="9"/>
      <c r="KN34" s="10"/>
      <c r="KO34" s="11"/>
    </row>
    <row r="35" spans="1:301" s="7" customFormat="1" x14ac:dyDescent="0.25">
      <c r="B35" s="5" t="s">
        <v>26</v>
      </c>
      <c r="C35" s="9">
        <v>2271</v>
      </c>
      <c r="D35" s="9">
        <v>2274.1388683500686</v>
      </c>
      <c r="E35" s="10">
        <v>2.9863042606089469</v>
      </c>
      <c r="F35" s="11">
        <v>2.6419273803407209E-2</v>
      </c>
      <c r="G35" s="11"/>
      <c r="H35" s="9">
        <v>2379</v>
      </c>
      <c r="I35" s="9">
        <v>2377.3036380499402</v>
      </c>
      <c r="J35" s="10">
        <v>2.9094621405633529</v>
      </c>
      <c r="K35" s="11">
        <v>2.6019430112321815E-2</v>
      </c>
      <c r="L35" s="26">
        <v>2.0722863318680416</v>
      </c>
      <c r="M35" s="26" t="s">
        <v>59</v>
      </c>
      <c r="N35" s="45">
        <f t="shared" si="36"/>
        <v>7.6842120045593987E-2</v>
      </c>
      <c r="O35" s="11"/>
      <c r="P35" s="3">
        <v>787</v>
      </c>
      <c r="Q35" s="3">
        <v>786.97829554000862</v>
      </c>
      <c r="R35" s="10">
        <v>2.819914567093933</v>
      </c>
      <c r="S35" s="11">
        <v>4.4310554577170917E-2</v>
      </c>
      <c r="T35" s="26">
        <v>3.2253071421269306</v>
      </c>
      <c r="U35" s="26" t="s">
        <v>59</v>
      </c>
      <c r="V35" s="27"/>
      <c r="W35" s="9">
        <v>928</v>
      </c>
      <c r="X35" s="9">
        <v>928.93712760000426</v>
      </c>
      <c r="Y35" s="10">
        <v>2.6195733782833917</v>
      </c>
      <c r="Z35" s="11">
        <v>3.2366577976244114E-2</v>
      </c>
      <c r="AA35" s="26">
        <v>8.7776533577145255</v>
      </c>
      <c r="AB35" s="26" t="s">
        <v>59</v>
      </c>
      <c r="AC35" s="26"/>
      <c r="AD35" s="9">
        <v>888</v>
      </c>
      <c r="AE35" s="9">
        <v>889.3204970900133</v>
      </c>
      <c r="AF35" s="10">
        <v>2.6059691610880109</v>
      </c>
      <c r="AG35" s="11">
        <v>3.5863402772067773E-2</v>
      </c>
      <c r="AH35" s="26">
        <v>8.5384271388188324</v>
      </c>
      <c r="AI35" s="26" t="s">
        <v>59</v>
      </c>
      <c r="AJ35" s="45">
        <f t="shared" si="37"/>
        <v>0.38033509952093603</v>
      </c>
      <c r="AK35" s="27"/>
      <c r="AL35" s="28">
        <v>958</v>
      </c>
      <c r="AM35" s="28">
        <v>959.21097236000082</v>
      </c>
      <c r="AN35" s="29">
        <v>2.6190851470755807</v>
      </c>
      <c r="AO35" s="27">
        <v>3.5500158722038058E-2</v>
      </c>
      <c r="AP35" s="26">
        <v>8.2983623991450077</v>
      </c>
      <c r="AQ35" s="26" t="s">
        <v>59</v>
      </c>
      <c r="AR35" s="27"/>
      <c r="AS35" s="30">
        <v>4811</v>
      </c>
      <c r="AT35" s="31">
        <v>3.378286949667491</v>
      </c>
      <c r="AU35" s="32">
        <v>1.7742641116805298E-2</v>
      </c>
      <c r="AV35" s="26">
        <v>-12.317128456028687</v>
      </c>
      <c r="AW35" s="26" t="s">
        <v>59</v>
      </c>
      <c r="AX35" s="27"/>
      <c r="AY35" s="33">
        <v>636</v>
      </c>
      <c r="AZ35" s="34">
        <v>3.9014630835854835</v>
      </c>
      <c r="BA35" s="35">
        <v>4.8397124129158128E-2</v>
      </c>
      <c r="BB35" s="26">
        <v>-16.597440984088973</v>
      </c>
      <c r="BC35" s="26" t="s">
        <v>59</v>
      </c>
      <c r="BD35" s="35"/>
      <c r="BE35" s="33">
        <v>748</v>
      </c>
      <c r="BF35" s="34">
        <v>3.3795645496922169</v>
      </c>
      <c r="BG35" s="35">
        <v>4.1727430080880507E-2</v>
      </c>
      <c r="BH35" s="26">
        <v>-7.9626983832951792</v>
      </c>
      <c r="BI35" s="26" t="s">
        <v>59</v>
      </c>
      <c r="BJ35" s="35"/>
      <c r="BK35" s="33">
        <v>774</v>
      </c>
      <c r="BL35" s="34">
        <v>3.6495032419401823</v>
      </c>
      <c r="BM35" s="35">
        <v>4.0102966310774958E-2</v>
      </c>
      <c r="BN35" s="26">
        <v>-13.809976023611636</v>
      </c>
      <c r="BO35" s="26" t="s">
        <v>59</v>
      </c>
      <c r="BP35" s="35"/>
      <c r="BQ35" s="33">
        <v>1010</v>
      </c>
      <c r="BR35" s="34">
        <v>3.1762774157045008</v>
      </c>
      <c r="BS35" s="35">
        <v>3.7072935230496935E-2</v>
      </c>
      <c r="BT35" s="26">
        <v>-4.1730874068770669</v>
      </c>
      <c r="BU35" s="26" t="s">
        <v>59</v>
      </c>
      <c r="BV35" s="35"/>
      <c r="BW35" s="33">
        <v>1025</v>
      </c>
      <c r="BX35" s="34">
        <v>2.9758021018031728</v>
      </c>
      <c r="BY35" s="35">
        <v>3.6549278837079154E-2</v>
      </c>
      <c r="BZ35" s="26">
        <v>0.23287426123054503</v>
      </c>
      <c r="CA35" s="26" t="s">
        <v>57</v>
      </c>
      <c r="CB35" s="27"/>
      <c r="CC35" s="9">
        <v>9384</v>
      </c>
      <c r="CD35" s="9">
        <v>9389.262772469192</v>
      </c>
      <c r="CE35" s="10">
        <v>3.4630606503290471</v>
      </c>
      <c r="CF35" s="11">
        <v>1.3335491592501966E-2</v>
      </c>
      <c r="CG35" s="26">
        <v>-16.109821872165945</v>
      </c>
      <c r="CH35" s="26" t="s">
        <v>59</v>
      </c>
      <c r="CI35" s="26"/>
      <c r="CJ35" s="9">
        <v>404</v>
      </c>
      <c r="CK35" s="9">
        <v>404</v>
      </c>
      <c r="CL35" s="10">
        <v>3.0173267326732711</v>
      </c>
      <c r="CM35" s="11">
        <v>5.8902590990208975E-2</v>
      </c>
      <c r="CN35" s="26">
        <v>-0.48055040701113533</v>
      </c>
      <c r="CO35" s="26" t="s">
        <v>57</v>
      </c>
      <c r="CP35" s="26"/>
      <c r="CQ35" s="9">
        <v>2675</v>
      </c>
      <c r="CR35" s="9">
        <v>2676.8008734299287</v>
      </c>
      <c r="CS35" s="10">
        <v>3.0416779060210941</v>
      </c>
      <c r="CT35" s="11">
        <v>2.3353157464695368E-2</v>
      </c>
      <c r="CU35" s="26">
        <v>-1.5703872722716887</v>
      </c>
      <c r="CV35" s="26" t="s">
        <v>57</v>
      </c>
      <c r="CW35" s="26"/>
      <c r="CX35" s="9">
        <v>2236</v>
      </c>
      <c r="CY35" s="9">
        <v>2235.9912196700511</v>
      </c>
      <c r="CZ35" s="10">
        <v>3.4266454315150603</v>
      </c>
      <c r="DA35" s="11">
        <v>2.340229667375255E-2</v>
      </c>
      <c r="DB35" s="26">
        <v>-12.4764795208752</v>
      </c>
      <c r="DC35" s="26" t="s">
        <v>59</v>
      </c>
      <c r="DD35" s="26"/>
      <c r="DE35" s="9">
        <v>430</v>
      </c>
      <c r="DF35" s="9">
        <v>430.33181101999804</v>
      </c>
      <c r="DG35" s="10">
        <v>4.7461066682683093</v>
      </c>
      <c r="DH35" s="11">
        <v>2.7312573082535478E-2</v>
      </c>
      <c r="DI35" s="26">
        <v>-46.311316475352072</v>
      </c>
      <c r="DJ35" s="26" t="s">
        <v>59</v>
      </c>
      <c r="DK35" s="26"/>
      <c r="DL35" s="9">
        <v>847</v>
      </c>
      <c r="DM35" s="9">
        <v>847</v>
      </c>
      <c r="DN35" s="10">
        <v>4.8122786304604466</v>
      </c>
      <c r="DO35" s="11">
        <v>1.6502888022910396E-2</v>
      </c>
      <c r="DP35" s="26">
        <v>-58.618734451784597</v>
      </c>
      <c r="DQ35" s="26" t="s">
        <v>59</v>
      </c>
      <c r="DR35" s="26"/>
      <c r="DS35" s="9">
        <v>521</v>
      </c>
      <c r="DT35" s="9">
        <v>521</v>
      </c>
      <c r="DU35" s="10">
        <v>4.9577735124760052</v>
      </c>
      <c r="DV35" s="11">
        <v>1.1697598703292462E-2</v>
      </c>
      <c r="DW35" s="26">
        <v>-68.233194927832287</v>
      </c>
      <c r="DX35" s="26" t="s">
        <v>59</v>
      </c>
      <c r="DY35" s="36"/>
      <c r="DZ35" s="9">
        <v>800</v>
      </c>
      <c r="EA35" s="9">
        <v>799.36848898000085</v>
      </c>
      <c r="EB35" s="10">
        <v>2.9399489832139212</v>
      </c>
      <c r="EC35" s="11">
        <v>4.3379427627585496E-2</v>
      </c>
      <c r="ED35" s="11"/>
      <c r="EE35" s="9">
        <v>782</v>
      </c>
      <c r="EF35" s="9">
        <v>782.35210018000362</v>
      </c>
      <c r="EG35" s="10">
        <v>2.8669595100006062</v>
      </c>
      <c r="EH35" s="11">
        <v>4.3748558228982194E-2</v>
      </c>
      <c r="EI35" s="6">
        <v>1.1847143663965969</v>
      </c>
      <c r="EJ35" s="6" t="s">
        <v>57</v>
      </c>
      <c r="EK35" s="45">
        <f t="shared" si="38"/>
        <v>7.2989473213314948E-2</v>
      </c>
      <c r="EL35" s="11"/>
      <c r="EM35" s="9">
        <v>532</v>
      </c>
      <c r="EN35" s="9">
        <v>531.82684540999594</v>
      </c>
      <c r="EO35" s="10">
        <v>2.8570869064509026</v>
      </c>
      <c r="EP35" s="11">
        <v>5.3532001677527023E-2</v>
      </c>
      <c r="EQ35" s="6">
        <v>1.2026122312810008</v>
      </c>
      <c r="ER35" s="6" t="s">
        <v>57</v>
      </c>
      <c r="ES35" s="11"/>
      <c r="ET35" s="9">
        <v>543</v>
      </c>
      <c r="EU35" s="9">
        <v>544.22555086999887</v>
      </c>
      <c r="EV35" s="10">
        <v>2.8397281194156268</v>
      </c>
      <c r="EW35" s="11">
        <v>5.5784115982810405E-2</v>
      </c>
      <c r="EX35" s="6">
        <v>1.4182390034945125</v>
      </c>
      <c r="EY35" s="6" t="s">
        <v>57</v>
      </c>
      <c r="EZ35" s="11"/>
      <c r="FA35" s="9">
        <v>529</v>
      </c>
      <c r="FB35" s="9">
        <v>528.39831435000269</v>
      </c>
      <c r="FC35" s="10">
        <v>2.9227224586432876</v>
      </c>
      <c r="FD35" s="11">
        <v>5.2646149656121265E-2</v>
      </c>
      <c r="FE35" s="6">
        <v>0.25252992928775603</v>
      </c>
      <c r="FF35" s="6" t="s">
        <v>57</v>
      </c>
      <c r="FG35" s="45">
        <f t="shared" si="39"/>
        <v>1.7226524570633561E-2</v>
      </c>
      <c r="FH35" s="11"/>
      <c r="FI35" s="28">
        <v>571</v>
      </c>
      <c r="FJ35" s="28">
        <v>570.92228595999688</v>
      </c>
      <c r="FK35" s="29">
        <v>2.8473187243454214</v>
      </c>
      <c r="FL35" s="27">
        <v>4.99678470646331E-2</v>
      </c>
      <c r="FM35" s="6">
        <v>1.3998683714736777</v>
      </c>
      <c r="FN35" s="6" t="s">
        <v>57</v>
      </c>
      <c r="FO35" s="11"/>
      <c r="FP35" s="37">
        <v>3634</v>
      </c>
      <c r="FQ35" s="37">
        <v>3633.1870403198486</v>
      </c>
      <c r="FR35" s="10">
        <v>3.1534345110074296</v>
      </c>
      <c r="FS35" s="11">
        <v>2.0098315242500955E-2</v>
      </c>
      <c r="FT35" s="26">
        <v>-4.4653675159056272</v>
      </c>
      <c r="FU35" s="26" t="s">
        <v>59</v>
      </c>
      <c r="FV35" s="26"/>
      <c r="FW35" s="9">
        <v>829</v>
      </c>
      <c r="FX35" s="9">
        <v>828.92636473998812</v>
      </c>
      <c r="FY35" s="10">
        <v>3.3813084631939994</v>
      </c>
      <c r="FZ35" s="11">
        <v>3.7813237759387233E-2</v>
      </c>
      <c r="GA35" s="26">
        <v>-7.669596097831632</v>
      </c>
      <c r="GB35" s="26" t="s">
        <v>59</v>
      </c>
      <c r="GC35" s="26"/>
      <c r="GD35" s="37">
        <v>266</v>
      </c>
      <c r="GE35" s="37">
        <v>266.00690360000107</v>
      </c>
      <c r="GF35" s="10">
        <v>3.5298766578703193</v>
      </c>
      <c r="GG35" s="11">
        <v>6.9451327175708386E-2</v>
      </c>
      <c r="GH35" s="26">
        <v>-7.2042853730128753</v>
      </c>
      <c r="GI35" s="26" t="s">
        <v>59</v>
      </c>
      <c r="GJ35" s="26"/>
      <c r="GK35" s="37">
        <v>434</v>
      </c>
      <c r="GL35" s="37">
        <v>433.7922439599991</v>
      </c>
      <c r="GM35" s="10">
        <v>2.8059817654145052</v>
      </c>
      <c r="GN35" s="11">
        <v>5.777356316436915E-2</v>
      </c>
      <c r="GO35" s="26">
        <v>1.8543069171922391</v>
      </c>
      <c r="GP35" s="26" t="s">
        <v>57</v>
      </c>
      <c r="GQ35" s="26"/>
      <c r="GR35" s="37">
        <v>1023</v>
      </c>
      <c r="GS35" s="37">
        <v>1022.9990542400147</v>
      </c>
      <c r="GT35" s="10">
        <v>3.0850433433730107</v>
      </c>
      <c r="GU35" s="11">
        <v>3.8449036270295507E-2</v>
      </c>
      <c r="GV35" s="26">
        <v>-2.5030771057451391</v>
      </c>
      <c r="GW35" s="26" t="s">
        <v>59</v>
      </c>
      <c r="GX35" s="26"/>
      <c r="GY35" s="37">
        <v>282</v>
      </c>
      <c r="GZ35" s="37">
        <v>282.09398480000067</v>
      </c>
      <c r="HA35" s="10">
        <v>3.5161259493116273</v>
      </c>
      <c r="HB35" s="11">
        <v>7.3182227179659998E-2</v>
      </c>
      <c r="HC35" s="26">
        <v>-6.7727369926571361</v>
      </c>
      <c r="HD35" s="26" t="s">
        <v>59</v>
      </c>
      <c r="HE35" s="15"/>
      <c r="HF35" s="37">
        <v>671</v>
      </c>
      <c r="HG35" s="37">
        <v>670.96192572000496</v>
      </c>
      <c r="HH35" s="10">
        <v>2.8646138396861791</v>
      </c>
      <c r="HI35" s="11">
        <v>4.866808293691844E-2</v>
      </c>
      <c r="HJ35" s="11"/>
      <c r="HK35" s="37">
        <v>741</v>
      </c>
      <c r="HL35" s="37">
        <v>740.96534943000711</v>
      </c>
      <c r="HM35" s="10">
        <v>2.6908234091564047</v>
      </c>
      <c r="HN35" s="11">
        <v>4.3930510247621707E-2</v>
      </c>
      <c r="HO35" s="6">
        <v>2.6507502232417397</v>
      </c>
      <c r="HP35" s="6" t="s">
        <v>59</v>
      </c>
      <c r="HQ35" s="45">
        <f t="shared" si="40"/>
        <v>0.17379043052977439</v>
      </c>
      <c r="HR35" s="27"/>
      <c r="HS35" s="3">
        <v>530</v>
      </c>
      <c r="HT35" s="3">
        <v>529.99134394999464</v>
      </c>
      <c r="HU35" s="29">
        <v>2.6717424326529904</v>
      </c>
      <c r="HV35" s="27">
        <v>5.6249462482172351E-2</v>
      </c>
      <c r="HW35" s="6">
        <v>2.5930078271956938</v>
      </c>
      <c r="HX35" s="6" t="s">
        <v>59</v>
      </c>
      <c r="HY35" s="27"/>
      <c r="HZ35" s="9">
        <v>539</v>
      </c>
      <c r="IA35" s="9">
        <v>538.28387018000285</v>
      </c>
      <c r="IB35" s="10">
        <v>2.8997188609015008</v>
      </c>
      <c r="IC35" s="11">
        <v>5.2096220532491147E-2</v>
      </c>
      <c r="ID35" s="6">
        <v>-0.49240940376848924</v>
      </c>
      <c r="IE35" s="6" t="s">
        <v>57</v>
      </c>
      <c r="IF35" s="27"/>
      <c r="IG35" s="9">
        <v>1086</v>
      </c>
      <c r="IH35" s="9">
        <v>1086.3633523499991</v>
      </c>
      <c r="II35" s="10">
        <v>2.7916722353433308</v>
      </c>
      <c r="IJ35" s="11">
        <v>3.6307559222205306E-2</v>
      </c>
      <c r="IK35" s="6">
        <v>1.2012939117231152</v>
      </c>
      <c r="IL35" s="6" t="s">
        <v>57</v>
      </c>
      <c r="IM35" s="45">
        <f t="shared" si="41"/>
        <v>7.2941604342848354E-2</v>
      </c>
      <c r="IN35" s="11"/>
      <c r="IO35" s="28">
        <v>1111</v>
      </c>
      <c r="IP35" s="28">
        <v>1109.6221888799939</v>
      </c>
      <c r="IQ35" s="29">
        <v>2.7248718603688538</v>
      </c>
      <c r="IR35" s="27">
        <v>3.6148611851107119E-2</v>
      </c>
      <c r="IS35" s="6">
        <v>2.3050493666104077</v>
      </c>
      <c r="IT35" s="6" t="s">
        <v>59</v>
      </c>
      <c r="IU35" s="27"/>
      <c r="IV35" s="37">
        <v>3998</v>
      </c>
      <c r="IW35" s="37">
        <v>4012.0863652199901</v>
      </c>
      <c r="IX35" s="10">
        <v>3.3038192275188409</v>
      </c>
      <c r="IY35" s="11">
        <v>1.8959553611818405E-2</v>
      </c>
      <c r="IZ35" s="26">
        <v>-8.4089493643924875</v>
      </c>
      <c r="JA35" s="26" t="s">
        <v>59</v>
      </c>
      <c r="JB35" s="26"/>
      <c r="JC35" s="37">
        <v>829</v>
      </c>
      <c r="JD35" s="37">
        <v>828.92636473998812</v>
      </c>
      <c r="JE35" s="10">
        <v>3.3813084631939994</v>
      </c>
      <c r="JF35" s="11">
        <v>3.7813237759387233E-2</v>
      </c>
      <c r="JG35" s="26">
        <v>-8.3836331239145725</v>
      </c>
      <c r="JH35" s="26" t="s">
        <v>59</v>
      </c>
      <c r="JI35" s="26"/>
      <c r="JJ35" s="37">
        <v>532</v>
      </c>
      <c r="JK35" s="37">
        <v>532</v>
      </c>
      <c r="JL35" s="10">
        <v>3.5827067669172958</v>
      </c>
      <c r="JM35" s="11">
        <v>4.9399237733115983E-2</v>
      </c>
      <c r="JN35" s="26">
        <v>-10.35521849540887</v>
      </c>
      <c r="JO35" s="26" t="s">
        <v>59</v>
      </c>
      <c r="JP35" s="26"/>
      <c r="JQ35" s="37">
        <v>673</v>
      </c>
      <c r="JR35" s="37">
        <v>687.25277932000643</v>
      </c>
      <c r="JS35" s="10">
        <v>3.2720115724740571</v>
      </c>
      <c r="JT35" s="11">
        <v>4.8954357445866681E-2</v>
      </c>
      <c r="JU35" s="26">
        <v>-5.9017672524536522</v>
      </c>
      <c r="JV35" s="26" t="s">
        <v>59</v>
      </c>
      <c r="JW35" s="26"/>
      <c r="JX35" s="37">
        <v>266</v>
      </c>
      <c r="JY35" s="37">
        <v>266.00690360000107</v>
      </c>
      <c r="JZ35" s="10">
        <v>3.5298766578703193</v>
      </c>
      <c r="KA35" s="11">
        <v>6.9451327175708386E-2</v>
      </c>
      <c r="KB35" s="26">
        <v>-7.8445190903682409</v>
      </c>
      <c r="KC35" s="26" t="s">
        <v>59</v>
      </c>
      <c r="KD35" s="26"/>
      <c r="KE35" s="37">
        <v>1027</v>
      </c>
      <c r="KF35" s="37">
        <v>1026.9383918399842</v>
      </c>
      <c r="KG35" s="10">
        <v>3.3464859678120189</v>
      </c>
      <c r="KH35" s="11">
        <v>3.628569086092092E-2</v>
      </c>
      <c r="KI35" s="26">
        <v>-7.9377842870308823</v>
      </c>
      <c r="KJ35" s="26" t="s">
        <v>59</v>
      </c>
      <c r="KL35" s="9"/>
      <c r="KM35" s="9"/>
      <c r="KN35" s="10"/>
      <c r="KO35" s="11"/>
    </row>
    <row r="36" spans="1:301" s="7" customFormat="1" x14ac:dyDescent="0.25">
      <c r="B36" s="5" t="s">
        <v>27</v>
      </c>
      <c r="C36" s="9">
        <v>881</v>
      </c>
      <c r="D36" s="9">
        <v>889.6573809499921</v>
      </c>
      <c r="E36" s="10">
        <v>3.6975130980281024</v>
      </c>
      <c r="F36" s="11">
        <v>3.6167220309481767E-2</v>
      </c>
      <c r="G36" s="11"/>
      <c r="H36" s="9">
        <v>988</v>
      </c>
      <c r="I36" s="9">
        <v>983.17490876999625</v>
      </c>
      <c r="J36" s="10">
        <v>3.625923630475766</v>
      </c>
      <c r="K36" s="11">
        <v>3.4435570680484293E-2</v>
      </c>
      <c r="L36" s="26">
        <v>1.4335461335924973</v>
      </c>
      <c r="M36" s="26" t="s">
        <v>57</v>
      </c>
      <c r="N36" s="45">
        <f t="shared" si="36"/>
        <v>7.1589467552336306E-2</v>
      </c>
      <c r="O36" s="11"/>
      <c r="P36" s="3">
        <v>315</v>
      </c>
      <c r="Q36" s="3">
        <v>314.85676512000055</v>
      </c>
      <c r="R36" s="10">
        <v>3.5836849678931242</v>
      </c>
      <c r="S36" s="11">
        <v>6.5212910233082844E-2</v>
      </c>
      <c r="T36" s="26">
        <v>1.5264454771946379</v>
      </c>
      <c r="U36" s="26" t="s">
        <v>57</v>
      </c>
      <c r="V36" s="27"/>
      <c r="W36" s="9">
        <v>147</v>
      </c>
      <c r="X36" s="9">
        <v>147.02025734999989</v>
      </c>
      <c r="Y36" s="10">
        <v>3.6395260500474156</v>
      </c>
      <c r="Z36" s="11">
        <v>8.2945539913355168E-2</v>
      </c>
      <c r="AA36" s="26">
        <v>0.64082770071231898</v>
      </c>
      <c r="AB36" s="26" t="s">
        <v>57</v>
      </c>
      <c r="AC36" s="26"/>
      <c r="AD36" s="9">
        <v>188</v>
      </c>
      <c r="AE36" s="9">
        <v>193.3390435999994</v>
      </c>
      <c r="AF36" s="10">
        <v>3.6968045666902221</v>
      </c>
      <c r="AG36" s="11">
        <v>7.5383189708503301E-2</v>
      </c>
      <c r="AH36" s="26">
        <v>8.4742045904030484E-3</v>
      </c>
      <c r="AI36" s="26" t="s">
        <v>57</v>
      </c>
      <c r="AJ36" s="45">
        <f t="shared" si="37"/>
        <v>7.0853133788029155E-4</v>
      </c>
      <c r="AK36" s="27"/>
      <c r="AL36" s="28">
        <v>281</v>
      </c>
      <c r="AM36" s="28">
        <v>285.56558517999923</v>
      </c>
      <c r="AN36" s="29">
        <v>3.4574253931812682</v>
      </c>
      <c r="AO36" s="27">
        <v>6.1932649776537577E-2</v>
      </c>
      <c r="AP36" s="26">
        <v>3.3475819749279991</v>
      </c>
      <c r="AQ36" s="26" t="s">
        <v>59</v>
      </c>
      <c r="AR36" s="27"/>
      <c r="AS36" s="30">
        <v>1975</v>
      </c>
      <c r="AT36" s="31">
        <v>3.9041775491586628</v>
      </c>
      <c r="AU36" s="32">
        <v>2.2740037912279919E-2</v>
      </c>
      <c r="AV36" s="26">
        <v>-4.8374141155481594</v>
      </c>
      <c r="AW36" s="26" t="s">
        <v>59</v>
      </c>
      <c r="AX36" s="27"/>
      <c r="AY36" s="33">
        <v>263</v>
      </c>
      <c r="AZ36" s="34">
        <v>4.2062147959845797</v>
      </c>
      <c r="BA36" s="35">
        <v>5.9800507254500743E-2</v>
      </c>
      <c r="BB36" s="26">
        <v>-7.2789354554657422</v>
      </c>
      <c r="BC36" s="26" t="s">
        <v>59</v>
      </c>
      <c r="BD36" s="35"/>
      <c r="BE36" s="33">
        <v>187</v>
      </c>
      <c r="BF36" s="34">
        <v>3.8893073782434242</v>
      </c>
      <c r="BG36" s="35">
        <v>7.2544420122199707E-2</v>
      </c>
      <c r="BH36" s="26">
        <v>-2.3660712870382143</v>
      </c>
      <c r="BI36" s="26" t="s">
        <v>59</v>
      </c>
      <c r="BJ36" s="35"/>
      <c r="BK36" s="33">
        <v>268</v>
      </c>
      <c r="BL36" s="34">
        <v>3.9622656426789682</v>
      </c>
      <c r="BM36" s="35">
        <v>5.9772259312187062E-2</v>
      </c>
      <c r="BN36" s="26">
        <v>-3.789614609096053</v>
      </c>
      <c r="BO36" s="26" t="s">
        <v>59</v>
      </c>
      <c r="BP36" s="35"/>
      <c r="BQ36" s="33">
        <v>302</v>
      </c>
      <c r="BR36" s="34">
        <v>3.6787852719340415</v>
      </c>
      <c r="BS36" s="35">
        <v>5.8949313820900871E-2</v>
      </c>
      <c r="BT36" s="26">
        <v>0.27079030885317984</v>
      </c>
      <c r="BU36" s="26" t="s">
        <v>57</v>
      </c>
      <c r="BV36" s="35"/>
      <c r="BW36" s="33">
        <v>331</v>
      </c>
      <c r="BX36" s="34">
        <v>3.6943375475251923</v>
      </c>
      <c r="BY36" s="35">
        <v>5.9656889824065952E-2</v>
      </c>
      <c r="BZ36" s="26">
        <v>4.5518485200538222E-2</v>
      </c>
      <c r="CA36" s="26" t="s">
        <v>57</v>
      </c>
      <c r="CB36" s="27"/>
      <c r="CC36" s="9">
        <v>4685</v>
      </c>
      <c r="CD36" s="9">
        <v>4726.0084880100057</v>
      </c>
      <c r="CE36" s="10">
        <v>4.1031333563548564</v>
      </c>
      <c r="CF36" s="11">
        <v>1.4981430784811673E-2</v>
      </c>
      <c r="CG36" s="26">
        <v>-10.361385302642416</v>
      </c>
      <c r="CH36" s="26" t="s">
        <v>59</v>
      </c>
      <c r="CI36" s="26"/>
      <c r="CJ36" s="9">
        <v>208</v>
      </c>
      <c r="CK36" s="9">
        <v>208</v>
      </c>
      <c r="CL36" s="10">
        <v>3.8317307692307692</v>
      </c>
      <c r="CM36" s="11">
        <v>6.7660955154038901E-2</v>
      </c>
      <c r="CN36" s="26">
        <v>-1.7494312863367811</v>
      </c>
      <c r="CO36" s="26" t="s">
        <v>57</v>
      </c>
      <c r="CP36" s="26"/>
      <c r="CQ36" s="9">
        <v>1089</v>
      </c>
      <c r="CR36" s="9">
        <v>1120.6626775600087</v>
      </c>
      <c r="CS36" s="10">
        <v>3.6715876966909198</v>
      </c>
      <c r="CT36" s="11">
        <v>3.3008411063884614E-2</v>
      </c>
      <c r="CU36" s="26">
        <v>0.52946229501215869</v>
      </c>
      <c r="CV36" s="26" t="s">
        <v>57</v>
      </c>
      <c r="CW36" s="26"/>
      <c r="CX36" s="9">
        <v>1036</v>
      </c>
      <c r="CY36" s="9">
        <v>1036.0003301699776</v>
      </c>
      <c r="CZ36" s="10">
        <v>3.916989102546049</v>
      </c>
      <c r="DA36" s="11">
        <v>2.8694246234914494E-2</v>
      </c>
      <c r="DB36" s="26">
        <v>-4.7539187368006885</v>
      </c>
      <c r="DC36" s="26" t="s">
        <v>59</v>
      </c>
      <c r="DD36" s="26"/>
      <c r="DE36" s="9">
        <v>188</v>
      </c>
      <c r="DF36" s="9">
        <v>188.68809933000043</v>
      </c>
      <c r="DG36" s="10">
        <v>4.8721140942874293</v>
      </c>
      <c r="DH36" s="11">
        <v>3.0576522162464072E-2</v>
      </c>
      <c r="DI36" s="26">
        <v>-24.801420048382532</v>
      </c>
      <c r="DJ36" s="26" t="s">
        <v>59</v>
      </c>
      <c r="DK36" s="26"/>
      <c r="DL36" s="9">
        <v>759</v>
      </c>
      <c r="DM36" s="9">
        <v>759</v>
      </c>
      <c r="DN36" s="10">
        <v>4.7457180500658778</v>
      </c>
      <c r="DO36" s="11">
        <v>2.0842419319973916E-2</v>
      </c>
      <c r="DP36" s="26">
        <v>-25.110942895368524</v>
      </c>
      <c r="DQ36" s="26" t="s">
        <v>59</v>
      </c>
      <c r="DR36" s="26"/>
      <c r="DS36" s="9">
        <v>524</v>
      </c>
      <c r="DT36" s="9">
        <v>524</v>
      </c>
      <c r="DU36" s="10">
        <v>4.9828244274809164</v>
      </c>
      <c r="DV36" s="11">
        <v>6.2908118559218545E-3</v>
      </c>
      <c r="DW36" s="26">
        <v>-35.012332531317192</v>
      </c>
      <c r="DX36" s="26" t="s">
        <v>59</v>
      </c>
      <c r="DY36" s="36"/>
      <c r="DZ36" s="9">
        <v>279</v>
      </c>
      <c r="EA36" s="9">
        <v>282.37607361000011</v>
      </c>
      <c r="EB36" s="10">
        <v>3.6835406140202269</v>
      </c>
      <c r="EC36" s="11">
        <v>5.9732982542135257E-2</v>
      </c>
      <c r="ED36" s="11"/>
      <c r="EE36" s="9">
        <v>280</v>
      </c>
      <c r="EF36" s="9">
        <v>278.29795547999913</v>
      </c>
      <c r="EG36" s="10">
        <v>3.4812170572328349</v>
      </c>
      <c r="EH36" s="11">
        <v>6.7036672796296951E-2</v>
      </c>
      <c r="EI36" s="6">
        <v>2.2533390534000404</v>
      </c>
      <c r="EJ36" s="6" t="s">
        <v>59</v>
      </c>
      <c r="EK36" s="45">
        <f t="shared" si="38"/>
        <v>0.202323556787392</v>
      </c>
      <c r="EL36" s="11"/>
      <c r="EM36" s="9">
        <v>158</v>
      </c>
      <c r="EN36" s="9">
        <v>157.64523856000045</v>
      </c>
      <c r="EO36" s="10">
        <v>3.5823495622105885</v>
      </c>
      <c r="EP36" s="11">
        <v>9.213776885509703E-2</v>
      </c>
      <c r="EQ36" s="6">
        <v>0.9215423919399891</v>
      </c>
      <c r="ER36" s="6" t="s">
        <v>57</v>
      </c>
      <c r="ES36" s="11"/>
      <c r="ET36" s="9">
        <v>210</v>
      </c>
      <c r="EU36" s="9">
        <v>212.33467516000059</v>
      </c>
      <c r="EV36" s="10">
        <v>3.5750481170726931</v>
      </c>
      <c r="EW36" s="11">
        <v>7.1705510066858685E-2</v>
      </c>
      <c r="EX36" s="6">
        <v>1.1625131458382643</v>
      </c>
      <c r="EY36" s="6" t="s">
        <v>57</v>
      </c>
      <c r="EZ36" s="11"/>
      <c r="FA36" s="9">
        <v>176</v>
      </c>
      <c r="FB36" s="9">
        <v>185.40100800000022</v>
      </c>
      <c r="FC36" s="10">
        <v>3.5310521742147172</v>
      </c>
      <c r="FD36" s="11">
        <v>7.8350456959625156E-2</v>
      </c>
      <c r="FE36" s="6">
        <v>1.5477412546753053</v>
      </c>
      <c r="FF36" s="6" t="s">
        <v>57</v>
      </c>
      <c r="FG36" s="45">
        <f t="shared" si="39"/>
        <v>0.15248843980550975</v>
      </c>
      <c r="FH36" s="11"/>
      <c r="FI36" s="28">
        <v>224</v>
      </c>
      <c r="FJ36" s="28">
        <v>223.21199999000032</v>
      </c>
      <c r="FK36" s="29">
        <v>3.551834130537419</v>
      </c>
      <c r="FL36" s="27">
        <v>7.2916699883475905E-2</v>
      </c>
      <c r="FM36" s="6">
        <v>1.3972737808403495</v>
      </c>
      <c r="FN36" s="6" t="s">
        <v>57</v>
      </c>
      <c r="FO36" s="11"/>
      <c r="FP36" s="37">
        <v>1326</v>
      </c>
      <c r="FQ36" s="37">
        <v>1329.378375600003</v>
      </c>
      <c r="FR36" s="10">
        <v>3.7435246715096304</v>
      </c>
      <c r="FS36" s="11">
        <v>2.7801678732892632E-2</v>
      </c>
      <c r="FT36" s="26">
        <v>-0.91042215997638143</v>
      </c>
      <c r="FU36" s="26" t="s">
        <v>57</v>
      </c>
      <c r="FV36" s="26"/>
      <c r="FW36" s="9">
        <v>315</v>
      </c>
      <c r="FX36" s="9">
        <v>314.89190717999946</v>
      </c>
      <c r="FY36" s="10">
        <v>3.8191086348007044</v>
      </c>
      <c r="FZ36" s="11">
        <v>5.3664517008222487E-2</v>
      </c>
      <c r="GA36" s="26">
        <v>-1.6882928685783647</v>
      </c>
      <c r="GB36" s="26" t="s">
        <v>57</v>
      </c>
      <c r="GC36" s="26"/>
      <c r="GD36" s="37">
        <v>68</v>
      </c>
      <c r="GE36" s="37">
        <v>68.079123149999972</v>
      </c>
      <c r="GF36" s="10">
        <v>3.9408424041959766</v>
      </c>
      <c r="GG36" s="11">
        <v>0.10232094296921654</v>
      </c>
      <c r="GH36" s="26">
        <v>-2.1716823691715166</v>
      </c>
      <c r="GI36" s="26" t="s">
        <v>59</v>
      </c>
      <c r="GJ36" s="26"/>
      <c r="GK36" s="37">
        <v>234</v>
      </c>
      <c r="GL36" s="37">
        <v>233.72884303999967</v>
      </c>
      <c r="GM36" s="10">
        <v>3.6968633922605991</v>
      </c>
      <c r="GN36" s="11">
        <v>6.1196886471218022E-2</v>
      </c>
      <c r="GO36" s="26">
        <v>-0.15579172852050971</v>
      </c>
      <c r="GP36" s="26" t="s">
        <v>57</v>
      </c>
      <c r="GQ36" s="26"/>
      <c r="GR36" s="37">
        <v>307</v>
      </c>
      <c r="GS36" s="37">
        <v>307.00325911999983</v>
      </c>
      <c r="GT36" s="10">
        <v>3.5635143163492553</v>
      </c>
      <c r="GU36" s="11">
        <v>6.4721307398414987E-2</v>
      </c>
      <c r="GV36" s="26">
        <v>1.3628026275068004</v>
      </c>
      <c r="GW36" s="26" t="s">
        <v>57</v>
      </c>
      <c r="GX36" s="26"/>
      <c r="GY36" s="37">
        <v>123</v>
      </c>
      <c r="GZ36" s="37">
        <v>123.29916949999993</v>
      </c>
      <c r="HA36" s="10">
        <v>4.1155784230971655</v>
      </c>
      <c r="HB36" s="11">
        <v>8.8743738671141034E-2</v>
      </c>
      <c r="HC36" s="26">
        <v>-4.0387101960675489</v>
      </c>
      <c r="HD36" s="26" t="s">
        <v>59</v>
      </c>
      <c r="HE36" s="15"/>
      <c r="HF36" s="37">
        <v>200</v>
      </c>
      <c r="HG36" s="37">
        <v>200.06360319999948</v>
      </c>
      <c r="HH36" s="10">
        <v>3.5051874617041778</v>
      </c>
      <c r="HI36" s="11">
        <v>8.2050454454195121E-2</v>
      </c>
      <c r="HJ36" s="11"/>
      <c r="HK36" s="37">
        <v>224</v>
      </c>
      <c r="HL36" s="37">
        <v>224.09328162000077</v>
      </c>
      <c r="HM36" s="10">
        <v>3.4775149405034629</v>
      </c>
      <c r="HN36" s="11">
        <v>8.0282805297861873E-2</v>
      </c>
      <c r="HO36" s="6">
        <v>0.24106295241665404</v>
      </c>
      <c r="HP36" s="6" t="s">
        <v>57</v>
      </c>
      <c r="HQ36" s="45">
        <f t="shared" si="40"/>
        <v>2.767252120071495E-2</v>
      </c>
      <c r="HR36" s="27"/>
      <c r="HS36" s="3">
        <v>162</v>
      </c>
      <c r="HT36" s="3">
        <v>162.01543399000008</v>
      </c>
      <c r="HU36" s="29">
        <v>3.413768028076495</v>
      </c>
      <c r="HV36" s="27">
        <v>9.4560581013561157E-2</v>
      </c>
      <c r="HW36" s="6">
        <v>0.73021184669120187</v>
      </c>
      <c r="HX36" s="6" t="s">
        <v>57</v>
      </c>
      <c r="HY36" s="27"/>
      <c r="HZ36" s="9">
        <v>201</v>
      </c>
      <c r="IA36" s="9">
        <v>201.23928240999953</v>
      </c>
      <c r="IB36" s="10">
        <v>3.6099126228244822</v>
      </c>
      <c r="IC36" s="11">
        <v>7.7372697738163701E-2</v>
      </c>
      <c r="ID36" s="6">
        <v>-0.92859806195405015</v>
      </c>
      <c r="IE36" s="6" t="s">
        <v>57</v>
      </c>
      <c r="IF36" s="27"/>
      <c r="IG36" s="9">
        <v>345</v>
      </c>
      <c r="IH36" s="9">
        <v>346.5057907199996</v>
      </c>
      <c r="II36" s="10">
        <v>3.2779119133042567</v>
      </c>
      <c r="IJ36" s="11">
        <v>6.0824019391532168E-2</v>
      </c>
      <c r="IK36" s="6">
        <v>2.2252165879619712</v>
      </c>
      <c r="IL36" s="6" t="s">
        <v>59</v>
      </c>
      <c r="IM36" s="45">
        <f t="shared" si="41"/>
        <v>0.22727554839992115</v>
      </c>
      <c r="IN36" s="11"/>
      <c r="IO36" s="28">
        <v>332</v>
      </c>
      <c r="IP36" s="28">
        <v>336.62863480999914</v>
      </c>
      <c r="IQ36" s="29">
        <v>3.3075504531527291</v>
      </c>
      <c r="IR36" s="27">
        <v>6.5200364870503402E-2</v>
      </c>
      <c r="IS36" s="6">
        <v>1.8858214462852305</v>
      </c>
      <c r="IT36" s="6" t="s">
        <v>57</v>
      </c>
      <c r="IU36" s="27"/>
      <c r="IV36" s="37">
        <v>1299</v>
      </c>
      <c r="IW36" s="37">
        <v>1311.8123265000027</v>
      </c>
      <c r="IX36" s="10">
        <v>3.7870966353356641</v>
      </c>
      <c r="IY36" s="11">
        <v>2.8396906751527305E-2</v>
      </c>
      <c r="IZ36" s="26">
        <v>-3.2468489897370674</v>
      </c>
      <c r="JA36" s="26" t="s">
        <v>59</v>
      </c>
      <c r="JB36" s="26"/>
      <c r="JC36" s="37">
        <v>315</v>
      </c>
      <c r="JD36" s="37">
        <v>314.89190717999946</v>
      </c>
      <c r="JE36" s="10">
        <v>3.8191086348007044</v>
      </c>
      <c r="JF36" s="11">
        <v>5.3664517008222487E-2</v>
      </c>
      <c r="JG36" s="26">
        <v>-3.201917739955487</v>
      </c>
      <c r="JH36" s="26" t="s">
        <v>59</v>
      </c>
      <c r="JI36" s="26"/>
      <c r="JJ36" s="37">
        <v>116</v>
      </c>
      <c r="JK36" s="37">
        <v>116</v>
      </c>
      <c r="JL36" s="10">
        <v>3.8103448275862082</v>
      </c>
      <c r="JM36" s="11">
        <v>9.8651927827514863E-2</v>
      </c>
      <c r="JN36" s="26">
        <v>-2.3782080715547291</v>
      </c>
      <c r="JO36" s="26" t="s">
        <v>59</v>
      </c>
      <c r="JP36" s="26"/>
      <c r="JQ36" s="37">
        <v>248</v>
      </c>
      <c r="JR36" s="37">
        <v>261.57170793000051</v>
      </c>
      <c r="JS36" s="10">
        <v>3.7388425484139867</v>
      </c>
      <c r="JT36" s="11">
        <v>6.6085266559778186E-2</v>
      </c>
      <c r="JU36" s="26">
        <v>-2.2178019396322886</v>
      </c>
      <c r="JV36" s="26" t="s">
        <v>59</v>
      </c>
      <c r="JW36" s="26"/>
      <c r="JX36" s="37">
        <v>68</v>
      </c>
      <c r="JY36" s="37">
        <v>68.079123149999972</v>
      </c>
      <c r="JZ36" s="10">
        <v>3.9408424041959766</v>
      </c>
      <c r="KA36" s="11">
        <v>0.10232094296921654</v>
      </c>
      <c r="KB36" s="26">
        <v>-3.3216589272958088</v>
      </c>
      <c r="KC36" s="26" t="s">
        <v>59</v>
      </c>
      <c r="KD36" s="26"/>
      <c r="KE36" s="37">
        <v>352</v>
      </c>
      <c r="KF36" s="37">
        <v>351.20598504000003</v>
      </c>
      <c r="KG36" s="10">
        <v>3.917440888950976</v>
      </c>
      <c r="KH36" s="11">
        <v>5.2116394709812011E-2</v>
      </c>
      <c r="KI36" s="26">
        <v>-4.2411656837567246</v>
      </c>
      <c r="KJ36" s="26" t="s">
        <v>59</v>
      </c>
      <c r="KL36" s="9"/>
      <c r="KM36" s="9"/>
      <c r="KN36" s="10"/>
      <c r="KO36" s="11"/>
    </row>
    <row r="37" spans="1:301" s="7" customFormat="1" x14ac:dyDescent="0.25">
      <c r="B37" s="5" t="s">
        <v>28</v>
      </c>
      <c r="C37" s="9">
        <v>1776</v>
      </c>
      <c r="D37" s="9">
        <v>1789.2853623300603</v>
      </c>
      <c r="E37" s="10">
        <v>3.7073184273926825</v>
      </c>
      <c r="F37" s="11">
        <v>2.4964628391823958E-2</v>
      </c>
      <c r="G37" s="11"/>
      <c r="H37" s="9">
        <v>1803</v>
      </c>
      <c r="I37" s="9">
        <v>1795.8198144999658</v>
      </c>
      <c r="J37" s="10">
        <v>3.6492491395884423</v>
      </c>
      <c r="K37" s="11">
        <v>2.4765992905567302E-2</v>
      </c>
      <c r="L37" s="26">
        <v>1.6513310542054846</v>
      </c>
      <c r="M37" s="26" t="s">
        <v>57</v>
      </c>
      <c r="N37" s="45">
        <f t="shared" si="36"/>
        <v>5.8069287804240144E-2</v>
      </c>
      <c r="O37" s="11"/>
      <c r="P37" s="3">
        <v>601</v>
      </c>
      <c r="Q37" s="3">
        <v>600.33202978000111</v>
      </c>
      <c r="R37" s="10">
        <v>3.5789269327964468</v>
      </c>
      <c r="S37" s="11">
        <v>4.557274690661943E-2</v>
      </c>
      <c r="T37" s="26">
        <v>2.4708460805404857</v>
      </c>
      <c r="U37" s="26" t="s">
        <v>59</v>
      </c>
      <c r="V37" s="27"/>
      <c r="W37" s="9">
        <v>675</v>
      </c>
      <c r="X37" s="9">
        <v>678.79143783000245</v>
      </c>
      <c r="Y37" s="10">
        <v>3.4755340116868716</v>
      </c>
      <c r="Z37" s="11">
        <v>3.3904344621189866E-2</v>
      </c>
      <c r="AA37" s="26">
        <v>5.505059869774759</v>
      </c>
      <c r="AB37" s="26" t="s">
        <v>59</v>
      </c>
      <c r="AC37" s="26"/>
      <c r="AD37" s="9">
        <v>701</v>
      </c>
      <c r="AE37" s="9">
        <v>713.90605827000695</v>
      </c>
      <c r="AF37" s="10">
        <v>3.5500753135386303</v>
      </c>
      <c r="AG37" s="11">
        <v>3.5475670156396737E-2</v>
      </c>
      <c r="AH37" s="26">
        <v>3.6248496581841056</v>
      </c>
      <c r="AI37" s="26" t="s">
        <v>59</v>
      </c>
      <c r="AJ37" s="45">
        <f t="shared" si="37"/>
        <v>0.15724311385405221</v>
      </c>
      <c r="AK37" s="27"/>
      <c r="AL37" s="28">
        <v>656</v>
      </c>
      <c r="AM37" s="28">
        <v>666.30413927999575</v>
      </c>
      <c r="AN37" s="29">
        <v>3.4839484705414594</v>
      </c>
      <c r="AO37" s="27">
        <v>3.7738318900155603E-2</v>
      </c>
      <c r="AP37" s="26">
        <v>4.9365323948973394</v>
      </c>
      <c r="AQ37" s="26" t="s">
        <v>59</v>
      </c>
      <c r="AR37" s="27"/>
      <c r="AS37" s="30">
        <v>3119</v>
      </c>
      <c r="AT37" s="31">
        <v>3.8202003190469829</v>
      </c>
      <c r="AU37" s="32">
        <v>1.8021464199048376E-2</v>
      </c>
      <c r="AV37" s="26">
        <v>-3.6662221055383868</v>
      </c>
      <c r="AW37" s="26" t="s">
        <v>59</v>
      </c>
      <c r="AX37" s="27"/>
      <c r="AY37" s="33">
        <v>360</v>
      </c>
      <c r="AZ37" s="34">
        <v>4.2199965796930083</v>
      </c>
      <c r="BA37" s="35">
        <v>4.694488551374313E-2</v>
      </c>
      <c r="BB37" s="26">
        <v>-9.6422344184645148</v>
      </c>
      <c r="BC37" s="26" t="s">
        <v>59</v>
      </c>
      <c r="BD37" s="35"/>
      <c r="BE37" s="33">
        <v>421</v>
      </c>
      <c r="BF37" s="34">
        <v>3.8966618749127329</v>
      </c>
      <c r="BG37" s="35">
        <v>4.6899037283398066E-2</v>
      </c>
      <c r="BH37" s="26">
        <v>-3.5638046496403626</v>
      </c>
      <c r="BI37" s="26" t="s">
        <v>59</v>
      </c>
      <c r="BJ37" s="35"/>
      <c r="BK37" s="33">
        <v>510</v>
      </c>
      <c r="BL37" s="34">
        <v>3.9656674249875237</v>
      </c>
      <c r="BM37" s="35">
        <v>4.1123661221065366E-2</v>
      </c>
      <c r="BN37" s="26">
        <v>-5.3701779770433005</v>
      </c>
      <c r="BO37" s="26" t="s">
        <v>59</v>
      </c>
      <c r="BP37" s="35"/>
      <c r="BQ37" s="33">
        <v>678</v>
      </c>
      <c r="BR37" s="34">
        <v>3.7713040650505998</v>
      </c>
      <c r="BS37" s="35">
        <v>3.7153717383060315E-2</v>
      </c>
      <c r="BT37" s="26">
        <v>-1.4294652073766245</v>
      </c>
      <c r="BU37" s="26" t="s">
        <v>57</v>
      </c>
      <c r="BV37" s="35"/>
      <c r="BW37" s="33">
        <v>685</v>
      </c>
      <c r="BX37" s="34">
        <v>3.6155528843650568</v>
      </c>
      <c r="BY37" s="35">
        <v>4.0795287499068592E-2</v>
      </c>
      <c r="BZ37" s="26">
        <v>1.9186696780036963</v>
      </c>
      <c r="CA37" s="26" t="s">
        <v>57</v>
      </c>
      <c r="CB37" s="27"/>
      <c r="CC37" s="9">
        <v>7753</v>
      </c>
      <c r="CD37" s="9">
        <v>7833.0628988592098</v>
      </c>
      <c r="CE37" s="10">
        <v>4.0462456393593964</v>
      </c>
      <c r="CF37" s="11">
        <v>1.1499169245604512E-2</v>
      </c>
      <c r="CG37" s="26">
        <v>-12.331039175386085</v>
      </c>
      <c r="CH37" s="26" t="s">
        <v>59</v>
      </c>
      <c r="CI37" s="26"/>
      <c r="CJ37" s="9">
        <v>372</v>
      </c>
      <c r="CK37" s="9">
        <v>372</v>
      </c>
      <c r="CL37" s="10">
        <v>3.9704301075268815</v>
      </c>
      <c r="CM37" s="11">
        <v>4.6207558632658463E-2</v>
      </c>
      <c r="CN37" s="26">
        <v>-5.0097237378009334</v>
      </c>
      <c r="CO37" s="26" t="s">
        <v>59</v>
      </c>
      <c r="CP37" s="26"/>
      <c r="CQ37" s="9">
        <v>1770</v>
      </c>
      <c r="CR37" s="9">
        <v>1835.8277619499886</v>
      </c>
      <c r="CS37" s="10">
        <v>3.5882840132359948</v>
      </c>
      <c r="CT37" s="11">
        <v>2.4948251110381906E-2</v>
      </c>
      <c r="CU37" s="26">
        <v>3.3726780643912688</v>
      </c>
      <c r="CV37" s="26" t="s">
        <v>59</v>
      </c>
      <c r="CW37" s="26"/>
      <c r="CX37" s="9">
        <v>2035</v>
      </c>
      <c r="CY37" s="9">
        <v>2034.9761003000378</v>
      </c>
      <c r="CZ37" s="10">
        <v>4.0172087527931248</v>
      </c>
      <c r="DA37" s="11">
        <v>1.9785915962571649E-2</v>
      </c>
      <c r="DB37" s="26">
        <v>-9.7282774378136381</v>
      </c>
      <c r="DC37" s="26" t="s">
        <v>59</v>
      </c>
      <c r="DD37" s="26"/>
      <c r="DE37" s="9">
        <v>425</v>
      </c>
      <c r="DF37" s="9">
        <v>425.97367427999808</v>
      </c>
      <c r="DG37" s="10">
        <v>4.9055866988306818</v>
      </c>
      <c r="DH37" s="11">
        <v>1.531378453275836E-2</v>
      </c>
      <c r="DI37" s="26">
        <v>-40.914292584459062</v>
      </c>
      <c r="DJ37" s="26" t="s">
        <v>59</v>
      </c>
      <c r="DK37" s="26"/>
      <c r="DL37" s="9">
        <v>846</v>
      </c>
      <c r="DM37" s="9">
        <v>846</v>
      </c>
      <c r="DN37" s="10">
        <v>4.8451536643025959</v>
      </c>
      <c r="DO37" s="11">
        <v>1.4227986144240722E-2</v>
      </c>
      <c r="DP37" s="26">
        <v>-39.598303863202212</v>
      </c>
      <c r="DQ37" s="26" t="s">
        <v>59</v>
      </c>
      <c r="DR37" s="26"/>
      <c r="DS37" s="9">
        <v>529</v>
      </c>
      <c r="DT37" s="9">
        <v>529</v>
      </c>
      <c r="DU37" s="10">
        <v>4.9773156899810962</v>
      </c>
      <c r="DV37" s="11">
        <v>6.4798247640841643E-3</v>
      </c>
      <c r="DW37" s="26">
        <v>-49.240207551733853</v>
      </c>
      <c r="DX37" s="26" t="s">
        <v>59</v>
      </c>
      <c r="DY37" s="36"/>
      <c r="DZ37" s="9">
        <v>519</v>
      </c>
      <c r="EA37" s="9">
        <v>524.75333198999647</v>
      </c>
      <c r="EB37" s="10">
        <v>3.4676125543966538</v>
      </c>
      <c r="EC37" s="11">
        <v>5.1948403157367193E-2</v>
      </c>
      <c r="ED37" s="11"/>
      <c r="EE37" s="9">
        <v>494</v>
      </c>
      <c r="EF37" s="9">
        <v>491.47629617999951</v>
      </c>
      <c r="EG37" s="10">
        <v>3.3975586918609761</v>
      </c>
      <c r="EH37" s="11">
        <v>5.2187027449419207E-2</v>
      </c>
      <c r="EI37" s="6">
        <v>0.9513655612977252</v>
      </c>
      <c r="EJ37" s="6" t="s">
        <v>57</v>
      </c>
      <c r="EK37" s="45">
        <f t="shared" si="38"/>
        <v>7.0053862535677691E-2</v>
      </c>
      <c r="EL37" s="11"/>
      <c r="EM37" s="9">
        <v>360</v>
      </c>
      <c r="EN37" s="9">
        <v>359.38382608999956</v>
      </c>
      <c r="EO37" s="10">
        <v>3.4125447727101421</v>
      </c>
      <c r="EP37" s="11">
        <v>6.2417838004576384E-2</v>
      </c>
      <c r="EQ37" s="6">
        <v>0.67811381547444494</v>
      </c>
      <c r="ER37" s="6" t="s">
        <v>57</v>
      </c>
      <c r="ES37" s="11"/>
      <c r="ET37" s="9">
        <v>372</v>
      </c>
      <c r="EU37" s="9">
        <v>374.96676570000085</v>
      </c>
      <c r="EV37" s="10">
        <v>3.3639085367346202</v>
      </c>
      <c r="EW37" s="11">
        <v>5.8931686738663343E-2</v>
      </c>
      <c r="EX37" s="6">
        <v>1.3200713035216696</v>
      </c>
      <c r="EY37" s="6" t="s">
        <v>57</v>
      </c>
      <c r="EZ37" s="11"/>
      <c r="FA37" s="9">
        <v>342</v>
      </c>
      <c r="FB37" s="9">
        <v>356.66835982000174</v>
      </c>
      <c r="FC37" s="10">
        <v>3.4577359658210018</v>
      </c>
      <c r="FD37" s="11">
        <v>6.1387241948064705E-2</v>
      </c>
      <c r="FE37" s="6">
        <v>0.12281587960191098</v>
      </c>
      <c r="FF37" s="6" t="s">
        <v>57</v>
      </c>
      <c r="FG37" s="45">
        <f t="shared" si="39"/>
        <v>9.87658857565199E-3</v>
      </c>
      <c r="FH37" s="11"/>
      <c r="FI37" s="28">
        <v>371</v>
      </c>
      <c r="FJ37" s="28">
        <v>369.78228571000011</v>
      </c>
      <c r="FK37" s="29">
        <v>3.4791638016942712</v>
      </c>
      <c r="FL37" s="27">
        <v>5.8982881023919194E-2</v>
      </c>
      <c r="FM37" s="6">
        <v>-0.1469665155048365</v>
      </c>
      <c r="FN37" s="6" t="s">
        <v>57</v>
      </c>
      <c r="FO37" s="11"/>
      <c r="FP37" s="37">
        <v>2529</v>
      </c>
      <c r="FQ37" s="37">
        <v>2535.3452158099358</v>
      </c>
      <c r="FR37" s="10">
        <v>3.7121753490059302</v>
      </c>
      <c r="FS37" s="11">
        <v>2.0674001901928682E-2</v>
      </c>
      <c r="FT37" s="26">
        <v>-4.3741368134148759</v>
      </c>
      <c r="FU37" s="26" t="s">
        <v>59</v>
      </c>
      <c r="FV37" s="26"/>
      <c r="FW37" s="9">
        <v>529</v>
      </c>
      <c r="FX37" s="9">
        <v>528.79460154000128</v>
      </c>
      <c r="FY37" s="10">
        <v>3.5804711989987692</v>
      </c>
      <c r="FZ37" s="11">
        <v>4.4248953439997185E-2</v>
      </c>
      <c r="GA37" s="26">
        <v>-1.6538650191581548</v>
      </c>
      <c r="GB37" s="26" t="s">
        <v>57</v>
      </c>
      <c r="GC37" s="26"/>
      <c r="GD37" s="37">
        <v>162</v>
      </c>
      <c r="GE37" s="37">
        <v>162.04635585000034</v>
      </c>
      <c r="GF37" s="10">
        <v>4.1485899857093242</v>
      </c>
      <c r="GG37" s="11">
        <v>7.0155962302005881E-2</v>
      </c>
      <c r="GH37" s="26">
        <v>-7.8008353154565242</v>
      </c>
      <c r="GI37" s="26" t="s">
        <v>59</v>
      </c>
      <c r="GJ37" s="26"/>
      <c r="GK37" s="37">
        <v>419</v>
      </c>
      <c r="GL37" s="37">
        <v>419.41931878999901</v>
      </c>
      <c r="GM37" s="10">
        <v>3.8416513338689255</v>
      </c>
      <c r="GN37" s="11">
        <v>4.0175627234359287E-2</v>
      </c>
      <c r="GO37" s="26">
        <v>-5.6956214887950285</v>
      </c>
      <c r="GP37" s="26" t="s">
        <v>59</v>
      </c>
      <c r="GQ37" s="26"/>
      <c r="GR37" s="37">
        <v>703</v>
      </c>
      <c r="GS37" s="37">
        <v>703.00266712000291</v>
      </c>
      <c r="GT37" s="10">
        <v>3.749636297340027</v>
      </c>
      <c r="GU37" s="11">
        <v>3.9652089584154324E-2</v>
      </c>
      <c r="GV37" s="26">
        <v>-4.3154362945624465</v>
      </c>
      <c r="GW37" s="26" t="s">
        <v>59</v>
      </c>
      <c r="GX37" s="26"/>
      <c r="GY37" s="37">
        <v>197</v>
      </c>
      <c r="GZ37" s="37">
        <v>197.3289405200006</v>
      </c>
      <c r="HA37" s="10">
        <v>3.9484321660412065</v>
      </c>
      <c r="HB37" s="11">
        <v>6.8176283518468508E-2</v>
      </c>
      <c r="HC37" s="26">
        <v>-5.6096753509605302</v>
      </c>
      <c r="HD37" s="26" t="s">
        <v>59</v>
      </c>
      <c r="HE37" s="15"/>
      <c r="HF37" s="37">
        <v>392</v>
      </c>
      <c r="HG37" s="37">
        <v>391.99677888000053</v>
      </c>
      <c r="HH37" s="10">
        <v>3.1255254278889453</v>
      </c>
      <c r="HI37" s="11">
        <v>6.4869993944556059E-2</v>
      </c>
      <c r="HJ37" s="11"/>
      <c r="HK37" s="37">
        <v>400</v>
      </c>
      <c r="HL37" s="37">
        <v>400.11908706000179</v>
      </c>
      <c r="HM37" s="10">
        <v>2.9646374048437294</v>
      </c>
      <c r="HN37" s="11">
        <v>6.2389014261761841E-2</v>
      </c>
      <c r="HO37" s="6">
        <v>1.7875889534326399</v>
      </c>
      <c r="HP37" s="6" t="s">
        <v>57</v>
      </c>
      <c r="HQ37" s="45">
        <f t="shared" si="40"/>
        <v>0.16088802304521588</v>
      </c>
      <c r="HR37" s="27"/>
      <c r="HS37" s="3">
        <v>287</v>
      </c>
      <c r="HT37" s="3">
        <v>286.86019578999992</v>
      </c>
      <c r="HU37" s="29">
        <v>2.9457183924485677</v>
      </c>
      <c r="HV37" s="27">
        <v>7.7052336679461847E-2</v>
      </c>
      <c r="HW37" s="6">
        <v>1.7851586968483757</v>
      </c>
      <c r="HX37" s="6" t="s">
        <v>57</v>
      </c>
      <c r="HY37" s="27"/>
      <c r="HZ37" s="9">
        <v>360</v>
      </c>
      <c r="IA37" s="9">
        <v>358.82721435000076</v>
      </c>
      <c r="IB37" s="10">
        <v>3.3017534145957685</v>
      </c>
      <c r="IC37" s="11">
        <v>6.2685357294111191E-2</v>
      </c>
      <c r="ID37" s="6">
        <v>-1.9535633877010083</v>
      </c>
      <c r="IE37" s="6" t="s">
        <v>57</v>
      </c>
      <c r="IF37" s="27"/>
      <c r="IG37" s="9">
        <v>634</v>
      </c>
      <c r="IH37" s="9">
        <v>637.87677151000321</v>
      </c>
      <c r="II37" s="10">
        <v>2.9412241755860653</v>
      </c>
      <c r="IJ37" s="11">
        <v>4.6920313106781894E-2</v>
      </c>
      <c r="IK37" s="6">
        <v>2.3020340430663286</v>
      </c>
      <c r="IL37" s="6" t="s">
        <v>59</v>
      </c>
      <c r="IM37" s="45">
        <f t="shared" si="41"/>
        <v>0.18430125230287997</v>
      </c>
      <c r="IN37" s="11"/>
      <c r="IO37" s="28">
        <v>612</v>
      </c>
      <c r="IP37" s="28">
        <v>613.68130724000093</v>
      </c>
      <c r="IQ37" s="29">
        <v>2.9366474746561031</v>
      </c>
      <c r="IR37" s="27">
        <v>4.9549887446728384E-2</v>
      </c>
      <c r="IS37" s="6">
        <v>2.3138560728571504</v>
      </c>
      <c r="IT37" s="6" t="s">
        <v>59</v>
      </c>
      <c r="IU37" s="27"/>
      <c r="IV37" s="37">
        <v>2469</v>
      </c>
      <c r="IW37" s="37">
        <v>2487.2349503799628</v>
      </c>
      <c r="IX37" s="10">
        <v>3.662657397383462</v>
      </c>
      <c r="IY37" s="11">
        <v>2.2245127634253334E-2</v>
      </c>
      <c r="IZ37" s="26">
        <v>-7.8324075152215018</v>
      </c>
      <c r="JA37" s="26" t="s">
        <v>59</v>
      </c>
      <c r="JB37" s="26"/>
      <c r="JC37" s="37">
        <v>529</v>
      </c>
      <c r="JD37" s="37">
        <v>528.79460154000128</v>
      </c>
      <c r="JE37" s="10">
        <v>3.5804711989987692</v>
      </c>
      <c r="JF37" s="11">
        <v>4.4248953439997185E-2</v>
      </c>
      <c r="JG37" s="26">
        <v>-5.7936845289902301</v>
      </c>
      <c r="JH37" s="26" t="s">
        <v>59</v>
      </c>
      <c r="JI37" s="26"/>
      <c r="JJ37" s="37">
        <v>295</v>
      </c>
      <c r="JK37" s="37">
        <v>295</v>
      </c>
      <c r="JL37" s="10">
        <v>3.901694915254236</v>
      </c>
      <c r="JM37" s="11">
        <v>5.5810656552173349E-2</v>
      </c>
      <c r="JN37" s="26">
        <v>-9.0701331980534299</v>
      </c>
      <c r="JO37" s="26" t="s">
        <v>59</v>
      </c>
      <c r="JP37" s="26"/>
      <c r="JQ37" s="37">
        <v>464</v>
      </c>
      <c r="JR37" s="37">
        <v>483.69094437000371</v>
      </c>
      <c r="JS37" s="10">
        <v>3.5791073661609247</v>
      </c>
      <c r="JT37" s="11">
        <v>5.2613603919414678E-2</v>
      </c>
      <c r="JU37" s="26">
        <v>-5.4305391268390366</v>
      </c>
      <c r="JV37" s="26" t="s">
        <v>59</v>
      </c>
      <c r="JW37" s="26"/>
      <c r="JX37" s="37">
        <v>162</v>
      </c>
      <c r="JY37" s="37">
        <v>162.04635585000034</v>
      </c>
      <c r="JZ37" s="10">
        <v>4.1485899857093242</v>
      </c>
      <c r="KA37" s="11">
        <v>7.0155962302005881E-2</v>
      </c>
      <c r="KB37" s="26">
        <v>-10.707010821221328</v>
      </c>
      <c r="KC37" s="26" t="s">
        <v>59</v>
      </c>
      <c r="KD37" s="26"/>
      <c r="KE37" s="37">
        <v>627</v>
      </c>
      <c r="KF37" s="37">
        <v>625.70626973999822</v>
      </c>
      <c r="KG37" s="10">
        <v>3.894661370378484</v>
      </c>
      <c r="KH37" s="11">
        <v>3.9661776137690077E-2</v>
      </c>
      <c r="KI37" s="26">
        <v>-10.115681318111204</v>
      </c>
      <c r="KJ37" s="26" t="s">
        <v>59</v>
      </c>
      <c r="KL37" s="9"/>
      <c r="KM37" s="9"/>
      <c r="KN37" s="10"/>
      <c r="KO37" s="11"/>
    </row>
    <row r="38" spans="1:301" s="7" customFormat="1" x14ac:dyDescent="0.25">
      <c r="B38" s="5" t="s">
        <v>29</v>
      </c>
      <c r="C38" s="9">
        <v>1607</v>
      </c>
      <c r="D38" s="9">
        <v>1619.3113203500434</v>
      </c>
      <c r="E38" s="10">
        <v>3.1045564167447472</v>
      </c>
      <c r="F38" s="11">
        <v>2.9048344177949256E-2</v>
      </c>
      <c r="G38" s="11"/>
      <c r="H38" s="9">
        <v>1679</v>
      </c>
      <c r="I38" s="9">
        <v>1671.9264033899726</v>
      </c>
      <c r="J38" s="10">
        <v>3.0319728310717577</v>
      </c>
      <c r="K38" s="11">
        <v>2.82982659460502E-2</v>
      </c>
      <c r="L38" s="26">
        <v>1.789816549446174</v>
      </c>
      <c r="M38" s="26" t="s">
        <v>57</v>
      </c>
      <c r="N38" s="45">
        <f t="shared" si="36"/>
        <v>7.2583585672989503E-2</v>
      </c>
      <c r="O38" s="11"/>
      <c r="P38" s="3">
        <v>555</v>
      </c>
      <c r="Q38" s="3">
        <v>554.50113959999919</v>
      </c>
      <c r="R38" s="10">
        <v>2.9601420882273701</v>
      </c>
      <c r="S38" s="11">
        <v>5.1961188638268513E-2</v>
      </c>
      <c r="T38" s="26">
        <v>2.425925359029657</v>
      </c>
      <c r="U38" s="26" t="s">
        <v>59</v>
      </c>
      <c r="V38" s="27"/>
      <c r="W38" s="9">
        <v>503</v>
      </c>
      <c r="X38" s="9">
        <v>505.44023006999976</v>
      </c>
      <c r="Y38" s="10">
        <v>2.8006333459723924</v>
      </c>
      <c r="Z38" s="11">
        <v>4.3074751908106571E-2</v>
      </c>
      <c r="AA38" s="26">
        <v>5.8498249933155027</v>
      </c>
      <c r="AB38" s="26" t="s">
        <v>59</v>
      </c>
      <c r="AC38" s="26"/>
      <c r="AD38" s="9">
        <v>554</v>
      </c>
      <c r="AE38" s="9">
        <v>568.01447064000149</v>
      </c>
      <c r="AF38" s="10">
        <v>2.8187253573417181</v>
      </c>
      <c r="AG38" s="11">
        <v>4.3943375691697782E-2</v>
      </c>
      <c r="AH38" s="26">
        <v>5.4261462749869782</v>
      </c>
      <c r="AI38" s="26" t="s">
        <v>59</v>
      </c>
      <c r="AJ38" s="45">
        <f t="shared" si="37"/>
        <v>0.28583105940302911</v>
      </c>
      <c r="AK38" s="27"/>
      <c r="AL38" s="28">
        <v>558</v>
      </c>
      <c r="AM38" s="28">
        <v>564.18517427999473</v>
      </c>
      <c r="AN38" s="29">
        <v>2.768493521180019</v>
      </c>
      <c r="AO38" s="27">
        <v>4.7427620763891461E-2</v>
      </c>
      <c r="AP38" s="26">
        <v>6.0425128329142641</v>
      </c>
      <c r="AQ38" s="26" t="s">
        <v>59</v>
      </c>
      <c r="AR38" s="27"/>
      <c r="AS38" s="30">
        <v>2946</v>
      </c>
      <c r="AT38" s="31">
        <v>3.3445082723856596</v>
      </c>
      <c r="AU38" s="32">
        <v>2.1688309859249397E-2</v>
      </c>
      <c r="AV38" s="26">
        <v>-6.6190427354214814</v>
      </c>
      <c r="AW38" s="26" t="s">
        <v>59</v>
      </c>
      <c r="AX38" s="27"/>
      <c r="AY38" s="33">
        <v>346</v>
      </c>
      <c r="AZ38" s="34">
        <v>3.6632036318777152</v>
      </c>
      <c r="BA38" s="35">
        <v>6.784978171502451E-2</v>
      </c>
      <c r="BB38" s="26">
        <v>-7.5690789926307751</v>
      </c>
      <c r="BC38" s="26" t="s">
        <v>59</v>
      </c>
      <c r="BD38" s="35"/>
      <c r="BE38" s="33">
        <v>386</v>
      </c>
      <c r="BF38" s="34">
        <v>3.2370735797847621</v>
      </c>
      <c r="BG38" s="35">
        <v>5.6660344344372067E-2</v>
      </c>
      <c r="BH38" s="26">
        <v>-2.0812272129891158</v>
      </c>
      <c r="BI38" s="26" t="s">
        <v>59</v>
      </c>
      <c r="BJ38" s="35"/>
      <c r="BK38" s="33">
        <v>453</v>
      </c>
      <c r="BL38" s="34">
        <v>3.4461070950855501</v>
      </c>
      <c r="BM38" s="35">
        <v>5.1609598923544997E-2</v>
      </c>
      <c r="BN38" s="26">
        <v>-5.7672020322162183</v>
      </c>
      <c r="BO38" s="26" t="s">
        <v>59</v>
      </c>
      <c r="BP38" s="35"/>
      <c r="BQ38" s="33">
        <v>640</v>
      </c>
      <c r="BR38" s="34">
        <v>3.1485006792878654</v>
      </c>
      <c r="BS38" s="35">
        <v>4.3527567290606514E-2</v>
      </c>
      <c r="BT38" s="26">
        <v>-0.83974870644907096</v>
      </c>
      <c r="BU38" s="26" t="s">
        <v>57</v>
      </c>
      <c r="BV38" s="35"/>
      <c r="BW38" s="33">
        <v>624</v>
      </c>
      <c r="BX38" s="34">
        <v>2.9871354826366332</v>
      </c>
      <c r="BY38" s="35">
        <v>4.376156869401425E-2</v>
      </c>
      <c r="BZ38" s="26">
        <v>2.2355224292407927</v>
      </c>
      <c r="CA38" s="26" t="s">
        <v>59</v>
      </c>
      <c r="CB38" s="27"/>
      <c r="CC38" s="9">
        <v>7274</v>
      </c>
      <c r="CD38" s="9">
        <v>7354.3682125892592</v>
      </c>
      <c r="CE38" s="10">
        <v>3.6234005790329609</v>
      </c>
      <c r="CF38" s="11">
        <v>1.428137214983176E-2</v>
      </c>
      <c r="CG38" s="26">
        <v>-16.028955427619476</v>
      </c>
      <c r="CH38" s="26" t="s">
        <v>59</v>
      </c>
      <c r="CI38" s="26"/>
      <c r="CJ38" s="9">
        <v>339</v>
      </c>
      <c r="CK38" s="9">
        <v>339</v>
      </c>
      <c r="CL38" s="10">
        <v>3.0766961651917404</v>
      </c>
      <c r="CM38" s="11">
        <v>5.7740007488084749E-2</v>
      </c>
      <c r="CN38" s="26">
        <v>0.43103808136201877</v>
      </c>
      <c r="CO38" s="26" t="s">
        <v>57</v>
      </c>
      <c r="CP38" s="26"/>
      <c r="CQ38" s="9">
        <v>1667</v>
      </c>
      <c r="CR38" s="9">
        <v>1734.1410808699914</v>
      </c>
      <c r="CS38" s="10">
        <v>3.1793374952134599</v>
      </c>
      <c r="CT38" s="11">
        <v>2.7249747834226588E-2</v>
      </c>
      <c r="CU38" s="26">
        <v>-1.8775500614244731</v>
      </c>
      <c r="CV38" s="26" t="s">
        <v>57</v>
      </c>
      <c r="CW38" s="26"/>
      <c r="CX38" s="9">
        <v>1870</v>
      </c>
      <c r="CY38" s="9">
        <v>1869.985653250028</v>
      </c>
      <c r="CZ38" s="10">
        <v>3.3994493653423459</v>
      </c>
      <c r="DA38" s="11">
        <v>2.5138394216948499E-2</v>
      </c>
      <c r="DB38" s="26">
        <v>-7.6764195654919263</v>
      </c>
      <c r="DC38" s="26" t="s">
        <v>59</v>
      </c>
      <c r="DD38" s="26"/>
      <c r="DE38" s="9">
        <v>417</v>
      </c>
      <c r="DF38" s="9">
        <v>417.93015811999823</v>
      </c>
      <c r="DG38" s="10">
        <v>4.8171622649493937</v>
      </c>
      <c r="DH38" s="11">
        <v>2.1499208273552613E-2</v>
      </c>
      <c r="DI38" s="26">
        <v>-47.389500793889312</v>
      </c>
      <c r="DJ38" s="26" t="s">
        <v>59</v>
      </c>
      <c r="DK38" s="26"/>
      <c r="DL38" s="9">
        <v>851</v>
      </c>
      <c r="DM38" s="9">
        <v>851</v>
      </c>
      <c r="DN38" s="10">
        <v>4.8202115158636873</v>
      </c>
      <c r="DO38" s="11">
        <v>1.5307378570638333E-2</v>
      </c>
      <c r="DP38" s="26">
        <v>-52.251168057749709</v>
      </c>
      <c r="DQ38" s="26" t="s">
        <v>59</v>
      </c>
      <c r="DR38" s="26"/>
      <c r="DS38" s="9">
        <v>523</v>
      </c>
      <c r="DT38" s="9">
        <v>523</v>
      </c>
      <c r="DU38" s="10">
        <v>4.9560229445506669</v>
      </c>
      <c r="DV38" s="11">
        <v>1.0480728634638295E-2</v>
      </c>
      <c r="DW38" s="26">
        <v>-59.954379049594657</v>
      </c>
      <c r="DX38" s="26" t="s">
        <v>59</v>
      </c>
      <c r="DY38" s="36"/>
      <c r="DZ38" s="9">
        <v>453</v>
      </c>
      <c r="EA38" s="9">
        <v>458.35792379999725</v>
      </c>
      <c r="EB38" s="10">
        <v>3.0372650311101688</v>
      </c>
      <c r="EC38" s="11">
        <v>5.5911342474068329E-2</v>
      </c>
      <c r="ED38" s="11"/>
      <c r="EE38" s="9">
        <v>465</v>
      </c>
      <c r="EF38" s="9">
        <v>462.55377424999921</v>
      </c>
      <c r="EG38" s="10">
        <v>2.9716034432941409</v>
      </c>
      <c r="EH38" s="11">
        <v>5.4995020229817504E-2</v>
      </c>
      <c r="EI38" s="6">
        <v>0.83724987903227865</v>
      </c>
      <c r="EJ38" s="6" t="s">
        <v>57</v>
      </c>
      <c r="EK38" s="45">
        <f t="shared" si="38"/>
        <v>6.5661587816027822E-2</v>
      </c>
      <c r="EL38" s="11"/>
      <c r="EM38" s="9">
        <v>324</v>
      </c>
      <c r="EN38" s="9">
        <v>323.38555937000007</v>
      </c>
      <c r="EO38" s="10">
        <v>2.9238774709422479</v>
      </c>
      <c r="EP38" s="11">
        <v>6.1989563663891523E-2</v>
      </c>
      <c r="EQ38" s="6">
        <v>1.3582724806280255</v>
      </c>
      <c r="ER38" s="6" t="s">
        <v>57</v>
      </c>
      <c r="ES38" s="11"/>
      <c r="ET38" s="9">
        <v>332</v>
      </c>
      <c r="EU38" s="9">
        <v>334.18015583000118</v>
      </c>
      <c r="EV38" s="10">
        <v>2.9712516854086126</v>
      </c>
      <c r="EW38" s="11">
        <v>6.4381312028933907E-2</v>
      </c>
      <c r="EX38" s="6">
        <v>0.77416535046719126</v>
      </c>
      <c r="EY38" s="6" t="s">
        <v>57</v>
      </c>
      <c r="EZ38" s="11"/>
      <c r="FA38" s="9">
        <v>308</v>
      </c>
      <c r="FB38" s="9">
        <v>317.62511090000135</v>
      </c>
      <c r="FC38" s="10">
        <v>2.8770775748511541</v>
      </c>
      <c r="FD38" s="11">
        <v>6.450991944843551E-2</v>
      </c>
      <c r="FE38" s="6">
        <v>1.8764457163187458</v>
      </c>
      <c r="FF38" s="6" t="s">
        <v>57</v>
      </c>
      <c r="FG38" s="45">
        <f t="shared" si="39"/>
        <v>0.16018745625901465</v>
      </c>
      <c r="FH38" s="11"/>
      <c r="FI38" s="28">
        <v>358</v>
      </c>
      <c r="FJ38" s="28">
        <v>356.7119999800002</v>
      </c>
      <c r="FK38" s="29">
        <v>2.9950099801237413</v>
      </c>
      <c r="FL38" s="27">
        <v>6.2860878702532125E-2</v>
      </c>
      <c r="FM38" s="6">
        <v>0.50226925618784246</v>
      </c>
      <c r="FN38" s="6" t="s">
        <v>57</v>
      </c>
      <c r="FO38" s="11"/>
      <c r="FP38" s="37">
        <v>2334</v>
      </c>
      <c r="FQ38" s="37">
        <v>2340.0319391899416</v>
      </c>
      <c r="FR38" s="10">
        <v>3.1498591595341101</v>
      </c>
      <c r="FS38" s="11">
        <v>2.329291163375749E-2</v>
      </c>
      <c r="FT38" s="26">
        <v>-1.8589311988190245</v>
      </c>
      <c r="FU38" s="26" t="s">
        <v>57</v>
      </c>
      <c r="FV38" s="26"/>
      <c r="FW38" s="9">
        <v>501</v>
      </c>
      <c r="FX38" s="9">
        <v>500.81847426000155</v>
      </c>
      <c r="FY38" s="10">
        <v>3.2335622631190613</v>
      </c>
      <c r="FZ38" s="11">
        <v>4.4486741345199476E-2</v>
      </c>
      <c r="GA38" s="26">
        <v>-2.7473247037613038</v>
      </c>
      <c r="GB38" s="26" t="s">
        <v>59</v>
      </c>
      <c r="GC38" s="26"/>
      <c r="GD38" s="37">
        <v>150</v>
      </c>
      <c r="GE38" s="37">
        <v>150.00712300000029</v>
      </c>
      <c r="GF38" s="10">
        <v>3.4670485054233064</v>
      </c>
      <c r="GG38" s="11">
        <v>9.1028560085616689E-2</v>
      </c>
      <c r="GH38" s="26">
        <v>-4.0231253175990069</v>
      </c>
      <c r="GI38" s="26" t="s">
        <v>59</v>
      </c>
      <c r="GJ38" s="26"/>
      <c r="GK38" s="37">
        <v>378</v>
      </c>
      <c r="GL38" s="37">
        <v>378.47095152999913</v>
      </c>
      <c r="GM38" s="10">
        <v>3.0568370075775668</v>
      </c>
      <c r="GN38" s="11">
        <v>5.5660679788886003E-2</v>
      </c>
      <c r="GO38" s="26">
        <v>-0.24808087321503061</v>
      </c>
      <c r="GP38" s="26" t="s">
        <v>57</v>
      </c>
      <c r="GQ38" s="26"/>
      <c r="GR38" s="37">
        <v>668</v>
      </c>
      <c r="GS38" s="37">
        <v>668.0017424000016</v>
      </c>
      <c r="GT38" s="10">
        <v>3.055385149067237</v>
      </c>
      <c r="GU38" s="11">
        <v>4.5166686361480558E-2</v>
      </c>
      <c r="GV38" s="26">
        <v>-0.25210374051976203</v>
      </c>
      <c r="GW38" s="26" t="s">
        <v>57</v>
      </c>
      <c r="GX38" s="26"/>
      <c r="GY38" s="37">
        <v>184</v>
      </c>
      <c r="GZ38" s="37">
        <v>184.37572420000058</v>
      </c>
      <c r="HA38" s="10">
        <v>3.4775740759910723</v>
      </c>
      <c r="HB38" s="11">
        <v>8.2245979361672009E-2</v>
      </c>
      <c r="HC38" s="26">
        <v>-4.4274017956277643</v>
      </c>
      <c r="HD38" s="26" t="s">
        <v>59</v>
      </c>
      <c r="HE38" s="15"/>
      <c r="HF38" s="37">
        <v>353</v>
      </c>
      <c r="HG38" s="37">
        <v>353.034177</v>
      </c>
      <c r="HH38" s="10">
        <v>2.8956538097443203</v>
      </c>
      <c r="HI38" s="11">
        <v>6.5867668811452049E-2</v>
      </c>
      <c r="HJ38" s="11"/>
      <c r="HK38" s="37">
        <v>371</v>
      </c>
      <c r="HL38" s="37">
        <v>371.08948992000165</v>
      </c>
      <c r="HM38" s="10">
        <v>2.8005211697158052</v>
      </c>
      <c r="HN38" s="11">
        <v>6.3249276153445819E-2</v>
      </c>
      <c r="HO38" s="6">
        <v>1.0417704209986509</v>
      </c>
      <c r="HP38" s="6" t="s">
        <v>57</v>
      </c>
      <c r="HQ38" s="45">
        <f t="shared" si="40"/>
        <v>9.513264002851507E-2</v>
      </c>
      <c r="HR38" s="27"/>
      <c r="HS38" s="3">
        <v>260</v>
      </c>
      <c r="HT38" s="3">
        <v>259.93943950000011</v>
      </c>
      <c r="HU38" s="29">
        <v>2.70093669718019</v>
      </c>
      <c r="HV38" s="27">
        <v>7.9051418152635305E-2</v>
      </c>
      <c r="HW38" s="6">
        <v>1.8923601288298277</v>
      </c>
      <c r="HX38" s="6" t="s">
        <v>57</v>
      </c>
      <c r="HY38" s="27"/>
      <c r="HZ38" s="9">
        <v>322</v>
      </c>
      <c r="IA38" s="9">
        <v>321.36162646000008</v>
      </c>
      <c r="IB38" s="10">
        <v>2.9677060363294769</v>
      </c>
      <c r="IC38" s="11">
        <v>6.7402678472411784E-2</v>
      </c>
      <c r="ID38" s="6">
        <v>-0.76453974725148888</v>
      </c>
      <c r="IE38" s="6" t="s">
        <v>57</v>
      </c>
      <c r="IF38" s="27"/>
      <c r="IG38" s="9">
        <v>553</v>
      </c>
      <c r="IH38" s="9">
        <v>557.0064444900006</v>
      </c>
      <c r="II38" s="10">
        <v>2.7098529350087226</v>
      </c>
      <c r="IJ38" s="11">
        <v>4.8565147075285808E-2</v>
      </c>
      <c r="IK38" s="6">
        <v>2.2704064230193444</v>
      </c>
      <c r="IL38" s="6" t="s">
        <v>59</v>
      </c>
      <c r="IM38" s="45">
        <f t="shared" si="41"/>
        <v>0.1858008747355977</v>
      </c>
      <c r="IN38" s="11"/>
      <c r="IO38" s="28">
        <v>572</v>
      </c>
      <c r="IP38" s="28">
        <v>574.36404172000084</v>
      </c>
      <c r="IQ38" s="29">
        <v>2.7318033790404046</v>
      </c>
      <c r="IR38" s="27">
        <v>4.8200368385531038E-2</v>
      </c>
      <c r="IS38" s="6">
        <v>2.0074787986764377</v>
      </c>
      <c r="IT38" s="6" t="s">
        <v>59</v>
      </c>
      <c r="IU38" s="27"/>
      <c r="IV38" s="37">
        <v>2256</v>
      </c>
      <c r="IW38" s="37">
        <v>2270.875046499968</v>
      </c>
      <c r="IX38" s="10">
        <v>3.2219532386807588</v>
      </c>
      <c r="IY38" s="11">
        <v>2.3967667502106611E-2</v>
      </c>
      <c r="IZ38" s="26">
        <v>-4.6552497038511707</v>
      </c>
      <c r="JA38" s="26" t="s">
        <v>59</v>
      </c>
      <c r="JB38" s="26"/>
      <c r="JC38" s="37">
        <v>501</v>
      </c>
      <c r="JD38" s="37">
        <v>500.81847426000155</v>
      </c>
      <c r="JE38" s="10">
        <v>3.2335622631190613</v>
      </c>
      <c r="JF38" s="11">
        <v>4.4486741345199476E-2</v>
      </c>
      <c r="JG38" s="26">
        <v>-4.2513054384855664</v>
      </c>
      <c r="JH38" s="26" t="s">
        <v>59</v>
      </c>
      <c r="JI38" s="26"/>
      <c r="JJ38" s="37">
        <v>258</v>
      </c>
      <c r="JK38" s="37">
        <v>258</v>
      </c>
      <c r="JL38" s="10">
        <v>3.2868217054263549</v>
      </c>
      <c r="JM38" s="11">
        <v>6.9986618526813302E-2</v>
      </c>
      <c r="JN38" s="26">
        <v>-4.0701023965485073</v>
      </c>
      <c r="JO38" s="26" t="s">
        <v>59</v>
      </c>
      <c r="JP38" s="26"/>
      <c r="JQ38" s="37">
        <v>436</v>
      </c>
      <c r="JR38" s="37">
        <v>452.20233204000328</v>
      </c>
      <c r="JS38" s="10">
        <v>3.2302095641134176</v>
      </c>
      <c r="JT38" s="11">
        <v>5.6307141032636926E-2</v>
      </c>
      <c r="JU38" s="26">
        <v>-3.8607900182692676</v>
      </c>
      <c r="JV38" s="26" t="s">
        <v>59</v>
      </c>
      <c r="JW38" s="26"/>
      <c r="JX38" s="37">
        <v>150</v>
      </c>
      <c r="JY38" s="37">
        <v>150.00712300000029</v>
      </c>
      <c r="JZ38" s="10">
        <v>3.4670485054233064</v>
      </c>
      <c r="KA38" s="11">
        <v>9.1028560085616689E-2</v>
      </c>
      <c r="KB38" s="26">
        <v>-5.0853966903838073</v>
      </c>
      <c r="KC38" s="26" t="s">
        <v>59</v>
      </c>
      <c r="KD38" s="26"/>
      <c r="KE38" s="37">
        <v>558</v>
      </c>
      <c r="KF38" s="37">
        <v>556.81294020000087</v>
      </c>
      <c r="KG38" s="10">
        <v>3.3156026545232216</v>
      </c>
      <c r="KH38" s="11">
        <v>4.8129953353714332E-2</v>
      </c>
      <c r="KI38" s="26">
        <v>-5.1477919204495937</v>
      </c>
      <c r="KJ38" s="26" t="s">
        <v>59</v>
      </c>
      <c r="KL38" s="9"/>
      <c r="KM38" s="9"/>
      <c r="KN38" s="10"/>
      <c r="KO38" s="11"/>
    </row>
    <row r="39" spans="1:301" s="7" customFormat="1" x14ac:dyDescent="0.25">
      <c r="B39" s="5" t="s">
        <v>30</v>
      </c>
      <c r="C39" s="9">
        <v>2025</v>
      </c>
      <c r="D39" s="9">
        <v>2033.8961301300815</v>
      </c>
      <c r="E39" s="10">
        <v>3.8125029765332052</v>
      </c>
      <c r="F39" s="11">
        <v>2.6926942817960139E-2</v>
      </c>
      <c r="G39" s="11"/>
      <c r="H39" s="9">
        <v>2187</v>
      </c>
      <c r="I39" s="9">
        <v>2184.0457544099527</v>
      </c>
      <c r="J39" s="10">
        <v>3.4348352979292542</v>
      </c>
      <c r="K39" s="11">
        <v>2.8835837775030401E-2</v>
      </c>
      <c r="L39" s="26">
        <v>9.5725154986299295</v>
      </c>
      <c r="M39" s="26" t="s">
        <v>59</v>
      </c>
      <c r="N39" s="45">
        <f t="shared" si="36"/>
        <v>0.37766767860395101</v>
      </c>
      <c r="O39" s="11"/>
      <c r="P39" s="3">
        <v>683</v>
      </c>
      <c r="Q39" s="3">
        <v>682.65122804000441</v>
      </c>
      <c r="R39" s="10">
        <v>3.2264143726273993</v>
      </c>
      <c r="S39" s="11">
        <v>5.4767426416101786E-2</v>
      </c>
      <c r="T39" s="26">
        <v>9.6034541200888288</v>
      </c>
      <c r="U39" s="26" t="s">
        <v>59</v>
      </c>
      <c r="V39" s="27"/>
      <c r="W39" s="9">
        <v>736</v>
      </c>
      <c r="X39" s="9">
        <v>737.99712276000207</v>
      </c>
      <c r="Y39" s="10">
        <v>2.7484215917730914</v>
      </c>
      <c r="Z39" s="11">
        <v>4.3113958393669605E-2</v>
      </c>
      <c r="AA39" s="26">
        <v>20.933372829445656</v>
      </c>
      <c r="AB39" s="26" t="s">
        <v>59</v>
      </c>
      <c r="AC39" s="26"/>
      <c r="AD39" s="9">
        <v>807</v>
      </c>
      <c r="AE39" s="9">
        <v>805.23950168001079</v>
      </c>
      <c r="AF39" s="10">
        <v>2.7486449293561419</v>
      </c>
      <c r="AG39" s="11">
        <v>4.2720339864578016E-2</v>
      </c>
      <c r="AH39" s="26">
        <v>21.06716641118102</v>
      </c>
      <c r="AI39" s="26" t="s">
        <v>59</v>
      </c>
      <c r="AJ39" s="45">
        <f t="shared" si="37"/>
        <v>1.0638580471770633</v>
      </c>
      <c r="AK39" s="27"/>
      <c r="AL39" s="28">
        <v>943</v>
      </c>
      <c r="AM39" s="28">
        <v>946.2401216200002</v>
      </c>
      <c r="AN39" s="29">
        <v>2.4761988581593379</v>
      </c>
      <c r="AO39" s="27">
        <v>3.9576098358027841E-2</v>
      </c>
      <c r="AP39" s="26">
        <v>27.916546636369166</v>
      </c>
      <c r="AQ39" s="26" t="s">
        <v>59</v>
      </c>
      <c r="AR39" s="27"/>
      <c r="AS39" s="30">
        <v>4010</v>
      </c>
      <c r="AT39" s="31">
        <v>3.7759309991838159</v>
      </c>
      <c r="AU39" s="32">
        <v>1.9280624185745384E-2</v>
      </c>
      <c r="AV39" s="26">
        <v>1.1042926536381281</v>
      </c>
      <c r="AW39" s="26" t="s">
        <v>57</v>
      </c>
      <c r="AX39" s="27"/>
      <c r="AY39" s="33">
        <v>489</v>
      </c>
      <c r="AZ39" s="34">
        <v>4.0343181788560374</v>
      </c>
      <c r="BA39" s="35">
        <v>5.6021968118280335E-2</v>
      </c>
      <c r="BB39" s="26">
        <v>-3.5686146988311749</v>
      </c>
      <c r="BC39" s="26" t="s">
        <v>59</v>
      </c>
      <c r="BD39" s="35"/>
      <c r="BE39" s="33">
        <v>590</v>
      </c>
      <c r="BF39" s="34">
        <v>4.0923056260060635</v>
      </c>
      <c r="BG39" s="35">
        <v>4.1503357735997719E-2</v>
      </c>
      <c r="BH39" s="26">
        <v>-5.6556507171191042</v>
      </c>
      <c r="BI39" s="26" t="s">
        <v>59</v>
      </c>
      <c r="BJ39" s="35"/>
      <c r="BK39" s="33">
        <v>639</v>
      </c>
      <c r="BL39" s="34">
        <v>3.7913109254430264</v>
      </c>
      <c r="BM39" s="35">
        <v>4.8699536950391135E-2</v>
      </c>
      <c r="BN39" s="26">
        <v>0.3808229072799893</v>
      </c>
      <c r="BO39" s="26" t="s">
        <v>57</v>
      </c>
      <c r="BP39" s="35"/>
      <c r="BQ39" s="33">
        <v>823</v>
      </c>
      <c r="BR39" s="34">
        <v>3.8213882407282473</v>
      </c>
      <c r="BS39" s="35">
        <v>4.1059356037169481E-2</v>
      </c>
      <c r="BT39" s="26">
        <v>-0.18095807096878216</v>
      </c>
      <c r="BU39" s="26" t="s">
        <v>57</v>
      </c>
      <c r="BV39" s="35"/>
      <c r="BW39" s="33">
        <v>941</v>
      </c>
      <c r="BX39" s="34">
        <v>3.8569652273962443</v>
      </c>
      <c r="BY39" s="35">
        <v>3.7526559033404253E-2</v>
      </c>
      <c r="BZ39" s="26">
        <v>-0.96264283926491301</v>
      </c>
      <c r="CA39" s="26" t="s">
        <v>57</v>
      </c>
      <c r="CB39" s="27"/>
      <c r="CC39" s="9">
        <v>8297</v>
      </c>
      <c r="CD39" s="9">
        <v>8363.4677595392823</v>
      </c>
      <c r="CE39" s="10">
        <v>3.9839819621499681</v>
      </c>
      <c r="CF39" s="11">
        <v>1.3045607055702495E-2</v>
      </c>
      <c r="CG39" s="26">
        <v>-5.7311159974963219</v>
      </c>
      <c r="CH39" s="26" t="s">
        <v>59</v>
      </c>
      <c r="CI39" s="26"/>
      <c r="CJ39" s="9">
        <v>367</v>
      </c>
      <c r="CK39" s="9">
        <v>367</v>
      </c>
      <c r="CL39" s="10">
        <v>3.7847411444141685</v>
      </c>
      <c r="CM39" s="11">
        <v>6.3169379691280295E-2</v>
      </c>
      <c r="CN39" s="26">
        <v>0.40428482164849611</v>
      </c>
      <c r="CO39" s="26" t="s">
        <v>57</v>
      </c>
      <c r="CP39" s="26"/>
      <c r="CQ39" s="9">
        <v>2229</v>
      </c>
      <c r="CR39" s="9">
        <v>2286.0908989799509</v>
      </c>
      <c r="CS39" s="10">
        <v>3.7012807240802661</v>
      </c>
      <c r="CT39" s="11">
        <v>2.5100078943005408E-2</v>
      </c>
      <c r="CU39" s="26">
        <v>3.0214133639084251</v>
      </c>
      <c r="CV39" s="26" t="s">
        <v>59</v>
      </c>
      <c r="CW39" s="26"/>
      <c r="CX39" s="9">
        <v>1894</v>
      </c>
      <c r="CY39" s="9">
        <v>1893.97757458003</v>
      </c>
      <c r="CZ39" s="10">
        <v>3.744448680002276</v>
      </c>
      <c r="DA39" s="11">
        <v>2.8724767182797071E-2</v>
      </c>
      <c r="DB39" s="26">
        <v>1.728484681764952</v>
      </c>
      <c r="DC39" s="26" t="s">
        <v>57</v>
      </c>
      <c r="DD39" s="26"/>
      <c r="DE39" s="9">
        <v>400</v>
      </c>
      <c r="DF39" s="9">
        <v>400.50315584999856</v>
      </c>
      <c r="DG39" s="10">
        <v>4.902092803247009</v>
      </c>
      <c r="DH39" s="11">
        <v>2.0850201625308443E-2</v>
      </c>
      <c r="DI39" s="26">
        <v>-31.994339069692629</v>
      </c>
      <c r="DJ39" s="26" t="s">
        <v>59</v>
      </c>
      <c r="DK39" s="26"/>
      <c r="DL39" s="9">
        <v>853</v>
      </c>
      <c r="DM39" s="9">
        <v>853</v>
      </c>
      <c r="DN39" s="10">
        <v>4.7291910902696399</v>
      </c>
      <c r="DO39" s="11">
        <v>2.099815695605289E-2</v>
      </c>
      <c r="DP39" s="26">
        <v>-26.845748652036882</v>
      </c>
      <c r="DQ39" s="26" t="s">
        <v>59</v>
      </c>
      <c r="DR39" s="26"/>
      <c r="DS39" s="9">
        <v>529</v>
      </c>
      <c r="DT39" s="9">
        <v>529</v>
      </c>
      <c r="DU39" s="10">
        <v>4.9640831758034079</v>
      </c>
      <c r="DV39" s="11">
        <v>1.2596306600827237E-2</v>
      </c>
      <c r="DW39" s="26">
        <v>-38.737811390629737</v>
      </c>
      <c r="DX39" s="26" t="s">
        <v>59</v>
      </c>
      <c r="DY39" s="36"/>
      <c r="DZ39" s="9">
        <v>710</v>
      </c>
      <c r="EA39" s="9">
        <v>714.60212451999939</v>
      </c>
      <c r="EB39" s="10">
        <v>3.786499818227548</v>
      </c>
      <c r="EC39" s="11">
        <v>4.8553157900319603E-2</v>
      </c>
      <c r="ED39" s="11"/>
      <c r="EE39" s="9">
        <v>630</v>
      </c>
      <c r="EF39" s="9">
        <v>626.81121253999959</v>
      </c>
      <c r="EG39" s="10">
        <v>3.3061271682624147</v>
      </c>
      <c r="EH39" s="11">
        <v>5.4271740839525448E-2</v>
      </c>
      <c r="EI39" s="6">
        <v>6.596664241049278</v>
      </c>
      <c r="EJ39" s="6" t="s">
        <v>59</v>
      </c>
      <c r="EK39" s="45">
        <f t="shared" si="38"/>
        <v>0.48037264996513329</v>
      </c>
      <c r="EL39" s="11"/>
      <c r="EM39" s="9">
        <v>440</v>
      </c>
      <c r="EN39" s="9">
        <v>439.44940520999808</v>
      </c>
      <c r="EO39" s="10">
        <v>3.2825921782751184</v>
      </c>
      <c r="EP39" s="11">
        <v>6.915225259601683E-2</v>
      </c>
      <c r="EQ39" s="6">
        <v>5.963740971691939</v>
      </c>
      <c r="ER39" s="6" t="s">
        <v>59</v>
      </c>
      <c r="ES39" s="11"/>
      <c r="ET39" s="9">
        <v>465</v>
      </c>
      <c r="EU39" s="9">
        <v>468.23429914000064</v>
      </c>
      <c r="EV39" s="10">
        <v>3.1062077908673897</v>
      </c>
      <c r="EW39" s="11">
        <v>6.615716039995885E-2</v>
      </c>
      <c r="EX39" s="6">
        <v>8.289971791894601</v>
      </c>
      <c r="EY39" s="6" t="s">
        <v>59</v>
      </c>
      <c r="EZ39" s="11"/>
      <c r="FA39" s="9">
        <v>435</v>
      </c>
      <c r="FB39" s="9">
        <v>442.78238571000247</v>
      </c>
      <c r="FC39" s="10">
        <v>2.8926137006246186</v>
      </c>
      <c r="FD39" s="11">
        <v>6.9999402210704553E-2</v>
      </c>
      <c r="FE39" s="6">
        <v>10.49286035172992</v>
      </c>
      <c r="FF39" s="6" t="s">
        <v>59</v>
      </c>
      <c r="FG39" s="45">
        <f t="shared" si="39"/>
        <v>0.89388611760292935</v>
      </c>
      <c r="FH39" s="11"/>
      <c r="FI39" s="28">
        <v>493</v>
      </c>
      <c r="FJ39" s="28">
        <v>491.94114292999933</v>
      </c>
      <c r="FK39" s="29">
        <v>2.806161480818512</v>
      </c>
      <c r="FL39" s="27">
        <v>6.7213158278482024E-2</v>
      </c>
      <c r="FM39" s="6">
        <v>11.823309914768389</v>
      </c>
      <c r="FN39" s="6" t="s">
        <v>59</v>
      </c>
      <c r="FO39" s="11"/>
      <c r="FP39" s="37">
        <v>3253</v>
      </c>
      <c r="FQ39" s="37">
        <v>3258.0861638398665</v>
      </c>
      <c r="FR39" s="10">
        <v>3.8913236949133787</v>
      </c>
      <c r="FS39" s="11">
        <v>2.0609975367057113E-2</v>
      </c>
      <c r="FT39" s="26">
        <v>-1.9873190117738728</v>
      </c>
      <c r="FU39" s="26" t="s">
        <v>59</v>
      </c>
      <c r="FV39" s="26"/>
      <c r="FW39" s="9">
        <v>741</v>
      </c>
      <c r="FX39" s="9">
        <v>740.83982633999233</v>
      </c>
      <c r="FY39" s="10">
        <v>4.0173337616626883</v>
      </c>
      <c r="FZ39" s="11">
        <v>3.8793487602134712E-2</v>
      </c>
      <c r="GA39" s="26">
        <v>-3.7142762816124839</v>
      </c>
      <c r="GB39" s="26" t="s">
        <v>59</v>
      </c>
      <c r="GC39" s="26"/>
      <c r="GD39" s="37">
        <v>205</v>
      </c>
      <c r="GE39" s="37">
        <v>204.95961605000051</v>
      </c>
      <c r="GF39" s="10">
        <v>4.2094790206843786</v>
      </c>
      <c r="GG39" s="11">
        <v>7.2228037304659126E-2</v>
      </c>
      <c r="GH39" s="26">
        <v>-4.8601290966966779</v>
      </c>
      <c r="GI39" s="26" t="s">
        <v>59</v>
      </c>
      <c r="GJ39" s="26"/>
      <c r="GK39" s="37">
        <v>452</v>
      </c>
      <c r="GL39" s="37">
        <v>452.55421666999894</v>
      </c>
      <c r="GM39" s="10">
        <v>3.5926675902250631</v>
      </c>
      <c r="GN39" s="11">
        <v>6.0212466357375725E-2</v>
      </c>
      <c r="GO39" s="26">
        <v>2.5059262883763931</v>
      </c>
      <c r="GP39" s="26" t="s">
        <v>59</v>
      </c>
      <c r="GQ39" s="26"/>
      <c r="GR39" s="37">
        <v>861</v>
      </c>
      <c r="GS39" s="37">
        <v>861.00309628000878</v>
      </c>
      <c r="GT39" s="10">
        <v>3.871078816278843</v>
      </c>
      <c r="GU39" s="11">
        <v>3.8659860950447759E-2</v>
      </c>
      <c r="GV39" s="26">
        <v>-1.3627611233531569</v>
      </c>
      <c r="GW39" s="26" t="s">
        <v>57</v>
      </c>
      <c r="GX39" s="26"/>
      <c r="GY39" s="37">
        <v>284</v>
      </c>
      <c r="GZ39" s="37">
        <v>284.12728398000058</v>
      </c>
      <c r="HA39" s="10">
        <v>4.1339405859476637</v>
      </c>
      <c r="HB39" s="11">
        <v>6.2788951716114288E-2</v>
      </c>
      <c r="HC39" s="26">
        <v>-4.3773903046204294</v>
      </c>
      <c r="HD39" s="26" t="s">
        <v>59</v>
      </c>
      <c r="HE39" s="15"/>
      <c r="HF39" s="37">
        <v>507</v>
      </c>
      <c r="HG39" s="37">
        <v>506.87042236000207</v>
      </c>
      <c r="HH39" s="10">
        <v>3.6623452235324061</v>
      </c>
      <c r="HI39" s="11">
        <v>5.9288186770408764E-2</v>
      </c>
      <c r="HJ39" s="11"/>
      <c r="HK39" s="37">
        <v>567</v>
      </c>
      <c r="HL39" s="37">
        <v>567.07728570000575</v>
      </c>
      <c r="HM39" s="10">
        <v>3.4122436934877922</v>
      </c>
      <c r="HN39" s="11">
        <v>5.5416453674470588E-2</v>
      </c>
      <c r="HO39" s="6">
        <v>3.0817903959876065</v>
      </c>
      <c r="HP39" s="6" t="s">
        <v>59</v>
      </c>
      <c r="HQ39" s="45">
        <f t="shared" si="40"/>
        <v>0.25010153004461388</v>
      </c>
      <c r="HR39" s="27"/>
      <c r="HS39" s="3">
        <v>374</v>
      </c>
      <c r="HT39" s="3">
        <v>373.88630212999766</v>
      </c>
      <c r="HU39" s="29">
        <v>3.4307546871936507</v>
      </c>
      <c r="HV39" s="27">
        <v>6.9800849541973672E-2</v>
      </c>
      <c r="HW39" s="6">
        <v>2.5287801526167462</v>
      </c>
      <c r="HX39" s="6" t="s">
        <v>59</v>
      </c>
      <c r="HY39" s="27"/>
      <c r="HZ39" s="9">
        <v>423</v>
      </c>
      <c r="IA39" s="9">
        <v>422.95317415000198</v>
      </c>
      <c r="IB39" s="10">
        <v>3.2840086122805592</v>
      </c>
      <c r="IC39" s="11">
        <v>6.8383507324994597E-2</v>
      </c>
      <c r="ID39" s="6">
        <v>4.1802233216348004</v>
      </c>
      <c r="IE39" s="6" t="s">
        <v>59</v>
      </c>
      <c r="IF39" s="27"/>
      <c r="IG39" s="9">
        <v>820</v>
      </c>
      <c r="IH39" s="9">
        <v>822.38006117000202</v>
      </c>
      <c r="II39" s="10">
        <v>2.7449483158898711</v>
      </c>
      <c r="IJ39" s="11">
        <v>4.9248502910014813E-2</v>
      </c>
      <c r="IK39" s="6">
        <v>11.90270365082929</v>
      </c>
      <c r="IL39" s="6" t="s">
        <v>59</v>
      </c>
      <c r="IM39" s="45">
        <f t="shared" si="41"/>
        <v>0.91739690764253501</v>
      </c>
      <c r="IN39" s="11"/>
      <c r="IO39" s="28">
        <v>871</v>
      </c>
      <c r="IP39" s="28">
        <v>869.46770388000232</v>
      </c>
      <c r="IQ39" s="29">
        <v>2.6726661322439664</v>
      </c>
      <c r="IR39" s="27">
        <v>4.8016761809513135E-2</v>
      </c>
      <c r="IS39" s="6">
        <v>12.971997095862253</v>
      </c>
      <c r="IT39" s="6" t="s">
        <v>59</v>
      </c>
      <c r="IU39" s="27"/>
      <c r="IV39" s="37">
        <v>3374</v>
      </c>
      <c r="IW39" s="37">
        <v>3382.6859930599408</v>
      </c>
      <c r="IX39" s="10">
        <v>3.8329450544421308</v>
      </c>
      <c r="IY39" s="11">
        <v>2.0663982032072873E-2</v>
      </c>
      <c r="IZ39" s="26">
        <v>-2.7171609873085356</v>
      </c>
      <c r="JA39" s="26" t="s">
        <v>59</v>
      </c>
      <c r="JB39" s="26"/>
      <c r="JC39" s="37">
        <v>741</v>
      </c>
      <c r="JD39" s="37">
        <v>740.83982633999233</v>
      </c>
      <c r="JE39" s="10">
        <v>4.0173337616626883</v>
      </c>
      <c r="JF39" s="11">
        <v>3.8793487602134712E-2</v>
      </c>
      <c r="JG39" s="26">
        <v>-5.0102736183392143</v>
      </c>
      <c r="JH39" s="26" t="s">
        <v>59</v>
      </c>
      <c r="JI39" s="26"/>
      <c r="JJ39" s="37">
        <v>382</v>
      </c>
      <c r="JK39" s="37">
        <v>382</v>
      </c>
      <c r="JL39" s="10">
        <v>3.6492146596858621</v>
      </c>
      <c r="JM39" s="11">
        <v>6.5844379384309079E-2</v>
      </c>
      <c r="JN39" s="26">
        <v>0.14819472398839387</v>
      </c>
      <c r="JO39" s="26" t="s">
        <v>57</v>
      </c>
      <c r="JP39" s="26"/>
      <c r="JQ39" s="37">
        <v>690</v>
      </c>
      <c r="JR39" s="37">
        <v>700.30626493000636</v>
      </c>
      <c r="JS39" s="10">
        <v>3.9005918047199546</v>
      </c>
      <c r="JT39" s="11">
        <v>4.4918186933089882E-2</v>
      </c>
      <c r="JU39" s="26">
        <v>-3.2029992461690635</v>
      </c>
      <c r="JV39" s="26" t="s">
        <v>59</v>
      </c>
      <c r="JW39" s="26"/>
      <c r="JX39" s="37">
        <v>205</v>
      </c>
      <c r="JY39" s="37">
        <v>204.95961605000051</v>
      </c>
      <c r="JZ39" s="10">
        <v>4.2094790206843786</v>
      </c>
      <c r="KA39" s="11">
        <v>7.2228037304659126E-2</v>
      </c>
      <c r="KB39" s="26">
        <v>-5.8551390670851111</v>
      </c>
      <c r="KC39" s="26" t="s">
        <v>59</v>
      </c>
      <c r="KD39" s="26"/>
      <c r="KE39" s="37">
        <v>849</v>
      </c>
      <c r="KF39" s="37">
        <v>847.70986337998932</v>
      </c>
      <c r="KG39" s="10">
        <v>3.7096797919057845</v>
      </c>
      <c r="KH39" s="11">
        <v>4.1281913109421337E-2</v>
      </c>
      <c r="KI39" s="26">
        <v>-0.65519850357400622</v>
      </c>
      <c r="KJ39" s="26" t="s">
        <v>57</v>
      </c>
      <c r="KL39" s="9"/>
      <c r="KM39" s="9"/>
      <c r="KN39" s="10"/>
      <c r="KO39" s="11"/>
    </row>
    <row r="40" spans="1:301" s="7" customFormat="1" x14ac:dyDescent="0.25">
      <c r="B40" s="5" t="s">
        <v>31</v>
      </c>
      <c r="C40" s="9">
        <v>599</v>
      </c>
      <c r="D40" s="9">
        <v>602.50575142999912</v>
      </c>
      <c r="E40" s="10">
        <v>3.7347518387157375</v>
      </c>
      <c r="F40" s="11">
        <v>4.7116422771602509E-2</v>
      </c>
      <c r="G40" s="11"/>
      <c r="H40" s="9">
        <v>711</v>
      </c>
      <c r="I40" s="9">
        <v>707.91440919999616</v>
      </c>
      <c r="J40" s="10">
        <v>3.5599593798747051</v>
      </c>
      <c r="K40" s="11">
        <v>4.4104491287943991E-2</v>
      </c>
      <c r="L40" s="26">
        <v>2.7083617242636189</v>
      </c>
      <c r="M40" s="26" t="s">
        <v>59</v>
      </c>
      <c r="N40" s="45">
        <f t="shared" si="36"/>
        <v>0.17479245884103234</v>
      </c>
      <c r="O40" s="11"/>
      <c r="P40" s="3">
        <v>198</v>
      </c>
      <c r="Q40" s="3">
        <v>197.99077608000073</v>
      </c>
      <c r="R40" s="10">
        <v>3.5052914497369132</v>
      </c>
      <c r="S40" s="11">
        <v>8.8226389670106528E-2</v>
      </c>
      <c r="T40" s="26">
        <v>2.2941619472576082</v>
      </c>
      <c r="U40" s="26" t="s">
        <v>59</v>
      </c>
      <c r="V40" s="27"/>
      <c r="W40" s="9">
        <v>105</v>
      </c>
      <c r="X40" s="9">
        <v>104.78547057000004</v>
      </c>
      <c r="Y40" s="10">
        <v>3.4719730228912029</v>
      </c>
      <c r="Z40" s="11">
        <v>0.11510151070870579</v>
      </c>
      <c r="AA40" s="26">
        <v>2.1128508795450518</v>
      </c>
      <c r="AB40" s="26" t="s">
        <v>59</v>
      </c>
      <c r="AC40" s="26"/>
      <c r="AD40" s="9">
        <v>120</v>
      </c>
      <c r="AE40" s="9">
        <v>120.70886445999992</v>
      </c>
      <c r="AF40" s="10">
        <v>3.5237510051380694</v>
      </c>
      <c r="AG40" s="11">
        <v>0.1054061527068148</v>
      </c>
      <c r="AH40" s="26">
        <v>1.8275208776249774</v>
      </c>
      <c r="AI40" s="26" t="s">
        <v>57</v>
      </c>
      <c r="AJ40" s="45">
        <f t="shared" si="37"/>
        <v>0.21100083357766808</v>
      </c>
      <c r="AK40" s="27"/>
      <c r="AL40" s="28">
        <v>211</v>
      </c>
      <c r="AM40" s="28">
        <v>211.26485593999962</v>
      </c>
      <c r="AN40" s="29">
        <v>3.33547657183516</v>
      </c>
      <c r="AO40" s="27">
        <v>7.1172803876315249E-2</v>
      </c>
      <c r="AP40" s="26">
        <v>4.6778034851077077</v>
      </c>
      <c r="AQ40" s="26" t="s">
        <v>59</v>
      </c>
      <c r="AR40" s="27"/>
      <c r="AS40" s="30">
        <v>1381</v>
      </c>
      <c r="AT40" s="31">
        <v>3.9320148069682066</v>
      </c>
      <c r="AU40" s="32">
        <v>2.8265751176628891E-2</v>
      </c>
      <c r="AV40" s="26">
        <v>-3.5902152049771519</v>
      </c>
      <c r="AW40" s="26" t="s">
        <v>59</v>
      </c>
      <c r="AX40" s="27"/>
      <c r="AY40" s="33">
        <v>170</v>
      </c>
      <c r="AZ40" s="34">
        <v>4.4559800688537043</v>
      </c>
      <c r="BA40" s="35">
        <v>6.1994128213451502E-2</v>
      </c>
      <c r="BB40" s="26">
        <v>-9.2623401003150239</v>
      </c>
      <c r="BC40" s="26" t="s">
        <v>59</v>
      </c>
      <c r="BD40" s="35"/>
      <c r="BE40" s="33">
        <v>107</v>
      </c>
      <c r="BF40" s="34">
        <v>3.7881520719891779</v>
      </c>
      <c r="BG40" s="35">
        <v>0.10392953902924187</v>
      </c>
      <c r="BH40" s="26">
        <v>-0.46796769692886714</v>
      </c>
      <c r="BI40" s="26" t="s">
        <v>57</v>
      </c>
      <c r="BJ40" s="35"/>
      <c r="BK40" s="33">
        <v>174</v>
      </c>
      <c r="BL40" s="34">
        <v>4.0083912535287256</v>
      </c>
      <c r="BM40" s="35">
        <v>8.2506534545791113E-2</v>
      </c>
      <c r="BN40" s="26">
        <v>-2.8800502364655425</v>
      </c>
      <c r="BO40" s="26" t="s">
        <v>59</v>
      </c>
      <c r="BP40" s="35"/>
      <c r="BQ40" s="33">
        <v>229</v>
      </c>
      <c r="BR40" s="34">
        <v>3.7249291493399506</v>
      </c>
      <c r="BS40" s="35">
        <v>7.47378466496115E-2</v>
      </c>
      <c r="BT40" s="26">
        <v>0.11117941861592634</v>
      </c>
      <c r="BU40" s="26" t="s">
        <v>57</v>
      </c>
      <c r="BV40" s="35"/>
      <c r="BW40" s="33">
        <v>230</v>
      </c>
      <c r="BX40" s="34">
        <v>3.6537391185331485</v>
      </c>
      <c r="BY40" s="35">
        <v>7.7689715821652322E-2</v>
      </c>
      <c r="BZ40" s="26">
        <v>0.89161547694956556</v>
      </c>
      <c r="CA40" s="26" t="s">
        <v>57</v>
      </c>
      <c r="CB40" s="27"/>
      <c r="CC40" s="9">
        <v>3536</v>
      </c>
      <c r="CD40" s="9">
        <v>3560.7172949300266</v>
      </c>
      <c r="CE40" s="10">
        <v>4.2501508478272783</v>
      </c>
      <c r="CF40" s="11">
        <v>1.7046319377519291E-2</v>
      </c>
      <c r="CG40" s="26">
        <v>-10.286331106311746</v>
      </c>
      <c r="CH40" s="26" t="s">
        <v>59</v>
      </c>
      <c r="CI40" s="26"/>
      <c r="CJ40" s="9">
        <v>87</v>
      </c>
      <c r="CK40" s="9">
        <v>87</v>
      </c>
      <c r="CL40" s="10">
        <v>3.804597701149425</v>
      </c>
      <c r="CM40" s="11">
        <v>0.10947992588881149</v>
      </c>
      <c r="CN40" s="26">
        <v>-0.58601355390546195</v>
      </c>
      <c r="CO40" s="26" t="s">
        <v>57</v>
      </c>
      <c r="CP40" s="26"/>
      <c r="CQ40" s="9">
        <v>773</v>
      </c>
      <c r="CR40" s="9">
        <v>794.32894325000632</v>
      </c>
      <c r="CS40" s="10">
        <v>3.7339325653106896</v>
      </c>
      <c r="CT40" s="11">
        <v>3.8845135277492247E-2</v>
      </c>
      <c r="CU40" s="26">
        <v>1.3416473656431026E-2</v>
      </c>
      <c r="CV40" s="26" t="s">
        <v>57</v>
      </c>
      <c r="CW40" s="26"/>
      <c r="CX40" s="9">
        <v>733</v>
      </c>
      <c r="CY40" s="9">
        <v>732.98051150999061</v>
      </c>
      <c r="CZ40" s="10">
        <v>4.0204571966983274</v>
      </c>
      <c r="DA40" s="11">
        <v>3.5827204183684958E-2</v>
      </c>
      <c r="DB40" s="26">
        <v>-4.8268575491774151</v>
      </c>
      <c r="DC40" s="26" t="s">
        <v>59</v>
      </c>
      <c r="DD40" s="26"/>
      <c r="DE40" s="9">
        <v>105</v>
      </c>
      <c r="DF40" s="9">
        <v>104.90208873999991</v>
      </c>
      <c r="DG40" s="10">
        <v>4.9616617921691875</v>
      </c>
      <c r="DH40" s="11">
        <v>2.3223475363467156E-2</v>
      </c>
      <c r="DI40" s="26">
        <v>-23.356848525046747</v>
      </c>
      <c r="DJ40" s="26" t="s">
        <v>59</v>
      </c>
      <c r="DK40" s="26"/>
      <c r="DL40" s="9">
        <v>741</v>
      </c>
      <c r="DM40" s="9">
        <v>741</v>
      </c>
      <c r="DN40" s="10">
        <v>4.9028340080971633</v>
      </c>
      <c r="DO40" s="11">
        <v>1.1217919580070106E-2</v>
      </c>
      <c r="DP40" s="26">
        <v>-24.117261632541013</v>
      </c>
      <c r="DQ40" s="26" t="s">
        <v>59</v>
      </c>
      <c r="DR40" s="26"/>
      <c r="DS40" s="9">
        <v>498</v>
      </c>
      <c r="DT40" s="9">
        <v>498</v>
      </c>
      <c r="DU40" s="10">
        <v>4.9919678714859446</v>
      </c>
      <c r="DV40" s="11">
        <v>4.0039249922094195E-3</v>
      </c>
      <c r="DW40" s="26">
        <v>-26.587353357368659</v>
      </c>
      <c r="DX40" s="26" t="s">
        <v>59</v>
      </c>
      <c r="DY40" s="36"/>
      <c r="DZ40" s="9">
        <v>203</v>
      </c>
      <c r="EA40" s="9">
        <v>204.95104111000023</v>
      </c>
      <c r="EB40" s="10">
        <v>3.5352793196650278</v>
      </c>
      <c r="EC40" s="11">
        <v>8.8685346091440354E-2</v>
      </c>
      <c r="ED40" s="11"/>
      <c r="EE40" s="9">
        <v>194</v>
      </c>
      <c r="EF40" s="9">
        <v>193.44512409999936</v>
      </c>
      <c r="EG40" s="10">
        <v>3.5555738375418673</v>
      </c>
      <c r="EH40" s="11">
        <v>8.8177208666823867E-2</v>
      </c>
      <c r="EI40" s="6">
        <v>-0.16227665606187874</v>
      </c>
      <c r="EJ40" s="6" t="s">
        <v>57</v>
      </c>
      <c r="EK40" s="45">
        <f t="shared" si="38"/>
        <v>-2.0294517876839446E-2</v>
      </c>
      <c r="EL40" s="11"/>
      <c r="EM40" s="9">
        <v>127</v>
      </c>
      <c r="EN40" s="9">
        <v>127.00256423000029</v>
      </c>
      <c r="EO40" s="10">
        <v>3.2598247630673054</v>
      </c>
      <c r="EP40" s="11">
        <v>0.12308313788532926</v>
      </c>
      <c r="EQ40" s="6">
        <v>1.8157193521368138</v>
      </c>
      <c r="ER40" s="6" t="s">
        <v>57</v>
      </c>
      <c r="ES40" s="11"/>
      <c r="ET40" s="9">
        <v>163</v>
      </c>
      <c r="EU40" s="9">
        <v>164.27154801000015</v>
      </c>
      <c r="EV40" s="10">
        <v>3.4157417471091378</v>
      </c>
      <c r="EW40" s="11">
        <v>0.10576326747087759</v>
      </c>
      <c r="EX40" s="6">
        <v>0.86605606443544558</v>
      </c>
      <c r="EY40" s="6" t="s">
        <v>57</v>
      </c>
      <c r="EZ40" s="11"/>
      <c r="FA40" s="9">
        <v>126</v>
      </c>
      <c r="FB40" s="9">
        <v>128.38603329999972</v>
      </c>
      <c r="FC40" s="10">
        <v>3.4458226564742689</v>
      </c>
      <c r="FD40" s="11">
        <v>0.11704718133260125</v>
      </c>
      <c r="FE40" s="6">
        <v>0.60916735466319849</v>
      </c>
      <c r="FF40" s="6" t="s">
        <v>57</v>
      </c>
      <c r="FG40" s="45">
        <f t="shared" si="39"/>
        <v>8.9456663190758956E-2</v>
      </c>
      <c r="FH40" s="11"/>
      <c r="FI40" s="28">
        <v>163</v>
      </c>
      <c r="FJ40" s="28">
        <v>162.5902857300002</v>
      </c>
      <c r="FK40" s="29">
        <v>3.4763841098023756</v>
      </c>
      <c r="FL40" s="27">
        <v>9.5984303409935107E-2</v>
      </c>
      <c r="FM40" s="6">
        <v>0.45067190880861918</v>
      </c>
      <c r="FN40" s="6" t="s">
        <v>57</v>
      </c>
      <c r="FO40" s="11"/>
      <c r="FP40" s="37">
        <v>800</v>
      </c>
      <c r="FQ40" s="37">
        <v>802.51272089000679</v>
      </c>
      <c r="FR40" s="10">
        <v>3.7569647920550118</v>
      </c>
      <c r="FS40" s="11">
        <v>4.1849828538230452E-2</v>
      </c>
      <c r="FT40" s="26">
        <v>-2.2606261324318728</v>
      </c>
      <c r="FU40" s="26" t="s">
        <v>59</v>
      </c>
      <c r="FV40" s="26"/>
      <c r="FW40" s="9">
        <v>178</v>
      </c>
      <c r="FX40" s="9">
        <v>177.9388461999996</v>
      </c>
      <c r="FY40" s="10">
        <v>3.775205141012091</v>
      </c>
      <c r="FZ40" s="11">
        <v>9.2746133878219242E-2</v>
      </c>
      <c r="GA40" s="26">
        <v>-1.86969424792557</v>
      </c>
      <c r="GB40" s="26" t="s">
        <v>57</v>
      </c>
      <c r="GC40" s="26"/>
      <c r="GD40" s="37">
        <v>42</v>
      </c>
      <c r="GE40" s="37">
        <v>42.040657449999998</v>
      </c>
      <c r="GF40" s="10">
        <v>4.1900625878532729</v>
      </c>
      <c r="GG40" s="11">
        <v>0.13726746383945757</v>
      </c>
      <c r="GH40" s="26">
        <v>-4.0066497906294405</v>
      </c>
      <c r="GI40" s="26" t="s">
        <v>59</v>
      </c>
      <c r="GJ40" s="26"/>
      <c r="GK40" s="37">
        <v>92</v>
      </c>
      <c r="GL40" s="37">
        <v>92.555850109999909</v>
      </c>
      <c r="GM40" s="10">
        <v>4.0125065137279208</v>
      </c>
      <c r="GN40" s="11">
        <v>0.10064514826944429</v>
      </c>
      <c r="GO40" s="26">
        <v>-3.5575814439826656</v>
      </c>
      <c r="GP40" s="26" t="s">
        <v>59</v>
      </c>
      <c r="GQ40" s="26"/>
      <c r="GR40" s="37">
        <v>214</v>
      </c>
      <c r="GS40" s="37">
        <v>214.00085828000047</v>
      </c>
      <c r="GT40" s="10">
        <v>3.6775708150211255</v>
      </c>
      <c r="GU40" s="11">
        <v>8.1227975762477672E-2</v>
      </c>
      <c r="GV40" s="26">
        <v>-1.1831740323320454</v>
      </c>
      <c r="GW40" s="26" t="s">
        <v>57</v>
      </c>
      <c r="GX40" s="26"/>
      <c r="GY40" s="37">
        <v>71</v>
      </c>
      <c r="GZ40" s="37">
        <v>71.025467740000053</v>
      </c>
      <c r="HA40" s="10">
        <v>4.000817935620117</v>
      </c>
      <c r="HB40" s="11">
        <v>0.12541696442320177</v>
      </c>
      <c r="HC40" s="26">
        <v>-3.0307510935567761</v>
      </c>
      <c r="HD40" s="26" t="s">
        <v>59</v>
      </c>
      <c r="HE40" s="15"/>
      <c r="HF40" s="37">
        <v>166</v>
      </c>
      <c r="HG40" s="37">
        <v>166.05647959999982</v>
      </c>
      <c r="HH40" s="10">
        <v>3.3611415536717186</v>
      </c>
      <c r="HI40" s="11">
        <v>0.11046670896001003</v>
      </c>
      <c r="HJ40" s="11"/>
      <c r="HK40" s="37">
        <v>166</v>
      </c>
      <c r="HL40" s="37">
        <v>165.99119562000055</v>
      </c>
      <c r="HM40" s="10">
        <v>3.2225249841838575</v>
      </c>
      <c r="HN40" s="11">
        <v>0.10233782012948212</v>
      </c>
      <c r="HO40" s="6">
        <v>0.92051878963412437</v>
      </c>
      <c r="HP40" s="6" t="s">
        <v>57</v>
      </c>
      <c r="HQ40" s="45">
        <f t="shared" si="40"/>
        <v>0.13861656948786116</v>
      </c>
      <c r="HR40" s="27"/>
      <c r="HS40" s="3">
        <v>118</v>
      </c>
      <c r="HT40" s="3">
        <v>117.97221276000016</v>
      </c>
      <c r="HU40" s="29">
        <v>3.30625832197877</v>
      </c>
      <c r="HV40" s="27">
        <v>0.12709812614530838</v>
      </c>
      <c r="HW40" s="6">
        <v>0.32591988296764285</v>
      </c>
      <c r="HX40" s="6" t="s">
        <v>57</v>
      </c>
      <c r="HY40" s="27"/>
      <c r="HZ40" s="9">
        <v>158</v>
      </c>
      <c r="IA40" s="9">
        <v>157.71045505999993</v>
      </c>
      <c r="IB40" s="10">
        <v>3.4309410825943232</v>
      </c>
      <c r="IC40" s="11">
        <v>0.10160726600004405</v>
      </c>
      <c r="ID40" s="6">
        <v>-0.46505196525783665</v>
      </c>
      <c r="IE40" s="6" t="s">
        <v>57</v>
      </c>
      <c r="IF40" s="27"/>
      <c r="IG40" s="9">
        <v>281</v>
      </c>
      <c r="IH40" s="9">
        <v>281.53695181999984</v>
      </c>
      <c r="II40" s="10">
        <v>3.2389856109297428</v>
      </c>
      <c r="IJ40" s="11">
        <v>7.3959147181286905E-2</v>
      </c>
      <c r="IK40" s="6">
        <v>0.91888532010012491</v>
      </c>
      <c r="IL40" s="6" t="s">
        <v>57</v>
      </c>
      <c r="IM40" s="45">
        <f t="shared" si="41"/>
        <v>0.12215594274197583</v>
      </c>
      <c r="IN40" s="11"/>
      <c r="IO40" s="28">
        <v>253</v>
      </c>
      <c r="IP40" s="28">
        <v>254.16508866999905</v>
      </c>
      <c r="IQ40" s="29">
        <v>3.0729673681269385</v>
      </c>
      <c r="IR40" s="27">
        <v>8.4799413645325145E-2</v>
      </c>
      <c r="IS40" s="6">
        <v>2.0692989318508825</v>
      </c>
      <c r="IT40" s="6" t="s">
        <v>59</v>
      </c>
      <c r="IU40" s="27"/>
      <c r="IV40" s="37">
        <v>816</v>
      </c>
      <c r="IW40" s="37">
        <v>824.87953312999923</v>
      </c>
      <c r="IX40" s="10">
        <v>3.7271140970901939</v>
      </c>
      <c r="IY40" s="11">
        <v>4.3202276617869781E-2</v>
      </c>
      <c r="IZ40" s="26">
        <v>-3.0854022261492267</v>
      </c>
      <c r="JA40" s="26" t="s">
        <v>59</v>
      </c>
      <c r="JB40" s="26"/>
      <c r="JC40" s="37">
        <v>178</v>
      </c>
      <c r="JD40" s="37">
        <v>177.9388461999996</v>
      </c>
      <c r="JE40" s="10">
        <v>3.775205141012091</v>
      </c>
      <c r="JF40" s="11">
        <v>9.2746133878219242E-2</v>
      </c>
      <c r="JG40" s="26">
        <v>-2.8706873997187192</v>
      </c>
      <c r="JH40" s="26" t="s">
        <v>59</v>
      </c>
      <c r="JI40" s="26"/>
      <c r="JJ40" s="37">
        <v>72</v>
      </c>
      <c r="JK40" s="37">
        <v>72</v>
      </c>
      <c r="JL40" s="10">
        <v>3.7361111111111112</v>
      </c>
      <c r="JM40" s="11">
        <v>0.13267598457904947</v>
      </c>
      <c r="JN40" s="26">
        <v>-2.1719285840643128</v>
      </c>
      <c r="JO40" s="26" t="s">
        <v>59</v>
      </c>
      <c r="JP40" s="26"/>
      <c r="JQ40" s="37">
        <v>171</v>
      </c>
      <c r="JR40" s="37">
        <v>179.8874624800001</v>
      </c>
      <c r="JS40" s="10">
        <v>3.6780490316469998</v>
      </c>
      <c r="JT40" s="11">
        <v>9.0877859526349178E-2</v>
      </c>
      <c r="JU40" s="26">
        <v>-2.2154494855100806</v>
      </c>
      <c r="JV40" s="26" t="s">
        <v>59</v>
      </c>
      <c r="JW40" s="26"/>
      <c r="JX40" s="37">
        <v>42</v>
      </c>
      <c r="JY40" s="37">
        <v>42.040657449999998</v>
      </c>
      <c r="JZ40" s="10">
        <v>4.1900625878532729</v>
      </c>
      <c r="KA40" s="11">
        <v>0.13726746383945757</v>
      </c>
      <c r="KB40" s="26">
        <v>-4.7045227877619604</v>
      </c>
      <c r="KC40" s="26" t="s">
        <v>59</v>
      </c>
      <c r="KD40" s="26"/>
      <c r="KE40" s="37">
        <v>187</v>
      </c>
      <c r="KF40" s="37">
        <v>186.9560873999994</v>
      </c>
      <c r="KG40" s="10">
        <v>3.9460456873040015</v>
      </c>
      <c r="KH40" s="11">
        <v>8.2010015854029769E-2</v>
      </c>
      <c r="KI40" s="26">
        <v>-4.2513432632095833</v>
      </c>
      <c r="KJ40" s="26" t="s">
        <v>59</v>
      </c>
      <c r="KL40" s="9"/>
      <c r="KM40" s="9"/>
      <c r="KN40" s="10"/>
      <c r="KO40" s="11"/>
    </row>
    <row r="41" spans="1:301" s="7" customFormat="1" x14ac:dyDescent="0.25">
      <c r="B41" s="5" t="s">
        <v>32</v>
      </c>
      <c r="C41" s="9">
        <v>2760</v>
      </c>
      <c r="D41" s="9">
        <v>2762.1258489600691</v>
      </c>
      <c r="E41" s="10">
        <v>4.0599560428944104</v>
      </c>
      <c r="F41" s="11">
        <v>1.7942902495216954E-2</v>
      </c>
      <c r="G41" s="11"/>
      <c r="H41" s="9">
        <v>2833</v>
      </c>
      <c r="I41" s="9">
        <v>2832.1280072299223</v>
      </c>
      <c r="J41" s="10">
        <v>3.9894738253059541</v>
      </c>
      <c r="K41" s="11">
        <v>1.7961366627445581E-2</v>
      </c>
      <c r="L41" s="26">
        <v>2.7761850408024391</v>
      </c>
      <c r="M41" s="26" t="s">
        <v>59</v>
      </c>
      <c r="N41" s="45">
        <f t="shared" si="36"/>
        <v>7.0482217588456297E-2</v>
      </c>
      <c r="O41" s="11"/>
      <c r="P41" s="3">
        <v>909</v>
      </c>
      <c r="Q41" s="3">
        <v>908.93582280001363</v>
      </c>
      <c r="R41" s="10">
        <v>3.9509061732845598</v>
      </c>
      <c r="S41" s="11">
        <v>3.327612290348194E-2</v>
      </c>
      <c r="T41" s="26">
        <v>2.8845052784958889</v>
      </c>
      <c r="U41" s="26" t="s">
        <v>59</v>
      </c>
      <c r="V41" s="27"/>
      <c r="W41" s="9">
        <v>1034</v>
      </c>
      <c r="X41" s="9">
        <v>1034.509233180007</v>
      </c>
      <c r="Y41" s="10">
        <v>3.5331237325689804</v>
      </c>
      <c r="Z41" s="11">
        <v>2.9219534646811141E-2</v>
      </c>
      <c r="AA41" s="26">
        <v>15.364512858891326</v>
      </c>
      <c r="AB41" s="26" t="s">
        <v>59</v>
      </c>
      <c r="AC41" s="26"/>
      <c r="AD41" s="9">
        <v>1013</v>
      </c>
      <c r="AE41" s="9">
        <v>1011.1954236200188</v>
      </c>
      <c r="AF41" s="10">
        <v>3.8396290891532532</v>
      </c>
      <c r="AG41" s="11">
        <v>2.5323513289948064E-2</v>
      </c>
      <c r="AH41" s="26">
        <v>7.0990962374964859</v>
      </c>
      <c r="AI41" s="26" t="s">
        <v>59</v>
      </c>
      <c r="AJ41" s="45">
        <f t="shared" si="37"/>
        <v>0.22032695374115718</v>
      </c>
      <c r="AK41" s="27"/>
      <c r="AL41" s="28">
        <v>1154</v>
      </c>
      <c r="AM41" s="28">
        <v>1151.5610527600036</v>
      </c>
      <c r="AN41" s="29">
        <v>3.5310995074504823</v>
      </c>
      <c r="AO41" s="27">
        <v>2.9983884115748313E-2</v>
      </c>
      <c r="AP41" s="26">
        <v>15.135034407817736</v>
      </c>
      <c r="AQ41" s="26" t="s">
        <v>59</v>
      </c>
      <c r="AR41" s="27"/>
      <c r="AS41" s="30">
        <v>5723</v>
      </c>
      <c r="AT41" s="31">
        <v>4.1215840172840652</v>
      </c>
      <c r="AU41" s="32">
        <v>1.225957936063175E-2</v>
      </c>
      <c r="AV41" s="26">
        <v>-2.8359214182461048</v>
      </c>
      <c r="AW41" s="26" t="s">
        <v>59</v>
      </c>
      <c r="AX41" s="27"/>
      <c r="AY41" s="33">
        <v>727</v>
      </c>
      <c r="AZ41" s="34">
        <v>4.3927886294594751</v>
      </c>
      <c r="BA41" s="35">
        <v>3.2487185449896434E-2</v>
      </c>
      <c r="BB41" s="26">
        <v>-8.9681181982631895</v>
      </c>
      <c r="BC41" s="26" t="s">
        <v>59</v>
      </c>
      <c r="BD41" s="35"/>
      <c r="BE41" s="33">
        <v>921</v>
      </c>
      <c r="BF41" s="34">
        <v>4.2253405786582041</v>
      </c>
      <c r="BG41" s="35">
        <v>2.908693139522537E-2</v>
      </c>
      <c r="BH41" s="26">
        <v>-4.8392044839483157</v>
      </c>
      <c r="BI41" s="26" t="s">
        <v>59</v>
      </c>
      <c r="BJ41" s="35"/>
      <c r="BK41" s="33">
        <v>940</v>
      </c>
      <c r="BL41" s="34">
        <v>4.2652247396104173</v>
      </c>
      <c r="BM41" s="35">
        <v>2.8320446349711204E-2</v>
      </c>
      <c r="BN41" s="26">
        <v>-6.1226643534749812</v>
      </c>
      <c r="BO41" s="26" t="s">
        <v>59</v>
      </c>
      <c r="BP41" s="35"/>
      <c r="BQ41" s="33">
        <v>1269</v>
      </c>
      <c r="BR41" s="34">
        <v>4.048058488952134</v>
      </c>
      <c r="BS41" s="35">
        <v>2.5325763248877569E-2</v>
      </c>
      <c r="BT41" s="26">
        <v>0.38332524970428278</v>
      </c>
      <c r="BU41" s="26" t="s">
        <v>57</v>
      </c>
      <c r="BV41" s="35"/>
      <c r="BW41" s="33">
        <v>1291</v>
      </c>
      <c r="BX41" s="34">
        <v>4.2018963949584656</v>
      </c>
      <c r="BY41" s="35">
        <v>2.2839863774755286E-2</v>
      </c>
      <c r="BZ41" s="26">
        <v>-4.8869259459706313</v>
      </c>
      <c r="CA41" s="26" t="s">
        <v>59</v>
      </c>
      <c r="CB41" s="27"/>
      <c r="CC41" s="9">
        <v>11123</v>
      </c>
      <c r="CD41" s="9">
        <v>11135.422561679194</v>
      </c>
      <c r="CE41" s="10">
        <v>4.1969682498747716</v>
      </c>
      <c r="CF41" s="11">
        <v>8.8277976678693172E-3</v>
      </c>
      <c r="CG41" s="26">
        <v>-6.8516573484017798</v>
      </c>
      <c r="CH41" s="26" t="s">
        <v>59</v>
      </c>
      <c r="CI41" s="26"/>
      <c r="CJ41" s="9">
        <v>499</v>
      </c>
      <c r="CK41" s="9">
        <v>499</v>
      </c>
      <c r="CL41" s="10">
        <v>4.0000000000000018</v>
      </c>
      <c r="CM41" s="11">
        <v>4.2742801345073418E-2</v>
      </c>
      <c r="CN41" s="26">
        <v>1.2933777409638665</v>
      </c>
      <c r="CO41" s="26" t="s">
        <v>57</v>
      </c>
      <c r="CP41" s="26"/>
      <c r="CQ41" s="9">
        <v>3136</v>
      </c>
      <c r="CR41" s="9">
        <v>3146.1601127798849</v>
      </c>
      <c r="CS41" s="10">
        <v>3.9067731677105124</v>
      </c>
      <c r="CT41" s="11">
        <v>1.7928471189623745E-2</v>
      </c>
      <c r="CU41" s="26">
        <v>6.0391688364243894</v>
      </c>
      <c r="CV41" s="26" t="s">
        <v>59</v>
      </c>
      <c r="CW41" s="26"/>
      <c r="CX41" s="9">
        <v>2751</v>
      </c>
      <c r="CY41" s="9">
        <v>2751.0087707700759</v>
      </c>
      <c r="CZ41" s="10">
        <v>4.1664846093826906</v>
      </c>
      <c r="DA41" s="11">
        <v>1.6258281841860112E-2</v>
      </c>
      <c r="DB41" s="26">
        <v>-4.3996055024764189</v>
      </c>
      <c r="DC41" s="26" t="s">
        <v>59</v>
      </c>
      <c r="DD41" s="26"/>
      <c r="DE41" s="9">
        <v>577</v>
      </c>
      <c r="DF41" s="9">
        <v>577.12782916999549</v>
      </c>
      <c r="DG41" s="10">
        <v>4.966899272718357</v>
      </c>
      <c r="DH41" s="11">
        <v>8.2248138242882497E-3</v>
      </c>
      <c r="DI41" s="26">
        <v>-45.948701391891312</v>
      </c>
      <c r="DJ41" s="26" t="s">
        <v>59</v>
      </c>
      <c r="DK41" s="26"/>
      <c r="DL41" s="9">
        <v>869</v>
      </c>
      <c r="DM41" s="9">
        <v>869</v>
      </c>
      <c r="DN41" s="10">
        <v>4.8987341772151884</v>
      </c>
      <c r="DO41" s="11">
        <v>1.1576608766222707E-2</v>
      </c>
      <c r="DP41" s="26">
        <v>-39.280865776037331</v>
      </c>
      <c r="DQ41" s="26" t="s">
        <v>59</v>
      </c>
      <c r="DR41" s="26"/>
      <c r="DS41" s="9">
        <v>531</v>
      </c>
      <c r="DT41" s="9">
        <v>531</v>
      </c>
      <c r="DU41" s="10">
        <v>4.9868173258003692</v>
      </c>
      <c r="DV41" s="11">
        <v>5.6259791002501768E-3</v>
      </c>
      <c r="DW41" s="26">
        <v>-49.29001916556043</v>
      </c>
      <c r="DX41" s="26" t="s">
        <v>59</v>
      </c>
      <c r="DY41" s="36"/>
      <c r="DZ41" s="9">
        <v>981</v>
      </c>
      <c r="EA41" s="9">
        <v>982.85440572000516</v>
      </c>
      <c r="EB41" s="10">
        <v>3.7763692787651642</v>
      </c>
      <c r="EC41" s="11">
        <v>3.3965986232180695E-2</v>
      </c>
      <c r="ED41" s="11"/>
      <c r="EE41" s="9">
        <v>932</v>
      </c>
      <c r="EF41" s="9">
        <v>931.41188020000891</v>
      </c>
      <c r="EG41" s="10">
        <v>3.6553875221335175</v>
      </c>
      <c r="EH41" s="11">
        <v>3.624735000306057E-2</v>
      </c>
      <c r="EI41" s="6">
        <v>2.435488864540988</v>
      </c>
      <c r="EJ41" s="6" t="s">
        <v>59</v>
      </c>
      <c r="EK41" s="45">
        <f t="shared" si="38"/>
        <v>0.12098175663164668</v>
      </c>
      <c r="EL41" s="11"/>
      <c r="EM41" s="9">
        <v>643</v>
      </c>
      <c r="EN41" s="9">
        <v>642.8735742699962</v>
      </c>
      <c r="EO41" s="10">
        <v>3.6619293199494303</v>
      </c>
      <c r="EP41" s="11">
        <v>4.3498425017459673E-2</v>
      </c>
      <c r="EQ41" s="6">
        <v>2.0736092243750877</v>
      </c>
      <c r="ER41" s="6" t="s">
        <v>59</v>
      </c>
      <c r="ES41" s="11"/>
      <c r="ET41" s="9">
        <v>650</v>
      </c>
      <c r="EU41" s="9">
        <v>650.55590806000293</v>
      </c>
      <c r="EV41" s="10">
        <v>3.7305770064671617</v>
      </c>
      <c r="EW41" s="11">
        <v>4.2939020674243877E-2</v>
      </c>
      <c r="EX41" s="6">
        <v>0.83640454909890871</v>
      </c>
      <c r="EY41" s="6" t="s">
        <v>57</v>
      </c>
      <c r="EZ41" s="11"/>
      <c r="FA41" s="9">
        <v>643</v>
      </c>
      <c r="FB41" s="9">
        <v>647.74287783000193</v>
      </c>
      <c r="FC41" s="10">
        <v>3.5817970605597376</v>
      </c>
      <c r="FD41" s="11">
        <v>4.1761120466995413E-2</v>
      </c>
      <c r="FE41" s="6">
        <v>3.6145618719414032</v>
      </c>
      <c r="FF41" s="6" t="s">
        <v>59</v>
      </c>
      <c r="FG41" s="45">
        <f t="shared" si="39"/>
        <v>0.19457221820542658</v>
      </c>
      <c r="FH41" s="11"/>
      <c r="FI41" s="28">
        <v>704</v>
      </c>
      <c r="FJ41" s="28">
        <v>703.50685738999971</v>
      </c>
      <c r="FK41" s="29">
        <v>3.7132942958817741</v>
      </c>
      <c r="FL41" s="27">
        <v>4.125937837039273E-2</v>
      </c>
      <c r="FM41" s="6">
        <v>1.1802558865631199</v>
      </c>
      <c r="FN41" s="6" t="s">
        <v>57</v>
      </c>
      <c r="FO41" s="11"/>
      <c r="FP41" s="37">
        <v>4602</v>
      </c>
      <c r="FQ41" s="37">
        <v>4604.1526258097856</v>
      </c>
      <c r="FR41" s="10">
        <v>4.0954971018956199</v>
      </c>
      <c r="FS41" s="11">
        <v>1.3763722625059135E-2</v>
      </c>
      <c r="FT41" s="26">
        <v>-8.7077494172929661</v>
      </c>
      <c r="FU41" s="26" t="s">
        <v>59</v>
      </c>
      <c r="FV41" s="26"/>
      <c r="FW41" s="9">
        <v>984</v>
      </c>
      <c r="FX41" s="9">
        <v>983.97979583998108</v>
      </c>
      <c r="FY41" s="10">
        <v>4.2012739695645136</v>
      </c>
      <c r="FZ41" s="11">
        <v>2.6749473787683952E-2</v>
      </c>
      <c r="GA41" s="26">
        <v>-9.8279065343721541</v>
      </c>
      <c r="GB41" s="26" t="s">
        <v>59</v>
      </c>
      <c r="GC41" s="26"/>
      <c r="GD41" s="37">
        <v>367</v>
      </c>
      <c r="GE41" s="37">
        <v>366.98449244999881</v>
      </c>
      <c r="GF41" s="10">
        <v>4.4305290343338619</v>
      </c>
      <c r="GG41" s="11">
        <v>4.0471720834552756E-2</v>
      </c>
      <c r="GH41" s="26">
        <v>-12.38093553179578</v>
      </c>
      <c r="GI41" s="26" t="s">
        <v>59</v>
      </c>
      <c r="GJ41" s="26"/>
      <c r="GK41" s="37">
        <v>638</v>
      </c>
      <c r="GL41" s="37">
        <v>638.29292376000058</v>
      </c>
      <c r="GM41" s="10">
        <v>4.095058183416139</v>
      </c>
      <c r="GN41" s="11">
        <v>3.1105777234332225E-2</v>
      </c>
      <c r="GO41" s="26">
        <v>-6.9194286915984478</v>
      </c>
      <c r="GP41" s="26" t="s">
        <v>59</v>
      </c>
      <c r="GQ41" s="26"/>
      <c r="GR41" s="37">
        <v>1262</v>
      </c>
      <c r="GS41" s="37">
        <v>1262.0010732400031</v>
      </c>
      <c r="GT41" s="10">
        <v>4.0554656354612275</v>
      </c>
      <c r="GU41" s="11">
        <v>2.7185542516400006E-2</v>
      </c>
      <c r="GV41" s="26">
        <v>-6.4151743532479477</v>
      </c>
      <c r="GW41" s="26" t="s">
        <v>59</v>
      </c>
      <c r="GX41" s="26"/>
      <c r="GY41" s="37">
        <v>370</v>
      </c>
      <c r="GZ41" s="37">
        <v>370.03993480000054</v>
      </c>
      <c r="HA41" s="10">
        <v>4.4668685725322472</v>
      </c>
      <c r="HB41" s="11">
        <v>3.962730428791425E-2</v>
      </c>
      <c r="HC41" s="26">
        <v>-13.229967371004371</v>
      </c>
      <c r="HD41" s="26" t="s">
        <v>59</v>
      </c>
      <c r="HE41" s="15"/>
      <c r="HF41" s="37">
        <v>821</v>
      </c>
      <c r="HG41" s="37">
        <v>821.01577636000752</v>
      </c>
      <c r="HH41" s="10">
        <v>3.6732406345838999</v>
      </c>
      <c r="HI41" s="11">
        <v>4.0253166011872746E-2</v>
      </c>
      <c r="HJ41" s="11"/>
      <c r="HK41" s="37">
        <v>815</v>
      </c>
      <c r="HL41" s="37">
        <v>814.96840095000789</v>
      </c>
      <c r="HM41" s="10">
        <v>3.5888999856565564</v>
      </c>
      <c r="HN41" s="11">
        <v>3.9810568515258604E-2</v>
      </c>
      <c r="HO41" s="6">
        <v>1.4897364932575872</v>
      </c>
      <c r="HP41" s="6" t="s">
        <v>57</v>
      </c>
      <c r="HQ41" s="45">
        <f t="shared" si="40"/>
        <v>8.4340648927343498E-2</v>
      </c>
      <c r="HR41" s="27"/>
      <c r="HS41" s="3">
        <v>592</v>
      </c>
      <c r="HT41" s="3">
        <v>592.00137188999656</v>
      </c>
      <c r="HU41" s="29">
        <v>3.6183289661160032</v>
      </c>
      <c r="HV41" s="27">
        <v>4.6846263541687312E-2</v>
      </c>
      <c r="HW41" s="6">
        <v>0.88904479207981213</v>
      </c>
      <c r="HX41" s="6" t="s">
        <v>57</v>
      </c>
      <c r="HY41" s="27"/>
      <c r="HZ41" s="9">
        <v>597</v>
      </c>
      <c r="IA41" s="9">
        <v>596.5055394500032</v>
      </c>
      <c r="IB41" s="10">
        <v>3.6968995475604349</v>
      </c>
      <c r="IC41" s="11">
        <v>4.3152484729845217E-2</v>
      </c>
      <c r="ID41" s="6">
        <v>-0.40091478552097576</v>
      </c>
      <c r="IE41" s="6" t="s">
        <v>57</v>
      </c>
      <c r="IF41" s="27"/>
      <c r="IG41" s="9">
        <v>1230</v>
      </c>
      <c r="IH41" s="9">
        <v>1230.807900019995</v>
      </c>
      <c r="II41" s="10">
        <v>3.5267426894233211</v>
      </c>
      <c r="IJ41" s="11">
        <v>3.1005573460207561E-2</v>
      </c>
      <c r="IK41" s="6">
        <v>2.8832464187201468</v>
      </c>
      <c r="IL41" s="6" t="s">
        <v>59</v>
      </c>
      <c r="IM41" s="45">
        <f t="shared" si="41"/>
        <v>0.14649794516057879</v>
      </c>
      <c r="IN41" s="11"/>
      <c r="IO41" s="28">
        <v>1280</v>
      </c>
      <c r="IP41" s="28">
        <v>1279.6300205600003</v>
      </c>
      <c r="IQ41" s="29">
        <v>3.5188125574292624</v>
      </c>
      <c r="IR41" s="27">
        <v>3.2244593714213329E-2</v>
      </c>
      <c r="IS41" s="6">
        <v>2.9942144284398289</v>
      </c>
      <c r="IT41" s="6" t="s">
        <v>59</v>
      </c>
      <c r="IU41" s="27"/>
      <c r="IV41" s="37">
        <v>4927</v>
      </c>
      <c r="IW41" s="37">
        <v>4935.089573429852</v>
      </c>
      <c r="IX41" s="10">
        <v>4.1098357140503152</v>
      </c>
      <c r="IY41" s="11">
        <v>1.3487429433428835E-2</v>
      </c>
      <c r="IZ41" s="26">
        <v>-10.284281489848713</v>
      </c>
      <c r="JA41" s="26" t="s">
        <v>59</v>
      </c>
      <c r="JB41" s="26"/>
      <c r="JC41" s="37">
        <v>984</v>
      </c>
      <c r="JD41" s="37">
        <v>983.97979583998108</v>
      </c>
      <c r="JE41" s="10">
        <v>4.2012739695645136</v>
      </c>
      <c r="JF41" s="11">
        <v>2.6749473787683952E-2</v>
      </c>
      <c r="JG41" s="26">
        <v>-10.925434187853115</v>
      </c>
      <c r="JH41" s="26" t="s">
        <v>59</v>
      </c>
      <c r="JI41" s="26"/>
      <c r="JJ41" s="37">
        <v>628</v>
      </c>
      <c r="JK41" s="37">
        <v>628</v>
      </c>
      <c r="JL41" s="10">
        <v>4.2213375796178347</v>
      </c>
      <c r="JM41" s="11">
        <v>3.5926780285300317E-2</v>
      </c>
      <c r="JN41" s="26">
        <v>-10.158567733633818</v>
      </c>
      <c r="JO41" s="26" t="s">
        <v>59</v>
      </c>
      <c r="JP41" s="26"/>
      <c r="JQ41" s="37">
        <v>877</v>
      </c>
      <c r="JR41" s="37">
        <v>885.48043828000823</v>
      </c>
      <c r="JS41" s="10">
        <v>4.2131209915111949</v>
      </c>
      <c r="JT41" s="11">
        <v>3.0463122136973674E-2</v>
      </c>
      <c r="JU41" s="26">
        <v>-10.694749446063312</v>
      </c>
      <c r="JV41" s="26" t="s">
        <v>59</v>
      </c>
      <c r="JW41" s="26"/>
      <c r="JX41" s="37">
        <v>367</v>
      </c>
      <c r="JY41" s="37">
        <v>366.98449244999881</v>
      </c>
      <c r="JZ41" s="10">
        <v>4.4305290343338619</v>
      </c>
      <c r="KA41" s="11">
        <v>4.0471720834552756E-2</v>
      </c>
      <c r="KB41" s="26">
        <v>-13.266833095720171</v>
      </c>
      <c r="KC41" s="26" t="s">
        <v>59</v>
      </c>
      <c r="KD41" s="26"/>
      <c r="KE41" s="37">
        <v>1250</v>
      </c>
      <c r="KF41" s="37">
        <v>1249.6290704999799</v>
      </c>
      <c r="KG41" s="10">
        <v>4.1012798250839024</v>
      </c>
      <c r="KH41" s="11">
        <v>2.4955770494748834E-2</v>
      </c>
      <c r="KI41" s="26">
        <v>-9.0377111296938004</v>
      </c>
      <c r="KJ41" s="26" t="s">
        <v>59</v>
      </c>
      <c r="KL41" s="9"/>
      <c r="KM41" s="9"/>
      <c r="KN41" s="10"/>
      <c r="KO41" s="11"/>
    </row>
    <row r="42" spans="1:301" s="7" customFormat="1" x14ac:dyDescent="0.25">
      <c r="B42" s="5" t="s">
        <v>33</v>
      </c>
      <c r="C42" s="9">
        <v>2703</v>
      </c>
      <c r="D42" s="9">
        <v>2705.4361737300724</v>
      </c>
      <c r="E42" s="10">
        <v>3.8691867992132019</v>
      </c>
      <c r="F42" s="11">
        <v>1.9831423298902039E-2</v>
      </c>
      <c r="G42" s="11"/>
      <c r="H42" s="9">
        <v>2774</v>
      </c>
      <c r="I42" s="9">
        <v>2772.7254986299258</v>
      </c>
      <c r="J42" s="10">
        <v>3.7012604067156052</v>
      </c>
      <c r="K42" s="11">
        <v>2.093106427466853E-2</v>
      </c>
      <c r="L42" s="26">
        <v>5.8239187290773229</v>
      </c>
      <c r="M42" s="26" t="s">
        <v>59</v>
      </c>
      <c r="N42" s="45">
        <f t="shared" si="36"/>
        <v>0.16792639249759667</v>
      </c>
      <c r="O42" s="11"/>
      <c r="P42" s="3">
        <v>901</v>
      </c>
      <c r="Q42" s="3">
        <v>900.9414511000133</v>
      </c>
      <c r="R42" s="10">
        <v>3.7341844133960063</v>
      </c>
      <c r="S42" s="11">
        <v>3.6279871999362258E-2</v>
      </c>
      <c r="T42" s="26">
        <v>3.2651644091585097</v>
      </c>
      <c r="U42" s="26" t="s">
        <v>59</v>
      </c>
      <c r="V42" s="27"/>
      <c r="W42" s="9">
        <v>1021</v>
      </c>
      <c r="X42" s="9">
        <v>1021.836304890007</v>
      </c>
      <c r="Y42" s="10">
        <v>3.2117708589765721</v>
      </c>
      <c r="Z42" s="11">
        <v>3.2016607836589689E-2</v>
      </c>
      <c r="AA42" s="26">
        <v>17.456161412539913</v>
      </c>
      <c r="AB42" s="26" t="s">
        <v>59</v>
      </c>
      <c r="AC42" s="26"/>
      <c r="AD42" s="9">
        <v>998</v>
      </c>
      <c r="AE42" s="9">
        <v>995.46685362001824</v>
      </c>
      <c r="AF42" s="10">
        <v>3.4123134201981928</v>
      </c>
      <c r="AG42" s="11">
        <v>3.0271256918713612E-2</v>
      </c>
      <c r="AH42" s="26">
        <v>12.624692982963504</v>
      </c>
      <c r="AI42" s="26" t="s">
        <v>59</v>
      </c>
      <c r="AJ42" s="45">
        <f t="shared" si="37"/>
        <v>0.45687337901500902</v>
      </c>
      <c r="AK42" s="27"/>
      <c r="AL42" s="28">
        <v>1147</v>
      </c>
      <c r="AM42" s="28">
        <v>1144.7550919400035</v>
      </c>
      <c r="AN42" s="29">
        <v>3.2168880924034493</v>
      </c>
      <c r="AO42" s="27">
        <v>3.1848289696385861E-2</v>
      </c>
      <c r="AP42" s="26">
        <v>17.386295517339278</v>
      </c>
      <c r="AQ42" s="26" t="s">
        <v>59</v>
      </c>
      <c r="AR42" s="27"/>
      <c r="AS42" s="30">
        <v>5693</v>
      </c>
      <c r="AT42" s="31">
        <v>3.9913054821784097</v>
      </c>
      <c r="AU42" s="32">
        <v>1.3285458821427789E-2</v>
      </c>
      <c r="AV42" s="26">
        <v>-5.1159367978681738</v>
      </c>
      <c r="AW42" s="26" t="s">
        <v>59</v>
      </c>
      <c r="AX42" s="27"/>
      <c r="AY42" s="33">
        <v>729</v>
      </c>
      <c r="AZ42" s="34">
        <v>4.3789495396719103</v>
      </c>
      <c r="BA42" s="35">
        <v>3.3736191414835436E-2</v>
      </c>
      <c r="BB42" s="26">
        <v>-13.026312848240849</v>
      </c>
      <c r="BC42" s="26" t="s">
        <v>59</v>
      </c>
      <c r="BD42" s="35"/>
      <c r="BE42" s="33">
        <v>918</v>
      </c>
      <c r="BF42" s="34">
        <v>4.026782299419807</v>
      </c>
      <c r="BG42" s="35">
        <v>3.2395971639895847E-2</v>
      </c>
      <c r="BH42" s="26">
        <v>-4.1489968472017029</v>
      </c>
      <c r="BI42" s="26" t="s">
        <v>59</v>
      </c>
      <c r="BJ42" s="35"/>
      <c r="BK42" s="33">
        <v>936</v>
      </c>
      <c r="BL42" s="34">
        <v>4.0897110362748785</v>
      </c>
      <c r="BM42" s="35">
        <v>3.2579159361988054E-2</v>
      </c>
      <c r="BN42" s="26">
        <v>-5.7819130073907168</v>
      </c>
      <c r="BO42" s="26" t="s">
        <v>59</v>
      </c>
      <c r="BP42" s="35"/>
      <c r="BQ42" s="33">
        <v>1261</v>
      </c>
      <c r="BR42" s="34">
        <v>3.8041311940273053</v>
      </c>
      <c r="BS42" s="35">
        <v>2.8764663025488538E-2</v>
      </c>
      <c r="BT42" s="26">
        <v>1.8620091739023761</v>
      </c>
      <c r="BU42" s="26" t="s">
        <v>57</v>
      </c>
      <c r="BV42" s="35"/>
      <c r="BW42" s="33">
        <v>1273</v>
      </c>
      <c r="BX42" s="34">
        <v>4.0352745692006584</v>
      </c>
      <c r="BY42" s="35">
        <v>2.5989703333136556E-2</v>
      </c>
      <c r="BZ42" s="26">
        <v>-5.0804196152571359</v>
      </c>
      <c r="CA42" s="26" t="s">
        <v>59</v>
      </c>
      <c r="CB42" s="27"/>
      <c r="CC42" s="9">
        <v>11009</v>
      </c>
      <c r="CD42" s="9">
        <v>11015.193914499203</v>
      </c>
      <c r="CE42" s="10">
        <v>4.0999554871150217</v>
      </c>
      <c r="CF42" s="11">
        <v>9.5283620023374257E-3</v>
      </c>
      <c r="CG42" s="26">
        <v>-10.488672837553699</v>
      </c>
      <c r="CH42" s="26" t="s">
        <v>59</v>
      </c>
      <c r="CI42" s="26"/>
      <c r="CJ42" s="9">
        <v>497</v>
      </c>
      <c r="CK42" s="9">
        <v>497</v>
      </c>
      <c r="CL42" s="10">
        <v>3.8450704225352137</v>
      </c>
      <c r="CM42" s="11">
        <v>4.6239730077731814E-2</v>
      </c>
      <c r="CN42" s="26">
        <v>0.47932694509983753</v>
      </c>
      <c r="CO42" s="26" t="s">
        <v>57</v>
      </c>
      <c r="CP42" s="26"/>
      <c r="CQ42" s="9">
        <v>3111</v>
      </c>
      <c r="CR42" s="9">
        <v>3114.9337972398844</v>
      </c>
      <c r="CS42" s="10">
        <v>3.7997420362889502</v>
      </c>
      <c r="CT42" s="11">
        <v>1.8654784846616312E-2</v>
      </c>
      <c r="CU42" s="26">
        <v>2.5506243340365531</v>
      </c>
      <c r="CV42" s="26" t="s">
        <v>59</v>
      </c>
      <c r="CW42" s="26"/>
      <c r="CX42" s="9">
        <v>2718</v>
      </c>
      <c r="CY42" s="9">
        <v>2718.008886710074</v>
      </c>
      <c r="CZ42" s="10">
        <v>4.1228933845151268</v>
      </c>
      <c r="DA42" s="11">
        <v>1.7427485379849377E-2</v>
      </c>
      <c r="DB42" s="26">
        <v>-9.6098042671067372</v>
      </c>
      <c r="DC42" s="26" t="s">
        <v>59</v>
      </c>
      <c r="DD42" s="26"/>
      <c r="DE42" s="9">
        <v>581</v>
      </c>
      <c r="DF42" s="9">
        <v>580.81505681999545</v>
      </c>
      <c r="DG42" s="10">
        <v>4.9636472407660914</v>
      </c>
      <c r="DH42" s="11">
        <v>9.5012494072249411E-3</v>
      </c>
      <c r="DI42" s="26">
        <v>-49.770876950211395</v>
      </c>
      <c r="DJ42" s="26" t="s">
        <v>59</v>
      </c>
      <c r="DK42" s="26"/>
      <c r="DL42" s="9">
        <v>864</v>
      </c>
      <c r="DM42" s="9">
        <v>864</v>
      </c>
      <c r="DN42" s="10">
        <v>4.8506944444444464</v>
      </c>
      <c r="DO42" s="11">
        <v>1.4359211115943052E-2</v>
      </c>
      <c r="DP42" s="26">
        <v>-40.087514389291002</v>
      </c>
      <c r="DQ42" s="26" t="s">
        <v>59</v>
      </c>
      <c r="DR42" s="26"/>
      <c r="DS42" s="9">
        <v>535</v>
      </c>
      <c r="DT42" s="9">
        <v>535</v>
      </c>
      <c r="DU42" s="10">
        <v>4.9850467289719553</v>
      </c>
      <c r="DV42" s="11">
        <v>5.8808373614903705E-3</v>
      </c>
      <c r="DW42" s="26">
        <v>-53.945344123967999</v>
      </c>
      <c r="DX42" s="26" t="s">
        <v>59</v>
      </c>
      <c r="DY42" s="36"/>
      <c r="DZ42" s="9">
        <v>959</v>
      </c>
      <c r="EA42" s="9">
        <v>960.72260299000516</v>
      </c>
      <c r="EB42" s="10">
        <v>3.5916352077707021</v>
      </c>
      <c r="EC42" s="11">
        <v>3.5964192807836345E-2</v>
      </c>
      <c r="ED42" s="11"/>
      <c r="EE42" s="9">
        <v>904</v>
      </c>
      <c r="EF42" s="9">
        <v>904.05054084000778</v>
      </c>
      <c r="EG42" s="10">
        <v>3.4186991810195622</v>
      </c>
      <c r="EH42" s="11">
        <v>3.8251904216402746E-2</v>
      </c>
      <c r="EI42" s="6">
        <v>3.2937917090493549</v>
      </c>
      <c r="EJ42" s="6" t="s">
        <v>59</v>
      </c>
      <c r="EK42" s="45">
        <f t="shared" si="38"/>
        <v>0.17293602675113995</v>
      </c>
      <c r="EL42" s="11"/>
      <c r="EM42" s="9">
        <v>634</v>
      </c>
      <c r="EN42" s="9">
        <v>633.97815386999594</v>
      </c>
      <c r="EO42" s="10">
        <v>3.3885715475781444</v>
      </c>
      <c r="EP42" s="11">
        <v>4.9451090695761431E-2</v>
      </c>
      <c r="EQ42" s="6">
        <v>3.3209638281606209</v>
      </c>
      <c r="ER42" s="6" t="s">
        <v>59</v>
      </c>
      <c r="ES42" s="11"/>
      <c r="ET42" s="9">
        <v>645</v>
      </c>
      <c r="EU42" s="9">
        <v>645.60998975000257</v>
      </c>
      <c r="EV42" s="10">
        <v>3.4695557901565155</v>
      </c>
      <c r="EW42" s="11">
        <v>4.6287057725002773E-2</v>
      </c>
      <c r="EX42" s="6">
        <v>2.0826737865674554</v>
      </c>
      <c r="EY42" s="6" t="s">
        <v>59</v>
      </c>
      <c r="EZ42" s="11"/>
      <c r="FA42" s="9">
        <v>636</v>
      </c>
      <c r="FB42" s="9">
        <v>639.62424831000203</v>
      </c>
      <c r="FC42" s="10">
        <v>3.4187795147819018</v>
      </c>
      <c r="FD42" s="11">
        <v>4.4338820038389175E-2</v>
      </c>
      <c r="FE42" s="6">
        <v>3.0277353619743872</v>
      </c>
      <c r="FF42" s="6" t="s">
        <v>59</v>
      </c>
      <c r="FG42" s="45">
        <f t="shared" si="39"/>
        <v>0.17285569298880032</v>
      </c>
      <c r="FH42" s="11"/>
      <c r="FI42" s="28">
        <v>698</v>
      </c>
      <c r="FJ42" s="28">
        <v>697.50571452999975</v>
      </c>
      <c r="FK42" s="29">
        <v>3.4897557416575204</v>
      </c>
      <c r="FL42" s="27">
        <v>4.3513773953534875E-2</v>
      </c>
      <c r="FM42" s="6">
        <v>1.8046973118830993</v>
      </c>
      <c r="FN42" s="6" t="s">
        <v>57</v>
      </c>
      <c r="FO42" s="11"/>
      <c r="FP42" s="37">
        <v>4524</v>
      </c>
      <c r="FQ42" s="37">
        <v>4525.6620985897771</v>
      </c>
      <c r="FR42" s="10">
        <v>3.9463154926445623</v>
      </c>
      <c r="FS42" s="11">
        <v>1.5016220806755002E-2</v>
      </c>
      <c r="FT42" s="26">
        <v>-9.1006208369115473</v>
      </c>
      <c r="FU42" s="26" t="s">
        <v>59</v>
      </c>
      <c r="FV42" s="26"/>
      <c r="FW42" s="9">
        <v>943</v>
      </c>
      <c r="FX42" s="9">
        <v>942.97872725998286</v>
      </c>
      <c r="FY42" s="10">
        <v>3.9662224175803478</v>
      </c>
      <c r="FZ42" s="11">
        <v>3.0839167469140682E-2</v>
      </c>
      <c r="GA42" s="26">
        <v>-7.9067011602284616</v>
      </c>
      <c r="GB42" s="26" t="s">
        <v>59</v>
      </c>
      <c r="GC42" s="26"/>
      <c r="GD42" s="37">
        <v>360</v>
      </c>
      <c r="GE42" s="37">
        <v>359.97413629999897</v>
      </c>
      <c r="GF42" s="10">
        <v>4.3387582791458428</v>
      </c>
      <c r="GG42" s="11">
        <v>4.3679072142640836E-2</v>
      </c>
      <c r="GH42" s="26">
        <v>-13.204744770520961</v>
      </c>
      <c r="GI42" s="26" t="s">
        <v>59</v>
      </c>
      <c r="GJ42" s="26"/>
      <c r="GK42" s="37">
        <v>643</v>
      </c>
      <c r="GL42" s="37">
        <v>642.9713591400008</v>
      </c>
      <c r="GM42" s="10">
        <v>4.1655539719100041</v>
      </c>
      <c r="GN42" s="11">
        <v>3.1253894325567529E-2</v>
      </c>
      <c r="GO42" s="26">
        <v>-12.045243487843495</v>
      </c>
      <c r="GP42" s="26" t="s">
        <v>59</v>
      </c>
      <c r="GQ42" s="26"/>
      <c r="GR42" s="37">
        <v>1255</v>
      </c>
      <c r="GS42" s="37">
        <v>1255.0008007600036</v>
      </c>
      <c r="GT42" s="10">
        <v>3.866134169047335</v>
      </c>
      <c r="GU42" s="11">
        <v>2.9969425542984086E-2</v>
      </c>
      <c r="GV42" s="26">
        <v>-5.8635561292409832</v>
      </c>
      <c r="GW42" s="26" t="s">
        <v>59</v>
      </c>
      <c r="GX42" s="26"/>
      <c r="GY42" s="37">
        <v>364</v>
      </c>
      <c r="GZ42" s="37">
        <v>364.01447214000058</v>
      </c>
      <c r="HA42" s="10">
        <v>4.3319371635684032</v>
      </c>
      <c r="HB42" s="11">
        <v>4.3228890862455523E-2</v>
      </c>
      <c r="HC42" s="26">
        <v>-13.164881817070883</v>
      </c>
      <c r="HD42" s="26" t="s">
        <v>59</v>
      </c>
      <c r="HE42" s="15"/>
      <c r="HF42" s="37">
        <v>796</v>
      </c>
      <c r="HG42" s="37">
        <v>795.99245536000706</v>
      </c>
      <c r="HH42" s="10">
        <v>3.554980890667121</v>
      </c>
      <c r="HI42" s="11">
        <v>4.0400223191782318E-2</v>
      </c>
      <c r="HJ42" s="11"/>
      <c r="HK42" s="37">
        <v>789</v>
      </c>
      <c r="HL42" s="37">
        <v>788.96848803000762</v>
      </c>
      <c r="HM42" s="10">
        <v>3.4789680267124079</v>
      </c>
      <c r="HN42" s="11">
        <v>4.1198060232574822E-2</v>
      </c>
      <c r="HO42" s="6">
        <v>1.3173473810021548</v>
      </c>
      <c r="HP42" s="6" t="s">
        <v>57</v>
      </c>
      <c r="HQ42" s="45">
        <f t="shared" si="40"/>
        <v>7.6012863954713072E-2</v>
      </c>
      <c r="HR42" s="27"/>
      <c r="HS42" s="3">
        <v>578</v>
      </c>
      <c r="HT42" s="3">
        <v>578.02064360999611</v>
      </c>
      <c r="HU42" s="29">
        <v>3.5208411183029122</v>
      </c>
      <c r="HV42" s="27">
        <v>4.8862635008183511E-2</v>
      </c>
      <c r="HW42" s="6">
        <v>0.53847048338364312</v>
      </c>
      <c r="HX42" s="6" t="s">
        <v>57</v>
      </c>
      <c r="HY42" s="27"/>
      <c r="HZ42" s="9">
        <v>575</v>
      </c>
      <c r="IA42" s="9">
        <v>574.4050150100029</v>
      </c>
      <c r="IB42" s="10">
        <v>3.513481416566087</v>
      </c>
      <c r="IC42" s="11">
        <v>4.5656572727130453E-2</v>
      </c>
      <c r="ID42" s="6">
        <v>0.68071261708022057</v>
      </c>
      <c r="IE42" s="6" t="s">
        <v>57</v>
      </c>
      <c r="IF42" s="27"/>
      <c r="IG42" s="9">
        <v>1235</v>
      </c>
      <c r="IH42" s="9">
        <v>1234.2417506899947</v>
      </c>
      <c r="II42" s="10">
        <v>3.3367497329171081</v>
      </c>
      <c r="IJ42" s="11">
        <v>3.2846163992763674E-2</v>
      </c>
      <c r="IK42" s="6">
        <v>4.1912938613000899</v>
      </c>
      <c r="IL42" s="6" t="s">
        <v>59</v>
      </c>
      <c r="IM42" s="45">
        <f t="shared" si="41"/>
        <v>0.21823115775001289</v>
      </c>
      <c r="IN42" s="11"/>
      <c r="IO42" s="28">
        <v>1246</v>
      </c>
      <c r="IP42" s="28">
        <v>1246.413716629999</v>
      </c>
      <c r="IQ42" s="29">
        <v>3.2623366596478633</v>
      </c>
      <c r="IR42" s="27">
        <v>3.3629165578648722E-2</v>
      </c>
      <c r="IS42" s="6">
        <v>5.5672632702483078</v>
      </c>
      <c r="IT42" s="6" t="s">
        <v>59</v>
      </c>
      <c r="IU42" s="27"/>
      <c r="IV42" s="37">
        <v>4824</v>
      </c>
      <c r="IW42" s="37">
        <v>4831.0760079998763</v>
      </c>
      <c r="IX42" s="10">
        <v>3.8846073249237105</v>
      </c>
      <c r="IY42" s="11">
        <v>1.5260660115864008E-2</v>
      </c>
      <c r="IZ42" s="26">
        <v>-7.6326431015372203</v>
      </c>
      <c r="JA42" s="26" t="s">
        <v>59</v>
      </c>
      <c r="JB42" s="26"/>
      <c r="JC42" s="37">
        <v>943</v>
      </c>
      <c r="JD42" s="37">
        <v>942.97872725998286</v>
      </c>
      <c r="JE42" s="10">
        <v>3.9662224175803478</v>
      </c>
      <c r="JF42" s="11">
        <v>3.0839167469140682E-2</v>
      </c>
      <c r="JG42" s="26">
        <v>-8.0912427922478738</v>
      </c>
      <c r="JH42" s="26" t="s">
        <v>59</v>
      </c>
      <c r="JI42" s="26"/>
      <c r="JJ42" s="37">
        <v>624</v>
      </c>
      <c r="JK42" s="37">
        <v>624</v>
      </c>
      <c r="JL42" s="10">
        <v>3.9503205128205141</v>
      </c>
      <c r="JM42" s="11">
        <v>4.1990855211255076E-2</v>
      </c>
      <c r="JN42" s="26">
        <v>-6.7845997811316874</v>
      </c>
      <c r="JO42" s="26" t="s">
        <v>59</v>
      </c>
      <c r="JP42" s="26"/>
      <c r="JQ42" s="37">
        <v>855</v>
      </c>
      <c r="JR42" s="37">
        <v>862.47212872000796</v>
      </c>
      <c r="JS42" s="10">
        <v>4.0823399285671913</v>
      </c>
      <c r="JT42" s="11">
        <v>3.3740338385865716E-2</v>
      </c>
      <c r="JU42" s="26">
        <v>-10.018907851682691</v>
      </c>
      <c r="JV42" s="26" t="s">
        <v>59</v>
      </c>
      <c r="JW42" s="26"/>
      <c r="JX42" s="37">
        <v>360</v>
      </c>
      <c r="JY42" s="37">
        <v>359.97413629999897</v>
      </c>
      <c r="JZ42" s="10">
        <v>4.3387582791458428</v>
      </c>
      <c r="KA42" s="11">
        <v>4.3679072142640836E-2</v>
      </c>
      <c r="KB42" s="26">
        <v>-13.173121083263011</v>
      </c>
      <c r="KC42" s="26" t="s">
        <v>59</v>
      </c>
      <c r="KD42" s="26"/>
      <c r="KE42" s="37">
        <v>1246</v>
      </c>
      <c r="KF42" s="37">
        <v>1245.6585603599799</v>
      </c>
      <c r="KG42" s="10">
        <v>3.7323925577297361</v>
      </c>
      <c r="KH42" s="11">
        <v>3.1583236007764512E-2</v>
      </c>
      <c r="KI42" s="26">
        <v>-3.4596392984966386</v>
      </c>
      <c r="KJ42" s="26" t="s">
        <v>59</v>
      </c>
      <c r="KL42" s="9"/>
      <c r="KM42" s="9"/>
      <c r="KN42" s="10"/>
      <c r="KO42" s="11"/>
    </row>
    <row r="43" spans="1:301" s="7" customFormat="1" x14ac:dyDescent="0.25">
      <c r="B43" s="5" t="s">
        <v>34</v>
      </c>
      <c r="C43" s="9">
        <v>2925</v>
      </c>
      <c r="D43" s="9">
        <v>2926.3075035900697</v>
      </c>
      <c r="E43" s="10">
        <v>3.7975468656649416</v>
      </c>
      <c r="F43" s="11">
        <v>1.9196328425879844E-2</v>
      </c>
      <c r="G43" s="11"/>
      <c r="H43" s="9">
        <v>2997</v>
      </c>
      <c r="I43" s="9">
        <v>2997.000963649919</v>
      </c>
      <c r="J43" s="10">
        <v>3.6696983031215344</v>
      </c>
      <c r="K43" s="11">
        <v>1.9337697847520298E-2</v>
      </c>
      <c r="L43" s="26">
        <v>4.6920597669590656</v>
      </c>
      <c r="M43" s="26" t="s">
        <v>59</v>
      </c>
      <c r="N43" s="45">
        <f t="shared" si="36"/>
        <v>0.12784856254340715</v>
      </c>
      <c r="O43" s="11"/>
      <c r="P43" s="3">
        <v>970</v>
      </c>
      <c r="Q43" s="3">
        <v>969.88123348001614</v>
      </c>
      <c r="R43" s="10">
        <v>3.7027353635810472</v>
      </c>
      <c r="S43" s="11">
        <v>3.3553742604233182E-2</v>
      </c>
      <c r="T43" s="26">
        <v>2.4526437758562589</v>
      </c>
      <c r="U43" s="26" t="s">
        <v>59</v>
      </c>
      <c r="V43" s="27"/>
      <c r="W43" s="9">
        <v>1057</v>
      </c>
      <c r="X43" s="9">
        <v>1057.410816690008</v>
      </c>
      <c r="Y43" s="10">
        <v>3.3333748854806253</v>
      </c>
      <c r="Z43" s="11">
        <v>2.7296932585376382E-2</v>
      </c>
      <c r="AA43" s="26">
        <v>13.909454772433309</v>
      </c>
      <c r="AB43" s="26" t="s">
        <v>59</v>
      </c>
      <c r="AC43" s="26"/>
      <c r="AD43" s="9">
        <v>1059</v>
      </c>
      <c r="AE43" s="9">
        <v>1059.24008660002</v>
      </c>
      <c r="AF43" s="10">
        <v>3.4458538551216504</v>
      </c>
      <c r="AG43" s="11">
        <v>2.7874493945694041E-2</v>
      </c>
      <c r="AH43" s="26">
        <v>10.39127316158403</v>
      </c>
      <c r="AI43" s="26" t="s">
        <v>59</v>
      </c>
      <c r="AJ43" s="45">
        <f t="shared" si="37"/>
        <v>0.35169301054329116</v>
      </c>
      <c r="AK43" s="27"/>
      <c r="AL43" s="28">
        <v>1222</v>
      </c>
      <c r="AM43" s="28">
        <v>1220.0112140400056</v>
      </c>
      <c r="AN43" s="29">
        <v>3.3938987392162203</v>
      </c>
      <c r="AO43" s="27">
        <v>2.8224040708350582E-2</v>
      </c>
      <c r="AP43" s="26">
        <v>11.825572603279786</v>
      </c>
      <c r="AQ43" s="26" t="s">
        <v>59</v>
      </c>
      <c r="AR43" s="27"/>
      <c r="AS43" s="30">
        <v>6035</v>
      </c>
      <c r="AT43" s="31">
        <v>3.8828092664249789</v>
      </c>
      <c r="AU43" s="32">
        <v>1.3171798886873724E-2</v>
      </c>
      <c r="AV43" s="26">
        <v>-3.6623495464653266</v>
      </c>
      <c r="AW43" s="26" t="s">
        <v>59</v>
      </c>
      <c r="AX43" s="27"/>
      <c r="AY43" s="33">
        <v>763</v>
      </c>
      <c r="AZ43" s="34">
        <v>4.2576235816362189</v>
      </c>
      <c r="BA43" s="35">
        <v>3.5967393211336712E-2</v>
      </c>
      <c r="BB43" s="26">
        <v>-11.284825144142848</v>
      </c>
      <c r="BC43" s="26" t="s">
        <v>59</v>
      </c>
      <c r="BD43" s="35"/>
      <c r="BE43" s="33">
        <v>961</v>
      </c>
      <c r="BF43" s="34">
        <v>3.8626672819679264</v>
      </c>
      <c r="BG43" s="35">
        <v>3.2101693432492973E-2</v>
      </c>
      <c r="BH43" s="26">
        <v>-1.7410272015463293</v>
      </c>
      <c r="BI43" s="26" t="s">
        <v>57</v>
      </c>
      <c r="BJ43" s="35"/>
      <c r="BK43" s="33">
        <v>984</v>
      </c>
      <c r="BL43" s="34">
        <v>4.1215721719648863</v>
      </c>
      <c r="BM43" s="35">
        <v>2.9284719895935875E-2</v>
      </c>
      <c r="BN43" s="26">
        <v>-9.2537353276979193</v>
      </c>
      <c r="BO43" s="26" t="s">
        <v>59</v>
      </c>
      <c r="BP43" s="35"/>
      <c r="BQ43" s="33">
        <v>1354</v>
      </c>
      <c r="BR43" s="34">
        <v>3.5923788350391894</v>
      </c>
      <c r="BS43" s="35">
        <v>2.85660411470651E-2</v>
      </c>
      <c r="BT43" s="26">
        <v>5.961271565833508</v>
      </c>
      <c r="BU43" s="26" t="s">
        <v>59</v>
      </c>
      <c r="BV43" s="35"/>
      <c r="BW43" s="33">
        <v>1370</v>
      </c>
      <c r="BX43" s="34">
        <v>3.9734953270916682</v>
      </c>
      <c r="BY43" s="35">
        <v>2.5903966098120582E-2</v>
      </c>
      <c r="BZ43" s="26">
        <v>-5.4572041525073036</v>
      </c>
      <c r="CA43" s="26" t="s">
        <v>59</v>
      </c>
      <c r="CB43" s="27"/>
      <c r="CC43" s="9">
        <v>11727</v>
      </c>
      <c r="CD43" s="9">
        <v>11728.496426129212</v>
      </c>
      <c r="CE43" s="10">
        <v>3.9323435091345504</v>
      </c>
      <c r="CF43" s="11">
        <v>9.7320132867045467E-3</v>
      </c>
      <c r="CG43" s="26">
        <v>-6.2631035999115898</v>
      </c>
      <c r="CH43" s="26" t="s">
        <v>59</v>
      </c>
      <c r="CI43" s="26"/>
      <c r="CJ43" s="9">
        <v>536</v>
      </c>
      <c r="CK43" s="9">
        <v>536</v>
      </c>
      <c r="CL43" s="10">
        <v>3.4981343283582085</v>
      </c>
      <c r="CM43" s="11">
        <v>4.4895615759653042E-2</v>
      </c>
      <c r="CN43" s="26">
        <v>6.1320593644130907</v>
      </c>
      <c r="CO43" s="26" t="s">
        <v>59</v>
      </c>
      <c r="CP43" s="26"/>
      <c r="CQ43" s="9">
        <v>3324</v>
      </c>
      <c r="CR43" s="9">
        <v>3324.2123038298737</v>
      </c>
      <c r="CS43" s="10">
        <v>3.6507664792280425</v>
      </c>
      <c r="CT43" s="11">
        <v>1.8661576647276093E-2</v>
      </c>
      <c r="CU43" s="26">
        <v>5.4825566177366367</v>
      </c>
      <c r="CV43" s="26" t="s">
        <v>59</v>
      </c>
      <c r="CW43" s="26"/>
      <c r="CX43" s="9">
        <v>2923</v>
      </c>
      <c r="CY43" s="9">
        <v>2923.0038158100838</v>
      </c>
      <c r="CZ43" s="10">
        <v>3.7738568432601127</v>
      </c>
      <c r="DA43" s="11">
        <v>1.8039751595622738E-2</v>
      </c>
      <c r="DB43" s="26">
        <v>0.89930523083292147</v>
      </c>
      <c r="DC43" s="26" t="s">
        <v>57</v>
      </c>
      <c r="DD43" s="26"/>
      <c r="DE43" s="9">
        <v>610</v>
      </c>
      <c r="DF43" s="9">
        <v>609.97280289999492</v>
      </c>
      <c r="DG43" s="10">
        <v>4.9703299700020152</v>
      </c>
      <c r="DH43" s="11">
        <v>7.2587439277164096E-3</v>
      </c>
      <c r="DI43" s="26">
        <v>-57.145166942412743</v>
      </c>
      <c r="DJ43" s="26" t="s">
        <v>59</v>
      </c>
      <c r="DK43" s="26"/>
      <c r="DL43" s="9">
        <v>870</v>
      </c>
      <c r="DM43" s="9">
        <v>870</v>
      </c>
      <c r="DN43" s="10">
        <v>4.8816091954023033</v>
      </c>
      <c r="DO43" s="11">
        <v>1.1885782989086139E-2</v>
      </c>
      <c r="DP43" s="26">
        <v>-48.013874082651419</v>
      </c>
      <c r="DQ43" s="26" t="s">
        <v>59</v>
      </c>
      <c r="DR43" s="26"/>
      <c r="DS43" s="9">
        <v>539</v>
      </c>
      <c r="DT43" s="9">
        <v>539</v>
      </c>
      <c r="DU43" s="10">
        <v>4.9851576994434161</v>
      </c>
      <c r="DV43" s="11">
        <v>6.4009695114098835E-3</v>
      </c>
      <c r="DW43" s="26">
        <v>-58.68976155955238</v>
      </c>
      <c r="DX43" s="26" t="s">
        <v>59</v>
      </c>
      <c r="DY43" s="36"/>
      <c r="DZ43" s="9">
        <v>1046</v>
      </c>
      <c r="EA43" s="9">
        <v>1046.2968190300053</v>
      </c>
      <c r="EB43" s="10">
        <v>3.7457369850014111</v>
      </c>
      <c r="EC43" s="11">
        <v>3.3673454057251931E-2</v>
      </c>
      <c r="ED43" s="11"/>
      <c r="EE43" s="9">
        <v>989</v>
      </c>
      <c r="EF43" s="9">
        <v>989.19833681001057</v>
      </c>
      <c r="EG43" s="10">
        <v>3.5738408128045931</v>
      </c>
      <c r="EH43" s="11">
        <v>3.5043911246408641E-2</v>
      </c>
      <c r="EI43" s="6">
        <v>3.5369453798407964</v>
      </c>
      <c r="EJ43" s="6" t="s">
        <v>59</v>
      </c>
      <c r="EK43" s="45">
        <f t="shared" si="38"/>
        <v>0.17189617219681796</v>
      </c>
      <c r="EL43" s="11"/>
      <c r="EM43" s="9">
        <v>692</v>
      </c>
      <c r="EN43" s="9">
        <v>691.9840402199975</v>
      </c>
      <c r="EO43" s="10">
        <v>3.531352140409338</v>
      </c>
      <c r="EP43" s="11">
        <v>4.2623841399270494E-2</v>
      </c>
      <c r="EQ43" s="6">
        <v>3.9466811439784575</v>
      </c>
      <c r="ER43" s="6" t="s">
        <v>59</v>
      </c>
      <c r="ES43" s="11"/>
      <c r="ET43" s="9">
        <v>698</v>
      </c>
      <c r="EU43" s="9">
        <v>697.95543961000396</v>
      </c>
      <c r="EV43" s="10">
        <v>3.5650777789343944</v>
      </c>
      <c r="EW43" s="11">
        <v>4.0778244543532453E-2</v>
      </c>
      <c r="EX43" s="6">
        <v>3.416111005496421</v>
      </c>
      <c r="EY43" s="6" t="s">
        <v>59</v>
      </c>
      <c r="EZ43" s="11"/>
      <c r="FA43" s="9">
        <v>686</v>
      </c>
      <c r="FB43" s="9">
        <v>685.71657805000211</v>
      </c>
      <c r="FC43" s="10">
        <v>3.5737699259493696</v>
      </c>
      <c r="FD43" s="11">
        <v>3.9947266151542829E-2</v>
      </c>
      <c r="FE43" s="6">
        <v>3.2914628013475804</v>
      </c>
      <c r="FF43" s="6" t="s">
        <v>59</v>
      </c>
      <c r="FG43" s="45">
        <f t="shared" si="39"/>
        <v>0.17196705905204146</v>
      </c>
      <c r="FH43" s="11"/>
      <c r="FI43" s="28">
        <v>754</v>
      </c>
      <c r="FJ43" s="28">
        <v>754.10971464000045</v>
      </c>
      <c r="FK43" s="29">
        <v>3.5773536551214544</v>
      </c>
      <c r="FL43" s="27">
        <v>3.8415971305271052E-2</v>
      </c>
      <c r="FM43" s="6">
        <v>3.296133320312435</v>
      </c>
      <c r="FN43" s="6" t="s">
        <v>59</v>
      </c>
      <c r="FO43" s="11"/>
      <c r="FP43" s="37">
        <v>4918</v>
      </c>
      <c r="FQ43" s="37">
        <v>4918.4350146398847</v>
      </c>
      <c r="FR43" s="10">
        <v>3.8262640323199228</v>
      </c>
      <c r="FS43" s="11">
        <v>1.4640232363357007E-2</v>
      </c>
      <c r="FT43" s="26">
        <v>-2.1931003669695137</v>
      </c>
      <c r="FU43" s="26" t="s">
        <v>59</v>
      </c>
      <c r="FV43" s="26"/>
      <c r="FW43" s="9">
        <v>1077</v>
      </c>
      <c r="FX43" s="9">
        <v>1077.0118544999773</v>
      </c>
      <c r="FY43" s="10">
        <v>3.9981973011421528</v>
      </c>
      <c r="FZ43" s="11">
        <v>2.8630620853365953E-2</v>
      </c>
      <c r="GA43" s="26">
        <v>-5.7118099268269873</v>
      </c>
      <c r="GB43" s="26" t="s">
        <v>59</v>
      </c>
      <c r="GC43" s="26"/>
      <c r="GD43" s="37">
        <v>382</v>
      </c>
      <c r="GE43" s="37">
        <v>382.00668419999846</v>
      </c>
      <c r="GF43" s="10">
        <v>4.1390025161763893</v>
      </c>
      <c r="GG43" s="11">
        <v>4.6704022434319467E-2</v>
      </c>
      <c r="GH43" s="26">
        <v>-6.8301959530150924</v>
      </c>
      <c r="GI43" s="26" t="s">
        <v>59</v>
      </c>
      <c r="GJ43" s="26"/>
      <c r="GK43" s="37">
        <v>681</v>
      </c>
      <c r="GL43" s="37">
        <v>681.12231143000281</v>
      </c>
      <c r="GM43" s="10">
        <v>3.8374876078899716</v>
      </c>
      <c r="GN43" s="11">
        <v>3.2616853151816866E-2</v>
      </c>
      <c r="GO43" s="26">
        <v>-1.957126186606079</v>
      </c>
      <c r="GP43" s="26" t="s">
        <v>57</v>
      </c>
      <c r="GQ43" s="26"/>
      <c r="GR43" s="37">
        <v>1342</v>
      </c>
      <c r="GS43" s="37">
        <v>1342.0007171199973</v>
      </c>
      <c r="GT43" s="10">
        <v>3.5573768059120288</v>
      </c>
      <c r="GU43" s="11">
        <v>3.0252862206330115E-2</v>
      </c>
      <c r="GV43" s="26">
        <v>4.1610561669530535</v>
      </c>
      <c r="GW43" s="26" t="s">
        <v>59</v>
      </c>
      <c r="GX43" s="26"/>
      <c r="GY43" s="37">
        <v>390</v>
      </c>
      <c r="GZ43" s="37">
        <v>389.99662836000061</v>
      </c>
      <c r="HA43" s="10">
        <v>4.1668184032605149</v>
      </c>
      <c r="HB43" s="11">
        <v>4.5795159612867349E-2</v>
      </c>
      <c r="HC43" s="26">
        <v>-7.4078299022371823</v>
      </c>
      <c r="HD43" s="26" t="s">
        <v>59</v>
      </c>
      <c r="HE43" s="43"/>
      <c r="HF43" s="37">
        <v>944</v>
      </c>
      <c r="HG43" s="37">
        <v>943.97066144000939</v>
      </c>
      <c r="HH43" s="10">
        <v>3.3571532783081408</v>
      </c>
      <c r="HI43" s="11">
        <v>3.9301342369900939E-2</v>
      </c>
      <c r="HJ43" s="11"/>
      <c r="HK43" s="37">
        <v>919</v>
      </c>
      <c r="HL43" s="37">
        <v>918.97877556000901</v>
      </c>
      <c r="HM43" s="10">
        <v>3.2304297898620788</v>
      </c>
      <c r="HN43" s="11">
        <v>3.8759062850897565E-2</v>
      </c>
      <c r="HO43" s="6">
        <v>2.2957830063866491</v>
      </c>
      <c r="HP43" s="6" t="s">
        <v>59</v>
      </c>
      <c r="HQ43" s="45">
        <f t="shared" si="40"/>
        <v>0.12672348844606196</v>
      </c>
      <c r="HR43" s="27"/>
      <c r="HS43" s="3">
        <v>659</v>
      </c>
      <c r="HT43" s="3">
        <v>658.95963512999867</v>
      </c>
      <c r="HU43" s="29">
        <v>3.2952710150320677</v>
      </c>
      <c r="HV43" s="27">
        <v>4.7360641839631921E-2</v>
      </c>
      <c r="HW43" s="6">
        <v>1.0055013312419663</v>
      </c>
      <c r="HX43" s="6" t="s">
        <v>57</v>
      </c>
      <c r="HY43" s="27"/>
      <c r="HZ43" s="9">
        <v>698</v>
      </c>
      <c r="IA43" s="9">
        <v>697.62024035000468</v>
      </c>
      <c r="IB43" s="10">
        <v>3.4164285375296073</v>
      </c>
      <c r="IC43" s="11">
        <v>4.1809165643943554E-2</v>
      </c>
      <c r="ID43" s="6">
        <v>-1.0330084007915723</v>
      </c>
      <c r="IE43" s="6" t="s">
        <v>57</v>
      </c>
      <c r="IF43" s="27"/>
      <c r="IG43" s="9">
        <v>1404</v>
      </c>
      <c r="IH43" s="9">
        <v>1404.8458661199911</v>
      </c>
      <c r="II43" s="10">
        <v>3.2466112700084677</v>
      </c>
      <c r="IJ43" s="11">
        <v>3.0491770347846111E-2</v>
      </c>
      <c r="IK43" s="6">
        <v>2.2222726896968199</v>
      </c>
      <c r="IL43" s="6" t="s">
        <v>59</v>
      </c>
      <c r="IM43" s="45">
        <f t="shared" si="41"/>
        <v>0.11054200829967309</v>
      </c>
      <c r="IN43" s="11"/>
      <c r="IO43" s="28">
        <v>1404</v>
      </c>
      <c r="IP43" s="28">
        <v>1404.0342662000076</v>
      </c>
      <c r="IQ43" s="29">
        <v>3.183031641247275</v>
      </c>
      <c r="IR43" s="27">
        <v>3.1263426714547425E-2</v>
      </c>
      <c r="IS43" s="6">
        <v>3.4672122443854358</v>
      </c>
      <c r="IT43" s="6" t="s">
        <v>59</v>
      </c>
      <c r="IU43" s="27"/>
      <c r="IV43" s="37">
        <v>5334</v>
      </c>
      <c r="IW43" s="37">
        <v>5331.3443575097945</v>
      </c>
      <c r="IX43" s="10">
        <v>3.8444649293283866</v>
      </c>
      <c r="IY43" s="11">
        <v>1.4328922866780261E-2</v>
      </c>
      <c r="IZ43" s="26">
        <v>-11.649264304245577</v>
      </c>
      <c r="JA43" s="26" t="s">
        <v>59</v>
      </c>
      <c r="JB43" s="26"/>
      <c r="JC43" s="37">
        <v>1077</v>
      </c>
      <c r="JD43" s="37">
        <v>1077.0118544999773</v>
      </c>
      <c r="JE43" s="10">
        <v>3.9981973011421528</v>
      </c>
      <c r="JF43" s="11">
        <v>2.8630620853365953E-2</v>
      </c>
      <c r="JG43" s="26">
        <v>-13.183655095842715</v>
      </c>
      <c r="JH43" s="26" t="s">
        <v>59</v>
      </c>
      <c r="JI43" s="26"/>
      <c r="JJ43" s="37">
        <v>658</v>
      </c>
      <c r="JK43" s="37">
        <v>658</v>
      </c>
      <c r="JL43" s="10">
        <v>3.9179331306990899</v>
      </c>
      <c r="JM43" s="11">
        <v>3.7796091999237481E-2</v>
      </c>
      <c r="JN43" s="26">
        <v>-10.284536314956251</v>
      </c>
      <c r="JO43" s="26" t="s">
        <v>59</v>
      </c>
      <c r="JP43" s="26"/>
      <c r="JQ43" s="37">
        <v>951</v>
      </c>
      <c r="JR43" s="37">
        <v>948.48500747000912</v>
      </c>
      <c r="JS43" s="10">
        <v>3.9584259628887728</v>
      </c>
      <c r="JT43" s="11">
        <v>3.3183078357041686E-2</v>
      </c>
      <c r="JU43" s="26">
        <v>-11.689614103128743</v>
      </c>
      <c r="JV43" s="26" t="s">
        <v>59</v>
      </c>
      <c r="JW43" s="26"/>
      <c r="JX43" s="37">
        <v>382</v>
      </c>
      <c r="JY43" s="37">
        <v>382.00668419999846</v>
      </c>
      <c r="JZ43" s="10">
        <v>4.1390025161763893</v>
      </c>
      <c r="KA43" s="11">
        <v>4.6704022434319467E-2</v>
      </c>
      <c r="KB43" s="26">
        <v>-12.808836431760309</v>
      </c>
      <c r="KC43" s="26" t="s">
        <v>59</v>
      </c>
      <c r="KD43" s="26"/>
      <c r="KE43" s="37">
        <v>1322</v>
      </c>
      <c r="KF43" s="37">
        <v>1321.8701498999785</v>
      </c>
      <c r="KG43" s="10">
        <v>3.8637471405844033</v>
      </c>
      <c r="KH43" s="11">
        <v>2.7140680794796358E-2</v>
      </c>
      <c r="KI43" s="26">
        <v>-10.606622048940784</v>
      </c>
      <c r="KJ43" s="26" t="s">
        <v>59</v>
      </c>
      <c r="KL43" s="9"/>
      <c r="KM43" s="9"/>
      <c r="KN43" s="10"/>
      <c r="KO43" s="11"/>
    </row>
    <row r="44" spans="1:301" s="7" customFormat="1" x14ac:dyDescent="0.25">
      <c r="B44" s="5"/>
      <c r="C44" s="9"/>
      <c r="D44" s="9"/>
      <c r="E44" s="10"/>
      <c r="F44" s="11"/>
      <c r="G44" s="11"/>
      <c r="H44" s="9"/>
      <c r="I44" s="9"/>
      <c r="J44" s="10"/>
      <c r="K44" s="11"/>
      <c r="L44" s="26"/>
      <c r="M44" s="26"/>
      <c r="N44" s="45"/>
      <c r="O44" s="11"/>
      <c r="P44" s="3"/>
      <c r="Q44" s="3"/>
      <c r="R44" s="10"/>
      <c r="S44" s="11"/>
      <c r="T44" s="26"/>
      <c r="U44" s="26"/>
      <c r="V44" s="27"/>
      <c r="W44" s="9"/>
      <c r="X44" s="9"/>
      <c r="Y44" s="10"/>
      <c r="Z44" s="11"/>
      <c r="AA44" s="26"/>
      <c r="AB44" s="26"/>
      <c r="AC44" s="26"/>
      <c r="AD44" s="9"/>
      <c r="AE44" s="9"/>
      <c r="AF44" s="10"/>
      <c r="AG44" s="11"/>
      <c r="AH44" s="26"/>
      <c r="AI44" s="26"/>
      <c r="AJ44" s="45"/>
      <c r="AK44" s="27"/>
      <c r="AL44" s="28"/>
      <c r="AM44" s="28"/>
      <c r="AN44" s="29"/>
      <c r="AO44" s="27"/>
      <c r="AP44" s="26"/>
      <c r="AQ44" s="26"/>
      <c r="AR44" s="27"/>
      <c r="AS44" s="30"/>
      <c r="AT44" s="31"/>
      <c r="AU44" s="32"/>
      <c r="AV44" s="26"/>
      <c r="AW44" s="26"/>
      <c r="AX44" s="27"/>
      <c r="AY44" s="33"/>
      <c r="AZ44" s="34"/>
      <c r="BA44" s="35"/>
      <c r="BB44" s="26"/>
      <c r="BC44" s="26"/>
      <c r="BD44" s="35"/>
      <c r="BE44" s="33"/>
      <c r="BF44" s="34"/>
      <c r="BG44" s="35"/>
      <c r="BH44" s="26"/>
      <c r="BI44" s="26"/>
      <c r="BJ44" s="35"/>
      <c r="BK44" s="33"/>
      <c r="BL44" s="34"/>
      <c r="BM44" s="35"/>
      <c r="BN44" s="26"/>
      <c r="BO44" s="26"/>
      <c r="BP44" s="35"/>
      <c r="BQ44" s="33"/>
      <c r="BR44" s="34"/>
      <c r="BS44" s="35"/>
      <c r="BT44" s="26"/>
      <c r="BU44" s="26"/>
      <c r="BV44" s="35"/>
      <c r="BW44" s="33"/>
      <c r="BX44" s="34"/>
      <c r="BY44" s="35"/>
      <c r="BZ44" s="26"/>
      <c r="CA44" s="26"/>
      <c r="CB44" s="27"/>
      <c r="CC44" s="9"/>
      <c r="CD44" s="9"/>
      <c r="CE44" s="10"/>
      <c r="CF44" s="11"/>
      <c r="CG44" s="26"/>
      <c r="CH44" s="26"/>
      <c r="CI44" s="26"/>
      <c r="CJ44" s="9"/>
      <c r="CK44" s="9"/>
      <c r="CL44" s="10"/>
      <c r="CM44" s="11"/>
      <c r="CN44" s="26"/>
      <c r="CO44" s="26"/>
      <c r="CP44" s="26"/>
      <c r="CQ44" s="9"/>
      <c r="CR44" s="9"/>
      <c r="CS44" s="10"/>
      <c r="CT44" s="11"/>
      <c r="CU44" s="26"/>
      <c r="CV44" s="26"/>
      <c r="CW44" s="26"/>
      <c r="CX44" s="9"/>
      <c r="CY44" s="9"/>
      <c r="CZ44" s="10"/>
      <c r="DA44" s="11"/>
      <c r="DB44" s="26"/>
      <c r="DC44" s="26"/>
      <c r="DD44" s="26"/>
      <c r="DE44" s="9"/>
      <c r="DF44" s="9"/>
      <c r="DG44" s="10"/>
      <c r="DH44" s="11"/>
      <c r="DI44" s="26"/>
      <c r="DJ44" s="26"/>
      <c r="DK44" s="26"/>
      <c r="DL44" s="9"/>
      <c r="DM44" s="9"/>
      <c r="DN44" s="10"/>
      <c r="DO44" s="11"/>
      <c r="DP44" s="26"/>
      <c r="DQ44" s="26"/>
      <c r="DR44" s="26"/>
      <c r="DS44" s="9"/>
      <c r="DT44" s="9"/>
      <c r="DU44" s="10"/>
      <c r="DV44" s="11"/>
      <c r="DW44" s="26"/>
      <c r="DX44" s="26"/>
      <c r="DY44" s="36"/>
      <c r="DZ44" s="9"/>
      <c r="EA44" s="9"/>
      <c r="EB44" s="10"/>
      <c r="EC44" s="11"/>
      <c r="ED44" s="11"/>
      <c r="EE44" s="9"/>
      <c r="EF44" s="9"/>
      <c r="EG44" s="10"/>
      <c r="EH44" s="11"/>
      <c r="EI44" s="6"/>
      <c r="EJ44" s="6"/>
      <c r="EK44" s="45"/>
      <c r="EL44" s="11"/>
      <c r="EM44" s="9"/>
      <c r="EN44" s="9"/>
      <c r="EO44" s="10"/>
      <c r="EP44" s="11"/>
      <c r="EQ44" s="6"/>
      <c r="ER44" s="6"/>
      <c r="ES44" s="11"/>
      <c r="ET44" s="9"/>
      <c r="EU44" s="9"/>
      <c r="EV44" s="10"/>
      <c r="EW44" s="11"/>
      <c r="EX44" s="6"/>
      <c r="EY44" s="6"/>
      <c r="EZ44" s="11"/>
      <c r="FA44" s="9"/>
      <c r="FB44" s="9"/>
      <c r="FC44" s="10"/>
      <c r="FD44" s="11"/>
      <c r="FE44" s="6"/>
      <c r="FF44" s="6"/>
      <c r="FG44" s="45"/>
      <c r="FH44" s="11"/>
      <c r="FI44" s="28"/>
      <c r="FJ44" s="28"/>
      <c r="FK44" s="29"/>
      <c r="FL44" s="27"/>
      <c r="FM44" s="6"/>
      <c r="FN44" s="6"/>
      <c r="FO44" s="11"/>
      <c r="FP44" s="37"/>
      <c r="FQ44" s="37"/>
      <c r="FR44" s="10"/>
      <c r="FS44" s="11"/>
      <c r="FT44" s="26"/>
      <c r="FU44" s="26"/>
      <c r="FV44" s="26"/>
      <c r="FW44" s="9"/>
      <c r="FX44" s="9"/>
      <c r="FY44" s="10"/>
      <c r="FZ44" s="11"/>
      <c r="GA44" s="26"/>
      <c r="GB44" s="26"/>
      <c r="GC44" s="26"/>
      <c r="GD44" s="37"/>
      <c r="GE44" s="37"/>
      <c r="GF44" s="10"/>
      <c r="GG44" s="11"/>
      <c r="GH44" s="26"/>
      <c r="GI44" s="26"/>
      <c r="GJ44" s="26"/>
      <c r="GK44" s="37"/>
      <c r="GL44" s="37"/>
      <c r="GM44" s="10"/>
      <c r="GN44" s="11"/>
      <c r="GO44" s="26"/>
      <c r="GP44" s="26"/>
      <c r="GQ44" s="26"/>
      <c r="GR44" s="37"/>
      <c r="GS44" s="37"/>
      <c r="GT44" s="10"/>
      <c r="GU44" s="11"/>
      <c r="GV44" s="26"/>
      <c r="GW44" s="26"/>
      <c r="GX44" s="26"/>
      <c r="GY44" s="37"/>
      <c r="GZ44" s="37"/>
      <c r="HA44" s="10"/>
      <c r="HB44" s="11"/>
      <c r="HC44" s="26"/>
      <c r="HD44" s="26"/>
      <c r="HE44" s="43"/>
      <c r="HF44" s="37"/>
      <c r="HG44" s="37"/>
      <c r="HH44" s="10"/>
      <c r="HI44" s="11"/>
      <c r="HJ44" s="11"/>
      <c r="HK44" s="37"/>
      <c r="HL44" s="37"/>
      <c r="HM44" s="10"/>
      <c r="HN44" s="11"/>
      <c r="HO44" s="6"/>
      <c r="HP44" s="6"/>
      <c r="HQ44" s="45"/>
      <c r="HR44" s="27"/>
      <c r="HS44" s="3"/>
      <c r="HT44" s="3"/>
      <c r="HU44" s="29"/>
      <c r="HV44" s="27"/>
      <c r="HW44" s="6"/>
      <c r="HX44" s="6"/>
      <c r="HY44" s="27"/>
      <c r="HZ44" s="9"/>
      <c r="IA44" s="9"/>
      <c r="IB44" s="10"/>
      <c r="IC44" s="11"/>
      <c r="ID44" s="6"/>
      <c r="IE44" s="6"/>
      <c r="IF44" s="27"/>
      <c r="IG44" s="9"/>
      <c r="IH44" s="9"/>
      <c r="II44" s="10"/>
      <c r="IJ44" s="11"/>
      <c r="IK44" s="6"/>
      <c r="IL44" s="6"/>
      <c r="IM44" s="45"/>
      <c r="IN44" s="11"/>
      <c r="IO44" s="28"/>
      <c r="IP44" s="28"/>
      <c r="IQ44" s="29"/>
      <c r="IR44" s="27"/>
      <c r="IS44" s="6"/>
      <c r="IT44" s="6"/>
      <c r="IU44" s="27"/>
      <c r="IV44" s="37"/>
      <c r="IW44" s="37"/>
      <c r="IX44" s="10"/>
      <c r="IY44" s="11"/>
      <c r="IZ44" s="26"/>
      <c r="JA44" s="26"/>
      <c r="JB44" s="26"/>
      <c r="JC44" s="37"/>
      <c r="JD44" s="37"/>
      <c r="JE44" s="10"/>
      <c r="JF44" s="11"/>
      <c r="JG44" s="26"/>
      <c r="JH44" s="26"/>
      <c r="JI44" s="26"/>
      <c r="JJ44" s="37"/>
      <c r="JK44" s="37"/>
      <c r="JL44" s="10"/>
      <c r="JM44" s="11"/>
      <c r="JN44" s="26"/>
      <c r="JO44" s="26"/>
      <c r="JP44" s="26"/>
      <c r="JQ44" s="37"/>
      <c r="JR44" s="37"/>
      <c r="JS44" s="10"/>
      <c r="JT44" s="11"/>
      <c r="JU44" s="26"/>
      <c r="JV44" s="26"/>
      <c r="JW44" s="26"/>
      <c r="JX44" s="37"/>
      <c r="JY44" s="37"/>
      <c r="JZ44" s="10"/>
      <c r="KA44" s="11"/>
      <c r="KB44" s="26"/>
      <c r="KC44" s="26"/>
      <c r="KD44" s="26"/>
      <c r="KE44" s="37"/>
      <c r="KF44" s="37"/>
      <c r="KG44" s="10"/>
      <c r="KH44" s="11"/>
      <c r="KI44" s="26"/>
      <c r="KJ44" s="26"/>
      <c r="KL44" s="9"/>
      <c r="KM44" s="9"/>
      <c r="KN44" s="10"/>
      <c r="KO44" s="11"/>
    </row>
    <row r="45" spans="1:301" s="7" customFormat="1" x14ac:dyDescent="0.25">
      <c r="A45" s="14"/>
      <c r="B45" s="5" t="s">
        <v>35</v>
      </c>
      <c r="C45" s="9">
        <v>3026</v>
      </c>
      <c r="D45" s="9">
        <v>3025.7281040000653</v>
      </c>
      <c r="E45" s="10">
        <v>4.0882500988396737</v>
      </c>
      <c r="F45" s="11">
        <v>1.6202526156687193E-2</v>
      </c>
      <c r="G45" s="11"/>
      <c r="H45" s="9">
        <v>3075</v>
      </c>
      <c r="I45" s="9">
        <v>3075.1802643599176</v>
      </c>
      <c r="J45" s="10">
        <v>3.9629216167840693</v>
      </c>
      <c r="K45" s="11">
        <v>1.7389710369061947E-2</v>
      </c>
      <c r="L45" s="26">
        <v>5.2729640788981467</v>
      </c>
      <c r="M45" s="26" t="s">
        <v>59</v>
      </c>
      <c r="N45" s="45">
        <f t="shared" ref="N45:N46" si="42">E45-J45</f>
        <v>0.12532848205560443</v>
      </c>
      <c r="O45" s="11"/>
      <c r="P45" s="3">
        <v>1003</v>
      </c>
      <c r="Q45" s="3">
        <v>1002.9997667800175</v>
      </c>
      <c r="R45" s="10">
        <v>3.9796611304252907</v>
      </c>
      <c r="S45" s="11">
        <v>3.0774162213192846E-2</v>
      </c>
      <c r="T45" s="26">
        <v>3.1222670072728675</v>
      </c>
      <c r="U45" s="26" t="s">
        <v>59</v>
      </c>
      <c r="V45" s="27"/>
      <c r="W45" s="9">
        <v>1078</v>
      </c>
      <c r="X45" s="9">
        <v>1078.0641858600088</v>
      </c>
      <c r="Y45" s="10">
        <v>3.5283443359966782</v>
      </c>
      <c r="Z45" s="11">
        <v>2.6628572222122591E-2</v>
      </c>
      <c r="AA45" s="26">
        <v>17.962657048578016</v>
      </c>
      <c r="AB45" s="26" t="s">
        <v>59</v>
      </c>
      <c r="AC45" s="26"/>
      <c r="AD45" s="9">
        <v>1079</v>
      </c>
      <c r="AE45" s="9">
        <v>1079.2634215000196</v>
      </c>
      <c r="AF45" s="10">
        <v>3.6331557986466994</v>
      </c>
      <c r="AG45" s="11">
        <v>2.6104849248621474E-2</v>
      </c>
      <c r="AH45" s="26">
        <v>14.812175451920403</v>
      </c>
      <c r="AI45" s="26" t="s">
        <v>59</v>
      </c>
      <c r="AJ45" s="45">
        <f t="shared" ref="AJ45:AJ46" si="43">E45-AF45</f>
        <v>0.45509430019297437</v>
      </c>
      <c r="AK45" s="27"/>
      <c r="AL45" s="28">
        <v>1242</v>
      </c>
      <c r="AM45" s="28">
        <v>1240.7729711600059</v>
      </c>
      <c r="AN45" s="29">
        <v>3.5416096962135888</v>
      </c>
      <c r="AO45" s="27">
        <v>2.6928370080037123E-2</v>
      </c>
      <c r="AP45" s="26">
        <v>17.393950171415035</v>
      </c>
      <c r="AQ45" s="26" t="s">
        <v>59</v>
      </c>
      <c r="AR45" s="27"/>
      <c r="AS45" s="30">
        <v>6213</v>
      </c>
      <c r="AT45" s="31">
        <v>4.1212358048317954</v>
      </c>
      <c r="AU45" s="32">
        <v>1.1446328912927314E-2</v>
      </c>
      <c r="AV45" s="26">
        <v>-1.6627661619764047</v>
      </c>
      <c r="AW45" s="26" t="s">
        <v>57</v>
      </c>
      <c r="AX45" s="27"/>
      <c r="AY45" s="33">
        <v>796</v>
      </c>
      <c r="AZ45" s="34">
        <v>4.4347744441202206</v>
      </c>
      <c r="BA45" s="35">
        <v>2.9126709324906404E-2</v>
      </c>
      <c r="BB45" s="26">
        <v>-10.396778692680336</v>
      </c>
      <c r="BC45" s="26" t="s">
        <v>59</v>
      </c>
      <c r="BD45" s="35"/>
      <c r="BE45" s="33">
        <v>983</v>
      </c>
      <c r="BF45" s="34">
        <v>4.219785232222466</v>
      </c>
      <c r="BG45" s="35">
        <v>2.6573104776040548E-2</v>
      </c>
      <c r="BH45" s="26">
        <v>-4.2262767782510071</v>
      </c>
      <c r="BI45" s="26" t="s">
        <v>59</v>
      </c>
      <c r="BJ45" s="35"/>
      <c r="BK45" s="33">
        <v>1001</v>
      </c>
      <c r="BL45" s="34">
        <v>4.3135239848120355</v>
      </c>
      <c r="BM45" s="35">
        <v>2.6654103054707584E-2</v>
      </c>
      <c r="BN45" s="26">
        <v>-7.2220863038206646</v>
      </c>
      <c r="BO45" s="26" t="s">
        <v>59</v>
      </c>
      <c r="BP45" s="35"/>
      <c r="BQ45" s="33">
        <v>1369</v>
      </c>
      <c r="BR45" s="34">
        <v>3.936477986622358</v>
      </c>
      <c r="BS45" s="35">
        <v>2.5159274961141488E-2</v>
      </c>
      <c r="BT45" s="26">
        <v>5.0717346446886475</v>
      </c>
      <c r="BU45" s="26" t="s">
        <v>59</v>
      </c>
      <c r="BV45" s="35"/>
      <c r="BW45" s="33">
        <v>1424</v>
      </c>
      <c r="BX45" s="34">
        <v>4.2240904435422113</v>
      </c>
      <c r="BY45" s="35">
        <v>2.1855071250902528E-2</v>
      </c>
      <c r="BZ45" s="26">
        <v>-4.9930304098983465</v>
      </c>
      <c r="CA45" s="26" t="s">
        <v>59</v>
      </c>
      <c r="CB45" s="27"/>
      <c r="CC45" s="9">
        <v>11988</v>
      </c>
      <c r="CD45" s="9">
        <v>11990.569488299197</v>
      </c>
      <c r="CE45" s="10">
        <v>4.2366505988017478</v>
      </c>
      <c r="CF45" s="11">
        <v>8.0262161271032698E-3</v>
      </c>
      <c r="CG45" s="26">
        <v>-8.2072943065553261</v>
      </c>
      <c r="CH45" s="26" t="s">
        <v>59</v>
      </c>
      <c r="CI45" s="26"/>
      <c r="CJ45" s="9">
        <v>542</v>
      </c>
      <c r="CK45" s="9">
        <v>542</v>
      </c>
      <c r="CL45" s="10">
        <v>4.0996309963099655</v>
      </c>
      <c r="CM45" s="11">
        <v>3.5933825744217267E-2</v>
      </c>
      <c r="CN45" s="26">
        <v>-0.28872494464024745</v>
      </c>
      <c r="CO45" s="26" t="s">
        <v>57</v>
      </c>
      <c r="CP45" s="26"/>
      <c r="CQ45" s="9">
        <v>3421</v>
      </c>
      <c r="CR45" s="9">
        <v>3423.5727481198719</v>
      </c>
      <c r="CS45" s="10">
        <v>3.9302852145463891</v>
      </c>
      <c r="CT45" s="11">
        <v>1.6130002838915532E-2</v>
      </c>
      <c r="CU45" s="26">
        <v>6.9093116655951281</v>
      </c>
      <c r="CV45" s="26" t="s">
        <v>59</v>
      </c>
      <c r="CW45" s="26"/>
      <c r="CX45" s="9">
        <v>2978</v>
      </c>
      <c r="CY45" s="9">
        <v>2978.004819010077</v>
      </c>
      <c r="CZ45" s="10">
        <v>4.2615762545639315</v>
      </c>
      <c r="DA45" s="11">
        <v>1.4551502792192764E-2</v>
      </c>
      <c r="DB45" s="26">
        <v>-7.9588836040849174</v>
      </c>
      <c r="DC45" s="26" t="s">
        <v>59</v>
      </c>
      <c r="DD45" s="26"/>
      <c r="DE45" s="9">
        <v>602</v>
      </c>
      <c r="DF45" s="9">
        <v>602.26381716999504</v>
      </c>
      <c r="DG45" s="10">
        <v>4.9966611325756718</v>
      </c>
      <c r="DH45" s="11">
        <v>2.3525605696809791E-3</v>
      </c>
      <c r="DI45" s="26">
        <v>-55.484198171802475</v>
      </c>
      <c r="DJ45" s="26" t="s">
        <v>59</v>
      </c>
      <c r="DK45" s="26"/>
      <c r="DL45" s="9">
        <v>887</v>
      </c>
      <c r="DM45" s="9">
        <v>887</v>
      </c>
      <c r="DN45" s="10">
        <v>4.9560315670800401</v>
      </c>
      <c r="DO45" s="11">
        <v>6.8879462407843185E-3</v>
      </c>
      <c r="DP45" s="26">
        <v>-49.289405732154698</v>
      </c>
      <c r="DQ45" s="26" t="s">
        <v>59</v>
      </c>
      <c r="DR45" s="26"/>
      <c r="DS45" s="9">
        <v>532</v>
      </c>
      <c r="DT45" s="9">
        <v>532</v>
      </c>
      <c r="DU45" s="10">
        <v>4.992481203007519</v>
      </c>
      <c r="DV45" s="11">
        <v>3.7487636842802223E-3</v>
      </c>
      <c r="DW45" s="26">
        <v>-54.371700541957118</v>
      </c>
      <c r="DX45" s="26" t="s">
        <v>59</v>
      </c>
      <c r="DY45" s="36"/>
      <c r="DZ45" s="9">
        <v>1089</v>
      </c>
      <c r="EA45" s="9">
        <v>1089.1074559200058</v>
      </c>
      <c r="EB45" s="10">
        <v>3.9456406995212565</v>
      </c>
      <c r="EC45" s="11">
        <v>2.8322218610393374E-2</v>
      </c>
      <c r="ED45" s="11"/>
      <c r="EE45" s="9">
        <v>1014</v>
      </c>
      <c r="EF45" s="9">
        <v>1014.0858274600099</v>
      </c>
      <c r="EG45" s="10">
        <v>3.8336093407471918</v>
      </c>
      <c r="EH45" s="11">
        <v>3.2017470283853218E-2</v>
      </c>
      <c r="EI45" s="6">
        <v>2.6208288497764363</v>
      </c>
      <c r="EJ45" s="6" t="s">
        <v>59</v>
      </c>
      <c r="EK45" s="45">
        <f t="shared" ref="EK45:EK46" si="44">EB45-EG45</f>
        <v>0.11203135877406467</v>
      </c>
      <c r="EL45" s="11"/>
      <c r="EM45" s="9">
        <v>702</v>
      </c>
      <c r="EN45" s="9">
        <v>702.09638388999758</v>
      </c>
      <c r="EO45" s="10">
        <v>3.7697459721209303</v>
      </c>
      <c r="EP45" s="11">
        <v>3.7835571910992072E-2</v>
      </c>
      <c r="EQ45" s="6">
        <v>3.7217095992099773</v>
      </c>
      <c r="ER45" s="6" t="s">
        <v>59</v>
      </c>
      <c r="ES45" s="11"/>
      <c r="ET45" s="9">
        <v>733</v>
      </c>
      <c r="EU45" s="9">
        <v>732.84781520000467</v>
      </c>
      <c r="EV45" s="10">
        <v>3.7872717024373599</v>
      </c>
      <c r="EW45" s="11">
        <v>3.704223925512444E-2</v>
      </c>
      <c r="EX45" s="6">
        <v>3.3963534099287429</v>
      </c>
      <c r="EY45" s="6" t="s">
        <v>59</v>
      </c>
      <c r="EZ45" s="11"/>
      <c r="FA45" s="9">
        <v>711</v>
      </c>
      <c r="FB45" s="9">
        <v>712.17606947000229</v>
      </c>
      <c r="FC45" s="10">
        <v>3.7495394085584142</v>
      </c>
      <c r="FD45" s="11">
        <v>3.7011712134171211E-2</v>
      </c>
      <c r="FE45" s="6">
        <v>4.2077415101230535</v>
      </c>
      <c r="FF45" s="6" t="s">
        <v>59</v>
      </c>
      <c r="FG45" s="45">
        <f t="shared" ref="FG45:FG46" si="45">EB45-FC45</f>
        <v>0.19610129096284235</v>
      </c>
      <c r="FH45" s="11"/>
      <c r="FI45" s="28">
        <v>785</v>
      </c>
      <c r="FJ45" s="28">
        <v>784.92914320000148</v>
      </c>
      <c r="FK45" s="29">
        <v>3.7734871062435542</v>
      </c>
      <c r="FL45" s="27">
        <v>3.5222023126294209E-2</v>
      </c>
      <c r="FM45" s="6">
        <v>3.8089884328664123</v>
      </c>
      <c r="FN45" s="6" t="s">
        <v>59</v>
      </c>
      <c r="FO45" s="11"/>
      <c r="FP45" s="37">
        <v>5033</v>
      </c>
      <c r="FQ45" s="37">
        <v>5033.1590573899375</v>
      </c>
      <c r="FR45" s="10">
        <v>4.1322720943266349</v>
      </c>
      <c r="FS45" s="11">
        <v>1.2555931623958705E-2</v>
      </c>
      <c r="FT45" s="26">
        <v>-6.0241315257286878</v>
      </c>
      <c r="FU45" s="26" t="s">
        <v>59</v>
      </c>
      <c r="FV45" s="26"/>
      <c r="FW45" s="9">
        <v>1103</v>
      </c>
      <c r="FX45" s="9">
        <v>1103.0388120599762</v>
      </c>
      <c r="FY45" s="10">
        <v>4.1568888215790007</v>
      </c>
      <c r="FZ45" s="11">
        <v>2.5811302430395384E-2</v>
      </c>
      <c r="GA45" s="26">
        <v>-5.5128337835701053</v>
      </c>
      <c r="GB45" s="26" t="s">
        <v>59</v>
      </c>
      <c r="GC45" s="26"/>
      <c r="GD45" s="37">
        <v>386</v>
      </c>
      <c r="GE45" s="37">
        <v>386.01260199999831</v>
      </c>
      <c r="GF45" s="10">
        <v>4.4457397231554632</v>
      </c>
      <c r="GG45" s="11">
        <v>3.7172103592782328E-2</v>
      </c>
      <c r="GH45" s="26">
        <v>-10.701343506261333</v>
      </c>
      <c r="GI45" s="26" t="s">
        <v>59</v>
      </c>
      <c r="GJ45" s="26"/>
      <c r="GK45" s="37">
        <v>694</v>
      </c>
      <c r="GL45" s="37">
        <v>694.00006651000353</v>
      </c>
      <c r="GM45" s="10">
        <v>4.3603447076851243</v>
      </c>
      <c r="GN45" s="11">
        <v>2.6030503452666148E-2</v>
      </c>
      <c r="GO45" s="26">
        <v>-10.780681951315591</v>
      </c>
      <c r="GP45" s="26" t="s">
        <v>59</v>
      </c>
      <c r="GQ45" s="26"/>
      <c r="GR45" s="37">
        <v>1368</v>
      </c>
      <c r="GS45" s="37">
        <v>1367.9994469999951</v>
      </c>
      <c r="GT45" s="10">
        <v>3.9546781340767612</v>
      </c>
      <c r="GU45" s="11">
        <v>2.6174538569009323E-2</v>
      </c>
      <c r="GV45" s="26">
        <v>-0.23434328539084265</v>
      </c>
      <c r="GW45" s="26" t="s">
        <v>57</v>
      </c>
      <c r="GX45" s="26"/>
      <c r="GY45" s="37">
        <v>393</v>
      </c>
      <c r="GZ45" s="37">
        <v>393.00067390000061</v>
      </c>
      <c r="HA45" s="10">
        <v>4.4879254629186516</v>
      </c>
      <c r="HB45" s="11">
        <v>3.7320488892747382E-2</v>
      </c>
      <c r="HC45" s="26">
        <v>-11.574797683784237</v>
      </c>
      <c r="HD45" s="26" t="s">
        <v>59</v>
      </c>
      <c r="HE45" s="43"/>
      <c r="HF45" s="37">
        <v>993</v>
      </c>
      <c r="HG45" s="37">
        <v>993.00407412001027</v>
      </c>
      <c r="HH45" s="10">
        <v>3.5761585632435784</v>
      </c>
      <c r="HI45" s="11">
        <v>3.5259235203622702E-2</v>
      </c>
      <c r="HJ45" s="11"/>
      <c r="HK45" s="37">
        <v>959</v>
      </c>
      <c r="HL45" s="37">
        <v>958.97781675000942</v>
      </c>
      <c r="HM45" s="10">
        <v>3.450263119123401</v>
      </c>
      <c r="HN45" s="11">
        <v>3.6935039186333909E-2</v>
      </c>
      <c r="HO45" s="6">
        <v>2.465501580638811</v>
      </c>
      <c r="HP45" s="6" t="s">
        <v>59</v>
      </c>
      <c r="HQ45" s="45">
        <f t="shared" ref="HQ45:HQ46" si="46">HH45-HM45</f>
        <v>0.12589544412017739</v>
      </c>
      <c r="HR45" s="27"/>
      <c r="HS45" s="3">
        <v>685</v>
      </c>
      <c r="HT45" s="3">
        <v>684.99677794999945</v>
      </c>
      <c r="HU45" s="29">
        <v>3.5815106778342742</v>
      </c>
      <c r="HV45" s="27">
        <v>4.3896122982575857E-2</v>
      </c>
      <c r="HW45" s="6">
        <v>-9.5058305313332786E-2</v>
      </c>
      <c r="HX45" s="6" t="s">
        <v>57</v>
      </c>
      <c r="HY45" s="27"/>
      <c r="HZ45" s="9">
        <v>723</v>
      </c>
      <c r="IA45" s="9">
        <v>722.85007189000498</v>
      </c>
      <c r="IB45" s="10">
        <v>3.6572250548552119</v>
      </c>
      <c r="IC45" s="11">
        <v>3.881382861816246E-2</v>
      </c>
      <c r="ID45" s="6">
        <v>-1.5459540887898766</v>
      </c>
      <c r="IE45" s="6" t="s">
        <v>57</v>
      </c>
      <c r="IF45" s="27"/>
      <c r="IG45" s="9">
        <v>1452</v>
      </c>
      <c r="IH45" s="9">
        <v>1452.1487442399909</v>
      </c>
      <c r="II45" s="10">
        <v>3.4378362025322344</v>
      </c>
      <c r="IJ45" s="11">
        <v>2.8319759819674398E-2</v>
      </c>
      <c r="IK45" s="6">
        <v>3.0585959932948876</v>
      </c>
      <c r="IL45" s="6" t="s">
        <v>59</v>
      </c>
      <c r="IM45" s="45">
        <f t="shared" ref="IM45:IM46" si="47">HH45-II45</f>
        <v>0.13832236071134396</v>
      </c>
      <c r="IN45" s="11"/>
      <c r="IO45" s="28">
        <v>1462</v>
      </c>
      <c r="IP45" s="28">
        <v>1461.8135137700117</v>
      </c>
      <c r="IQ45" s="29">
        <v>3.4095107941615201</v>
      </c>
      <c r="IR45" s="27">
        <v>2.9123556195531461E-2</v>
      </c>
      <c r="IS45" s="6">
        <v>3.6440258694327676</v>
      </c>
      <c r="IT45" s="6" t="s">
        <v>59</v>
      </c>
      <c r="IU45" s="27"/>
      <c r="IV45" s="37">
        <v>5506</v>
      </c>
      <c r="IW45" s="37">
        <v>5504.243008159784</v>
      </c>
      <c r="IX45" s="10">
        <v>4.0599044844770171</v>
      </c>
      <c r="IY45" s="11">
        <v>1.2764961245487649E-2</v>
      </c>
      <c r="IZ45" s="26">
        <v>-12.900313669497537</v>
      </c>
      <c r="JA45" s="26" t="s">
        <v>59</v>
      </c>
      <c r="JB45" s="26"/>
      <c r="JC45" s="37">
        <v>1103</v>
      </c>
      <c r="JD45" s="37">
        <v>1103.0388120599762</v>
      </c>
      <c r="JE45" s="10">
        <v>4.1568888215790007</v>
      </c>
      <c r="JF45" s="11">
        <v>2.5811302430395384E-2</v>
      </c>
      <c r="JG45" s="26">
        <v>-13.289902295977354</v>
      </c>
      <c r="JH45" s="26" t="s">
        <v>59</v>
      </c>
      <c r="JI45" s="26"/>
      <c r="JJ45" s="37">
        <v>681</v>
      </c>
      <c r="JK45" s="37">
        <v>681</v>
      </c>
      <c r="JL45" s="10">
        <v>4.2246696035242284</v>
      </c>
      <c r="JM45" s="11">
        <v>3.2350063794309325E-2</v>
      </c>
      <c r="JN45" s="26">
        <v>-13.552651178462906</v>
      </c>
      <c r="JO45" s="26" t="s">
        <v>59</v>
      </c>
      <c r="JP45" s="26"/>
      <c r="JQ45" s="37">
        <v>982</v>
      </c>
      <c r="JR45" s="37">
        <v>980.1707042200095</v>
      </c>
      <c r="JS45" s="10">
        <v>4.2091843341646946</v>
      </c>
      <c r="JT45" s="11">
        <v>2.8548982879501798E-2</v>
      </c>
      <c r="JU45" s="26">
        <v>-13.953124688311149</v>
      </c>
      <c r="JV45" s="26" t="s">
        <v>59</v>
      </c>
      <c r="JW45" s="26"/>
      <c r="JX45" s="37">
        <v>386</v>
      </c>
      <c r="JY45" s="37">
        <v>386.01260199999831</v>
      </c>
      <c r="JZ45" s="10">
        <v>4.4457397231554632</v>
      </c>
      <c r="KA45" s="11">
        <v>3.7172103592782328E-2</v>
      </c>
      <c r="KB45" s="26">
        <v>-16.972554391261411</v>
      </c>
      <c r="KC45" s="26" t="s">
        <v>59</v>
      </c>
      <c r="KD45" s="26"/>
      <c r="KE45" s="37">
        <v>1361</v>
      </c>
      <c r="KF45" s="37">
        <v>1361.0168157599767</v>
      </c>
      <c r="KG45" s="10">
        <v>4.0348659523604118</v>
      </c>
      <c r="KH45" s="11">
        <v>2.4240466097986323E-2</v>
      </c>
      <c r="KI45" s="26">
        <v>-10.720465408306874</v>
      </c>
      <c r="KJ45" s="26" t="s">
        <v>59</v>
      </c>
      <c r="KL45" s="9"/>
      <c r="KM45" s="9"/>
      <c r="KN45" s="10"/>
      <c r="KO45" s="11"/>
    </row>
    <row r="46" spans="1:301" s="7" customFormat="1" x14ac:dyDescent="0.25">
      <c r="B46" s="5" t="s">
        <v>36</v>
      </c>
      <c r="C46" s="9">
        <v>2975</v>
      </c>
      <c r="D46" s="9">
        <v>2974.9257998300704</v>
      </c>
      <c r="E46" s="10">
        <v>3.8574803174807868</v>
      </c>
      <c r="F46" s="11">
        <v>1.8691385351052369E-2</v>
      </c>
      <c r="G46" s="11"/>
      <c r="H46" s="9">
        <v>3015</v>
      </c>
      <c r="I46" s="9">
        <v>3015.0967759399191</v>
      </c>
      <c r="J46" s="10">
        <v>3.7570102905829277</v>
      </c>
      <c r="K46" s="11">
        <v>1.872731434255856E-2</v>
      </c>
      <c r="L46" s="26">
        <v>3.7971925886115145</v>
      </c>
      <c r="M46" s="26" t="s">
        <v>59</v>
      </c>
      <c r="N46" s="45">
        <f t="shared" si="42"/>
        <v>0.10047002689785911</v>
      </c>
      <c r="O46" s="11"/>
      <c r="P46" s="3">
        <v>995</v>
      </c>
      <c r="Q46" s="3">
        <v>995.04541862001713</v>
      </c>
      <c r="R46" s="10">
        <v>3.7564059798032536</v>
      </c>
      <c r="S46" s="11">
        <v>3.3519061308605463E-2</v>
      </c>
      <c r="T46" s="26">
        <v>2.6336311938604107</v>
      </c>
      <c r="U46" s="26" t="s">
        <v>59</v>
      </c>
      <c r="V46" s="27"/>
      <c r="W46" s="9">
        <v>1059</v>
      </c>
      <c r="X46" s="9">
        <v>1058.899718670008</v>
      </c>
      <c r="Y46" s="10">
        <v>3.6408988616621718</v>
      </c>
      <c r="Z46" s="11">
        <v>2.6292609584981794E-2</v>
      </c>
      <c r="AA46" s="26">
        <v>6.7137461594432786</v>
      </c>
      <c r="AB46" s="26" t="s">
        <v>59</v>
      </c>
      <c r="AC46" s="26"/>
      <c r="AD46" s="9">
        <v>1071</v>
      </c>
      <c r="AE46" s="9">
        <v>1070.6852324800204</v>
      </c>
      <c r="AF46" s="10">
        <v>3.74433772541538</v>
      </c>
      <c r="AG46" s="11">
        <v>2.6988357538457162E-2</v>
      </c>
      <c r="AH46" s="26">
        <v>3.4464283837669263</v>
      </c>
      <c r="AI46" s="26" t="s">
        <v>59</v>
      </c>
      <c r="AJ46" s="45">
        <f t="shared" si="43"/>
        <v>0.11314259206540678</v>
      </c>
      <c r="AK46" s="27"/>
      <c r="AL46" s="28">
        <v>1222</v>
      </c>
      <c r="AM46" s="28">
        <v>1220.3084102800058</v>
      </c>
      <c r="AN46" s="29">
        <v>3.5348201599874671</v>
      </c>
      <c r="AO46" s="27">
        <v>2.7808792487988915E-2</v>
      </c>
      <c r="AP46" s="26">
        <v>9.6297296354929589</v>
      </c>
      <c r="AQ46" s="26" t="s">
        <v>59</v>
      </c>
      <c r="AR46" s="27"/>
      <c r="AS46" s="30">
        <v>6138</v>
      </c>
      <c r="AT46" s="31">
        <v>3.9517776394660111</v>
      </c>
      <c r="AU46" s="32">
        <v>1.2320671374090297E-2</v>
      </c>
      <c r="AV46" s="26">
        <v>-4.2121923950579108</v>
      </c>
      <c r="AW46" s="26" t="s">
        <v>59</v>
      </c>
      <c r="AX46" s="27"/>
      <c r="AY46" s="33">
        <v>793</v>
      </c>
      <c r="AZ46" s="34">
        <v>4.3285157663702032</v>
      </c>
      <c r="BA46" s="35">
        <v>3.098383115578543E-2</v>
      </c>
      <c r="BB46" s="26">
        <v>-13.017365995791833</v>
      </c>
      <c r="BC46" s="26" t="s">
        <v>59</v>
      </c>
      <c r="BD46" s="35"/>
      <c r="BE46" s="33">
        <v>960</v>
      </c>
      <c r="BF46" s="34">
        <v>4.0529038493096463</v>
      </c>
      <c r="BG46" s="35">
        <v>2.8600705434968964E-2</v>
      </c>
      <c r="BH46" s="26">
        <v>-5.7196956676756026</v>
      </c>
      <c r="BI46" s="26" t="s">
        <v>59</v>
      </c>
      <c r="BJ46" s="35"/>
      <c r="BK46" s="33">
        <v>989</v>
      </c>
      <c r="BL46" s="34">
        <v>4.1683686809490217</v>
      </c>
      <c r="BM46" s="35">
        <v>2.8026239573645667E-2</v>
      </c>
      <c r="BN46" s="26">
        <v>-9.2286363595844634</v>
      </c>
      <c r="BO46" s="26" t="s">
        <v>59</v>
      </c>
      <c r="BP46" s="35"/>
      <c r="BQ46" s="33">
        <v>1351</v>
      </c>
      <c r="BR46" s="34">
        <v>3.7498662043218087</v>
      </c>
      <c r="BS46" s="35">
        <v>2.7018997949994853E-2</v>
      </c>
      <c r="BT46" s="26">
        <v>3.2755120672993412</v>
      </c>
      <c r="BU46" s="26" t="s">
        <v>59</v>
      </c>
      <c r="BV46" s="35"/>
      <c r="BW46" s="33">
        <v>1407</v>
      </c>
      <c r="BX46" s="34">
        <v>4.0245255705258778</v>
      </c>
      <c r="BY46" s="35">
        <v>2.4124270651457703E-2</v>
      </c>
      <c r="BZ46" s="26">
        <v>-5.4736631932465425</v>
      </c>
      <c r="CA46" s="26" t="s">
        <v>59</v>
      </c>
      <c r="CB46" s="27"/>
      <c r="CC46" s="9">
        <v>11861</v>
      </c>
      <c r="CD46" s="9">
        <v>11859.627772209209</v>
      </c>
      <c r="CE46" s="10">
        <v>4.061055740109051</v>
      </c>
      <c r="CF46" s="11">
        <v>9.0388927568761015E-3</v>
      </c>
      <c r="CG46" s="26">
        <v>-9.805092904189971</v>
      </c>
      <c r="CH46" s="26" t="s">
        <v>59</v>
      </c>
      <c r="CI46" s="26"/>
      <c r="CJ46" s="9">
        <v>541</v>
      </c>
      <c r="CK46" s="9">
        <v>541</v>
      </c>
      <c r="CL46" s="10">
        <v>3.9223659889094269</v>
      </c>
      <c r="CM46" s="11">
        <v>3.7587413079522604E-2</v>
      </c>
      <c r="CN46" s="26">
        <v>-1.545693865129921</v>
      </c>
      <c r="CO46" s="26" t="s">
        <v>57</v>
      </c>
      <c r="CP46" s="26"/>
      <c r="CQ46" s="9">
        <v>3375</v>
      </c>
      <c r="CR46" s="9">
        <v>3373.4157807298734</v>
      </c>
      <c r="CS46" s="10">
        <v>3.7601428427198202</v>
      </c>
      <c r="CT46" s="11">
        <v>1.7236554517689059E-2</v>
      </c>
      <c r="CU46" s="26">
        <v>3.8283091050901055</v>
      </c>
      <c r="CV46" s="26" t="s">
        <v>59</v>
      </c>
      <c r="CW46" s="26"/>
      <c r="CX46" s="9">
        <v>2951</v>
      </c>
      <c r="CY46" s="9">
        <v>2951.0060559200788</v>
      </c>
      <c r="CZ46" s="10">
        <v>4.017953094963576</v>
      </c>
      <c r="DA46" s="11">
        <v>1.670058057818917E-2</v>
      </c>
      <c r="DB46" s="26">
        <v>-6.4021477515071243</v>
      </c>
      <c r="DC46" s="26" t="s">
        <v>59</v>
      </c>
      <c r="DD46" s="26"/>
      <c r="DE46" s="9">
        <v>605</v>
      </c>
      <c r="DF46" s="9">
        <v>605.28013572999498</v>
      </c>
      <c r="DG46" s="10">
        <v>4.9883721995411081</v>
      </c>
      <c r="DH46" s="11">
        <v>4.361038159200927E-3</v>
      </c>
      <c r="DI46" s="26">
        <v>-58.920877976962174</v>
      </c>
      <c r="DJ46" s="26" t="s">
        <v>59</v>
      </c>
      <c r="DK46" s="26"/>
      <c r="DL46" s="9">
        <v>878</v>
      </c>
      <c r="DM46" s="9">
        <v>878</v>
      </c>
      <c r="DN46" s="10">
        <v>4.9316628701594452</v>
      </c>
      <c r="DO46" s="11">
        <v>9.6631050880560624E-3</v>
      </c>
      <c r="DP46" s="26">
        <v>-51.050735547616746</v>
      </c>
      <c r="DQ46" s="26" t="s">
        <v>59</v>
      </c>
      <c r="DR46" s="26"/>
      <c r="DS46" s="9">
        <v>536</v>
      </c>
      <c r="DT46" s="9">
        <v>536</v>
      </c>
      <c r="DU46" s="10">
        <v>4.9888059701492482</v>
      </c>
      <c r="DV46" s="11">
        <v>5.2596270131836488E-3</v>
      </c>
      <c r="DW46" s="26">
        <v>-58.263796594134277</v>
      </c>
      <c r="DX46" s="26" t="s">
        <v>59</v>
      </c>
      <c r="DY46" s="36"/>
      <c r="DZ46" s="9">
        <v>1064</v>
      </c>
      <c r="EA46" s="9">
        <v>1063.7834346100055</v>
      </c>
      <c r="EB46" s="10">
        <v>3.6932992124758774</v>
      </c>
      <c r="EC46" s="11">
        <v>3.2028729246119575E-2</v>
      </c>
      <c r="ED46" s="11"/>
      <c r="EE46" s="9">
        <v>996</v>
      </c>
      <c r="EF46" s="9">
        <v>996.23754456001052</v>
      </c>
      <c r="EG46" s="10">
        <v>3.5665044851519472</v>
      </c>
      <c r="EH46" s="11">
        <v>3.5267320007746135E-2</v>
      </c>
      <c r="EI46" s="6">
        <v>2.66148668562567</v>
      </c>
      <c r="EJ46" s="6" t="s">
        <v>59</v>
      </c>
      <c r="EK46" s="45">
        <f t="shared" si="44"/>
        <v>0.12679472732393027</v>
      </c>
      <c r="EL46" s="11"/>
      <c r="EM46" s="9">
        <v>683</v>
      </c>
      <c r="EN46" s="9">
        <v>683.01051010999686</v>
      </c>
      <c r="EO46" s="10">
        <v>3.5392380902025748</v>
      </c>
      <c r="EP46" s="11">
        <v>4.2512347903115963E-2</v>
      </c>
      <c r="EQ46" s="6">
        <v>2.894403662035375</v>
      </c>
      <c r="ER46" s="6" t="s">
        <v>59</v>
      </c>
      <c r="ES46" s="11"/>
      <c r="ET46" s="9">
        <v>724</v>
      </c>
      <c r="EU46" s="9">
        <v>723.78259379000485</v>
      </c>
      <c r="EV46" s="10">
        <v>3.5648525495331556</v>
      </c>
      <c r="EW46" s="11">
        <v>4.0247277114747529E-2</v>
      </c>
      <c r="EX46" s="6">
        <v>2.4972035161961945</v>
      </c>
      <c r="EY46" s="6" t="s">
        <v>59</v>
      </c>
      <c r="EZ46" s="11"/>
      <c r="FA46" s="9">
        <v>700</v>
      </c>
      <c r="FB46" s="9">
        <v>699.22317585000224</v>
      </c>
      <c r="FC46" s="10">
        <v>3.5060821159851145</v>
      </c>
      <c r="FD46" s="11">
        <v>4.0964292140752215E-2</v>
      </c>
      <c r="FE46" s="6">
        <v>3.6003868808372461</v>
      </c>
      <c r="FF46" s="6" t="s">
        <v>59</v>
      </c>
      <c r="FG46" s="45">
        <f t="shared" si="45"/>
        <v>0.1872170964907629</v>
      </c>
      <c r="FH46" s="11"/>
      <c r="FI46" s="28">
        <v>770</v>
      </c>
      <c r="FJ46" s="28">
        <v>769.97714320000125</v>
      </c>
      <c r="FK46" s="29">
        <v>3.5595772785271937</v>
      </c>
      <c r="FL46" s="27">
        <v>3.8211613083195636E-2</v>
      </c>
      <c r="FM46" s="6">
        <v>2.6819765762515151</v>
      </c>
      <c r="FN46" s="6" t="s">
        <v>59</v>
      </c>
      <c r="FO46" s="11"/>
      <c r="FP46" s="37">
        <v>4960</v>
      </c>
      <c r="FQ46" s="37">
        <v>4959.6963029999106</v>
      </c>
      <c r="FR46" s="10">
        <v>3.9002119178586319</v>
      </c>
      <c r="FS46" s="11">
        <v>1.3838623208808213E-2</v>
      </c>
      <c r="FT46" s="26">
        <v>-5.9303450925576078</v>
      </c>
      <c r="FU46" s="26" t="s">
        <v>59</v>
      </c>
      <c r="FV46" s="26"/>
      <c r="FW46" s="9">
        <v>1093</v>
      </c>
      <c r="FX46" s="9">
        <v>1093.0484296999764</v>
      </c>
      <c r="FY46" s="10">
        <v>3.9350834506761267</v>
      </c>
      <c r="FZ46" s="11">
        <v>2.8686324349686002E-2</v>
      </c>
      <c r="GA46" s="26">
        <v>-5.6232774871030307</v>
      </c>
      <c r="GB46" s="26" t="s">
        <v>59</v>
      </c>
      <c r="GC46" s="26"/>
      <c r="GD46" s="37">
        <v>384</v>
      </c>
      <c r="GE46" s="37">
        <v>384.00964309999841</v>
      </c>
      <c r="GF46" s="10">
        <v>4.2581315023752859</v>
      </c>
      <c r="GG46" s="11">
        <v>4.2160051890528488E-2</v>
      </c>
      <c r="GH46" s="26">
        <v>-10.6680242418444</v>
      </c>
      <c r="GI46" s="26" t="s">
        <v>59</v>
      </c>
      <c r="GJ46" s="26"/>
      <c r="GK46" s="37">
        <v>695</v>
      </c>
      <c r="GL46" s="37">
        <v>694.91646107000372</v>
      </c>
      <c r="GM46" s="10">
        <v>4.0190866184542235</v>
      </c>
      <c r="GN46" s="11">
        <v>3.1060796085482529E-2</v>
      </c>
      <c r="GO46" s="26">
        <v>-7.3019847691029165</v>
      </c>
      <c r="GP46" s="26" t="s">
        <v>59</v>
      </c>
      <c r="GQ46" s="26"/>
      <c r="GR46" s="37">
        <v>1340</v>
      </c>
      <c r="GS46" s="37">
        <v>1340.0001077999973</v>
      </c>
      <c r="GT46" s="10">
        <v>3.7499997142015138</v>
      </c>
      <c r="GU46" s="11">
        <v>2.790575026282258E-2</v>
      </c>
      <c r="GV46" s="26">
        <v>-1.3347501789230611</v>
      </c>
      <c r="GW46" s="26" t="s">
        <v>57</v>
      </c>
      <c r="GX46" s="26"/>
      <c r="GY46" s="37">
        <v>384</v>
      </c>
      <c r="GZ46" s="37">
        <v>383.93822672000067</v>
      </c>
      <c r="HA46" s="10">
        <v>4.3253476136177884</v>
      </c>
      <c r="HB46" s="11">
        <v>4.0267061854779122E-2</v>
      </c>
      <c r="HC46" s="26">
        <v>-12.284309360951172</v>
      </c>
      <c r="HD46" s="26" t="s">
        <v>59</v>
      </c>
      <c r="HE46" s="43"/>
      <c r="HF46" s="37">
        <v>979</v>
      </c>
      <c r="HG46" s="37">
        <v>978.97871788000998</v>
      </c>
      <c r="HH46" s="10">
        <v>3.2319524308881182</v>
      </c>
      <c r="HI46" s="11">
        <v>3.9667576172946875E-2</v>
      </c>
      <c r="HJ46" s="11"/>
      <c r="HK46" s="37">
        <v>950</v>
      </c>
      <c r="HL46" s="37">
        <v>949.97454753000932</v>
      </c>
      <c r="HM46" s="10">
        <v>3.1324124094556622</v>
      </c>
      <c r="HN46" s="11">
        <v>3.9870917505051742E-2</v>
      </c>
      <c r="HO46" s="6">
        <v>1.7698397565593207</v>
      </c>
      <c r="HP46" s="6" t="s">
        <v>57</v>
      </c>
      <c r="HQ46" s="45">
        <f t="shared" si="46"/>
        <v>9.9540021432455994E-2</v>
      </c>
      <c r="HR46" s="27"/>
      <c r="HS46" s="3">
        <v>677</v>
      </c>
      <c r="HT46" s="3">
        <v>676.98534938999921</v>
      </c>
      <c r="HU46" s="29">
        <v>3.162862197903316</v>
      </c>
      <c r="HV46" s="27">
        <v>4.92963696562587E-2</v>
      </c>
      <c r="HW46" s="6">
        <v>1.0919146117872633</v>
      </c>
      <c r="HX46" s="6" t="s">
        <v>57</v>
      </c>
      <c r="HY46" s="27"/>
      <c r="HZ46" s="9">
        <v>708</v>
      </c>
      <c r="IA46" s="9">
        <v>708.15722997000466</v>
      </c>
      <c r="IB46" s="10">
        <v>3.3560499784499536</v>
      </c>
      <c r="IC46" s="11">
        <v>4.4909610224690429E-2</v>
      </c>
      <c r="ID46" s="6">
        <v>-2.0710586839560863</v>
      </c>
      <c r="IE46" s="6" t="s">
        <v>59</v>
      </c>
      <c r="IF46" s="27"/>
      <c r="IG46" s="9">
        <v>1437</v>
      </c>
      <c r="IH46" s="9">
        <v>1436.9307891099918</v>
      </c>
      <c r="II46" s="10">
        <v>3.0618269823385345</v>
      </c>
      <c r="IJ46" s="11">
        <v>3.2614396444740928E-2</v>
      </c>
      <c r="IK46" s="6">
        <v>3.3128096088756247</v>
      </c>
      <c r="IL46" s="6" t="s">
        <v>59</v>
      </c>
      <c r="IM46" s="45">
        <f t="shared" si="47"/>
        <v>0.17012544854958378</v>
      </c>
      <c r="IN46" s="11"/>
      <c r="IO46" s="28">
        <v>1426</v>
      </c>
      <c r="IP46" s="28">
        <v>1424.6881805500084</v>
      </c>
      <c r="IQ46" s="29">
        <v>3.0780951506785481</v>
      </c>
      <c r="IR46" s="27">
        <v>3.2348593504443537E-2</v>
      </c>
      <c r="IS46" s="6">
        <v>3.005880470523048</v>
      </c>
      <c r="IT46" s="6" t="s">
        <v>59</v>
      </c>
      <c r="IU46" s="27"/>
      <c r="IV46" s="37">
        <v>5424</v>
      </c>
      <c r="IW46" s="37">
        <v>5425.2292993497804</v>
      </c>
      <c r="IX46" s="10">
        <v>3.8342319475164333</v>
      </c>
      <c r="IY46" s="11">
        <v>1.4362095725301817E-2</v>
      </c>
      <c r="IZ46" s="26">
        <v>-14.27625024853851</v>
      </c>
      <c r="JA46" s="26" t="s">
        <v>59</v>
      </c>
      <c r="JB46" s="26"/>
      <c r="JC46" s="37">
        <v>1093</v>
      </c>
      <c r="JD46" s="37">
        <v>1093.0484296999764</v>
      </c>
      <c r="JE46" s="10">
        <v>3.9350834506761267</v>
      </c>
      <c r="JF46" s="11">
        <v>2.8686324349686002E-2</v>
      </c>
      <c r="JG46" s="26">
        <v>-14.363313072962162</v>
      </c>
      <c r="JH46" s="26" t="s">
        <v>59</v>
      </c>
      <c r="JI46" s="26"/>
      <c r="JJ46" s="37">
        <v>673</v>
      </c>
      <c r="JK46" s="37">
        <v>673</v>
      </c>
      <c r="JL46" s="10">
        <v>4.0430906389301615</v>
      </c>
      <c r="JM46" s="11">
        <v>3.5617982912399794E-2</v>
      </c>
      <c r="JN46" s="26">
        <v>-15.214959592735736</v>
      </c>
      <c r="JO46" s="26" t="s">
        <v>59</v>
      </c>
      <c r="JP46" s="26"/>
      <c r="JQ46" s="37">
        <v>970</v>
      </c>
      <c r="JR46" s="37">
        <v>971.29623261000938</v>
      </c>
      <c r="JS46" s="10">
        <v>3.9876730364352095</v>
      </c>
      <c r="JT46" s="11">
        <v>3.2694046447297287E-2</v>
      </c>
      <c r="JU46" s="26">
        <v>-14.70146330105629</v>
      </c>
      <c r="JV46" s="26" t="s">
        <v>59</v>
      </c>
      <c r="JW46" s="26"/>
      <c r="JX46" s="37">
        <v>384</v>
      </c>
      <c r="JY46" s="37">
        <v>384.00964309999841</v>
      </c>
      <c r="JZ46" s="10">
        <v>4.2581315023752859</v>
      </c>
      <c r="KA46" s="11">
        <v>4.2160051890528488E-2</v>
      </c>
      <c r="KB46" s="26">
        <v>-17.72706385940625</v>
      </c>
      <c r="KC46" s="26" t="s">
        <v>59</v>
      </c>
      <c r="KD46" s="26"/>
      <c r="KE46" s="37">
        <v>1325</v>
      </c>
      <c r="KF46" s="37">
        <v>1324.8962760599782</v>
      </c>
      <c r="KG46" s="10">
        <v>3.8546132291557007</v>
      </c>
      <c r="KH46" s="11">
        <v>2.6702742016796385E-2</v>
      </c>
      <c r="KI46" s="26">
        <v>-13.02149609421714</v>
      </c>
      <c r="KJ46" s="26" t="s">
        <v>59</v>
      </c>
      <c r="KL46" s="9"/>
      <c r="KM46" s="9"/>
      <c r="KN46" s="10"/>
      <c r="KO46" s="11"/>
    </row>
    <row r="47" spans="1:301" s="7" customFormat="1" x14ac:dyDescent="0.25">
      <c r="B47" s="5"/>
      <c r="C47" s="9"/>
      <c r="D47" s="9"/>
      <c r="E47" s="10"/>
      <c r="F47" s="11"/>
      <c r="G47" s="11"/>
      <c r="H47" s="9"/>
      <c r="I47" s="9"/>
      <c r="J47" s="10"/>
      <c r="K47" s="11"/>
      <c r="L47" s="26"/>
      <c r="M47" s="26"/>
      <c r="N47" s="45"/>
      <c r="O47" s="11"/>
      <c r="P47" s="3"/>
      <c r="Q47" s="3"/>
      <c r="R47" s="10"/>
      <c r="S47" s="11"/>
      <c r="T47" s="26"/>
      <c r="U47" s="26"/>
      <c r="V47" s="27"/>
      <c r="W47" s="9"/>
      <c r="X47" s="9"/>
      <c r="Y47" s="10"/>
      <c r="Z47" s="11"/>
      <c r="AA47" s="26"/>
      <c r="AB47" s="26"/>
      <c r="AC47" s="26"/>
      <c r="AD47" s="9"/>
      <c r="AE47" s="9"/>
      <c r="AF47" s="10"/>
      <c r="AG47" s="11"/>
      <c r="AH47" s="26"/>
      <c r="AI47" s="26"/>
      <c r="AJ47" s="45"/>
      <c r="AK47" s="27"/>
      <c r="AL47" s="28"/>
      <c r="AM47" s="28"/>
      <c r="AN47" s="29"/>
      <c r="AO47" s="27"/>
      <c r="AP47" s="26"/>
      <c r="AQ47" s="26"/>
      <c r="AR47" s="27"/>
      <c r="AS47" s="30"/>
      <c r="AT47" s="31"/>
      <c r="AU47" s="32"/>
      <c r="AV47" s="26"/>
      <c r="AW47" s="26"/>
      <c r="AX47" s="27"/>
      <c r="AY47" s="33"/>
      <c r="AZ47" s="34"/>
      <c r="BA47" s="35"/>
      <c r="BB47" s="26"/>
      <c r="BC47" s="26"/>
      <c r="BD47" s="35"/>
      <c r="BE47" s="33"/>
      <c r="BF47" s="34"/>
      <c r="BG47" s="35"/>
      <c r="BH47" s="26"/>
      <c r="BI47" s="26"/>
      <c r="BJ47" s="35"/>
      <c r="BK47" s="33"/>
      <c r="BL47" s="34"/>
      <c r="BM47" s="35"/>
      <c r="BN47" s="26"/>
      <c r="BO47" s="26"/>
      <c r="BP47" s="35"/>
      <c r="BQ47" s="33"/>
      <c r="BR47" s="34"/>
      <c r="BS47" s="35"/>
      <c r="BT47" s="26"/>
      <c r="BU47" s="26"/>
      <c r="BV47" s="35"/>
      <c r="BW47" s="33"/>
      <c r="BX47" s="34"/>
      <c r="BY47" s="35"/>
      <c r="BZ47" s="26"/>
      <c r="CA47" s="26"/>
      <c r="CB47" s="27"/>
      <c r="CC47" s="9"/>
      <c r="CD47" s="9"/>
      <c r="CE47" s="10"/>
      <c r="CF47" s="11"/>
      <c r="CG47" s="26"/>
      <c r="CH47" s="26"/>
      <c r="CI47" s="26"/>
      <c r="CJ47" s="9"/>
      <c r="CK47" s="9"/>
      <c r="CL47" s="10"/>
      <c r="CM47" s="11"/>
      <c r="CN47" s="26"/>
      <c r="CO47" s="26"/>
      <c r="CP47" s="26"/>
      <c r="CQ47" s="9"/>
      <c r="CR47" s="9"/>
      <c r="CS47" s="10"/>
      <c r="CT47" s="11"/>
      <c r="CU47" s="26"/>
      <c r="CV47" s="26"/>
      <c r="CW47" s="26"/>
      <c r="CX47" s="9"/>
      <c r="CY47" s="9"/>
      <c r="CZ47" s="10"/>
      <c r="DA47" s="11"/>
      <c r="DB47" s="26"/>
      <c r="DC47" s="26"/>
      <c r="DD47" s="26"/>
      <c r="DE47" s="9"/>
      <c r="DF47" s="9"/>
      <c r="DG47" s="10"/>
      <c r="DH47" s="11"/>
      <c r="DI47" s="26"/>
      <c r="DJ47" s="26"/>
      <c r="DK47" s="26"/>
      <c r="DL47" s="9"/>
      <c r="DM47" s="9"/>
      <c r="DN47" s="10"/>
      <c r="DO47" s="11"/>
      <c r="DP47" s="26"/>
      <c r="DQ47" s="26"/>
      <c r="DR47" s="26"/>
      <c r="DS47" s="9"/>
      <c r="DT47" s="9"/>
      <c r="DU47" s="10"/>
      <c r="DV47" s="11"/>
      <c r="DW47" s="26"/>
      <c r="DX47" s="26"/>
      <c r="DY47" s="36"/>
      <c r="DZ47" s="9"/>
      <c r="EA47" s="9"/>
      <c r="EB47" s="10"/>
      <c r="EC47" s="11"/>
      <c r="ED47" s="11"/>
      <c r="EE47" s="9"/>
      <c r="EF47" s="9"/>
      <c r="EG47" s="10"/>
      <c r="EH47" s="11"/>
      <c r="EI47" s="6"/>
      <c r="EJ47" s="6"/>
      <c r="EK47" s="45"/>
      <c r="EL47" s="11"/>
      <c r="EM47" s="9"/>
      <c r="EN47" s="9"/>
      <c r="EO47" s="10"/>
      <c r="EP47" s="11"/>
      <c r="EQ47" s="6"/>
      <c r="ER47" s="6"/>
      <c r="ES47" s="11"/>
      <c r="ET47" s="9"/>
      <c r="EU47" s="9"/>
      <c r="EV47" s="10"/>
      <c r="EW47" s="11"/>
      <c r="EX47" s="6"/>
      <c r="EY47" s="6"/>
      <c r="EZ47" s="11"/>
      <c r="FA47" s="9"/>
      <c r="FB47" s="9"/>
      <c r="FC47" s="10"/>
      <c r="FD47" s="11"/>
      <c r="FE47" s="6"/>
      <c r="FF47" s="6"/>
      <c r="FG47" s="45"/>
      <c r="FH47" s="11"/>
      <c r="FI47" s="28"/>
      <c r="FJ47" s="28"/>
      <c r="FK47" s="29"/>
      <c r="FL47" s="27"/>
      <c r="FM47" s="6"/>
      <c r="FN47" s="6"/>
      <c r="FO47" s="11"/>
      <c r="FP47" s="37"/>
      <c r="FQ47" s="37"/>
      <c r="FR47" s="10"/>
      <c r="FS47" s="11"/>
      <c r="FT47" s="26"/>
      <c r="FU47" s="26"/>
      <c r="FV47" s="26"/>
      <c r="FW47" s="9"/>
      <c r="FX47" s="9"/>
      <c r="FY47" s="10"/>
      <c r="FZ47" s="11"/>
      <c r="GA47" s="26"/>
      <c r="GB47" s="26"/>
      <c r="GC47" s="26"/>
      <c r="GD47" s="37"/>
      <c r="GE47" s="37"/>
      <c r="GF47" s="10"/>
      <c r="GG47" s="11"/>
      <c r="GH47" s="26"/>
      <c r="GI47" s="26"/>
      <c r="GJ47" s="26"/>
      <c r="GK47" s="37"/>
      <c r="GL47" s="37"/>
      <c r="GM47" s="10"/>
      <c r="GN47" s="11"/>
      <c r="GO47" s="26"/>
      <c r="GP47" s="26"/>
      <c r="GQ47" s="26"/>
      <c r="GR47" s="37"/>
      <c r="GS47" s="37"/>
      <c r="GT47" s="10"/>
      <c r="GU47" s="11"/>
      <c r="GV47" s="26"/>
      <c r="GW47" s="26"/>
      <c r="GX47" s="26"/>
      <c r="GY47" s="37"/>
      <c r="GZ47" s="37"/>
      <c r="HA47" s="10"/>
      <c r="HB47" s="11"/>
      <c r="HC47" s="26"/>
      <c r="HD47" s="26"/>
      <c r="HE47" s="43"/>
      <c r="HF47" s="37"/>
      <c r="HG47" s="37"/>
      <c r="HH47" s="10"/>
      <c r="HI47" s="11"/>
      <c r="HJ47" s="11"/>
      <c r="HK47" s="37"/>
      <c r="HL47" s="37"/>
      <c r="HM47" s="10"/>
      <c r="HN47" s="11"/>
      <c r="HO47" s="6"/>
      <c r="HP47" s="6"/>
      <c r="HQ47" s="45"/>
      <c r="HR47" s="27"/>
      <c r="HS47" s="3"/>
      <c r="HT47" s="3"/>
      <c r="HU47" s="29"/>
      <c r="HV47" s="27"/>
      <c r="HW47" s="6"/>
      <c r="HX47" s="6"/>
      <c r="HY47" s="27"/>
      <c r="HZ47" s="9"/>
      <c r="IA47" s="9"/>
      <c r="IB47" s="10"/>
      <c r="IC47" s="11"/>
      <c r="ID47" s="6"/>
      <c r="IE47" s="6"/>
      <c r="IF47" s="27"/>
      <c r="IG47" s="9"/>
      <c r="IH47" s="9"/>
      <c r="II47" s="10"/>
      <c r="IJ47" s="11"/>
      <c r="IK47" s="6"/>
      <c r="IL47" s="6"/>
      <c r="IM47" s="45"/>
      <c r="IN47" s="11"/>
      <c r="IO47" s="28"/>
      <c r="IP47" s="28"/>
      <c r="IQ47" s="29"/>
      <c r="IR47" s="27"/>
      <c r="IS47" s="6"/>
      <c r="IT47" s="6"/>
      <c r="IU47" s="27"/>
      <c r="IV47" s="37"/>
      <c r="IW47" s="37"/>
      <c r="IX47" s="10"/>
      <c r="IY47" s="11"/>
      <c r="IZ47" s="26"/>
      <c r="JA47" s="26"/>
      <c r="JB47" s="26"/>
      <c r="JC47" s="37"/>
      <c r="JD47" s="37"/>
      <c r="JE47" s="10"/>
      <c r="JF47" s="11"/>
      <c r="JG47" s="26"/>
      <c r="JH47" s="26"/>
      <c r="JI47" s="26"/>
      <c r="JJ47" s="37"/>
      <c r="JK47" s="37"/>
      <c r="JL47" s="10"/>
      <c r="JM47" s="11"/>
      <c r="JN47" s="26"/>
      <c r="JO47" s="26"/>
      <c r="JP47" s="26"/>
      <c r="JQ47" s="37"/>
      <c r="JR47" s="37"/>
      <c r="JS47" s="10"/>
      <c r="JT47" s="11"/>
      <c r="JU47" s="26"/>
      <c r="JV47" s="26"/>
      <c r="JW47" s="26"/>
      <c r="JX47" s="37"/>
      <c r="JY47" s="37"/>
      <c r="JZ47" s="10"/>
      <c r="KA47" s="11"/>
      <c r="KB47" s="26"/>
      <c r="KC47" s="26"/>
      <c r="KD47" s="26"/>
      <c r="KE47" s="37"/>
      <c r="KF47" s="37"/>
      <c r="KG47" s="10"/>
      <c r="KH47" s="11"/>
      <c r="KI47" s="26"/>
      <c r="KJ47" s="26"/>
      <c r="KL47" s="9"/>
      <c r="KM47" s="9"/>
      <c r="KN47" s="10"/>
      <c r="KO47" s="11"/>
    </row>
    <row r="48" spans="1:301" s="7" customFormat="1" x14ac:dyDescent="0.25">
      <c r="A48" s="14"/>
      <c r="B48" s="5" t="s">
        <v>37</v>
      </c>
      <c r="C48" s="9">
        <v>1875</v>
      </c>
      <c r="D48" s="9">
        <v>1882.1539526700681</v>
      </c>
      <c r="E48" s="10">
        <v>3.9323949985177955</v>
      </c>
      <c r="F48" s="11">
        <v>2.3959999183629385E-2</v>
      </c>
      <c r="G48" s="11"/>
      <c r="H48" s="9">
        <v>2032</v>
      </c>
      <c r="I48" s="9">
        <v>2028.4860757499612</v>
      </c>
      <c r="J48" s="10">
        <v>3.8879723629574441</v>
      </c>
      <c r="K48" s="11">
        <v>2.3165093726854446E-2</v>
      </c>
      <c r="L48" s="26">
        <v>1.3329238038066389</v>
      </c>
      <c r="M48" s="26" t="s">
        <v>57</v>
      </c>
      <c r="N48" s="45">
        <f t="shared" ref="N48:N50" si="48">E48-J48</f>
        <v>4.442263556035142E-2</v>
      </c>
      <c r="O48" s="11"/>
      <c r="P48" s="3">
        <v>631</v>
      </c>
      <c r="Q48" s="3">
        <v>630.61443550000229</v>
      </c>
      <c r="R48" s="10">
        <v>3.8231127540371688</v>
      </c>
      <c r="S48" s="11">
        <v>4.2974815371715991E-2</v>
      </c>
      <c r="T48" s="26">
        <v>2.2210570672076257</v>
      </c>
      <c r="U48" s="26" t="s">
        <v>59</v>
      </c>
      <c r="V48" s="27"/>
      <c r="W48" s="9">
        <v>440</v>
      </c>
      <c r="X48" s="9">
        <v>441.37092156000034</v>
      </c>
      <c r="Y48" s="10">
        <v>3.5780140727175658</v>
      </c>
      <c r="Z48" s="11">
        <v>5.3843779682416125E-2</v>
      </c>
      <c r="AA48" s="26">
        <v>6.0131675591426079</v>
      </c>
      <c r="AB48" s="26" t="s">
        <v>59</v>
      </c>
      <c r="AC48" s="26"/>
      <c r="AD48" s="9">
        <v>606</v>
      </c>
      <c r="AE48" s="9">
        <v>630.59895999000321</v>
      </c>
      <c r="AF48" s="10">
        <v>3.4958679524224991</v>
      </c>
      <c r="AG48" s="11">
        <v>4.4371171506604433E-2</v>
      </c>
      <c r="AH48" s="26">
        <v>8.6566132852329947</v>
      </c>
      <c r="AI48" s="26" t="s">
        <v>59</v>
      </c>
      <c r="AJ48" s="45">
        <f t="shared" ref="AJ48:AJ50" si="49">E48-AF48</f>
        <v>0.43652704609529636</v>
      </c>
      <c r="AK48" s="27"/>
      <c r="AL48" s="28">
        <v>741</v>
      </c>
      <c r="AM48" s="28">
        <v>769.32711997999616</v>
      </c>
      <c r="AN48" s="29">
        <v>3.2917955427150885</v>
      </c>
      <c r="AO48" s="27">
        <v>4.110025778360564E-2</v>
      </c>
      <c r="AP48" s="26">
        <v>13.465245636671392</v>
      </c>
      <c r="AQ48" s="26" t="s">
        <v>59</v>
      </c>
      <c r="AR48" s="27"/>
      <c r="AS48" s="30">
        <v>3379</v>
      </c>
      <c r="AT48" s="31">
        <v>4.0578788558018353</v>
      </c>
      <c r="AU48" s="32">
        <v>1.623261101086123E-2</v>
      </c>
      <c r="AV48" s="26">
        <v>-4.3358566244868975</v>
      </c>
      <c r="AW48" s="26" t="s">
        <v>59</v>
      </c>
      <c r="AX48" s="27"/>
      <c r="AY48" s="33">
        <v>281</v>
      </c>
      <c r="AZ48" s="34">
        <v>4.2805186195713869</v>
      </c>
      <c r="BA48" s="35">
        <v>5.785288388338946E-2</v>
      </c>
      <c r="BB48" s="26">
        <v>-5.5594647555258403</v>
      </c>
      <c r="BC48" s="26" t="s">
        <v>59</v>
      </c>
      <c r="BD48" s="35"/>
      <c r="BE48" s="33">
        <v>399</v>
      </c>
      <c r="BF48" s="34">
        <v>4.1437246599951623</v>
      </c>
      <c r="BG48" s="35">
        <v>4.4263998056251981E-2</v>
      </c>
      <c r="BH48" s="26">
        <v>-4.198653391590689</v>
      </c>
      <c r="BI48" s="26" t="s">
        <v>59</v>
      </c>
      <c r="BJ48" s="35"/>
      <c r="BK48" s="33">
        <v>473</v>
      </c>
      <c r="BL48" s="34">
        <v>4.1623771088161838</v>
      </c>
      <c r="BM48" s="35">
        <v>4.1709209268171961E-2</v>
      </c>
      <c r="BN48" s="26">
        <v>-4.7811988417090934</v>
      </c>
      <c r="BO48" s="26" t="s">
        <v>59</v>
      </c>
      <c r="BP48" s="35"/>
      <c r="BQ48" s="33">
        <v>708</v>
      </c>
      <c r="BR48" s="34">
        <v>4.0083655918987198</v>
      </c>
      <c r="BS48" s="35">
        <v>3.5532194338348151E-2</v>
      </c>
      <c r="BT48" s="26">
        <v>-1.7727033018544411</v>
      </c>
      <c r="BU48" s="26" t="s">
        <v>57</v>
      </c>
      <c r="BV48" s="35"/>
      <c r="BW48" s="33">
        <v>717</v>
      </c>
      <c r="BX48" s="34">
        <v>3.9625515707969674</v>
      </c>
      <c r="BY48" s="35">
        <v>3.8284279847090937E-2</v>
      </c>
      <c r="BZ48" s="26">
        <v>-0.66771576013046841</v>
      </c>
      <c r="CA48" s="26" t="s">
        <v>57</v>
      </c>
      <c r="CB48" s="27"/>
      <c r="CC48" s="9">
        <v>7605</v>
      </c>
      <c r="CD48" s="9">
        <v>7674.4381640792144</v>
      </c>
      <c r="CE48" s="10">
        <v>4.1308696634616027</v>
      </c>
      <c r="CF48" s="11">
        <v>1.1496145220430829E-2</v>
      </c>
      <c r="CG48" s="26">
        <v>-7.4684078231459177</v>
      </c>
      <c r="CH48" s="26" t="s">
        <v>59</v>
      </c>
      <c r="CI48" s="26"/>
      <c r="CJ48" s="9">
        <v>391</v>
      </c>
      <c r="CK48" s="9">
        <v>391</v>
      </c>
      <c r="CL48" s="10">
        <v>3.9846547314577987</v>
      </c>
      <c r="CM48" s="11">
        <v>5.0436349541094432E-2</v>
      </c>
      <c r="CN48" s="26">
        <v>-0.93591328798820272</v>
      </c>
      <c r="CO48" s="26" t="s">
        <v>57</v>
      </c>
      <c r="CP48" s="26"/>
      <c r="CQ48" s="9">
        <v>1804</v>
      </c>
      <c r="CR48" s="9">
        <v>1864.5232725899907</v>
      </c>
      <c r="CS48" s="10">
        <v>3.8975296292040329</v>
      </c>
      <c r="CT48" s="11">
        <v>2.4068971436343348E-2</v>
      </c>
      <c r="CU48" s="26">
        <v>1.0266085363092297</v>
      </c>
      <c r="CV48" s="26" t="s">
        <v>57</v>
      </c>
      <c r="CW48" s="26"/>
      <c r="CX48" s="9">
        <v>2027</v>
      </c>
      <c r="CY48" s="9">
        <v>2026.9985343400381</v>
      </c>
      <c r="CZ48" s="10">
        <v>3.9886553332326429</v>
      </c>
      <c r="DA48" s="11">
        <v>2.2357174044896556E-2</v>
      </c>
      <c r="DB48" s="26">
        <v>-1.716782894291373</v>
      </c>
      <c r="DC48" s="26" t="s">
        <v>57</v>
      </c>
      <c r="DD48" s="26"/>
      <c r="DE48" s="9">
        <v>324</v>
      </c>
      <c r="DF48" s="9">
        <v>325.76240447999982</v>
      </c>
      <c r="DG48" s="10">
        <v>4.9351851851851869</v>
      </c>
      <c r="DH48" s="11">
        <v>1.6783231309357504E-2</v>
      </c>
      <c r="DI48" s="26">
        <v>-34.279500602365722</v>
      </c>
      <c r="DJ48" s="26" t="s">
        <v>59</v>
      </c>
      <c r="DK48" s="26"/>
      <c r="DL48" s="9">
        <v>775</v>
      </c>
      <c r="DM48" s="9">
        <v>775</v>
      </c>
      <c r="DN48" s="10">
        <v>4.832258064516127</v>
      </c>
      <c r="DO48" s="11">
        <v>1.5504279290384311E-2</v>
      </c>
      <c r="DP48" s="26">
        <v>-31.531194051168143</v>
      </c>
      <c r="DQ48" s="26" t="s">
        <v>59</v>
      </c>
      <c r="DR48" s="26"/>
      <c r="DS48" s="9">
        <v>409</v>
      </c>
      <c r="DT48" s="9">
        <v>409</v>
      </c>
      <c r="DU48" s="10">
        <v>4.9828850855745701</v>
      </c>
      <c r="DV48" s="11">
        <v>7.2949031494734156E-3</v>
      </c>
      <c r="DW48" s="26">
        <v>-41.94259466695668</v>
      </c>
      <c r="DX48" s="26" t="s">
        <v>59</v>
      </c>
      <c r="DY48" s="36"/>
      <c r="DZ48" s="9">
        <v>579</v>
      </c>
      <c r="EA48" s="9">
        <v>583.76428547999569</v>
      </c>
      <c r="EB48" s="10">
        <v>3.9207057744686473</v>
      </c>
      <c r="EC48" s="11">
        <v>4.2858822239053129E-2</v>
      </c>
      <c r="ED48" s="11"/>
      <c r="EE48" s="9">
        <v>572</v>
      </c>
      <c r="EF48" s="9">
        <v>570.11521215999755</v>
      </c>
      <c r="EG48" s="10">
        <v>3.8032250891798398</v>
      </c>
      <c r="EH48" s="11">
        <v>4.322132658625337E-2</v>
      </c>
      <c r="EI48" s="6">
        <v>1.9300768818899388</v>
      </c>
      <c r="EJ48" s="6" t="s">
        <v>57</v>
      </c>
      <c r="EK48" s="45">
        <f t="shared" ref="EK48:EK50" si="50">EB48-EG48</f>
        <v>0.11748068528880751</v>
      </c>
      <c r="EL48" s="11"/>
      <c r="EM48" s="9">
        <v>411</v>
      </c>
      <c r="EN48" s="9">
        <v>410.95417514999878</v>
      </c>
      <c r="EO48" s="10">
        <v>3.7643343344190403</v>
      </c>
      <c r="EP48" s="11">
        <v>5.3226531308052084E-2</v>
      </c>
      <c r="EQ48" s="6">
        <v>2.2882405598009581</v>
      </c>
      <c r="ER48" s="6" t="s">
        <v>59</v>
      </c>
      <c r="ES48" s="11"/>
      <c r="ET48" s="9">
        <v>439</v>
      </c>
      <c r="EU48" s="9">
        <v>441.18788157000085</v>
      </c>
      <c r="EV48" s="10">
        <v>3.9377439571724913</v>
      </c>
      <c r="EW48" s="11">
        <v>4.8874140348284224E-2</v>
      </c>
      <c r="EX48" s="6">
        <v>-0.26210851042460259</v>
      </c>
      <c r="EY48" s="6" t="s">
        <v>57</v>
      </c>
      <c r="EZ48" s="11"/>
      <c r="FA48" s="9">
        <v>412</v>
      </c>
      <c r="FB48" s="9">
        <v>420.10535696000227</v>
      </c>
      <c r="FC48" s="10">
        <v>3.8508871240697724</v>
      </c>
      <c r="FD48" s="11">
        <v>4.9385543523129807E-2</v>
      </c>
      <c r="FE48" s="6">
        <v>1.067731910155471</v>
      </c>
      <c r="FF48" s="6" t="s">
        <v>57</v>
      </c>
      <c r="FG48" s="45">
        <f t="shared" ref="FG48:FG50" si="51">EB48-FC48</f>
        <v>6.9818650398874915E-2</v>
      </c>
      <c r="FH48" s="11"/>
      <c r="FI48" s="28">
        <v>467</v>
      </c>
      <c r="FJ48" s="28">
        <v>466.15657151999909</v>
      </c>
      <c r="FK48" s="29">
        <v>3.8965742965227457</v>
      </c>
      <c r="FL48" s="27">
        <v>4.7123607140055486E-2</v>
      </c>
      <c r="FM48" s="6">
        <v>0.37883837206047971</v>
      </c>
      <c r="FN48" s="6" t="s">
        <v>57</v>
      </c>
      <c r="FO48" s="11"/>
      <c r="FP48" s="37">
        <v>2698</v>
      </c>
      <c r="FQ48" s="37">
        <v>2703.6680264899032</v>
      </c>
      <c r="FR48" s="10">
        <v>4.001211180632354</v>
      </c>
      <c r="FS48" s="11">
        <v>1.8710599708916205E-2</v>
      </c>
      <c r="FT48" s="26">
        <v>-1.7214884399981127</v>
      </c>
      <c r="FU48" s="26" t="s">
        <v>57</v>
      </c>
      <c r="FV48" s="26"/>
      <c r="FW48" s="9">
        <v>654</v>
      </c>
      <c r="FX48" s="9">
        <v>653.846318839996</v>
      </c>
      <c r="FY48" s="10">
        <v>3.941945275416793</v>
      </c>
      <c r="FZ48" s="11">
        <v>3.6787560108179622E-2</v>
      </c>
      <c r="GA48" s="26">
        <v>-0.37604094333470833</v>
      </c>
      <c r="GB48" s="26" t="s">
        <v>57</v>
      </c>
      <c r="GC48" s="26"/>
      <c r="GD48" s="37">
        <v>172</v>
      </c>
      <c r="GE48" s="37">
        <v>171.97523255000038</v>
      </c>
      <c r="GF48" s="10">
        <v>4.2675014051027675</v>
      </c>
      <c r="GG48" s="11">
        <v>6.5903596642914244E-2</v>
      </c>
      <c r="GH48" s="26">
        <v>-4.4113718038480236</v>
      </c>
      <c r="GI48" s="26" t="s">
        <v>59</v>
      </c>
      <c r="GJ48" s="26"/>
      <c r="GK48" s="37">
        <v>348</v>
      </c>
      <c r="GL48" s="37">
        <v>349.00163183999911</v>
      </c>
      <c r="GM48" s="10">
        <v>3.898148148068556</v>
      </c>
      <c r="GN48" s="11">
        <v>5.0907463524633816E-2</v>
      </c>
      <c r="GO48" s="26">
        <v>0.33897494662500371</v>
      </c>
      <c r="GP48" s="26" t="s">
        <v>57</v>
      </c>
      <c r="GQ48" s="26"/>
      <c r="GR48" s="37">
        <v>677</v>
      </c>
      <c r="GS48" s="37">
        <v>677.00131116000193</v>
      </c>
      <c r="GT48" s="10">
        <v>3.9999977372569653</v>
      </c>
      <c r="GU48" s="11">
        <v>3.8603290223164326E-2</v>
      </c>
      <c r="GV48" s="26">
        <v>-1.3746645095447307</v>
      </c>
      <c r="GW48" s="26" t="s">
        <v>57</v>
      </c>
      <c r="GX48" s="26"/>
      <c r="GY48" s="37">
        <v>268</v>
      </c>
      <c r="GZ48" s="37">
        <v>268.07924662000056</v>
      </c>
      <c r="HA48" s="10">
        <v>4.2874784760539155</v>
      </c>
      <c r="HB48" s="11">
        <v>5.1122776602619463E-2</v>
      </c>
      <c r="HC48" s="26">
        <v>-5.4978977002910163</v>
      </c>
      <c r="HD48" s="26" t="s">
        <v>59</v>
      </c>
      <c r="HE48" s="15"/>
      <c r="HF48" s="37">
        <v>461</v>
      </c>
      <c r="HG48" s="37">
        <v>460.88899412000137</v>
      </c>
      <c r="HH48" s="10">
        <v>4.0238891823854903</v>
      </c>
      <c r="HI48" s="11">
        <v>4.3471157063335798E-2</v>
      </c>
      <c r="HJ48" s="11"/>
      <c r="HK48" s="37">
        <v>450</v>
      </c>
      <c r="HL48" s="37">
        <v>450.05623170000217</v>
      </c>
      <c r="HM48" s="10">
        <v>3.8331109596098956</v>
      </c>
      <c r="HN48" s="11">
        <v>4.7844585222676247E-2</v>
      </c>
      <c r="HO48" s="6">
        <v>2.9512134679328774</v>
      </c>
      <c r="HP48" s="6" t="s">
        <v>59</v>
      </c>
      <c r="HQ48" s="45">
        <f t="shared" ref="HQ48:HQ50" si="52">HH48-HM48</f>
        <v>0.19077822277559475</v>
      </c>
      <c r="HR48" s="27"/>
      <c r="HS48" s="3">
        <v>322</v>
      </c>
      <c r="HT48" s="3">
        <v>322.00837498999891</v>
      </c>
      <c r="HU48" s="29">
        <v>4.0468931031699729</v>
      </c>
      <c r="HV48" s="27">
        <v>5.2995977496567793E-2</v>
      </c>
      <c r="HW48" s="6">
        <v>-0.33560683112349049</v>
      </c>
      <c r="HX48" s="6" t="s">
        <v>57</v>
      </c>
      <c r="HY48" s="27"/>
      <c r="HZ48" s="9">
        <v>384</v>
      </c>
      <c r="IA48" s="9">
        <v>384.97431366000131</v>
      </c>
      <c r="IB48" s="10">
        <v>3.9947615606588713</v>
      </c>
      <c r="IC48" s="11">
        <v>4.5582457880859802E-2</v>
      </c>
      <c r="ID48" s="6">
        <v>0.46243047882996358</v>
      </c>
      <c r="IE48" s="6" t="s">
        <v>57</v>
      </c>
      <c r="IF48" s="27"/>
      <c r="IG48" s="9">
        <v>693</v>
      </c>
      <c r="IH48" s="9">
        <v>696.97369559000265</v>
      </c>
      <c r="II48" s="10">
        <v>3.8007515678157104</v>
      </c>
      <c r="IJ48" s="11">
        <v>3.6929203128593498E-2</v>
      </c>
      <c r="IK48" s="6">
        <v>3.9119822646388243</v>
      </c>
      <c r="IL48" s="6" t="s">
        <v>59</v>
      </c>
      <c r="IM48" s="45">
        <f t="shared" ref="IM48:IM50" si="53">HH48-II48</f>
        <v>0.22313761456977987</v>
      </c>
      <c r="IN48" s="11"/>
      <c r="IO48" s="28">
        <v>689</v>
      </c>
      <c r="IP48" s="28">
        <v>690.71183892000113</v>
      </c>
      <c r="IQ48" s="29">
        <v>3.8749764920708096</v>
      </c>
      <c r="IR48" s="27">
        <v>3.6076006673412771E-2</v>
      </c>
      <c r="IS48" s="6">
        <v>2.6360482423160372</v>
      </c>
      <c r="IT48" s="6" t="s">
        <v>59</v>
      </c>
      <c r="IU48" s="27"/>
      <c r="IV48" s="37">
        <v>2765</v>
      </c>
      <c r="IW48" s="37">
        <v>2769.7571350399248</v>
      </c>
      <c r="IX48" s="10">
        <v>4.0898533792806502</v>
      </c>
      <c r="IY48" s="11">
        <v>1.768362602286877E-2</v>
      </c>
      <c r="IZ48" s="26">
        <v>-1.4055782907254222</v>
      </c>
      <c r="JA48" s="26" t="s">
        <v>57</v>
      </c>
      <c r="JB48" s="26"/>
      <c r="JC48" s="37">
        <v>654</v>
      </c>
      <c r="JD48" s="37">
        <v>653.846318839996</v>
      </c>
      <c r="JE48" s="10">
        <v>3.941945275416793</v>
      </c>
      <c r="JF48" s="11">
        <v>3.6787560108179622E-2</v>
      </c>
      <c r="JG48" s="26">
        <v>1.4389270208463112</v>
      </c>
      <c r="JH48" s="26" t="s">
        <v>57</v>
      </c>
      <c r="JI48" s="26"/>
      <c r="JJ48" s="37">
        <v>278</v>
      </c>
      <c r="JK48" s="37">
        <v>278</v>
      </c>
      <c r="JL48" s="10">
        <v>4.2661870503597088</v>
      </c>
      <c r="JM48" s="11">
        <v>5.1001216121113739E-2</v>
      </c>
      <c r="JN48" s="26">
        <v>-3.6156348729718313</v>
      </c>
      <c r="JO48" s="26" t="s">
        <v>59</v>
      </c>
      <c r="JP48" s="26"/>
      <c r="JQ48" s="37">
        <v>615</v>
      </c>
      <c r="JR48" s="37">
        <v>621.44878707000555</v>
      </c>
      <c r="JS48" s="10">
        <v>4.2264175069411642</v>
      </c>
      <c r="JT48" s="11">
        <v>3.7732262893679376E-2</v>
      </c>
      <c r="JU48" s="26">
        <v>-3.5183947643258477</v>
      </c>
      <c r="JV48" s="26" t="s">
        <v>59</v>
      </c>
      <c r="JW48" s="26"/>
      <c r="JX48" s="37">
        <v>172</v>
      </c>
      <c r="JY48" s="37">
        <v>171.97523255000038</v>
      </c>
      <c r="JZ48" s="10">
        <v>4.2675014051027675</v>
      </c>
      <c r="KA48" s="11">
        <v>6.5903596642914244E-2</v>
      </c>
      <c r="KB48" s="26">
        <v>-3.0856710137327164</v>
      </c>
      <c r="KC48" s="26" t="s">
        <v>59</v>
      </c>
      <c r="KD48" s="26"/>
      <c r="KE48" s="37">
        <v>585</v>
      </c>
      <c r="KF48" s="37">
        <v>583.59780246000003</v>
      </c>
      <c r="KG48" s="10">
        <v>4.0258913649371326</v>
      </c>
      <c r="KH48" s="11">
        <v>3.8292825234085531E-2</v>
      </c>
      <c r="KI48" s="26">
        <v>-3.4561086987317503E-2</v>
      </c>
      <c r="KJ48" s="26" t="s">
        <v>57</v>
      </c>
      <c r="KL48" s="9"/>
      <c r="KM48" s="9"/>
      <c r="KN48" s="10"/>
      <c r="KO48" s="11"/>
    </row>
    <row r="49" spans="2:301" s="7" customFormat="1" x14ac:dyDescent="0.25">
      <c r="B49" s="5" t="s">
        <v>38</v>
      </c>
      <c r="C49" s="9">
        <v>1626</v>
      </c>
      <c r="D49" s="9">
        <v>1632.2256337500467</v>
      </c>
      <c r="E49" s="10">
        <v>3.780091932452164</v>
      </c>
      <c r="F49" s="11">
        <v>2.7002784323640686E-2</v>
      </c>
      <c r="G49" s="11"/>
      <c r="H49" s="9">
        <v>1777</v>
      </c>
      <c r="I49" s="9">
        <v>1773.5145645199661</v>
      </c>
      <c r="J49" s="10">
        <v>3.7127699576925277</v>
      </c>
      <c r="K49" s="11">
        <v>2.6181605482564926E-2</v>
      </c>
      <c r="L49" s="26">
        <v>1.7899294013035167</v>
      </c>
      <c r="M49" s="26" t="s">
        <v>57</v>
      </c>
      <c r="N49" s="45">
        <f t="shared" si="48"/>
        <v>6.7321974759636305E-2</v>
      </c>
      <c r="O49" s="11"/>
      <c r="P49" s="3">
        <v>554</v>
      </c>
      <c r="Q49" s="3">
        <v>553.68028141999912</v>
      </c>
      <c r="R49" s="10">
        <v>3.689582008376374</v>
      </c>
      <c r="S49" s="11">
        <v>4.7781968892603319E-2</v>
      </c>
      <c r="T49" s="26">
        <v>1.6491094291840185</v>
      </c>
      <c r="U49" s="26" t="s">
        <v>57</v>
      </c>
      <c r="V49" s="27"/>
      <c r="W49" s="9">
        <v>411</v>
      </c>
      <c r="X49" s="9">
        <v>413.6651599499998</v>
      </c>
      <c r="Y49" s="10">
        <v>3.5179634382936626</v>
      </c>
      <c r="Z49" s="11">
        <v>5.0161708554501937E-2</v>
      </c>
      <c r="AA49" s="26">
        <v>4.6013327244194384</v>
      </c>
      <c r="AB49" s="26" t="s">
        <v>59</v>
      </c>
      <c r="AC49" s="26"/>
      <c r="AD49" s="9">
        <v>488</v>
      </c>
      <c r="AE49" s="9">
        <v>509.33258124999838</v>
      </c>
      <c r="AF49" s="10">
        <v>3.5833835803136136</v>
      </c>
      <c r="AG49" s="11">
        <v>4.5094106315953453E-2</v>
      </c>
      <c r="AH49" s="26">
        <v>3.7424976291050553</v>
      </c>
      <c r="AI49" s="26" t="s">
        <v>59</v>
      </c>
      <c r="AJ49" s="45">
        <f t="shared" si="49"/>
        <v>0.19670835213855042</v>
      </c>
      <c r="AK49" s="27"/>
      <c r="AL49" s="28">
        <v>592</v>
      </c>
      <c r="AM49" s="28">
        <v>605.69156279999402</v>
      </c>
      <c r="AN49" s="29">
        <v>3.3968930739082754</v>
      </c>
      <c r="AO49" s="27">
        <v>4.5137755875864168E-2</v>
      </c>
      <c r="AP49" s="26">
        <v>7.2854030263185976</v>
      </c>
      <c r="AQ49" s="26" t="s">
        <v>59</v>
      </c>
      <c r="AR49" s="27"/>
      <c r="AS49" s="30">
        <v>3185</v>
      </c>
      <c r="AT49" s="31">
        <v>3.8173564173516805</v>
      </c>
      <c r="AU49" s="32">
        <v>1.8665796260655412E-2</v>
      </c>
      <c r="AV49" s="26">
        <v>-1.1352040343294629</v>
      </c>
      <c r="AW49" s="26" t="s">
        <v>57</v>
      </c>
      <c r="AX49" s="27"/>
      <c r="AY49" s="33">
        <v>278</v>
      </c>
      <c r="AZ49" s="34">
        <v>4.1427452624790657</v>
      </c>
      <c r="BA49" s="35">
        <v>6.3157234782248758E-2</v>
      </c>
      <c r="BB49" s="26">
        <v>-5.2797494677643595</v>
      </c>
      <c r="BC49" s="26" t="s">
        <v>59</v>
      </c>
      <c r="BD49" s="35"/>
      <c r="BE49" s="33">
        <v>392</v>
      </c>
      <c r="BF49" s="34">
        <v>3.6999102338387106</v>
      </c>
      <c r="BG49" s="35">
        <v>5.6958708885663061E-2</v>
      </c>
      <c r="BH49" s="26">
        <v>1.272013310900254</v>
      </c>
      <c r="BI49" s="26" t="s">
        <v>57</v>
      </c>
      <c r="BJ49" s="35"/>
      <c r="BK49" s="33">
        <v>426</v>
      </c>
      <c r="BL49" s="34">
        <v>3.9266657509957521</v>
      </c>
      <c r="BM49" s="35">
        <v>5.0004089030817517E-2</v>
      </c>
      <c r="BN49" s="26">
        <v>-2.5791985256323855</v>
      </c>
      <c r="BO49" s="26" t="s">
        <v>59</v>
      </c>
      <c r="BP49" s="35"/>
      <c r="BQ49" s="33">
        <v>669</v>
      </c>
      <c r="BR49" s="34">
        <v>3.8714080008945237</v>
      </c>
      <c r="BS49" s="35">
        <v>3.7572942572767103E-2</v>
      </c>
      <c r="BT49" s="26">
        <v>-1.9735648887922594</v>
      </c>
      <c r="BU49" s="26" t="s">
        <v>59</v>
      </c>
      <c r="BV49" s="35"/>
      <c r="BW49" s="33">
        <v>669</v>
      </c>
      <c r="BX49" s="34">
        <v>3.723605423755652</v>
      </c>
      <c r="BY49" s="35">
        <v>4.111549242300476E-2</v>
      </c>
      <c r="BZ49" s="26">
        <v>1.1483383969010641</v>
      </c>
      <c r="CA49" s="26" t="s">
        <v>57</v>
      </c>
      <c r="CB49" s="27"/>
      <c r="CC49" s="9">
        <v>6500</v>
      </c>
      <c r="CD49" s="9">
        <v>6569.6876232394852</v>
      </c>
      <c r="CE49" s="10">
        <v>4.0083297259973936</v>
      </c>
      <c r="CF49" s="11">
        <v>1.330860843289389E-2</v>
      </c>
      <c r="CG49" s="26">
        <v>-7.5815656036377712</v>
      </c>
      <c r="CH49" s="26" t="s">
        <v>59</v>
      </c>
      <c r="CI49" s="26"/>
      <c r="CJ49" s="9">
        <v>270</v>
      </c>
      <c r="CK49" s="9">
        <v>270</v>
      </c>
      <c r="CL49" s="10">
        <v>3.5851851851851855</v>
      </c>
      <c r="CM49" s="11">
        <v>7.0358412572727291E-2</v>
      </c>
      <c r="CN49" s="26">
        <v>2.5862677354540566</v>
      </c>
      <c r="CO49" s="26" t="s">
        <v>59</v>
      </c>
      <c r="CP49" s="26"/>
      <c r="CQ49" s="9">
        <v>1626</v>
      </c>
      <c r="CR49" s="9">
        <v>1687.8240237699927</v>
      </c>
      <c r="CS49" s="10">
        <v>3.6938866275786522</v>
      </c>
      <c r="CT49" s="11">
        <v>2.6577050285467873E-2</v>
      </c>
      <c r="CU49" s="26">
        <v>2.2752750891976086</v>
      </c>
      <c r="CV49" s="26" t="s">
        <v>59</v>
      </c>
      <c r="CW49" s="26"/>
      <c r="CX49" s="9">
        <v>1482</v>
      </c>
      <c r="CY49" s="9">
        <v>1481.9843516400047</v>
      </c>
      <c r="CZ49" s="10">
        <v>3.8286128889290074</v>
      </c>
      <c r="DA49" s="11">
        <v>2.7438753984472788E-2</v>
      </c>
      <c r="DB49" s="26">
        <v>-1.2603757485013001</v>
      </c>
      <c r="DC49" s="26" t="s">
        <v>57</v>
      </c>
      <c r="DD49" s="26"/>
      <c r="DE49" s="9">
        <v>304</v>
      </c>
      <c r="DF49" s="9">
        <v>305.65361408000018</v>
      </c>
      <c r="DG49" s="10">
        <v>4.7993421052631549</v>
      </c>
      <c r="DH49" s="11">
        <v>2.8411509288860184E-2</v>
      </c>
      <c r="DI49" s="26">
        <v>-26.003613439996521</v>
      </c>
      <c r="DJ49" s="26" t="s">
        <v>59</v>
      </c>
      <c r="DK49" s="26"/>
      <c r="DL49" s="9">
        <v>788</v>
      </c>
      <c r="DM49" s="9">
        <v>788</v>
      </c>
      <c r="DN49" s="10">
        <v>4.8337563451776644</v>
      </c>
      <c r="DO49" s="11">
        <v>1.476635594838149E-2</v>
      </c>
      <c r="DP49" s="26">
        <v>-34.235956778263365</v>
      </c>
      <c r="DQ49" s="26" t="s">
        <v>59</v>
      </c>
      <c r="DR49" s="26"/>
      <c r="DS49" s="9">
        <v>404</v>
      </c>
      <c r="DT49" s="9">
        <v>404</v>
      </c>
      <c r="DU49" s="10">
        <v>4.9777227722772253</v>
      </c>
      <c r="DV49" s="11">
        <v>8.8665237294045639E-3</v>
      </c>
      <c r="DW49" s="26">
        <v>-42.138618437359945</v>
      </c>
      <c r="DX49" s="26" t="s">
        <v>59</v>
      </c>
      <c r="DY49" s="36"/>
      <c r="DZ49" s="9">
        <v>509</v>
      </c>
      <c r="EA49" s="9">
        <v>512.0570117799964</v>
      </c>
      <c r="EB49" s="10">
        <v>3.7016320306231054</v>
      </c>
      <c r="EC49" s="11">
        <v>4.6564597287973963E-2</v>
      </c>
      <c r="ED49" s="11"/>
      <c r="EE49" s="9">
        <v>488</v>
      </c>
      <c r="EF49" s="9">
        <v>486.97053855999928</v>
      </c>
      <c r="EG49" s="10">
        <v>3.4764125810280708</v>
      </c>
      <c r="EH49" s="11">
        <v>5.3586038572955165E-2</v>
      </c>
      <c r="EI49" s="6">
        <v>3.1725060750467717</v>
      </c>
      <c r="EJ49" s="6" t="s">
        <v>59</v>
      </c>
      <c r="EK49" s="45">
        <f t="shared" si="50"/>
        <v>0.22521944959503459</v>
      </c>
      <c r="EL49" s="11"/>
      <c r="EM49" s="9">
        <v>330</v>
      </c>
      <c r="EN49" s="9">
        <v>329.90600189000003</v>
      </c>
      <c r="EO49" s="10">
        <v>3.530218130248882</v>
      </c>
      <c r="EP49" s="11">
        <v>5.9686671444072963E-2</v>
      </c>
      <c r="EQ49" s="6">
        <v>2.2643309815834618</v>
      </c>
      <c r="ER49" s="6" t="s">
        <v>59</v>
      </c>
      <c r="ES49" s="11"/>
      <c r="ET49" s="9">
        <v>360</v>
      </c>
      <c r="EU49" s="9">
        <v>361.11864559000082</v>
      </c>
      <c r="EV49" s="10">
        <v>3.6324179693265997</v>
      </c>
      <c r="EW49" s="11">
        <v>6.2543609414175499E-2</v>
      </c>
      <c r="EX49" s="6">
        <v>0.88765417646781608</v>
      </c>
      <c r="EY49" s="6" t="s">
        <v>57</v>
      </c>
      <c r="EZ49" s="11"/>
      <c r="FA49" s="9">
        <v>351</v>
      </c>
      <c r="FB49" s="9">
        <v>355.59881112000176</v>
      </c>
      <c r="FC49" s="10">
        <v>3.5931900009891131</v>
      </c>
      <c r="FD49" s="11">
        <v>6.0215286771101321E-2</v>
      </c>
      <c r="FE49" s="6">
        <v>1.4246331706657533</v>
      </c>
      <c r="FF49" s="6" t="s">
        <v>57</v>
      </c>
      <c r="FG49" s="45">
        <f t="shared" si="51"/>
        <v>0.1084420296339923</v>
      </c>
      <c r="FH49" s="11"/>
      <c r="FI49" s="28">
        <v>413</v>
      </c>
      <c r="FJ49" s="28">
        <v>412.50228582999995</v>
      </c>
      <c r="FK49" s="29">
        <v>3.654173344899255</v>
      </c>
      <c r="FL49" s="27">
        <v>5.3739259452634164E-2</v>
      </c>
      <c r="FM49" s="6">
        <v>0.66742871126058412</v>
      </c>
      <c r="FN49" s="6" t="s">
        <v>57</v>
      </c>
      <c r="FO49" s="11"/>
      <c r="FP49" s="37">
        <v>2459</v>
      </c>
      <c r="FQ49" s="37">
        <v>2462.0662209299221</v>
      </c>
      <c r="FR49" s="10">
        <v>3.7290316734827758</v>
      </c>
      <c r="FS49" s="11">
        <v>2.1001795193716356E-2</v>
      </c>
      <c r="FT49" s="26">
        <v>-0.5363889291763595</v>
      </c>
      <c r="FU49" s="26" t="s">
        <v>57</v>
      </c>
      <c r="FV49" s="26"/>
      <c r="FW49" s="9">
        <v>644</v>
      </c>
      <c r="FX49" s="9">
        <v>643.90942823999649</v>
      </c>
      <c r="FY49" s="10">
        <v>3.6412037309478738</v>
      </c>
      <c r="FZ49" s="11">
        <v>4.1004868677640506E-2</v>
      </c>
      <c r="GA49" s="26">
        <v>0.97393311345731892</v>
      </c>
      <c r="GB49" s="26" t="s">
        <v>57</v>
      </c>
      <c r="GC49" s="26"/>
      <c r="GD49" s="37">
        <v>162</v>
      </c>
      <c r="GE49" s="37">
        <v>161.93895860000032</v>
      </c>
      <c r="GF49" s="10">
        <v>4.0615777431583409</v>
      </c>
      <c r="GG49" s="11">
        <v>6.9917259870077408E-2</v>
      </c>
      <c r="GH49" s="26">
        <v>-4.2848600389320097</v>
      </c>
      <c r="GI49" s="26" t="s">
        <v>59</v>
      </c>
      <c r="GJ49" s="26"/>
      <c r="GK49" s="37">
        <v>280</v>
      </c>
      <c r="GL49" s="37">
        <v>280.17557760999944</v>
      </c>
      <c r="GM49" s="10">
        <v>3.5309003269622981</v>
      </c>
      <c r="GN49" s="11">
        <v>6.249909698356429E-2</v>
      </c>
      <c r="GO49" s="26">
        <v>2.1905971679619536</v>
      </c>
      <c r="GP49" s="26" t="s">
        <v>59</v>
      </c>
      <c r="GQ49" s="26"/>
      <c r="GR49" s="37">
        <v>655</v>
      </c>
      <c r="GS49" s="37">
        <v>655.0000796400011</v>
      </c>
      <c r="GT49" s="10">
        <v>3.7847329193036181</v>
      </c>
      <c r="GU49" s="11">
        <v>3.9861267683777013E-2</v>
      </c>
      <c r="GV49" s="26">
        <v>-1.3557341306216435</v>
      </c>
      <c r="GW49" s="26" t="s">
        <v>57</v>
      </c>
      <c r="GX49" s="26"/>
      <c r="GY49" s="37">
        <v>209</v>
      </c>
      <c r="GZ49" s="37">
        <v>208.98516506000075</v>
      </c>
      <c r="HA49" s="10">
        <v>3.9001371167469796</v>
      </c>
      <c r="HB49" s="11">
        <v>7.6316068067300818E-2</v>
      </c>
      <c r="HC49" s="26">
        <v>-2.2204087263923977</v>
      </c>
      <c r="HD49" s="26" t="s">
        <v>59</v>
      </c>
      <c r="HE49" s="15"/>
      <c r="HF49" s="37">
        <v>402</v>
      </c>
      <c r="HG49" s="37">
        <v>402.00610728000072</v>
      </c>
      <c r="HH49" s="10">
        <v>3.7836281995103738</v>
      </c>
      <c r="HI49" s="11">
        <v>5.3882937330552341E-2</v>
      </c>
      <c r="HJ49" s="11"/>
      <c r="HK49" s="37">
        <v>387</v>
      </c>
      <c r="HL49" s="37">
        <v>386.96900958000191</v>
      </c>
      <c r="HM49" s="10">
        <v>3.6121388886854233</v>
      </c>
      <c r="HN49" s="11">
        <v>5.7745052793851281E-2</v>
      </c>
      <c r="HO49" s="6">
        <v>2.1712966969321896</v>
      </c>
      <c r="HP49" s="6" t="s">
        <v>59</v>
      </c>
      <c r="HQ49" s="45">
        <f t="shared" si="52"/>
        <v>0.17148931082495045</v>
      </c>
      <c r="HR49" s="27"/>
      <c r="HS49" s="3">
        <v>264</v>
      </c>
      <c r="HT49" s="3">
        <v>264.04333303000016</v>
      </c>
      <c r="HU49" s="29">
        <v>3.796088346703749</v>
      </c>
      <c r="HV49" s="27">
        <v>6.714044221038537E-2</v>
      </c>
      <c r="HW49" s="6">
        <v>-0.14473668301674797</v>
      </c>
      <c r="HX49" s="6" t="s">
        <v>57</v>
      </c>
      <c r="HY49" s="27"/>
      <c r="HZ49" s="9">
        <v>322</v>
      </c>
      <c r="IA49" s="9">
        <v>323.42796255000019</v>
      </c>
      <c r="IB49" s="10">
        <v>3.7673389986236372</v>
      </c>
      <c r="IC49" s="11">
        <v>5.9444227288749145E-2</v>
      </c>
      <c r="ID49" s="6">
        <v>0.20302917977720944</v>
      </c>
      <c r="IE49" s="6" t="s">
        <v>57</v>
      </c>
      <c r="IF49" s="27"/>
      <c r="IG49" s="9">
        <v>641</v>
      </c>
      <c r="IH49" s="9">
        <v>642.25528729000257</v>
      </c>
      <c r="II49" s="10">
        <v>3.6492706301251672</v>
      </c>
      <c r="IJ49" s="11">
        <v>4.2773389072045344E-2</v>
      </c>
      <c r="IK49" s="6">
        <v>1.9529760883989675</v>
      </c>
      <c r="IL49" s="6" t="s">
        <v>59</v>
      </c>
      <c r="IM49" s="45">
        <f t="shared" si="53"/>
        <v>0.1343575693852066</v>
      </c>
      <c r="IN49" s="11"/>
      <c r="IO49" s="28">
        <v>560</v>
      </c>
      <c r="IP49" s="28">
        <v>562.98921270000028</v>
      </c>
      <c r="IQ49" s="29">
        <v>3.4971765175173135</v>
      </c>
      <c r="IR49" s="27">
        <v>4.8349897667008673E-2</v>
      </c>
      <c r="IS49" s="6">
        <v>3.9567702676818266</v>
      </c>
      <c r="IT49" s="6" t="s">
        <v>59</v>
      </c>
      <c r="IU49" s="27"/>
      <c r="IV49" s="37">
        <v>2530</v>
      </c>
      <c r="IW49" s="37">
        <v>2537.3703448199585</v>
      </c>
      <c r="IX49" s="10">
        <v>3.7666147113175907</v>
      </c>
      <c r="IY49" s="11">
        <v>2.1796004377468609E-2</v>
      </c>
      <c r="IZ49" s="26">
        <v>0.29270859036232405</v>
      </c>
      <c r="JA49" s="26" t="s">
        <v>57</v>
      </c>
      <c r="JB49" s="26"/>
      <c r="JC49" s="37">
        <v>644</v>
      </c>
      <c r="JD49" s="37">
        <v>643.90942823999649</v>
      </c>
      <c r="JE49" s="10">
        <v>3.6412037309478738</v>
      </c>
      <c r="JF49" s="11">
        <v>4.1004868677640506E-2</v>
      </c>
      <c r="JG49" s="26">
        <v>2.1034191414219219</v>
      </c>
      <c r="JH49" s="26" t="s">
        <v>59</v>
      </c>
      <c r="JI49" s="26"/>
      <c r="JJ49" s="37">
        <v>257</v>
      </c>
      <c r="JK49" s="37">
        <v>257</v>
      </c>
      <c r="JL49" s="10">
        <v>3.7821011673151754</v>
      </c>
      <c r="JM49" s="11">
        <v>7.1015004452536293E-2</v>
      </c>
      <c r="JN49" s="26">
        <v>1.713011193197074E-2</v>
      </c>
      <c r="JO49" s="26" t="s">
        <v>57</v>
      </c>
      <c r="JP49" s="26"/>
      <c r="JQ49" s="37">
        <v>539</v>
      </c>
      <c r="JR49" s="37">
        <v>547.53131636000467</v>
      </c>
      <c r="JS49" s="10">
        <v>3.9678569546724711</v>
      </c>
      <c r="JT49" s="11">
        <v>4.4252540581714635E-2</v>
      </c>
      <c r="JU49" s="26">
        <v>-2.6421970458142101</v>
      </c>
      <c r="JV49" s="26" t="s">
        <v>59</v>
      </c>
      <c r="JW49" s="26"/>
      <c r="JX49" s="37">
        <v>162</v>
      </c>
      <c r="JY49" s="37">
        <v>161.93895860000032</v>
      </c>
      <c r="JZ49" s="10">
        <v>4.0615777431583409</v>
      </c>
      <c r="KA49" s="11">
        <v>6.9917259870077408E-2</v>
      </c>
      <c r="KB49" s="26">
        <v>-3.1488156099177016</v>
      </c>
      <c r="KC49" s="26" t="s">
        <v>59</v>
      </c>
      <c r="KD49" s="26"/>
      <c r="KE49" s="37">
        <v>526</v>
      </c>
      <c r="KF49" s="37">
        <v>524.98453434000191</v>
      </c>
      <c r="KG49" s="10">
        <v>3.5989551641465227</v>
      </c>
      <c r="KH49" s="11">
        <v>5.3479453684766136E-2</v>
      </c>
      <c r="KI49" s="26">
        <v>2.4325582212448604</v>
      </c>
      <c r="KJ49" s="26" t="s">
        <v>59</v>
      </c>
      <c r="KL49" s="9"/>
      <c r="KM49" s="9"/>
      <c r="KN49" s="10"/>
      <c r="KO49" s="11"/>
    </row>
    <row r="50" spans="2:301" s="7" customFormat="1" x14ac:dyDescent="0.25">
      <c r="B50" s="5" t="s">
        <v>39</v>
      </c>
      <c r="C50" s="9">
        <v>1544</v>
      </c>
      <c r="D50" s="9">
        <v>1556.0695801700399</v>
      </c>
      <c r="E50" s="10">
        <v>3.8103985284399924</v>
      </c>
      <c r="F50" s="11">
        <v>2.684173609522883E-2</v>
      </c>
      <c r="G50" s="11"/>
      <c r="H50" s="9">
        <v>1666</v>
      </c>
      <c r="I50" s="9">
        <v>1659.1815487099716</v>
      </c>
      <c r="J50" s="10">
        <v>3.7970455725343579</v>
      </c>
      <c r="K50" s="11">
        <v>2.6139148404632506E-2</v>
      </c>
      <c r="L50" s="26">
        <v>0.35639780818107791</v>
      </c>
      <c r="M50" s="26" t="s">
        <v>57</v>
      </c>
      <c r="N50" s="45">
        <f t="shared" si="48"/>
        <v>1.3352955905634456E-2</v>
      </c>
      <c r="O50" s="11"/>
      <c r="P50" s="3">
        <v>515</v>
      </c>
      <c r="Q50" s="3">
        <v>514.46257519999756</v>
      </c>
      <c r="R50" s="10">
        <v>3.724780922723181</v>
      </c>
      <c r="S50" s="11">
        <v>4.8298961057573198E-2</v>
      </c>
      <c r="T50" s="26">
        <v>1.5494607686230277</v>
      </c>
      <c r="U50" s="26" t="s">
        <v>57</v>
      </c>
      <c r="V50" s="27"/>
      <c r="W50" s="9">
        <v>373</v>
      </c>
      <c r="X50" s="9">
        <v>376.01116988999945</v>
      </c>
      <c r="Y50" s="10">
        <v>3.4842637014301148</v>
      </c>
      <c r="Z50" s="11">
        <v>5.6367904294973917E-2</v>
      </c>
      <c r="AA50" s="26">
        <v>5.2237973435626079</v>
      </c>
      <c r="AB50" s="26" t="s">
        <v>59</v>
      </c>
      <c r="AC50" s="26"/>
      <c r="AD50" s="9">
        <v>518</v>
      </c>
      <c r="AE50" s="9">
        <v>547.33155443999919</v>
      </c>
      <c r="AF50" s="10">
        <v>3.5194036231857027</v>
      </c>
      <c r="AG50" s="11">
        <v>4.1992794017464682E-2</v>
      </c>
      <c r="AH50" s="26">
        <v>5.8387602720748504</v>
      </c>
      <c r="AI50" s="26" t="s">
        <v>59</v>
      </c>
      <c r="AJ50" s="45">
        <f t="shared" si="49"/>
        <v>0.29099490525428973</v>
      </c>
      <c r="AK50" s="27"/>
      <c r="AL50" s="28">
        <v>663</v>
      </c>
      <c r="AM50" s="28">
        <v>694.21103313999561</v>
      </c>
      <c r="AN50" s="29">
        <v>3.3088737023526336</v>
      </c>
      <c r="AO50" s="27">
        <v>3.9197276040995717E-2</v>
      </c>
      <c r="AP50" s="26">
        <v>10.556884571271562</v>
      </c>
      <c r="AQ50" s="26" t="s">
        <v>59</v>
      </c>
      <c r="AR50" s="27"/>
      <c r="AS50" s="30">
        <v>2542</v>
      </c>
      <c r="AT50" s="31">
        <v>3.9233163378982288</v>
      </c>
      <c r="AU50" s="32">
        <v>1.9999888360558545E-2</v>
      </c>
      <c r="AV50" s="26">
        <v>-3.3733506611817288</v>
      </c>
      <c r="AW50" s="26" t="s">
        <v>59</v>
      </c>
      <c r="AX50" s="27"/>
      <c r="AY50" s="33">
        <v>220</v>
      </c>
      <c r="AZ50" s="34">
        <v>4.234380560826243</v>
      </c>
      <c r="BA50" s="35">
        <v>7.3891910136303557E-2</v>
      </c>
      <c r="BB50" s="26">
        <v>-5.3930678798915546</v>
      </c>
      <c r="BC50" s="26" t="s">
        <v>59</v>
      </c>
      <c r="BD50" s="35"/>
      <c r="BE50" s="33">
        <v>180</v>
      </c>
      <c r="BF50" s="34">
        <v>3.9106823918538103</v>
      </c>
      <c r="BG50" s="35">
        <v>7.8254527129181212E-2</v>
      </c>
      <c r="BH50" s="26">
        <v>-1.2121828361047386</v>
      </c>
      <c r="BI50" s="26" t="s">
        <v>57</v>
      </c>
      <c r="BJ50" s="35"/>
      <c r="BK50" s="33">
        <v>316</v>
      </c>
      <c r="BL50" s="34">
        <v>4.0016308072243865</v>
      </c>
      <c r="BM50" s="35">
        <v>5.7092765654268046E-2</v>
      </c>
      <c r="BN50" s="26">
        <v>-3.0312115290536954</v>
      </c>
      <c r="BO50" s="26" t="s">
        <v>59</v>
      </c>
      <c r="BP50" s="35"/>
      <c r="BQ50" s="33">
        <v>430</v>
      </c>
      <c r="BR50" s="34">
        <v>3.8790237359506152</v>
      </c>
      <c r="BS50" s="35">
        <v>4.6657809363709682E-2</v>
      </c>
      <c r="BT50" s="26">
        <v>-1.2749031571414522</v>
      </c>
      <c r="BU50" s="26" t="s">
        <v>57</v>
      </c>
      <c r="BV50" s="35"/>
      <c r="BW50" s="33">
        <v>503</v>
      </c>
      <c r="BX50" s="34">
        <v>3.7167770805364726</v>
      </c>
      <c r="BY50" s="35">
        <v>4.7010679372679248E-2</v>
      </c>
      <c r="BZ50" s="26">
        <v>1.7294410659417121</v>
      </c>
      <c r="CA50" s="26" t="s">
        <v>57</v>
      </c>
      <c r="CB50" s="27"/>
      <c r="CC50" s="9">
        <v>6253</v>
      </c>
      <c r="CD50" s="9">
        <v>6347.9278959596004</v>
      </c>
      <c r="CE50" s="10">
        <v>4.0885208637432324</v>
      </c>
      <c r="CF50" s="11">
        <v>1.2823047895445144E-2</v>
      </c>
      <c r="CG50" s="26">
        <v>-9.3494588491331019</v>
      </c>
      <c r="CH50" s="26" t="s">
        <v>59</v>
      </c>
      <c r="CI50" s="26"/>
      <c r="CJ50" s="9">
        <v>284</v>
      </c>
      <c r="CK50" s="9">
        <v>284</v>
      </c>
      <c r="CL50" s="10">
        <v>3.9542253521126765</v>
      </c>
      <c r="CM50" s="11">
        <v>5.2367068647977362E-2</v>
      </c>
      <c r="CN50" s="26">
        <v>-2.4441445954133063</v>
      </c>
      <c r="CO50" s="26" t="s">
        <v>59</v>
      </c>
      <c r="CP50" s="26"/>
      <c r="CQ50" s="9">
        <v>1385</v>
      </c>
      <c r="CR50" s="9">
        <v>1466.2241719399985</v>
      </c>
      <c r="CS50" s="10">
        <v>3.7363614966949141</v>
      </c>
      <c r="CT50" s="11">
        <v>2.8326812628933801E-2</v>
      </c>
      <c r="CU50" s="26">
        <v>1.8972088571722434</v>
      </c>
      <c r="CV50" s="26" t="s">
        <v>57</v>
      </c>
      <c r="CW50" s="26"/>
      <c r="CX50" s="9">
        <v>1563</v>
      </c>
      <c r="CY50" s="9">
        <v>1562.9914088100093</v>
      </c>
      <c r="CZ50" s="10">
        <v>3.9494546820061238</v>
      </c>
      <c r="DA50" s="11">
        <v>2.4395666220617222E-2</v>
      </c>
      <c r="DB50" s="26">
        <v>-3.8337498267453056</v>
      </c>
      <c r="DC50" s="26" t="s">
        <v>59</v>
      </c>
      <c r="DD50" s="26"/>
      <c r="DE50" s="9">
        <v>302</v>
      </c>
      <c r="DF50" s="9">
        <v>303.64273504000022</v>
      </c>
      <c r="DG50" s="10">
        <v>4.9205298013245056</v>
      </c>
      <c r="DH50" s="11">
        <v>1.6896277717296213E-2</v>
      </c>
      <c r="DI50" s="26">
        <v>-35.001232220970053</v>
      </c>
      <c r="DJ50" s="26" t="s">
        <v>59</v>
      </c>
      <c r="DK50" s="26"/>
      <c r="DL50" s="9">
        <v>777</v>
      </c>
      <c r="DM50" s="9">
        <v>777</v>
      </c>
      <c r="DN50" s="10">
        <v>4.8545688545688535</v>
      </c>
      <c r="DO50" s="11">
        <v>1.4488306962296279E-2</v>
      </c>
      <c r="DP50" s="26">
        <v>-34.232519839357309</v>
      </c>
      <c r="DQ50" s="26" t="s">
        <v>59</v>
      </c>
      <c r="DR50" s="26"/>
      <c r="DS50" s="9">
        <v>398</v>
      </c>
      <c r="DT50" s="9">
        <v>398</v>
      </c>
      <c r="DU50" s="10">
        <v>4.984924623115579</v>
      </c>
      <c r="DV50" s="11">
        <v>7.0752051397226096E-3</v>
      </c>
      <c r="DW50" s="26">
        <v>-42.312221719885095</v>
      </c>
      <c r="DX50" s="26" t="s">
        <v>59</v>
      </c>
      <c r="DY50" s="36"/>
      <c r="DZ50" s="9">
        <v>417</v>
      </c>
      <c r="EA50" s="9">
        <v>423.55136222999806</v>
      </c>
      <c r="EB50" s="10">
        <v>3.7729888323017922</v>
      </c>
      <c r="EC50" s="11">
        <v>5.0609076367186048E-2</v>
      </c>
      <c r="ED50" s="11"/>
      <c r="EE50" s="9">
        <v>407</v>
      </c>
      <c r="EF50" s="9">
        <v>403.91323874999961</v>
      </c>
      <c r="EG50" s="10">
        <v>3.6561924861642061</v>
      </c>
      <c r="EH50" s="11">
        <v>5.2925975545026024E-2</v>
      </c>
      <c r="EI50" s="6">
        <v>1.5949538998950266</v>
      </c>
      <c r="EJ50" s="6" t="s">
        <v>57</v>
      </c>
      <c r="EK50" s="45">
        <f t="shared" si="50"/>
        <v>0.11679634613758605</v>
      </c>
      <c r="EL50" s="11"/>
      <c r="EM50" s="9">
        <v>284</v>
      </c>
      <c r="EN50" s="9">
        <v>283.58709894000077</v>
      </c>
      <c r="EO50" s="10">
        <v>3.6420838797343351</v>
      </c>
      <c r="EP50" s="11">
        <v>6.5935021732871343E-2</v>
      </c>
      <c r="EQ50" s="6">
        <v>1.5749172186927953</v>
      </c>
      <c r="ER50" s="6" t="s">
        <v>57</v>
      </c>
      <c r="ES50" s="11"/>
      <c r="ET50" s="9">
        <v>316</v>
      </c>
      <c r="EU50" s="9">
        <v>320.68336505000156</v>
      </c>
      <c r="EV50" s="10">
        <v>3.8111641676500505</v>
      </c>
      <c r="EW50" s="11">
        <v>5.9012448452773376E-2</v>
      </c>
      <c r="EX50" s="6">
        <v>-0.49105450344890844</v>
      </c>
      <c r="EY50" s="6" t="s">
        <v>57</v>
      </c>
      <c r="EZ50" s="11"/>
      <c r="FA50" s="9">
        <v>302</v>
      </c>
      <c r="FB50" s="9">
        <v>319.93102909000135</v>
      </c>
      <c r="FC50" s="10">
        <v>3.6922536439180376</v>
      </c>
      <c r="FD50" s="11">
        <v>5.7751804455249141E-2</v>
      </c>
      <c r="FE50" s="6">
        <v>1.0513901102742735</v>
      </c>
      <c r="FF50" s="6" t="s">
        <v>57</v>
      </c>
      <c r="FG50" s="45">
        <f t="shared" si="51"/>
        <v>8.0735188383754597E-2</v>
      </c>
      <c r="FH50" s="11"/>
      <c r="FI50" s="28">
        <v>354</v>
      </c>
      <c r="FJ50" s="28">
        <v>352.38914279000079</v>
      </c>
      <c r="FK50" s="29">
        <v>3.7534997838121136</v>
      </c>
      <c r="FL50" s="27">
        <v>5.4057669594645995E-2</v>
      </c>
      <c r="FM50" s="6">
        <v>0.26318510473593809</v>
      </c>
      <c r="FN50" s="6" t="s">
        <v>57</v>
      </c>
      <c r="FO50" s="11"/>
      <c r="FP50" s="37">
        <v>1840</v>
      </c>
      <c r="FQ50" s="37">
        <v>1847.3313144100007</v>
      </c>
      <c r="FR50" s="10">
        <v>3.8370468941700691</v>
      </c>
      <c r="FS50" s="11">
        <v>2.3747441492821139E-2</v>
      </c>
      <c r="FT50" s="26">
        <v>-1.1458651885071551</v>
      </c>
      <c r="FU50" s="26" t="s">
        <v>57</v>
      </c>
      <c r="FV50" s="26"/>
      <c r="FW50" s="9">
        <v>450</v>
      </c>
      <c r="FX50" s="9">
        <v>449.72003980000147</v>
      </c>
      <c r="FY50" s="10">
        <v>3.7686751662517324</v>
      </c>
      <c r="FZ50" s="11">
        <v>4.5060887360980684E-2</v>
      </c>
      <c r="GA50" s="26">
        <v>6.3658562446645348E-2</v>
      </c>
      <c r="GB50" s="26" t="s">
        <v>57</v>
      </c>
      <c r="GC50" s="26"/>
      <c r="GD50" s="37">
        <v>75</v>
      </c>
      <c r="GE50" s="37">
        <v>75.003561500000018</v>
      </c>
      <c r="GF50" s="10">
        <v>4.0661893682208685</v>
      </c>
      <c r="GG50" s="11">
        <v>0.10795016310618397</v>
      </c>
      <c r="GH50" s="26">
        <v>-2.4592275557559518</v>
      </c>
      <c r="GI50" s="26" t="s">
        <v>59</v>
      </c>
      <c r="GJ50" s="26"/>
      <c r="GK50" s="37">
        <v>240</v>
      </c>
      <c r="GL50" s="37">
        <v>240.86707425999941</v>
      </c>
      <c r="GM50" s="10">
        <v>3.8588305966912855</v>
      </c>
      <c r="GN50" s="11">
        <v>5.9152605890530063E-2</v>
      </c>
      <c r="GO50" s="26">
        <v>-1.1026844170373113</v>
      </c>
      <c r="GP50" s="26" t="s">
        <v>57</v>
      </c>
      <c r="GQ50" s="26"/>
      <c r="GR50" s="37">
        <v>413</v>
      </c>
      <c r="GS50" s="37">
        <v>413.00360243999774</v>
      </c>
      <c r="GT50" s="10">
        <v>3.7409157539357185</v>
      </c>
      <c r="GU50" s="11">
        <v>5.6712398940863808E-2</v>
      </c>
      <c r="GV50" s="26">
        <v>0.42195667050924168</v>
      </c>
      <c r="GW50" s="26" t="s">
        <v>57</v>
      </c>
      <c r="GX50" s="26"/>
      <c r="GY50" s="37">
        <v>245</v>
      </c>
      <c r="GZ50" s="37">
        <v>245.18567418000043</v>
      </c>
      <c r="HA50" s="10">
        <v>4.1435454067930646</v>
      </c>
      <c r="HB50" s="11">
        <v>5.8724663185386994E-2</v>
      </c>
      <c r="HC50" s="26">
        <v>-4.7799370419593465</v>
      </c>
      <c r="HD50" s="26" t="s">
        <v>59</v>
      </c>
      <c r="HE50" s="15"/>
      <c r="HF50" s="37">
        <v>247</v>
      </c>
      <c r="HG50" s="37">
        <v>246.83692411999894</v>
      </c>
      <c r="HH50" s="10">
        <v>3.8463569430092135</v>
      </c>
      <c r="HI50" s="11">
        <v>6.6456495282054592E-2</v>
      </c>
      <c r="HJ50" s="11"/>
      <c r="HK50" s="37">
        <v>234</v>
      </c>
      <c r="HL50" s="37">
        <v>234.10644558000081</v>
      </c>
      <c r="HM50" s="10">
        <v>3.7050025387002847</v>
      </c>
      <c r="HN50" s="11">
        <v>7.0178013261390476E-2</v>
      </c>
      <c r="HO50" s="6">
        <v>1.4625236961450865</v>
      </c>
      <c r="HP50" s="6" t="s">
        <v>57</v>
      </c>
      <c r="HQ50" s="45">
        <f t="shared" si="52"/>
        <v>0.14135440430892876</v>
      </c>
      <c r="HR50" s="27"/>
      <c r="HS50" s="3">
        <v>166</v>
      </c>
      <c r="HT50" s="3">
        <v>165.88369731999998</v>
      </c>
      <c r="HU50" s="29">
        <v>3.8080018937692199</v>
      </c>
      <c r="HV50" s="27">
        <v>8.2864233912217602E-2</v>
      </c>
      <c r="HW50" s="6">
        <v>0.36108651526463698</v>
      </c>
      <c r="HX50" s="6" t="s">
        <v>57</v>
      </c>
      <c r="HY50" s="27"/>
      <c r="HZ50" s="9">
        <v>225</v>
      </c>
      <c r="IA50" s="9">
        <v>226.75058599999937</v>
      </c>
      <c r="IB50" s="10">
        <v>3.9170354143649271</v>
      </c>
      <c r="IC50" s="11">
        <v>6.0620994403486957E-2</v>
      </c>
      <c r="ID50" s="6">
        <v>-0.78573499827985238</v>
      </c>
      <c r="IE50" s="6" t="s">
        <v>57</v>
      </c>
      <c r="IF50" s="27"/>
      <c r="IG50" s="9">
        <v>384</v>
      </c>
      <c r="IH50" s="9">
        <v>388.63357365999929</v>
      </c>
      <c r="II50" s="10">
        <v>3.646632587538241</v>
      </c>
      <c r="IJ50" s="11">
        <v>5.0935807723013066E-2</v>
      </c>
      <c r="IK50" s="6">
        <v>2.3853024384732593</v>
      </c>
      <c r="IL50" s="6" t="s">
        <v>59</v>
      </c>
      <c r="IM50" s="45">
        <f t="shared" si="53"/>
        <v>0.19972435547097245</v>
      </c>
      <c r="IN50" s="11"/>
      <c r="IO50" s="28">
        <v>356</v>
      </c>
      <c r="IP50" s="28">
        <v>357.32998880999918</v>
      </c>
      <c r="IQ50" s="29">
        <v>3.7153838771028016</v>
      </c>
      <c r="IR50" s="27">
        <v>5.6100622957953955E-2</v>
      </c>
      <c r="IS50" s="6">
        <v>1.5059603426436228</v>
      </c>
      <c r="IT50" s="6" t="s">
        <v>57</v>
      </c>
      <c r="IU50" s="27"/>
      <c r="IV50" s="37">
        <v>1682</v>
      </c>
      <c r="IW50" s="37">
        <v>1703.9106292099891</v>
      </c>
      <c r="IX50" s="10">
        <v>3.8887559002505401</v>
      </c>
      <c r="IY50" s="11">
        <v>2.4168505052677664E-2</v>
      </c>
      <c r="IZ50" s="26">
        <v>-0.59957688517138297</v>
      </c>
      <c r="JA50" s="26" t="s">
        <v>57</v>
      </c>
      <c r="JB50" s="26"/>
      <c r="JC50" s="37">
        <v>450</v>
      </c>
      <c r="JD50" s="37">
        <v>449.72003980000147</v>
      </c>
      <c r="JE50" s="10">
        <v>3.7686751662517324</v>
      </c>
      <c r="JF50" s="11">
        <v>4.5060887360980684E-2</v>
      </c>
      <c r="JG50" s="26">
        <v>0.967480057409704</v>
      </c>
      <c r="JH50" s="26" t="s">
        <v>57</v>
      </c>
      <c r="JI50" s="26"/>
      <c r="JJ50" s="37">
        <v>138</v>
      </c>
      <c r="JK50" s="37">
        <v>138</v>
      </c>
      <c r="JL50" s="10">
        <v>3.9999999999999982</v>
      </c>
      <c r="JM50" s="11">
        <v>8.0330429418849325E-2</v>
      </c>
      <c r="JN50" s="26">
        <v>-1.4737006728211115</v>
      </c>
      <c r="JO50" s="26" t="s">
        <v>57</v>
      </c>
      <c r="JP50" s="26"/>
      <c r="JQ50" s="37">
        <v>434</v>
      </c>
      <c r="JR50" s="37">
        <v>458.61686037000351</v>
      </c>
      <c r="JS50" s="10">
        <v>3.9878357600601531</v>
      </c>
      <c r="JT50" s="11">
        <v>4.7752107601977012E-2</v>
      </c>
      <c r="JU50" s="26">
        <v>-1.7288608505154388</v>
      </c>
      <c r="JV50" s="26" t="s">
        <v>57</v>
      </c>
      <c r="JW50" s="26"/>
      <c r="JX50" s="37">
        <v>75</v>
      </c>
      <c r="JY50" s="37">
        <v>75.003561500000018</v>
      </c>
      <c r="JZ50" s="10">
        <v>4.0661893682208685</v>
      </c>
      <c r="KA50" s="11">
        <v>0.10795016310618397</v>
      </c>
      <c r="KB50" s="26">
        <v>-1.734154629024133</v>
      </c>
      <c r="KC50" s="26" t="s">
        <v>57</v>
      </c>
      <c r="KD50" s="26"/>
      <c r="KE50" s="37">
        <v>338</v>
      </c>
      <c r="KF50" s="37">
        <v>335.73324341999961</v>
      </c>
      <c r="KG50" s="10">
        <v>3.8600688948719046</v>
      </c>
      <c r="KH50" s="11">
        <v>5.4688436464780894E-2</v>
      </c>
      <c r="KI50" s="26">
        <v>-0.15931973711752384</v>
      </c>
      <c r="KJ50" s="26" t="s">
        <v>57</v>
      </c>
      <c r="KL50" s="9"/>
      <c r="KM50" s="9"/>
      <c r="KN50" s="10"/>
      <c r="KO50" s="11"/>
    </row>
    <row r="51" spans="2:301" s="7" customFormat="1" x14ac:dyDescent="0.25">
      <c r="B51" s="8"/>
      <c r="C51" s="12"/>
      <c r="D51" s="12"/>
      <c r="E51" s="12"/>
      <c r="F51" s="12"/>
      <c r="G51" s="44"/>
      <c r="H51" s="16"/>
      <c r="I51" s="16"/>
      <c r="J51" s="16"/>
      <c r="K51" s="16"/>
      <c r="L51" s="44"/>
      <c r="M51" s="44"/>
      <c r="N51" s="44"/>
      <c r="O51" s="44"/>
      <c r="P51" s="44"/>
      <c r="Q51" s="44"/>
      <c r="R51" s="44"/>
      <c r="S51" s="44"/>
      <c r="W51" s="44"/>
      <c r="X51" s="44"/>
      <c r="Y51" s="44"/>
      <c r="Z51" s="44"/>
      <c r="AD51" s="44"/>
      <c r="AE51" s="44"/>
      <c r="AF51" s="44"/>
      <c r="AG51" s="44"/>
      <c r="AH51" s="26"/>
      <c r="AI51" s="26"/>
      <c r="AJ51" s="26"/>
      <c r="AP51" s="26"/>
      <c r="AQ51" s="26"/>
      <c r="AV51" s="2"/>
      <c r="AW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C51" s="44"/>
      <c r="CD51" s="44"/>
      <c r="CE51" s="44"/>
      <c r="CF51" s="44"/>
      <c r="CG51" s="26"/>
      <c r="CH51" s="44"/>
      <c r="CI51" s="44"/>
      <c r="CJ51" s="44"/>
      <c r="CK51" s="44"/>
      <c r="CL51" s="44"/>
      <c r="CM51" s="44"/>
      <c r="CN51" s="26"/>
      <c r="CO51" s="44"/>
      <c r="CP51" s="44"/>
      <c r="CQ51" s="44"/>
      <c r="CR51" s="44"/>
      <c r="CS51" s="44"/>
      <c r="CT51" s="44"/>
      <c r="CU51" s="26"/>
      <c r="CV51" s="44"/>
      <c r="CW51" s="44"/>
      <c r="CX51" s="44"/>
      <c r="CY51" s="44"/>
      <c r="CZ51" s="44"/>
      <c r="DA51" s="44"/>
      <c r="DB51" s="26"/>
      <c r="DC51" s="44"/>
      <c r="DD51" s="44"/>
      <c r="DE51" s="44"/>
      <c r="DF51" s="44"/>
      <c r="DG51" s="44"/>
      <c r="DH51" s="44"/>
      <c r="DI51" s="26"/>
      <c r="DJ51" s="44"/>
      <c r="DK51" s="44"/>
      <c r="DL51" s="44"/>
      <c r="DM51" s="44"/>
      <c r="DN51" s="44"/>
      <c r="DO51" s="44"/>
      <c r="DP51" s="26"/>
      <c r="DQ51" s="44"/>
      <c r="DR51" s="44"/>
      <c r="DS51" s="44"/>
      <c r="DT51" s="44"/>
      <c r="DU51" s="44"/>
      <c r="DV51" s="44"/>
      <c r="DW51" s="26"/>
      <c r="DX51" s="44"/>
      <c r="DY51" s="21"/>
      <c r="DZ51" s="12"/>
      <c r="EA51" s="12"/>
      <c r="EB51" s="12"/>
      <c r="EC51" s="12"/>
      <c r="ED51" s="44"/>
      <c r="EE51" s="16"/>
      <c r="EF51" s="16"/>
      <c r="EG51" s="16"/>
      <c r="EH51" s="16"/>
      <c r="EI51" s="44"/>
      <c r="EJ51" s="44"/>
      <c r="EK51" s="44"/>
      <c r="EL51" s="44"/>
      <c r="EM51" s="44"/>
      <c r="EN51" s="44"/>
      <c r="EO51" s="44"/>
      <c r="EP51" s="44"/>
      <c r="EQ51" s="6"/>
      <c r="ER51" s="6"/>
      <c r="ES51" s="44"/>
      <c r="ET51" s="44"/>
      <c r="EU51" s="44"/>
      <c r="EV51" s="44"/>
      <c r="EW51" s="44"/>
      <c r="EX51" s="6"/>
      <c r="EY51" s="6"/>
      <c r="EZ51" s="44"/>
      <c r="FA51" s="44"/>
      <c r="FB51" s="44"/>
      <c r="FC51" s="44"/>
      <c r="FD51" s="44"/>
      <c r="FE51" s="6"/>
      <c r="FF51" s="6"/>
      <c r="FG51" s="44"/>
      <c r="FH51" s="44"/>
      <c r="FM51" s="6"/>
      <c r="FN51" s="6"/>
      <c r="FO51" s="44"/>
      <c r="FP51" s="44"/>
      <c r="FQ51" s="44"/>
      <c r="FR51" s="44"/>
      <c r="FS51" s="44"/>
      <c r="FT51" s="26"/>
      <c r="FU51" s="44"/>
      <c r="FV51" s="44"/>
      <c r="FW51" s="44"/>
      <c r="FX51" s="44"/>
      <c r="FY51" s="44"/>
      <c r="FZ51" s="44"/>
      <c r="GA51" s="26"/>
      <c r="GB51" s="44"/>
      <c r="GC51" s="44"/>
      <c r="GD51" s="44"/>
      <c r="GE51" s="44"/>
      <c r="GF51" s="44"/>
      <c r="GG51" s="44"/>
      <c r="GH51" s="26"/>
      <c r="GI51" s="44"/>
      <c r="GJ51" s="44"/>
      <c r="GK51" s="44"/>
      <c r="GL51" s="44"/>
      <c r="GM51" s="44"/>
      <c r="GN51" s="44"/>
      <c r="GO51" s="26"/>
      <c r="GP51" s="44"/>
      <c r="GQ51" s="44"/>
      <c r="GR51" s="44"/>
      <c r="GS51" s="44"/>
      <c r="GT51" s="44"/>
      <c r="GU51" s="44"/>
      <c r="GV51" s="26"/>
      <c r="GW51" s="44"/>
      <c r="GX51" s="44"/>
      <c r="GY51" s="44"/>
      <c r="GZ51" s="44"/>
      <c r="HA51" s="44"/>
      <c r="HB51" s="44"/>
      <c r="HC51" s="26"/>
      <c r="HD51" s="44"/>
      <c r="HE51" s="21"/>
      <c r="HF51" s="12"/>
      <c r="HG51" s="12"/>
      <c r="HH51" s="12"/>
      <c r="HI51" s="12"/>
      <c r="HJ51" s="16"/>
      <c r="HK51" s="16"/>
      <c r="HL51" s="16"/>
      <c r="HM51" s="16"/>
      <c r="HN51" s="16"/>
      <c r="HO51" s="16"/>
      <c r="HP51" s="16"/>
      <c r="HS51" s="44"/>
      <c r="HT51" s="44"/>
      <c r="HU51" s="44"/>
      <c r="HV51" s="44"/>
      <c r="HW51" s="6"/>
      <c r="HX51" s="6"/>
      <c r="HZ51" s="44"/>
      <c r="IA51" s="44"/>
      <c r="IB51" s="44"/>
      <c r="IC51" s="44"/>
      <c r="ID51" s="6"/>
      <c r="IE51" s="6"/>
      <c r="IG51" s="44"/>
      <c r="IH51" s="44"/>
      <c r="II51" s="44"/>
      <c r="IJ51" s="44"/>
      <c r="IK51" s="6"/>
      <c r="IL51" s="6"/>
      <c r="IM51" s="44"/>
      <c r="IN51" s="44"/>
      <c r="IS51" s="6"/>
      <c r="IT51" s="6"/>
      <c r="IV51" s="44"/>
      <c r="IW51" s="44"/>
      <c r="IX51" s="44"/>
      <c r="IY51" s="44"/>
      <c r="IZ51" s="26"/>
      <c r="JA51" s="44"/>
      <c r="JB51" s="44"/>
      <c r="JC51" s="44"/>
      <c r="JD51" s="44"/>
      <c r="JE51" s="44"/>
      <c r="JF51" s="44"/>
      <c r="JG51" s="26"/>
      <c r="JH51" s="44"/>
      <c r="JI51" s="44"/>
      <c r="JJ51" s="44"/>
      <c r="JK51" s="44"/>
      <c r="JL51" s="44"/>
      <c r="JM51" s="44"/>
      <c r="JN51" s="26"/>
      <c r="JO51" s="44"/>
      <c r="JP51" s="44"/>
      <c r="JQ51" s="44"/>
      <c r="JR51" s="44"/>
      <c r="JS51" s="44"/>
      <c r="JT51" s="44"/>
      <c r="JU51" s="26"/>
      <c r="JV51" s="44"/>
      <c r="JW51" s="44"/>
      <c r="JX51" s="44"/>
      <c r="JY51" s="44"/>
      <c r="JZ51" s="44"/>
      <c r="KA51" s="44"/>
      <c r="KB51" s="26"/>
      <c r="KC51" s="44"/>
      <c r="KD51" s="44"/>
      <c r="KE51" s="44"/>
      <c r="KF51" s="44"/>
      <c r="KG51" s="44"/>
      <c r="KH51" s="44"/>
      <c r="KI51" s="26"/>
      <c r="KJ51" s="44"/>
      <c r="KL51" s="44"/>
      <c r="KM51" s="44"/>
      <c r="KN51" s="44"/>
      <c r="KO51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9"/>
  <sheetViews>
    <sheetView topLeftCell="A34" workbookViewId="0">
      <selection activeCell="L14" sqref="L14"/>
    </sheetView>
  </sheetViews>
  <sheetFormatPr defaultRowHeight="13.2" x14ac:dyDescent="0.25"/>
  <sheetData>
    <row r="1" spans="1:28" x14ac:dyDescent="0.25">
      <c r="B1" t="s">
        <v>77</v>
      </c>
      <c r="C1" t="s">
        <v>78</v>
      </c>
      <c r="D1" t="s">
        <v>79</v>
      </c>
      <c r="E1" t="s">
        <v>80</v>
      </c>
      <c r="F1" t="s">
        <v>82</v>
      </c>
      <c r="G1" t="s">
        <v>81</v>
      </c>
      <c r="I1" s="17" t="s">
        <v>83</v>
      </c>
      <c r="J1" s="17" t="s">
        <v>84</v>
      </c>
      <c r="K1" s="17" t="s">
        <v>85</v>
      </c>
      <c r="L1" s="17" t="s">
        <v>86</v>
      </c>
      <c r="M1" s="47" t="s">
        <v>87</v>
      </c>
      <c r="N1" s="52" t="s">
        <v>88</v>
      </c>
      <c r="O1" s="53"/>
      <c r="P1" s="17" t="s">
        <v>83</v>
      </c>
      <c r="Q1" s="17" t="s">
        <v>84</v>
      </c>
      <c r="R1" s="17" t="s">
        <v>85</v>
      </c>
      <c r="S1" s="17" t="s">
        <v>86</v>
      </c>
      <c r="T1" s="47" t="s">
        <v>87</v>
      </c>
      <c r="U1" s="52" t="s">
        <v>88</v>
      </c>
      <c r="V1" s="53"/>
      <c r="W1" s="17" t="s">
        <v>83</v>
      </c>
      <c r="X1" s="17" t="s">
        <v>84</v>
      </c>
      <c r="Y1" s="17" t="s">
        <v>85</v>
      </c>
      <c r="Z1" s="17" t="s">
        <v>86</v>
      </c>
      <c r="AA1" s="47" t="s">
        <v>87</v>
      </c>
      <c r="AB1" s="52" t="s">
        <v>88</v>
      </c>
    </row>
    <row r="2" spans="1:28" x14ac:dyDescent="0.25">
      <c r="B2" t="s">
        <v>1</v>
      </c>
      <c r="C2" t="s">
        <v>1</v>
      </c>
      <c r="D2" t="s">
        <v>1</v>
      </c>
      <c r="E2" t="s">
        <v>1</v>
      </c>
      <c r="F2" t="s">
        <v>1</v>
      </c>
      <c r="G2" t="s">
        <v>1</v>
      </c>
      <c r="I2" s="17" t="s">
        <v>89</v>
      </c>
      <c r="J2" s="17" t="s">
        <v>89</v>
      </c>
      <c r="K2" s="17" t="s">
        <v>89</v>
      </c>
      <c r="L2" s="17" t="s">
        <v>89</v>
      </c>
      <c r="M2" s="47" t="s">
        <v>89</v>
      </c>
      <c r="N2" s="47" t="s">
        <v>89</v>
      </c>
      <c r="O2" s="54"/>
      <c r="P2" s="17" t="s">
        <v>90</v>
      </c>
      <c r="Q2" s="17" t="s">
        <v>90</v>
      </c>
      <c r="R2" s="17" t="s">
        <v>90</v>
      </c>
      <c r="S2" s="17" t="s">
        <v>90</v>
      </c>
      <c r="T2" s="47" t="s">
        <v>90</v>
      </c>
      <c r="U2" s="47" t="s">
        <v>90</v>
      </c>
      <c r="V2" s="54"/>
      <c r="W2" s="17" t="s">
        <v>91</v>
      </c>
      <c r="X2" s="17" t="s">
        <v>91</v>
      </c>
      <c r="Y2" s="47" t="s">
        <v>91</v>
      </c>
      <c r="Z2" s="17" t="s">
        <v>91</v>
      </c>
      <c r="AA2" s="47" t="s">
        <v>91</v>
      </c>
      <c r="AB2" s="47" t="s">
        <v>91</v>
      </c>
    </row>
    <row r="3" spans="1:28" x14ac:dyDescent="0.25">
      <c r="I3" s="18"/>
      <c r="J3" s="18"/>
      <c r="K3" s="55"/>
      <c r="L3" s="55"/>
      <c r="M3" s="56"/>
      <c r="N3" s="56"/>
      <c r="O3" s="57"/>
      <c r="P3" s="18"/>
      <c r="Q3" s="18"/>
      <c r="R3" s="55"/>
      <c r="S3" s="55"/>
      <c r="T3" s="56"/>
      <c r="U3" s="56"/>
      <c r="V3" s="57"/>
      <c r="W3" s="18"/>
      <c r="X3" s="18"/>
      <c r="Y3" s="55"/>
      <c r="Z3" s="55"/>
      <c r="AA3" s="56"/>
      <c r="AB3" s="56"/>
    </row>
    <row r="4" spans="1:28" ht="20.399999999999999" x14ac:dyDescent="0.25">
      <c r="A4" s="5" t="s">
        <v>6</v>
      </c>
      <c r="B4" s="10">
        <v>3.8194943062172508</v>
      </c>
      <c r="C4" s="10">
        <v>3.6600715403758488</v>
      </c>
      <c r="D4" s="10">
        <v>3.6326108061490734</v>
      </c>
      <c r="E4" s="10">
        <v>3.6961539552982279</v>
      </c>
      <c r="F4" s="10">
        <v>3.6259654615424717</v>
      </c>
      <c r="G4" s="29">
        <v>3.6840600902744898</v>
      </c>
      <c r="I4" s="10">
        <v>3.5865521098145052</v>
      </c>
      <c r="J4" s="10">
        <v>3.4412048218553783</v>
      </c>
      <c r="K4" s="58">
        <v>3.5164982459678407</v>
      </c>
      <c r="L4" s="58">
        <v>3.5817975582809534</v>
      </c>
      <c r="M4" s="59">
        <v>3.3480677222533903</v>
      </c>
      <c r="N4" s="60">
        <v>3.517142109605301</v>
      </c>
      <c r="O4" s="15"/>
      <c r="P4" s="10">
        <v>3.6806713506791224</v>
      </c>
      <c r="Q4" s="10">
        <v>3.6641485471927844</v>
      </c>
      <c r="R4" s="58">
        <v>3.6460661819189721</v>
      </c>
      <c r="S4" s="58">
        <v>3.7654162645999047</v>
      </c>
      <c r="T4" s="59">
        <v>3.6397365232469299</v>
      </c>
      <c r="U4" s="60">
        <v>3.695741758583273</v>
      </c>
      <c r="V4" s="15"/>
      <c r="W4" s="10">
        <v>3.9297329465509763</v>
      </c>
      <c r="X4" s="10">
        <v>3.731420697617672</v>
      </c>
      <c r="Y4" s="58">
        <v>3.6767433542194947</v>
      </c>
      <c r="Z4" s="58">
        <v>3.7288003099062954</v>
      </c>
      <c r="AA4" s="59">
        <v>3.7658708977650828</v>
      </c>
      <c r="AB4" s="60">
        <v>3.7567079770771268</v>
      </c>
    </row>
    <row r="5" spans="1:28" x14ac:dyDescent="0.25">
      <c r="A5" s="5" t="s">
        <v>2</v>
      </c>
      <c r="B5" s="10">
        <v>3.5873081558688846</v>
      </c>
      <c r="C5" s="10">
        <v>3.4944581918360615</v>
      </c>
      <c r="D5" s="10">
        <v>3.4336717120716487</v>
      </c>
      <c r="E5" s="10">
        <v>3.5898131950615966</v>
      </c>
      <c r="F5" s="10">
        <v>3.5506953727694817</v>
      </c>
      <c r="G5" s="29">
        <v>3.5087001026242772</v>
      </c>
      <c r="I5" s="10">
        <v>3.132993058581389</v>
      </c>
      <c r="J5" s="10">
        <v>3.1958713958141152</v>
      </c>
      <c r="K5" s="58">
        <v>3.2360108626109119</v>
      </c>
      <c r="L5" s="58">
        <v>3.4450967844926095</v>
      </c>
      <c r="M5" s="59">
        <v>3.2650114193059205</v>
      </c>
      <c r="N5" s="60">
        <v>3.233548387481767</v>
      </c>
      <c r="O5" s="15"/>
      <c r="P5" s="10">
        <v>3.5000000000000004</v>
      </c>
      <c r="Q5" s="10">
        <v>3.6311865362751261</v>
      </c>
      <c r="R5" s="58">
        <v>3.3778696803607575</v>
      </c>
      <c r="S5" s="58">
        <v>3.6785743777551656</v>
      </c>
      <c r="T5" s="59">
        <v>3.4304212489635644</v>
      </c>
      <c r="U5" s="60">
        <v>3.3936430335785661</v>
      </c>
      <c r="V5" s="15"/>
      <c r="W5" s="10">
        <v>3.7402313427345297</v>
      </c>
      <c r="X5" s="10">
        <v>3.6026080707678223</v>
      </c>
      <c r="Y5" s="58">
        <v>3.5276584579007793</v>
      </c>
      <c r="Z5" s="58">
        <v>3.665516111203218</v>
      </c>
      <c r="AA5" s="59">
        <v>3.710266183340245</v>
      </c>
      <c r="AB5" s="60">
        <v>3.6576989122282719</v>
      </c>
    </row>
    <row r="6" spans="1:28" x14ac:dyDescent="0.25">
      <c r="A6" s="5" t="s">
        <v>3</v>
      </c>
      <c r="B6" s="10">
        <v>3.9084778617927913</v>
      </c>
      <c r="C6" s="10">
        <v>3.7099663219214256</v>
      </c>
      <c r="D6" s="10">
        <v>3.7427491887763158</v>
      </c>
      <c r="E6" s="10">
        <v>3.7436781467267908</v>
      </c>
      <c r="F6" s="10">
        <v>3.6361732882590223</v>
      </c>
      <c r="G6" s="29">
        <v>3.6741500960888587</v>
      </c>
      <c r="I6" s="10">
        <v>3.7778938088654064</v>
      </c>
      <c r="J6" s="10">
        <v>3.5192025864077237</v>
      </c>
      <c r="K6" s="58">
        <v>3.6094993891622171</v>
      </c>
      <c r="L6" s="58">
        <v>3.6672846640330059</v>
      </c>
      <c r="M6" s="59">
        <v>3.3388985341347395</v>
      </c>
      <c r="N6" s="60">
        <v>3.5576323987691594</v>
      </c>
      <c r="O6" s="15"/>
      <c r="P6" s="10">
        <v>3.7042495028805194</v>
      </c>
      <c r="Q6" s="10">
        <v>3.6754138066210293</v>
      </c>
      <c r="R6" s="58">
        <v>3.7090454799623007</v>
      </c>
      <c r="S6" s="58">
        <v>3.7175757608421494</v>
      </c>
      <c r="T6" s="59">
        <v>3.7137970968062137</v>
      </c>
      <c r="U6" s="60">
        <v>3.6936444887699671</v>
      </c>
      <c r="V6" s="15"/>
      <c r="W6" s="10">
        <v>4.0255363673031779</v>
      </c>
      <c r="X6" s="10">
        <v>3.776941775296657</v>
      </c>
      <c r="Y6" s="58">
        <v>3.8167687700122626</v>
      </c>
      <c r="Z6" s="58">
        <v>3.7833572826846873</v>
      </c>
      <c r="AA6" s="59">
        <v>3.7793343599145173</v>
      </c>
      <c r="AB6" s="60">
        <v>3.7178480265089964</v>
      </c>
    </row>
    <row r="7" spans="1:28" x14ac:dyDescent="0.25">
      <c r="A7" s="5" t="s">
        <v>4</v>
      </c>
      <c r="B7" s="10">
        <v>3.9106930952797985</v>
      </c>
      <c r="C7" s="10">
        <v>3.7350092352831927</v>
      </c>
      <c r="D7" s="10">
        <v>3.566152164080771</v>
      </c>
      <c r="E7" s="10">
        <v>3.7337572979300431</v>
      </c>
      <c r="F7" s="10">
        <v>3.7307683405541221</v>
      </c>
      <c r="G7" s="29">
        <v>3.9039507063319197</v>
      </c>
      <c r="I7" s="10">
        <v>3.8870030136061646</v>
      </c>
      <c r="J7" s="10">
        <v>3.7630857914264801</v>
      </c>
      <c r="K7" s="58">
        <v>3.8694344256649162</v>
      </c>
      <c r="L7" s="58">
        <v>3.6845392390596827</v>
      </c>
      <c r="M7" s="59">
        <v>3.5560215955223859</v>
      </c>
      <c r="N7" s="60">
        <v>3.6783479353800366</v>
      </c>
      <c r="O7" s="15"/>
      <c r="P7" s="10">
        <v>3.8000000000000003</v>
      </c>
      <c r="Q7" s="10">
        <v>3.6547766828925012</v>
      </c>
      <c r="R7" s="58">
        <v>3.6083805067070189</v>
      </c>
      <c r="S7" s="58">
        <v>4.2323027597658758</v>
      </c>
      <c r="T7" s="59">
        <v>3.6954637716737304</v>
      </c>
      <c r="U7" s="60">
        <v>3.9570552143094875</v>
      </c>
      <c r="V7" s="15"/>
      <c r="W7" s="10">
        <v>3.9444567181329875</v>
      </c>
      <c r="X7" s="10">
        <v>3.7456111128691232</v>
      </c>
      <c r="Y7" s="58">
        <v>3.471963126116691</v>
      </c>
      <c r="Z7" s="58">
        <v>3.6606585395410831</v>
      </c>
      <c r="AA7" s="59">
        <v>3.8304903122520062</v>
      </c>
      <c r="AB7" s="60">
        <v>4.0088375248618586</v>
      </c>
    </row>
    <row r="8" spans="1:28" x14ac:dyDescent="0.25">
      <c r="A8" s="5" t="s">
        <v>76</v>
      </c>
      <c r="B8" s="10">
        <v>3.9088185649309524</v>
      </c>
      <c r="C8" s="10">
        <v>3.7138292849717467</v>
      </c>
      <c r="D8" s="10">
        <v>3.7060624397347239</v>
      </c>
      <c r="E8" s="10">
        <v>3.741432658717998</v>
      </c>
      <c r="F8" s="10">
        <v>3.6361732882590223</v>
      </c>
      <c r="G8" s="29">
        <v>3.7264921982930317</v>
      </c>
      <c r="I8" s="10">
        <v>3.7915083227165072</v>
      </c>
      <c r="J8" s="10">
        <v>3.555396252155949</v>
      </c>
      <c r="K8" s="58">
        <v>3.6442445004800654</v>
      </c>
      <c r="L8" s="58">
        <v>3.6714866788277054</v>
      </c>
      <c r="M8" s="59">
        <v>3.3388985341347395</v>
      </c>
      <c r="N8" s="60">
        <v>3.5892974394114745</v>
      </c>
      <c r="O8" s="15"/>
      <c r="P8" s="10">
        <v>3.7162893642951027</v>
      </c>
      <c r="Q8" s="10">
        <v>3.6717259203187371</v>
      </c>
      <c r="R8" s="58">
        <v>3.6840706892575295</v>
      </c>
      <c r="S8" s="58">
        <v>3.789963829907069</v>
      </c>
      <c r="T8" s="59">
        <v>3.7137970968062137</v>
      </c>
      <c r="U8" s="60">
        <v>3.7451058730829554</v>
      </c>
      <c r="V8" s="15"/>
      <c r="W8" s="10">
        <v>4.0115700072568936</v>
      </c>
      <c r="X8" s="10">
        <v>3.7723787235947999</v>
      </c>
      <c r="Y8" s="58">
        <v>3.7403475489852451</v>
      </c>
      <c r="Z8" s="58">
        <v>3.7529941063630776</v>
      </c>
      <c r="AA8" s="59">
        <v>3.7793343599145173</v>
      </c>
      <c r="AB8" s="60">
        <v>3.7830591100154352</v>
      </c>
    </row>
    <row r="9" spans="1:28" x14ac:dyDescent="0.25">
      <c r="A9" s="5"/>
      <c r="B9" s="10"/>
      <c r="C9" s="10"/>
      <c r="D9" s="10"/>
      <c r="E9" s="10"/>
      <c r="F9" s="10"/>
      <c r="G9" s="29"/>
      <c r="I9" s="10"/>
      <c r="J9" s="10"/>
      <c r="K9" s="58"/>
      <c r="L9" s="58"/>
      <c r="M9" s="59"/>
      <c r="N9" s="60"/>
      <c r="O9" s="15"/>
      <c r="P9" s="10"/>
      <c r="Q9" s="10"/>
      <c r="R9" s="58"/>
      <c r="S9" s="58"/>
      <c r="T9" s="59"/>
      <c r="U9" s="60"/>
      <c r="V9" s="15"/>
      <c r="W9" s="10"/>
      <c r="X9" s="10"/>
      <c r="Y9" s="58"/>
      <c r="Z9" s="58"/>
      <c r="AA9" s="59"/>
      <c r="AB9" s="60"/>
    </row>
    <row r="10" spans="1:28" x14ac:dyDescent="0.25">
      <c r="A10" s="5" t="s">
        <v>7</v>
      </c>
      <c r="B10" s="10">
        <v>3.7490748766132036</v>
      </c>
      <c r="C10" s="10">
        <v>3.801217418601917</v>
      </c>
      <c r="D10" s="10">
        <v>3.7330523489591401</v>
      </c>
      <c r="E10" s="10">
        <v>3.8271643129993387</v>
      </c>
      <c r="F10" s="10">
        <v>3.7803028026755858</v>
      </c>
      <c r="G10" s="29">
        <v>3.8007122506551054</v>
      </c>
      <c r="I10" s="10">
        <v>3.9580403678422647</v>
      </c>
      <c r="J10" s="10">
        <v>3.7838773403837931</v>
      </c>
      <c r="K10" s="58">
        <v>3.8232896792586035</v>
      </c>
      <c r="L10" s="58">
        <v>3.7693781331688405</v>
      </c>
      <c r="M10" s="59">
        <v>3.7362120020887915</v>
      </c>
      <c r="N10" s="60">
        <v>3.7238805971682338</v>
      </c>
      <c r="O10" s="15"/>
      <c r="P10" s="10">
        <v>3.793565612006681</v>
      </c>
      <c r="Q10" s="10">
        <v>3.9959776488808232</v>
      </c>
      <c r="R10" s="58">
        <v>3.861159753030631</v>
      </c>
      <c r="S10" s="58">
        <v>3.8966073503321152</v>
      </c>
      <c r="T10" s="59">
        <v>3.7034947770607012</v>
      </c>
      <c r="U10" s="60">
        <v>3.938255887967216</v>
      </c>
      <c r="V10" s="15"/>
      <c r="W10" s="10">
        <v>3.6668964057230018</v>
      </c>
      <c r="X10" s="10">
        <v>3.7092281462420011</v>
      </c>
      <c r="Y10" s="58">
        <v>3.6249149902604216</v>
      </c>
      <c r="Z10" s="58">
        <v>3.8290049236095562</v>
      </c>
      <c r="AA10" s="59">
        <v>3.8339285601711395</v>
      </c>
      <c r="AB10" s="60">
        <v>3.7827856935055486</v>
      </c>
    </row>
    <row r="11" spans="1:28" x14ac:dyDescent="0.25">
      <c r="A11" s="5" t="s">
        <v>8</v>
      </c>
      <c r="B11" s="10">
        <v>3.7094853220063837</v>
      </c>
      <c r="C11" s="10">
        <v>3.5971494676444253</v>
      </c>
      <c r="D11" s="10">
        <v>3.4507582845415272</v>
      </c>
      <c r="E11" s="10">
        <v>3.4586179558983425</v>
      </c>
      <c r="F11" s="10">
        <v>3.4938400255856283</v>
      </c>
      <c r="G11" s="29">
        <v>3.6143064275638395</v>
      </c>
      <c r="I11" s="10">
        <v>3.6963042036903406</v>
      </c>
      <c r="J11" s="10">
        <v>3.5909492956238354</v>
      </c>
      <c r="K11" s="58">
        <v>3.52959149844567</v>
      </c>
      <c r="L11" s="58">
        <v>3.2380952380952381</v>
      </c>
      <c r="M11" s="59">
        <v>3.391016749386687</v>
      </c>
      <c r="N11" s="60">
        <v>3.5449010653724815</v>
      </c>
      <c r="O11" s="15"/>
      <c r="P11" s="10">
        <v>3.7399122005784902</v>
      </c>
      <c r="Q11" s="10">
        <v>3.5823347322252439</v>
      </c>
      <c r="R11" s="58">
        <v>3.7536099660417874</v>
      </c>
      <c r="S11" s="58">
        <v>4.0108436369789962</v>
      </c>
      <c r="T11" s="59">
        <v>3.7023375526568501</v>
      </c>
      <c r="U11" s="60">
        <v>4.0000000000000009</v>
      </c>
      <c r="V11" s="15"/>
      <c r="W11" s="10">
        <v>3.7053065966485881</v>
      </c>
      <c r="X11" s="10">
        <v>3.6003715069807098</v>
      </c>
      <c r="Y11" s="58">
        <v>3.2949363952256094</v>
      </c>
      <c r="Z11" s="58">
        <v>3.3785004163973817</v>
      </c>
      <c r="AA11" s="59">
        <v>3.4698024407106001</v>
      </c>
      <c r="AB11" s="60">
        <v>3.5211132427554555</v>
      </c>
    </row>
    <row r="12" spans="1:28" x14ac:dyDescent="0.25">
      <c r="A12" s="5" t="s">
        <v>9</v>
      </c>
      <c r="B12" s="10">
        <v>3.0591923380559658</v>
      </c>
      <c r="C12" s="10">
        <v>2.8871831867540743</v>
      </c>
      <c r="D12" s="10">
        <v>2.9366770907969606</v>
      </c>
      <c r="E12" s="10">
        <v>2.9542109951985007</v>
      </c>
      <c r="F12" s="10">
        <v>3.0477082510503264</v>
      </c>
      <c r="G12" s="29">
        <v>3.1940298499140205</v>
      </c>
      <c r="I12" s="10">
        <v>2.9534219850521093</v>
      </c>
      <c r="J12" s="10">
        <v>2.8430078065750259</v>
      </c>
      <c r="K12" s="58">
        <v>3.054355309390659</v>
      </c>
      <c r="L12" s="58">
        <v>2.5678630473386623</v>
      </c>
      <c r="M12" s="59">
        <v>2.8888888888888888</v>
      </c>
      <c r="N12" s="60">
        <v>3.2361809049165235</v>
      </c>
      <c r="O12" s="15"/>
      <c r="P12" s="10">
        <v>3.3772157161850278</v>
      </c>
      <c r="Q12" s="10">
        <v>3.1694610955976787</v>
      </c>
      <c r="R12" s="58">
        <v>3.1158061610189107</v>
      </c>
      <c r="S12" s="58">
        <v>4</v>
      </c>
      <c r="T12" s="59">
        <v>3</v>
      </c>
      <c r="U12" s="60">
        <v>3.6118980171076251</v>
      </c>
      <c r="V12" s="15"/>
      <c r="W12" s="10">
        <v>3.01349720913875</v>
      </c>
      <c r="X12" s="10">
        <v>2.8053131326537946</v>
      </c>
      <c r="Y12" s="58">
        <v>2.8212560224182446</v>
      </c>
      <c r="Z12" s="58">
        <v>2.8371550875708733</v>
      </c>
      <c r="AA12" s="59">
        <v>3.0830257429910515</v>
      </c>
      <c r="AB12" s="60">
        <v>3.0075593933317948</v>
      </c>
    </row>
    <row r="13" spans="1:28" ht="20.399999999999999" x14ac:dyDescent="0.25">
      <c r="A13" s="5" t="s">
        <v>10</v>
      </c>
      <c r="B13" s="10">
        <v>3.5133604993603451</v>
      </c>
      <c r="C13" s="10">
        <v>3.5827921950873214</v>
      </c>
      <c r="D13" s="10">
        <v>3.3581275293726289</v>
      </c>
      <c r="E13" s="10">
        <v>3.5994557759673667</v>
      </c>
      <c r="F13" s="10">
        <v>3.5653263262292638</v>
      </c>
      <c r="G13" s="29">
        <v>3.4335235676529869</v>
      </c>
      <c r="I13" s="10">
        <v>3.4851608456694159</v>
      </c>
      <c r="J13" s="10">
        <v>3.5167750073265749</v>
      </c>
      <c r="K13" s="58">
        <v>3.3110532303373299</v>
      </c>
      <c r="L13" s="58">
        <v>3.791787132364747</v>
      </c>
      <c r="M13" s="59">
        <v>3.2955018024961178</v>
      </c>
      <c r="N13" s="60">
        <v>3.3339517626084691</v>
      </c>
      <c r="O13" s="15"/>
      <c r="P13" s="10">
        <v>3.341628979446182</v>
      </c>
      <c r="Q13" s="10">
        <v>3.3589700026105564</v>
      </c>
      <c r="R13" s="58">
        <v>3.6446026844661725</v>
      </c>
      <c r="S13" s="58">
        <v>3.5199002374345452</v>
      </c>
      <c r="T13" s="59">
        <v>3.7285367087921464</v>
      </c>
      <c r="U13" s="60">
        <v>3.5427782898702542</v>
      </c>
      <c r="V13" s="15"/>
      <c r="W13" s="10">
        <v>3.5791786438579138</v>
      </c>
      <c r="X13" s="10">
        <v>3.6984111387364935</v>
      </c>
      <c r="Y13" s="58">
        <v>3.2672518169948295</v>
      </c>
      <c r="Z13" s="58">
        <v>3.5437578411870931</v>
      </c>
      <c r="AA13" s="59">
        <v>3.6430273793457091</v>
      </c>
      <c r="AB13" s="60">
        <v>3.4290724855109662</v>
      </c>
    </row>
    <row r="14" spans="1:28" x14ac:dyDescent="0.25">
      <c r="A14" s="5"/>
      <c r="B14" s="10"/>
      <c r="C14" s="10"/>
      <c r="D14" s="10"/>
      <c r="E14" s="10"/>
      <c r="F14" s="10"/>
      <c r="G14" s="29"/>
      <c r="I14" s="10"/>
      <c r="J14" s="10"/>
      <c r="K14" s="58"/>
      <c r="L14" s="58"/>
      <c r="M14" s="59"/>
      <c r="N14" s="60"/>
      <c r="O14" s="15"/>
      <c r="P14" s="10"/>
      <c r="Q14" s="10"/>
      <c r="R14" s="58"/>
      <c r="S14" s="58"/>
      <c r="T14" s="59"/>
      <c r="U14" s="60"/>
      <c r="V14" s="15"/>
      <c r="W14" s="10"/>
      <c r="X14" s="10"/>
      <c r="Y14" s="58"/>
      <c r="Z14" s="58"/>
      <c r="AA14" s="59"/>
      <c r="AB14" s="60"/>
    </row>
    <row r="15" spans="1:28" x14ac:dyDescent="0.25">
      <c r="A15" s="5" t="s">
        <v>11</v>
      </c>
      <c r="B15" s="10">
        <v>4.0534432160817069</v>
      </c>
      <c r="C15" s="10">
        <v>3.7811637918728596</v>
      </c>
      <c r="D15" s="10">
        <v>3.9442297777025064</v>
      </c>
      <c r="E15" s="10">
        <v>4.0176739645243877</v>
      </c>
      <c r="F15" s="10">
        <v>3.9824890564003423</v>
      </c>
      <c r="G15" s="29">
        <v>3.897172642069695</v>
      </c>
      <c r="I15" s="10">
        <v>4.3304166094583465</v>
      </c>
      <c r="J15" s="10">
        <v>4.022064758550596</v>
      </c>
      <c r="K15" s="58">
        <v>3.9726171716054615</v>
      </c>
      <c r="L15" s="58">
        <v>4.1434445103556818</v>
      </c>
      <c r="M15" s="59">
        <v>3.840953042313711</v>
      </c>
      <c r="N15" s="60">
        <v>3.7025279248571823</v>
      </c>
      <c r="O15" s="15"/>
      <c r="P15" s="10">
        <v>4.1790529115617003</v>
      </c>
      <c r="Q15" s="10">
        <v>3.7483061754943381</v>
      </c>
      <c r="R15" s="58">
        <v>3.975273602921257</v>
      </c>
      <c r="S15" s="58">
        <v>4.0160131724067849</v>
      </c>
      <c r="T15" s="59">
        <v>4.1798962204101144</v>
      </c>
      <c r="U15" s="60">
        <v>4.1723122239840063</v>
      </c>
      <c r="V15" s="15"/>
      <c r="W15" s="10">
        <v>3.9085505675355701</v>
      </c>
      <c r="X15" s="10">
        <v>3.6840726765751715</v>
      </c>
      <c r="Y15" s="58">
        <v>3.9162042236918815</v>
      </c>
      <c r="Z15" s="58">
        <v>3.9519159731309519</v>
      </c>
      <c r="AA15" s="59">
        <v>3.9937169634728389</v>
      </c>
      <c r="AB15" s="60">
        <v>3.8841687034952743</v>
      </c>
    </row>
    <row r="16" spans="1:28" x14ac:dyDescent="0.25">
      <c r="A16" s="5" t="s">
        <v>12</v>
      </c>
      <c r="B16" s="10">
        <v>4.0972004447426711</v>
      </c>
      <c r="C16" s="10">
        <v>3.9474654481019322</v>
      </c>
      <c r="D16" s="10">
        <v>4.0650448330281703</v>
      </c>
      <c r="E16" s="10">
        <v>4.1270546516276418</v>
      </c>
      <c r="F16" s="10">
        <v>4.0565315632639214</v>
      </c>
      <c r="G16" s="29">
        <v>3.9797291879534349</v>
      </c>
      <c r="I16" s="10">
        <v>4.405546339939348</v>
      </c>
      <c r="J16" s="10">
        <v>4.1321742553500478</v>
      </c>
      <c r="K16" s="58">
        <v>4.0836655785786435</v>
      </c>
      <c r="L16" s="58">
        <v>4.2289269902603879</v>
      </c>
      <c r="M16" s="59">
        <v>3.9718797235437564</v>
      </c>
      <c r="N16" s="60">
        <v>3.8456214266031465</v>
      </c>
      <c r="O16" s="15"/>
      <c r="P16" s="10">
        <v>4.1572367923973585</v>
      </c>
      <c r="Q16" s="10">
        <v>4.0057491254317927</v>
      </c>
      <c r="R16" s="58">
        <v>4.2510551570185227</v>
      </c>
      <c r="S16" s="58">
        <v>4.1624695978042938</v>
      </c>
      <c r="T16" s="59">
        <v>4.3618512099218858</v>
      </c>
      <c r="U16" s="60">
        <v>4.3048245613836498</v>
      </c>
      <c r="V16" s="15"/>
      <c r="W16" s="10">
        <v>3.9659566481309541</v>
      </c>
      <c r="X16" s="10">
        <v>3.8342244025786525</v>
      </c>
      <c r="Y16" s="58">
        <v>3.9748266351299648</v>
      </c>
      <c r="Z16" s="58">
        <v>4.0624412544653117</v>
      </c>
      <c r="AA16" s="59">
        <v>4.0025629001347003</v>
      </c>
      <c r="AB16" s="60">
        <v>3.9106197441017367</v>
      </c>
    </row>
    <row r="17" spans="1:28" x14ac:dyDescent="0.25">
      <c r="A17" s="5" t="s">
        <v>13</v>
      </c>
      <c r="B17" s="10">
        <v>4.0428707985812444</v>
      </c>
      <c r="C17" s="10">
        <v>3.9019660046548661</v>
      </c>
      <c r="D17" s="10">
        <v>3.9458524849627437</v>
      </c>
      <c r="E17" s="10">
        <v>4.0692129375124422</v>
      </c>
      <c r="F17" s="10">
        <v>3.991924064750318</v>
      </c>
      <c r="G17" s="29">
        <v>4.0100128160429511</v>
      </c>
      <c r="I17" s="10">
        <v>4.2794768985742762</v>
      </c>
      <c r="J17" s="10">
        <v>4.0291997919638405</v>
      </c>
      <c r="K17" s="58">
        <v>3.9645687077383651</v>
      </c>
      <c r="L17" s="58">
        <v>4.1934943696452001</v>
      </c>
      <c r="M17" s="59">
        <v>3.9202709949118177</v>
      </c>
      <c r="N17" s="60">
        <v>3.8555758685155448</v>
      </c>
      <c r="O17" s="15"/>
      <c r="P17" s="10">
        <v>4.1557719986924218</v>
      </c>
      <c r="Q17" s="10">
        <v>4.0393242620890204</v>
      </c>
      <c r="R17" s="58">
        <v>4.2354405422514523</v>
      </c>
      <c r="S17" s="58">
        <v>4.1107421491277583</v>
      </c>
      <c r="T17" s="59">
        <v>4.2271682724856845</v>
      </c>
      <c r="U17" s="60">
        <v>4.280311457137171</v>
      </c>
      <c r="V17" s="15"/>
      <c r="W17" s="10">
        <v>3.9153864661895716</v>
      </c>
      <c r="X17" s="10">
        <v>3.781176522580135</v>
      </c>
      <c r="Y17" s="58">
        <v>3.8144958395928765</v>
      </c>
      <c r="Z17" s="58">
        <v>3.9885854035616757</v>
      </c>
      <c r="AA17" s="59">
        <v>3.9514050247864829</v>
      </c>
      <c r="AB17" s="60">
        <v>3.9758647190281451</v>
      </c>
    </row>
    <row r="18" spans="1:28" x14ac:dyDescent="0.25">
      <c r="A18" s="5"/>
      <c r="B18" s="10"/>
      <c r="C18" s="10"/>
      <c r="D18" s="10"/>
      <c r="E18" s="10"/>
      <c r="F18" s="10"/>
      <c r="G18" s="29"/>
      <c r="I18" s="10"/>
      <c r="J18" s="10"/>
      <c r="K18" s="58"/>
      <c r="L18" s="58"/>
      <c r="M18" s="59"/>
      <c r="N18" s="60"/>
      <c r="O18" s="15"/>
      <c r="P18" s="10"/>
      <c r="Q18" s="10"/>
      <c r="R18" s="58"/>
      <c r="S18" s="58"/>
      <c r="T18" s="59"/>
      <c r="U18" s="60"/>
      <c r="V18" s="15"/>
      <c r="W18" s="10"/>
      <c r="X18" s="10"/>
      <c r="Y18" s="58"/>
      <c r="Z18" s="58"/>
      <c r="AA18" s="59"/>
      <c r="AB18" s="60"/>
    </row>
    <row r="19" spans="1:28" ht="20.399999999999999" x14ac:dyDescent="0.25">
      <c r="A19" s="5" t="s">
        <v>14</v>
      </c>
      <c r="B19" s="10">
        <v>3.9182737024969225</v>
      </c>
      <c r="C19" s="10">
        <v>3.8940568531818225</v>
      </c>
      <c r="D19" s="10">
        <v>3.8523604076142051</v>
      </c>
      <c r="E19" s="10">
        <v>3.8798220405453061</v>
      </c>
      <c r="F19" s="10">
        <v>3.9315439410080844</v>
      </c>
      <c r="G19" s="29">
        <v>3.9477823723196264</v>
      </c>
      <c r="I19" s="10">
        <v>4.1716899452744629</v>
      </c>
      <c r="J19" s="10">
        <v>4.1130615695820971</v>
      </c>
      <c r="K19" s="58">
        <v>4.053601161515398</v>
      </c>
      <c r="L19" s="58">
        <v>4.0579992088692141</v>
      </c>
      <c r="M19" s="59">
        <v>3.8668570833211171</v>
      </c>
      <c r="N19" s="60">
        <v>3.9033095392718131</v>
      </c>
      <c r="O19" s="15"/>
      <c r="P19" s="10">
        <v>3.8908137083542731</v>
      </c>
      <c r="Q19" s="10">
        <v>3.931637247522072</v>
      </c>
      <c r="R19" s="58">
        <v>3.8403053855870244</v>
      </c>
      <c r="S19" s="58">
        <v>4.0012897293709688</v>
      </c>
      <c r="T19" s="59">
        <v>4.2347087228346316</v>
      </c>
      <c r="U19" s="60">
        <v>4.1259484068114833</v>
      </c>
      <c r="V19" s="15"/>
      <c r="W19" s="10">
        <v>3.8459304467557374</v>
      </c>
      <c r="X19" s="10">
        <v>3.7748502721237736</v>
      </c>
      <c r="Y19" s="58">
        <v>3.7620514755163419</v>
      </c>
      <c r="Z19" s="58">
        <v>3.7469973074607101</v>
      </c>
      <c r="AA19" s="59">
        <v>3.8599602438042435</v>
      </c>
      <c r="AB19" s="60">
        <v>3.8975056687092775</v>
      </c>
    </row>
    <row r="20" spans="1:28" ht="20.399999999999999" x14ac:dyDescent="0.25">
      <c r="A20" s="5" t="s">
        <v>15</v>
      </c>
      <c r="B20" s="10">
        <v>3.9453049481994524</v>
      </c>
      <c r="C20" s="10">
        <v>3.9038189339661939</v>
      </c>
      <c r="D20" s="10">
        <v>3.8472760366634207</v>
      </c>
      <c r="E20" s="10">
        <v>3.9972730314177793</v>
      </c>
      <c r="F20" s="10">
        <v>3.9088608909391027</v>
      </c>
      <c r="G20" s="29">
        <v>3.9237609086883367</v>
      </c>
      <c r="I20" s="10">
        <v>4.1055849733946967</v>
      </c>
      <c r="J20" s="10">
        <v>3.9582243991615464</v>
      </c>
      <c r="K20" s="58">
        <v>3.9076173765325173</v>
      </c>
      <c r="L20" s="58">
        <v>4.0626755521076792</v>
      </c>
      <c r="M20" s="59">
        <v>3.8055503983662287</v>
      </c>
      <c r="N20" s="60">
        <v>3.8837056506470877</v>
      </c>
      <c r="O20" s="15"/>
      <c r="P20" s="10">
        <v>4.0204918542165622</v>
      </c>
      <c r="Q20" s="10">
        <v>3.9044847849519204</v>
      </c>
      <c r="R20" s="58">
        <v>4.0455223459951268</v>
      </c>
      <c r="S20" s="58">
        <v>4.1827886268895655</v>
      </c>
      <c r="T20" s="59">
        <v>4.1140727994409785</v>
      </c>
      <c r="U20" s="60">
        <v>3.9999999999999987</v>
      </c>
      <c r="V20" s="15"/>
      <c r="W20" s="10">
        <v>3.8652681237302842</v>
      </c>
      <c r="X20" s="10">
        <v>3.8765946207079867</v>
      </c>
      <c r="Y20" s="58">
        <v>3.7342597250520155</v>
      </c>
      <c r="Z20" s="58">
        <v>3.8975125536169077</v>
      </c>
      <c r="AA20" s="59">
        <v>3.8903570584584171</v>
      </c>
      <c r="AB20" s="60">
        <v>3.9120405961758906</v>
      </c>
    </row>
    <row r="21" spans="1:28" x14ac:dyDescent="0.25">
      <c r="A21" s="5"/>
      <c r="B21" s="10"/>
      <c r="C21" s="10"/>
      <c r="D21" s="10"/>
      <c r="E21" s="10"/>
      <c r="F21" s="10"/>
      <c r="G21" s="29"/>
      <c r="I21" s="10"/>
      <c r="J21" s="10"/>
      <c r="K21" s="58"/>
      <c r="L21" s="58"/>
      <c r="M21" s="59"/>
      <c r="N21" s="60"/>
      <c r="O21" s="15"/>
      <c r="P21" s="10"/>
      <c r="Q21" s="10"/>
      <c r="R21" s="58"/>
      <c r="S21" s="58"/>
      <c r="T21" s="59"/>
      <c r="U21" s="60"/>
      <c r="V21" s="15"/>
      <c r="W21" s="10"/>
      <c r="X21" s="10"/>
      <c r="Y21" s="58"/>
      <c r="Z21" s="58"/>
      <c r="AA21" s="59"/>
      <c r="AB21" s="60"/>
    </row>
    <row r="22" spans="1:28" ht="20.399999999999999" x14ac:dyDescent="0.25">
      <c r="A22" s="5" t="s">
        <v>16</v>
      </c>
      <c r="B22" s="10">
        <v>3.8262955298391979</v>
      </c>
      <c r="C22" s="10">
        <v>3.7973673094278033</v>
      </c>
      <c r="D22" s="10">
        <v>3.7239254046177201</v>
      </c>
      <c r="E22" s="10">
        <v>3.8539831488641743</v>
      </c>
      <c r="F22" s="10">
        <v>3.8196712781583204</v>
      </c>
      <c r="G22" s="29">
        <v>3.7788390886941858</v>
      </c>
      <c r="I22" s="10">
        <v>3.9326876485765068</v>
      </c>
      <c r="J22" s="10">
        <v>3.8305105169449027</v>
      </c>
      <c r="K22" s="58">
        <v>3.6540040930376074</v>
      </c>
      <c r="L22" s="58">
        <v>3.9131401503803493</v>
      </c>
      <c r="M22" s="59">
        <v>3.615292253025661</v>
      </c>
      <c r="N22" s="60">
        <v>3.7594579335136009</v>
      </c>
      <c r="O22" s="15"/>
      <c r="P22" s="10">
        <v>3.91080391942823</v>
      </c>
      <c r="Q22" s="10">
        <v>3.7432603374683335</v>
      </c>
      <c r="R22" s="58">
        <v>3.9155825428723463</v>
      </c>
      <c r="S22" s="58">
        <v>4.1136151883889402</v>
      </c>
      <c r="T22" s="59">
        <v>4.0041991233657299</v>
      </c>
      <c r="U22" s="60">
        <v>3.8784029035446763</v>
      </c>
      <c r="V22" s="15"/>
      <c r="W22" s="10">
        <v>3.7612909567342974</v>
      </c>
      <c r="X22" s="10">
        <v>3.8025691934636443</v>
      </c>
      <c r="Y22" s="58">
        <v>3.6827465281341252</v>
      </c>
      <c r="Z22" s="58">
        <v>3.7341906348708851</v>
      </c>
      <c r="AA22" s="59">
        <v>3.8672201003175108</v>
      </c>
      <c r="AB22" s="60">
        <v>3.7507178993548949</v>
      </c>
    </row>
    <row r="23" spans="1:28" ht="20.399999999999999" x14ac:dyDescent="0.25">
      <c r="A23" s="5" t="s">
        <v>17</v>
      </c>
      <c r="B23" s="10">
        <v>3.9601574618779116</v>
      </c>
      <c r="C23" s="10">
        <v>3.9558999198277771</v>
      </c>
      <c r="D23" s="10">
        <v>3.8812099798219553</v>
      </c>
      <c r="E23" s="10">
        <v>3.9520132536823511</v>
      </c>
      <c r="F23" s="10">
        <v>3.9396510558287989</v>
      </c>
      <c r="G23" s="29">
        <v>3.9422306400785314</v>
      </c>
      <c r="I23" s="10">
        <v>4.0545593726092619</v>
      </c>
      <c r="J23" s="10">
        <v>4.0212891692323804</v>
      </c>
      <c r="K23" s="58">
        <v>3.8246573040026148</v>
      </c>
      <c r="L23" s="58">
        <v>4.0286443449158496</v>
      </c>
      <c r="M23" s="59">
        <v>3.7911433362820368</v>
      </c>
      <c r="N23" s="60">
        <v>3.874201610839906</v>
      </c>
      <c r="O23" s="15"/>
      <c r="P23" s="10">
        <v>4.0673668466273387</v>
      </c>
      <c r="Q23" s="10">
        <v>3.9736605070364495</v>
      </c>
      <c r="R23" s="58">
        <v>4.0491481040303672</v>
      </c>
      <c r="S23" s="58">
        <v>4.04172135014419</v>
      </c>
      <c r="T23" s="59">
        <v>4.2019027474288002</v>
      </c>
      <c r="U23" s="60">
        <v>4.1296625220079468</v>
      </c>
      <c r="V23" s="15"/>
      <c r="W23" s="10">
        <v>3.890291184652455</v>
      </c>
      <c r="X23" s="10">
        <v>3.9223648567952658</v>
      </c>
      <c r="Y23" s="58">
        <v>3.8425572319904613</v>
      </c>
      <c r="Z23" s="58">
        <v>3.8822294609655374</v>
      </c>
      <c r="AA23" s="59">
        <v>3.9446729835103347</v>
      </c>
      <c r="AB23" s="60">
        <v>3.9035699627410239</v>
      </c>
    </row>
    <row r="24" spans="1:28" ht="20.399999999999999" x14ac:dyDescent="0.25">
      <c r="A24" s="5" t="s">
        <v>18</v>
      </c>
      <c r="B24" s="10">
        <v>3.7130172868843268</v>
      </c>
      <c r="C24" s="10">
        <v>3.7375674137377546</v>
      </c>
      <c r="D24" s="10">
        <v>3.5677040888952916</v>
      </c>
      <c r="E24" s="10">
        <v>3.6910162982631034</v>
      </c>
      <c r="F24" s="10">
        <v>3.741020456593124</v>
      </c>
      <c r="G24" s="29">
        <v>3.7358081754493599</v>
      </c>
      <c r="I24" s="10">
        <v>3.8182121153077855</v>
      </c>
      <c r="J24" s="10">
        <v>3.8144804233395599</v>
      </c>
      <c r="K24" s="58">
        <v>3.532646028608069</v>
      </c>
      <c r="L24" s="58">
        <v>3.7069513537955729</v>
      </c>
      <c r="M24" s="59">
        <v>3.4094098788767249</v>
      </c>
      <c r="N24" s="60">
        <v>3.5301507540971029</v>
      </c>
      <c r="O24" s="15"/>
      <c r="P24" s="10">
        <v>3.6583277738052407</v>
      </c>
      <c r="Q24" s="10">
        <v>3.7508330444941067</v>
      </c>
      <c r="R24" s="58">
        <v>3.6023812026753079</v>
      </c>
      <c r="S24" s="58">
        <v>3.7794604659671167</v>
      </c>
      <c r="T24" s="59">
        <v>4.0298657306542784</v>
      </c>
      <c r="U24" s="60">
        <v>3.9244883556570209</v>
      </c>
      <c r="V24" s="15"/>
      <c r="W24" s="10">
        <v>3.6961933413419179</v>
      </c>
      <c r="X24" s="10">
        <v>3.694188304989741</v>
      </c>
      <c r="Y24" s="58">
        <v>3.5713409468640811</v>
      </c>
      <c r="Z24" s="58">
        <v>3.6522051224959764</v>
      </c>
      <c r="AA24" s="59">
        <v>3.8340619906181743</v>
      </c>
      <c r="AB24" s="60">
        <v>3.7629878867260107</v>
      </c>
    </row>
    <row r="25" spans="1:28" x14ac:dyDescent="0.25">
      <c r="A25" s="5" t="s">
        <v>19</v>
      </c>
      <c r="B25" s="10">
        <v>4.074543986198857</v>
      </c>
      <c r="C25" s="10">
        <v>4.0290904181772635</v>
      </c>
      <c r="D25" s="10">
        <v>3.9839943664038602</v>
      </c>
      <c r="E25" s="10">
        <v>4.0395632376636694</v>
      </c>
      <c r="F25" s="10">
        <v>4.0285994280890423</v>
      </c>
      <c r="G25" s="29">
        <v>4.0243644812952946</v>
      </c>
      <c r="I25" s="10">
        <v>4.0853905851862793</v>
      </c>
      <c r="J25" s="10">
        <v>4.0524696492168299</v>
      </c>
      <c r="K25" s="58">
        <v>3.9824390402390573</v>
      </c>
      <c r="L25" s="58">
        <v>4.0267379473122631</v>
      </c>
      <c r="M25" s="59">
        <v>3.8016109147667874</v>
      </c>
      <c r="N25" s="60">
        <v>3.9113992440389449</v>
      </c>
      <c r="O25" s="15"/>
      <c r="P25" s="10">
        <v>4.1780245164303764</v>
      </c>
      <c r="Q25" s="10">
        <v>4.0542188512015569</v>
      </c>
      <c r="R25" s="58">
        <v>4.1268968164179052</v>
      </c>
      <c r="S25" s="58">
        <v>4.1430359064070048</v>
      </c>
      <c r="T25" s="59">
        <v>4.3059693580359539</v>
      </c>
      <c r="U25" s="60">
        <v>4.1473029045149463</v>
      </c>
      <c r="V25" s="15"/>
      <c r="W25" s="10">
        <v>4.0350700611813624</v>
      </c>
      <c r="X25" s="10">
        <v>4.0030678514589599</v>
      </c>
      <c r="Y25" s="58">
        <v>3.933078561691628</v>
      </c>
      <c r="Z25" s="58">
        <v>4.0116870207149882</v>
      </c>
      <c r="AA25" s="59">
        <v>4.0684112770912328</v>
      </c>
      <c r="AB25" s="60">
        <v>4.0326015510641655</v>
      </c>
    </row>
    <row r="26" spans="1:28" x14ac:dyDescent="0.25">
      <c r="A26" s="5"/>
      <c r="B26" s="10"/>
      <c r="C26" s="10"/>
      <c r="D26" s="10"/>
      <c r="E26" s="10"/>
      <c r="F26" s="10"/>
      <c r="G26" s="29"/>
      <c r="I26" s="10"/>
      <c r="J26" s="10"/>
      <c r="K26" s="58"/>
      <c r="L26" s="58"/>
      <c r="M26" s="59"/>
      <c r="N26" s="60"/>
      <c r="O26" s="15"/>
      <c r="P26" s="10"/>
      <c r="Q26" s="10"/>
      <c r="R26" s="58"/>
      <c r="S26" s="58"/>
      <c r="T26" s="59"/>
      <c r="U26" s="60"/>
      <c r="V26" s="15"/>
      <c r="W26" s="10"/>
      <c r="X26" s="10"/>
      <c r="Y26" s="58"/>
      <c r="Z26" s="58"/>
      <c r="AA26" s="59"/>
      <c r="AB26" s="60"/>
    </row>
    <row r="27" spans="1:28" x14ac:dyDescent="0.25">
      <c r="A27" s="5" t="s">
        <v>20</v>
      </c>
      <c r="B27" s="10">
        <v>4.0431716055096141</v>
      </c>
      <c r="C27" s="10">
        <v>3.9176219262072136</v>
      </c>
      <c r="D27" s="10">
        <v>3.9954495523098377</v>
      </c>
      <c r="E27" s="10">
        <v>3.9638984850166552</v>
      </c>
      <c r="F27" s="10">
        <v>3.9431380053961345</v>
      </c>
      <c r="G27" s="29">
        <v>3.9930971606488335</v>
      </c>
      <c r="I27" s="10">
        <v>4.1077958164782347</v>
      </c>
      <c r="J27" s="10">
        <v>4.0057693923928452</v>
      </c>
      <c r="K27" s="58">
        <v>4.0431822497003429</v>
      </c>
      <c r="L27" s="58">
        <v>4.0580167556039708</v>
      </c>
      <c r="M27" s="59">
        <v>3.8295715661486525</v>
      </c>
      <c r="N27" s="60">
        <v>3.927505888569311</v>
      </c>
      <c r="O27" s="15"/>
      <c r="P27" s="10">
        <v>4.0012801914651979</v>
      </c>
      <c r="Q27" s="10">
        <v>3.93490997117748</v>
      </c>
      <c r="R27" s="58">
        <v>4.0553014465351396</v>
      </c>
      <c r="S27" s="58">
        <v>3.9057341288391552</v>
      </c>
      <c r="T27" s="59">
        <v>3.9761340951902424</v>
      </c>
      <c r="U27" s="60">
        <v>4.0825656776822603</v>
      </c>
      <c r="V27" s="15"/>
      <c r="W27" s="10">
        <v>4.0367312338623638</v>
      </c>
      <c r="X27" s="10">
        <v>3.8692372850374888</v>
      </c>
      <c r="Y27" s="58">
        <v>3.9559660815312747</v>
      </c>
      <c r="Z27" s="58">
        <v>3.9358436191475068</v>
      </c>
      <c r="AA27" s="59">
        <v>3.9909728775142264</v>
      </c>
      <c r="AB27" s="60">
        <v>3.9917480239782384</v>
      </c>
    </row>
    <row r="28" spans="1:28" x14ac:dyDescent="0.25">
      <c r="A28" s="5" t="s">
        <v>21</v>
      </c>
      <c r="B28" s="10">
        <v>4.0793087949735174</v>
      </c>
      <c r="C28" s="10">
        <v>3.9552992234908029</v>
      </c>
      <c r="D28" s="10">
        <v>4.0599397463780367</v>
      </c>
      <c r="E28" s="10">
        <v>4.0241472065382391</v>
      </c>
      <c r="F28" s="10">
        <v>4.0207604983077641</v>
      </c>
      <c r="G28" s="29">
        <v>4.0769598470993165</v>
      </c>
      <c r="I28" s="10">
        <v>4.0706245358066919</v>
      </c>
      <c r="J28" s="10">
        <v>3.9146220483170584</v>
      </c>
      <c r="K28" s="58">
        <v>3.9886186794780443</v>
      </c>
      <c r="L28" s="58">
        <v>4.0083746307225967</v>
      </c>
      <c r="M28" s="59">
        <v>3.8454426395641028</v>
      </c>
      <c r="N28" s="60">
        <v>3.9677419357373696</v>
      </c>
      <c r="O28" s="15"/>
      <c r="P28" s="10">
        <v>3.8093766732793588</v>
      </c>
      <c r="Q28" s="10">
        <v>3.8434904822465734</v>
      </c>
      <c r="R28" s="58">
        <v>4.0830237013339827</v>
      </c>
      <c r="S28" s="58">
        <v>3.9198572470274406</v>
      </c>
      <c r="T28" s="59">
        <v>3.9843339432690454</v>
      </c>
      <c r="U28" s="60">
        <v>4.0057245088619737</v>
      </c>
      <c r="V28" s="15"/>
      <c r="W28" s="10">
        <v>4.163658867346844</v>
      </c>
      <c r="X28" s="10">
        <v>4.0039871986064854</v>
      </c>
      <c r="Y28" s="58">
        <v>4.0806225592221965</v>
      </c>
      <c r="Z28" s="58">
        <v>4.0631671511324914</v>
      </c>
      <c r="AA28" s="59">
        <v>4.1149022639067292</v>
      </c>
      <c r="AB28" s="60">
        <v>4.1466570810152881</v>
      </c>
    </row>
    <row r="29" spans="1:28" x14ac:dyDescent="0.25">
      <c r="A29" s="5" t="s">
        <v>22</v>
      </c>
      <c r="B29" s="10">
        <v>3.8854963713813122</v>
      </c>
      <c r="C29" s="10">
        <v>3.7364899390963151</v>
      </c>
      <c r="D29" s="10">
        <v>3.7634243192083461</v>
      </c>
      <c r="E29" s="10">
        <v>3.764133332651626</v>
      </c>
      <c r="F29" s="10">
        <v>3.7816239903504956</v>
      </c>
      <c r="G29" s="29">
        <v>3.8085970776028799</v>
      </c>
      <c r="I29" s="10">
        <v>4.1565850604224961</v>
      </c>
      <c r="J29" s="10">
        <v>3.9275792713375819</v>
      </c>
      <c r="K29" s="58">
        <v>3.9023384640579351</v>
      </c>
      <c r="L29" s="58">
        <v>4.0275127147409231</v>
      </c>
      <c r="M29" s="59">
        <v>3.834367793132035</v>
      </c>
      <c r="N29" s="60">
        <v>3.9229352974151888</v>
      </c>
      <c r="O29" s="15"/>
      <c r="P29" s="10">
        <v>4.1339688331375068</v>
      </c>
      <c r="Q29" s="10">
        <v>4.0898787671758656</v>
      </c>
      <c r="R29" s="58">
        <v>4.1651685753270966</v>
      </c>
      <c r="S29" s="58">
        <v>4.0731314133285856</v>
      </c>
      <c r="T29" s="59">
        <v>4.0319830964450842</v>
      </c>
      <c r="U29" s="60">
        <v>4.0000000009456578</v>
      </c>
      <c r="V29" s="15"/>
      <c r="W29" s="10">
        <v>3.7318289852030846</v>
      </c>
      <c r="X29" s="10">
        <v>3.5174151569618961</v>
      </c>
      <c r="Y29" s="58">
        <v>3.573071623786622</v>
      </c>
      <c r="Z29" s="58">
        <v>3.5406251902435577</v>
      </c>
      <c r="AA29" s="59">
        <v>3.6816243936257869</v>
      </c>
      <c r="AB29" s="60">
        <v>3.6925596628418824</v>
      </c>
    </row>
    <row r="30" spans="1:28" x14ac:dyDescent="0.25">
      <c r="A30" s="5" t="s">
        <v>23</v>
      </c>
      <c r="B30" s="10">
        <v>3.900846858166032</v>
      </c>
      <c r="C30" s="10">
        <v>3.5362890082736875</v>
      </c>
      <c r="D30" s="10">
        <v>3.5809805329820241</v>
      </c>
      <c r="E30" s="10">
        <v>3.6370147876586549</v>
      </c>
      <c r="F30" s="10">
        <v>3.6632078114532463</v>
      </c>
      <c r="G30" s="29">
        <v>3.6956080222129524</v>
      </c>
      <c r="I30" s="10">
        <v>3.7139432158096963</v>
      </c>
      <c r="J30" s="10">
        <v>3.1613409920750906</v>
      </c>
      <c r="K30" s="58">
        <v>3.0752459602397213</v>
      </c>
      <c r="L30" s="58">
        <v>3.516753296690255</v>
      </c>
      <c r="M30" s="59">
        <v>3.2065150230479467</v>
      </c>
      <c r="N30" s="60">
        <v>3.4237012993034321</v>
      </c>
      <c r="O30" s="15"/>
      <c r="P30" s="10">
        <v>4.3088282924736365</v>
      </c>
      <c r="Q30" s="10">
        <v>3.4897708658923161</v>
      </c>
      <c r="R30" s="58">
        <v>3.5054363424677026</v>
      </c>
      <c r="S30" s="58">
        <v>4.2859004458137511</v>
      </c>
      <c r="T30" s="59">
        <v>3.6212791878667128</v>
      </c>
      <c r="U30" s="60">
        <v>3.3917995444905533</v>
      </c>
      <c r="V30" s="15"/>
      <c r="W30" s="10">
        <v>3.8669748356086364</v>
      </c>
      <c r="X30" s="10">
        <v>3.5796025997040122</v>
      </c>
      <c r="Y30" s="58">
        <v>3.6887327734326942</v>
      </c>
      <c r="Z30" s="58">
        <v>3.6113257439681443</v>
      </c>
      <c r="AA30" s="59">
        <v>3.829823644864133</v>
      </c>
      <c r="AB30" s="60">
        <v>3.7999306514808646</v>
      </c>
    </row>
    <row r="31" spans="1:28" x14ac:dyDescent="0.25">
      <c r="A31" s="5"/>
      <c r="B31" s="10"/>
      <c r="C31" s="10"/>
      <c r="D31" s="10"/>
      <c r="E31" s="10"/>
      <c r="F31" s="10"/>
      <c r="G31" s="29"/>
      <c r="I31" s="10"/>
      <c r="J31" s="10"/>
      <c r="K31" s="58"/>
      <c r="L31" s="58"/>
      <c r="M31" s="59"/>
      <c r="N31" s="60"/>
      <c r="O31" s="15"/>
      <c r="P31" s="10"/>
      <c r="Q31" s="10"/>
      <c r="R31" s="58"/>
      <c r="S31" s="58"/>
      <c r="T31" s="59"/>
      <c r="U31" s="60"/>
      <c r="V31" s="15"/>
      <c r="W31" s="10"/>
      <c r="X31" s="10"/>
      <c r="Y31" s="58"/>
      <c r="Z31" s="58"/>
      <c r="AA31" s="59"/>
      <c r="AB31" s="60"/>
    </row>
    <row r="32" spans="1:28" x14ac:dyDescent="0.25">
      <c r="A32" s="5" t="s">
        <v>24</v>
      </c>
      <c r="B32" s="10">
        <v>4.0338182887633929</v>
      </c>
      <c r="C32" s="10">
        <v>3.904442962533107</v>
      </c>
      <c r="D32" s="10">
        <v>3.9379847353609594</v>
      </c>
      <c r="E32" s="10">
        <v>3.9735194784233556</v>
      </c>
      <c r="F32" s="10">
        <v>4.0164410043213685</v>
      </c>
      <c r="G32" s="29">
        <v>3.9726352902635864</v>
      </c>
      <c r="I32" s="10">
        <v>4.0431952834423184</v>
      </c>
      <c r="J32" s="10">
        <v>3.8635469178024664</v>
      </c>
      <c r="K32" s="58">
        <v>3.8702702314022304</v>
      </c>
      <c r="L32" s="58">
        <v>4.0309579533737461</v>
      </c>
      <c r="M32" s="59">
        <v>3.9174249621430572</v>
      </c>
      <c r="N32" s="60">
        <v>3.8458759785428294</v>
      </c>
      <c r="O32" s="15"/>
      <c r="P32" s="10">
        <v>4.0930345182422441</v>
      </c>
      <c r="Q32" s="10">
        <v>3.8708780693207263</v>
      </c>
      <c r="R32" s="58">
        <v>4.1049393030144259</v>
      </c>
      <c r="S32" s="58">
        <v>4.1002315336356681</v>
      </c>
      <c r="T32" s="59">
        <v>4.041759889356757</v>
      </c>
      <c r="U32" s="60">
        <v>4.0544354838351637</v>
      </c>
      <c r="V32" s="15"/>
      <c r="W32" s="10">
        <v>4.0132034533928476</v>
      </c>
      <c r="X32" s="10">
        <v>3.9227428423694866</v>
      </c>
      <c r="Y32" s="58">
        <v>3.9075201560641744</v>
      </c>
      <c r="Z32" s="58">
        <v>3.9071675065827574</v>
      </c>
      <c r="AA32" s="59">
        <v>4.057285172144609</v>
      </c>
      <c r="AB32" s="60">
        <v>4.0027609052041484</v>
      </c>
    </row>
    <row r="33" spans="1:28" x14ac:dyDescent="0.25">
      <c r="A33" s="5" t="s">
        <v>25</v>
      </c>
      <c r="B33" s="10">
        <v>3.6486914607187364</v>
      </c>
      <c r="C33" s="10">
        <v>3.5402871859370597</v>
      </c>
      <c r="D33" s="10">
        <v>3.4841194054879301</v>
      </c>
      <c r="E33" s="10">
        <v>3.5599996116634043</v>
      </c>
      <c r="F33" s="10">
        <v>3.6229120773998558</v>
      </c>
      <c r="G33" s="29">
        <v>3.6003012580918243</v>
      </c>
      <c r="I33" s="10">
        <v>3.1496205368542882</v>
      </c>
      <c r="J33" s="10">
        <v>3.0966653815061425</v>
      </c>
      <c r="K33" s="58">
        <v>3.3015323483774401</v>
      </c>
      <c r="L33" s="58">
        <v>3.379781522891748</v>
      </c>
      <c r="M33" s="59">
        <v>3.0855460522723011</v>
      </c>
      <c r="N33" s="60">
        <v>3.2625411936698296</v>
      </c>
      <c r="O33" s="15"/>
      <c r="P33" s="10">
        <v>3.1796858715459781</v>
      </c>
      <c r="Q33" s="10">
        <v>3.1390256826249261</v>
      </c>
      <c r="R33" s="58">
        <v>3.1531678916988266</v>
      </c>
      <c r="S33" s="58">
        <v>3.0600967803963521</v>
      </c>
      <c r="T33" s="59">
        <v>3.5033915987875646</v>
      </c>
      <c r="U33" s="60">
        <v>3.309283309406867</v>
      </c>
      <c r="V33" s="15"/>
      <c r="W33" s="10">
        <v>3.9167993635851284</v>
      </c>
      <c r="X33" s="10">
        <v>3.8161596147432841</v>
      </c>
      <c r="Y33" s="58">
        <v>3.6454958838353444</v>
      </c>
      <c r="Z33" s="58">
        <v>3.7867009779716283</v>
      </c>
      <c r="AA33" s="59">
        <v>3.9336875368398907</v>
      </c>
      <c r="AB33" s="60">
        <v>3.8361642989220064</v>
      </c>
    </row>
    <row r="34" spans="1:28" ht="20.399999999999999" x14ac:dyDescent="0.25">
      <c r="A34" s="5" t="s">
        <v>26</v>
      </c>
      <c r="B34" s="10">
        <v>2.9399489832139212</v>
      </c>
      <c r="C34" s="10">
        <v>2.8669595100006062</v>
      </c>
      <c r="D34" s="10">
        <v>2.8570869064509026</v>
      </c>
      <c r="E34" s="10">
        <v>2.8397281194156268</v>
      </c>
      <c r="F34" s="10">
        <v>2.9227224586432876</v>
      </c>
      <c r="G34" s="29">
        <v>2.8473187243454214</v>
      </c>
      <c r="I34" s="10">
        <v>2.8132440895662119</v>
      </c>
      <c r="J34" s="10">
        <v>2.7025142169946172</v>
      </c>
      <c r="K34" s="58">
        <v>2.8760631270433032</v>
      </c>
      <c r="L34" s="58">
        <v>2.7216377847084621</v>
      </c>
      <c r="M34" s="59">
        <v>2.6205787031814656</v>
      </c>
      <c r="N34" s="60">
        <v>2.7465454545687504</v>
      </c>
      <c r="O34" s="15"/>
      <c r="P34" s="10">
        <v>2.7086145432283937</v>
      </c>
      <c r="Q34" s="10">
        <v>2.76251889954866</v>
      </c>
      <c r="R34" s="58">
        <v>2.7668392626461706</v>
      </c>
      <c r="S34" s="58">
        <v>2.7139001206931996</v>
      </c>
      <c r="T34" s="59">
        <v>3.108318009140234</v>
      </c>
      <c r="U34" s="60">
        <v>2.7963757749278151</v>
      </c>
      <c r="V34" s="15"/>
      <c r="W34" s="10">
        <v>3.038766798962699</v>
      </c>
      <c r="X34" s="10">
        <v>2.9566406916891821</v>
      </c>
      <c r="Y34" s="58">
        <v>2.8760179564594313</v>
      </c>
      <c r="Z34" s="58">
        <v>2.9295994235380269</v>
      </c>
      <c r="AA34" s="59">
        <v>3.0299863854910747</v>
      </c>
      <c r="AB34" s="60">
        <v>2.9075090139263224</v>
      </c>
    </row>
    <row r="35" spans="1:28" x14ac:dyDescent="0.25">
      <c r="A35" s="5" t="s">
        <v>27</v>
      </c>
      <c r="B35" s="10">
        <v>3.6835406140202269</v>
      </c>
      <c r="C35" s="10">
        <v>3.4812170572328349</v>
      </c>
      <c r="D35" s="10">
        <v>3.5823495622105885</v>
      </c>
      <c r="E35" s="10">
        <v>3.5750481170726931</v>
      </c>
      <c r="F35" s="10">
        <v>3.5310521742147172</v>
      </c>
      <c r="G35" s="29">
        <v>3.551834130537419</v>
      </c>
      <c r="I35" s="10">
        <v>3.7481409711316185</v>
      </c>
      <c r="J35" s="10">
        <v>3.1543987065229264</v>
      </c>
      <c r="K35" s="58">
        <v>3.2300952663400935</v>
      </c>
      <c r="L35" s="58">
        <v>3.4956881674094116</v>
      </c>
      <c r="M35" s="59">
        <v>3.1866274420781413</v>
      </c>
      <c r="N35" s="60">
        <v>3.3833865815258455</v>
      </c>
      <c r="O35" s="15"/>
      <c r="P35" s="10">
        <v>3.5606793678515953</v>
      </c>
      <c r="Q35" s="10">
        <v>3.5812473320485227</v>
      </c>
      <c r="R35" s="58">
        <v>3.6812924648054643</v>
      </c>
      <c r="S35" s="58">
        <v>3.588573844550726</v>
      </c>
      <c r="T35" s="59">
        <v>3.4060756362851663</v>
      </c>
      <c r="U35" s="60">
        <v>3.4054404152837523</v>
      </c>
      <c r="V35" s="15"/>
      <c r="W35" s="10">
        <v>3.7071893076479552</v>
      </c>
      <c r="X35" s="10">
        <v>3.5120135941280872</v>
      </c>
      <c r="Y35" s="58">
        <v>3.6646100501193604</v>
      </c>
      <c r="Z35" s="58">
        <v>3.6008620790217689</v>
      </c>
      <c r="AA35" s="59">
        <v>3.7080310596296835</v>
      </c>
      <c r="AB35" s="60">
        <v>3.6530993273165393</v>
      </c>
    </row>
    <row r="36" spans="1:28" x14ac:dyDescent="0.25">
      <c r="A36" s="5" t="s">
        <v>28</v>
      </c>
      <c r="B36" s="10">
        <v>3.4676125543966538</v>
      </c>
      <c r="C36" s="10">
        <v>3.3975586918609761</v>
      </c>
      <c r="D36" s="10">
        <v>3.4125447727101421</v>
      </c>
      <c r="E36" s="10">
        <v>3.3639085367346202</v>
      </c>
      <c r="F36" s="10">
        <v>3.4577359658210018</v>
      </c>
      <c r="G36" s="29">
        <v>3.4791638016942712</v>
      </c>
      <c r="I36" s="10">
        <v>2.9460735825613087</v>
      </c>
      <c r="J36" s="10">
        <v>3.0203175865317133</v>
      </c>
      <c r="K36" s="58">
        <v>3.0897489070444171</v>
      </c>
      <c r="L36" s="58">
        <v>3.3360436275960521</v>
      </c>
      <c r="M36" s="59">
        <v>3.0465434623978016</v>
      </c>
      <c r="N36" s="60">
        <v>3.293937538446543</v>
      </c>
      <c r="O36" s="15"/>
      <c r="P36" s="10">
        <v>3.0007157729158815</v>
      </c>
      <c r="Q36" s="10">
        <v>2.8841510019017469</v>
      </c>
      <c r="R36" s="58">
        <v>2.889970201555494</v>
      </c>
      <c r="S36" s="58">
        <v>2.9811794846999877</v>
      </c>
      <c r="T36" s="59">
        <v>2.9469601439332487</v>
      </c>
      <c r="U36" s="60">
        <v>3.2349849854271779</v>
      </c>
      <c r="V36" s="15"/>
      <c r="W36" s="10">
        <v>3.7339344326584034</v>
      </c>
      <c r="X36" s="10">
        <v>3.6971086015043348</v>
      </c>
      <c r="Y36" s="58">
        <v>3.6786503372903891</v>
      </c>
      <c r="Z36" s="58">
        <v>3.4856622968585675</v>
      </c>
      <c r="AA36" s="59">
        <v>3.7801606137193691</v>
      </c>
      <c r="AB36" s="60">
        <v>3.6249419417884927</v>
      </c>
    </row>
    <row r="37" spans="1:28" ht="20.399999999999999" x14ac:dyDescent="0.25">
      <c r="A37" s="5" t="s">
        <v>29</v>
      </c>
      <c r="B37" s="10">
        <v>3.0372650311101688</v>
      </c>
      <c r="C37" s="10">
        <v>2.9716034432941409</v>
      </c>
      <c r="D37" s="10">
        <v>2.9238774709422479</v>
      </c>
      <c r="E37" s="10">
        <v>2.9712516854086126</v>
      </c>
      <c r="F37" s="10">
        <v>2.8770775748511541</v>
      </c>
      <c r="G37" s="29">
        <v>2.9950099801237413</v>
      </c>
      <c r="I37" s="10">
        <v>2.9396689559722762</v>
      </c>
      <c r="J37" s="10">
        <v>2.6906986194161422</v>
      </c>
      <c r="K37" s="58">
        <v>2.8400048324564935</v>
      </c>
      <c r="L37" s="58">
        <v>2.947121752235724</v>
      </c>
      <c r="M37" s="59">
        <v>2.5076753577374093</v>
      </c>
      <c r="N37" s="60">
        <v>2.8367217282579911</v>
      </c>
      <c r="O37" s="15"/>
      <c r="P37" s="10">
        <v>2.9184201233351952</v>
      </c>
      <c r="Q37" s="10">
        <v>2.7971786913949384</v>
      </c>
      <c r="R37" s="58">
        <v>2.7034205424650501</v>
      </c>
      <c r="S37" s="58">
        <v>3.1198228594376229</v>
      </c>
      <c r="T37" s="59">
        <v>2.6172084704269478</v>
      </c>
      <c r="U37" s="60">
        <v>2.8404494381837115</v>
      </c>
      <c r="V37" s="15"/>
      <c r="W37" s="10">
        <v>3.097748139242305</v>
      </c>
      <c r="X37" s="10">
        <v>3.119410159787444</v>
      </c>
      <c r="Y37" s="58">
        <v>3.0095840551646726</v>
      </c>
      <c r="Z37" s="58">
        <v>2.9409321499345795</v>
      </c>
      <c r="AA37" s="59">
        <v>3.0800086295901976</v>
      </c>
      <c r="AB37" s="60">
        <v>3.1059683314731839</v>
      </c>
    </row>
    <row r="38" spans="1:28" x14ac:dyDescent="0.25">
      <c r="A38" s="5" t="s">
        <v>30</v>
      </c>
      <c r="B38" s="10">
        <v>3.786499818227548</v>
      </c>
      <c r="C38" s="10">
        <v>3.3061271682624147</v>
      </c>
      <c r="D38" s="10">
        <v>3.2825921782751184</v>
      </c>
      <c r="E38" s="10">
        <v>3.1062077908673897</v>
      </c>
      <c r="F38" s="10">
        <v>2.8926137006246186</v>
      </c>
      <c r="G38" s="29">
        <v>2.806161480818512</v>
      </c>
      <c r="I38" s="10">
        <v>3.7719382956319523</v>
      </c>
      <c r="J38" s="10">
        <v>3.3704756512163971</v>
      </c>
      <c r="K38" s="58">
        <v>3.1494706174305911</v>
      </c>
      <c r="L38" s="58">
        <v>3.145283732864963</v>
      </c>
      <c r="M38" s="59">
        <v>2.6747532838868335</v>
      </c>
      <c r="N38" s="60">
        <v>2.8871037775665811</v>
      </c>
      <c r="O38" s="15"/>
      <c r="P38" s="10">
        <v>3.7164071837573456</v>
      </c>
      <c r="Q38" s="10">
        <v>3.3014156597600492</v>
      </c>
      <c r="R38" s="58">
        <v>2.9910080360314426</v>
      </c>
      <c r="S38" s="58">
        <v>2.9470612216720031</v>
      </c>
      <c r="T38" s="59">
        <v>2.6125010725860434</v>
      </c>
      <c r="U38" s="60">
        <v>2.6756085448210545</v>
      </c>
      <c r="V38" s="15"/>
      <c r="W38" s="10">
        <v>3.811378941331768</v>
      </c>
      <c r="X38" s="10">
        <v>3.2771108778059648</v>
      </c>
      <c r="Y38" s="58">
        <v>3.4171443037810181</v>
      </c>
      <c r="Z38" s="58">
        <v>3.144189257642116</v>
      </c>
      <c r="AA38" s="59">
        <v>3.065907514400831</v>
      </c>
      <c r="AB38" s="60">
        <v>2.8204218784178607</v>
      </c>
    </row>
    <row r="39" spans="1:28" ht="20.399999999999999" x14ac:dyDescent="0.25">
      <c r="A39" s="5" t="s">
        <v>31</v>
      </c>
      <c r="B39" s="10">
        <v>3.5352793196650278</v>
      </c>
      <c r="C39" s="10">
        <v>3.5555738375418673</v>
      </c>
      <c r="D39" s="10">
        <v>3.2598247630673054</v>
      </c>
      <c r="E39" s="10">
        <v>3.4157417471091378</v>
      </c>
      <c r="F39" s="10">
        <v>3.4458226564742689</v>
      </c>
      <c r="G39" s="29">
        <v>3.4763841098023756</v>
      </c>
      <c r="I39" s="10">
        <v>3.3538130650511562</v>
      </c>
      <c r="J39" s="10">
        <v>3.1706262478901559</v>
      </c>
      <c r="K39" s="58">
        <v>3.0015300743390525</v>
      </c>
      <c r="L39" s="58">
        <v>3.30930807956952</v>
      </c>
      <c r="M39" s="59">
        <v>3.2191891997770719</v>
      </c>
      <c r="N39" s="60">
        <v>3.4335483867713639</v>
      </c>
      <c r="O39" s="15"/>
      <c r="P39" s="10">
        <v>3.163556916130998</v>
      </c>
      <c r="Q39" s="10">
        <v>3.3731075152177215</v>
      </c>
      <c r="R39" s="58">
        <v>3.2172156773071063</v>
      </c>
      <c r="S39" s="58">
        <v>3.3234011492561075</v>
      </c>
      <c r="T39" s="59">
        <v>3.178204952069914</v>
      </c>
      <c r="U39" s="60">
        <v>3.6623586438418569</v>
      </c>
      <c r="V39" s="15"/>
      <c r="W39" s="10">
        <v>3.6690820180370265</v>
      </c>
      <c r="X39" s="10">
        <v>3.7317204731192963</v>
      </c>
      <c r="Y39" s="58">
        <v>3.3226090283594667</v>
      </c>
      <c r="Z39" s="58">
        <v>3.4743262845196008</v>
      </c>
      <c r="AA39" s="59">
        <v>3.6254379801901493</v>
      </c>
      <c r="AB39" s="60">
        <v>3.4309484187625956</v>
      </c>
    </row>
    <row r="40" spans="1:28" ht="20.399999999999999" x14ac:dyDescent="0.25">
      <c r="A40" s="5" t="s">
        <v>32</v>
      </c>
      <c r="B40" s="10">
        <v>3.7763692787651642</v>
      </c>
      <c r="C40" s="10">
        <v>3.6553875221335175</v>
      </c>
      <c r="D40" s="10">
        <v>3.6619293199494303</v>
      </c>
      <c r="E40" s="10">
        <v>3.7305770064671617</v>
      </c>
      <c r="F40" s="10">
        <v>3.5817970605597376</v>
      </c>
      <c r="G40" s="29">
        <v>3.7132942958817741</v>
      </c>
      <c r="I40" s="10">
        <v>3.5830193796131136</v>
      </c>
      <c r="J40" s="10">
        <v>3.4526777697062561</v>
      </c>
      <c r="K40" s="58">
        <v>3.7017783609289294</v>
      </c>
      <c r="L40" s="58">
        <v>3.5817684907176961</v>
      </c>
      <c r="M40" s="59">
        <v>3.3890640813007713</v>
      </c>
      <c r="N40" s="60">
        <v>3.567945286932062</v>
      </c>
      <c r="O40" s="15"/>
      <c r="P40" s="10">
        <v>3.8776574984336061</v>
      </c>
      <c r="Q40" s="10">
        <v>3.8951785750511601</v>
      </c>
      <c r="R40" s="58">
        <v>3.8719037214833132</v>
      </c>
      <c r="S40" s="58">
        <v>3.8534597773329522</v>
      </c>
      <c r="T40" s="59">
        <v>3.8200606293485695</v>
      </c>
      <c r="U40" s="60">
        <v>3.9127071820963701</v>
      </c>
      <c r="V40" s="15"/>
      <c r="W40" s="10">
        <v>3.8000057363574977</v>
      </c>
      <c r="X40" s="10">
        <v>3.6338811659528307</v>
      </c>
      <c r="Y40" s="58">
        <v>3.5757218859214395</v>
      </c>
      <c r="Z40" s="58">
        <v>3.7614881985982369</v>
      </c>
      <c r="AA40" s="59">
        <v>3.6105683095962653</v>
      </c>
      <c r="AB40" s="60">
        <v>3.7065119274591845</v>
      </c>
    </row>
    <row r="41" spans="1:28" ht="20.399999999999999" x14ac:dyDescent="0.25">
      <c r="A41" s="5" t="s">
        <v>33</v>
      </c>
      <c r="B41" s="10">
        <v>3.5916352077707021</v>
      </c>
      <c r="C41" s="10">
        <v>3.4186991810195622</v>
      </c>
      <c r="D41" s="10">
        <v>3.3885715475781444</v>
      </c>
      <c r="E41" s="10">
        <v>3.4695557901565155</v>
      </c>
      <c r="F41" s="10">
        <v>3.4187795147819018</v>
      </c>
      <c r="G41" s="29">
        <v>3.4897557416575204</v>
      </c>
      <c r="I41" s="10">
        <v>3.6376576285789826</v>
      </c>
      <c r="J41" s="10">
        <v>3.4248750126771754</v>
      </c>
      <c r="K41" s="58">
        <v>3.5605398504567454</v>
      </c>
      <c r="L41" s="58">
        <v>3.4773168784075987</v>
      </c>
      <c r="M41" s="59">
        <v>3.3313258317866081</v>
      </c>
      <c r="N41" s="60">
        <v>3.3881578949101492</v>
      </c>
      <c r="O41" s="15"/>
      <c r="P41" s="10">
        <v>3.6690125095986179</v>
      </c>
      <c r="Q41" s="10">
        <v>3.6900283561266143</v>
      </c>
      <c r="R41" s="58">
        <v>3.7672792669646658</v>
      </c>
      <c r="S41" s="58">
        <v>3.6659040101082425</v>
      </c>
      <c r="T41" s="59">
        <v>3.5873348384746664</v>
      </c>
      <c r="U41" s="60">
        <v>3.7437452617176459</v>
      </c>
      <c r="V41" s="15"/>
      <c r="W41" s="10">
        <v>3.5552289675347724</v>
      </c>
      <c r="X41" s="10">
        <v>3.3072353476051028</v>
      </c>
      <c r="Y41" s="58">
        <v>3.2005605040217469</v>
      </c>
      <c r="Z41" s="58">
        <v>3.4100165212675555</v>
      </c>
      <c r="AA41" s="59">
        <v>3.4139243921627398</v>
      </c>
      <c r="AB41" s="60">
        <v>3.4470451309480095</v>
      </c>
    </row>
    <row r="42" spans="1:28" ht="20.399999999999999" x14ac:dyDescent="0.25">
      <c r="A42" s="5" t="s">
        <v>34</v>
      </c>
      <c r="B42" s="10">
        <v>3.7457369850014111</v>
      </c>
      <c r="C42" s="10">
        <v>3.5738408128045931</v>
      </c>
      <c r="D42" s="10">
        <v>3.531352140409338</v>
      </c>
      <c r="E42" s="10">
        <v>3.5650777789343944</v>
      </c>
      <c r="F42" s="10">
        <v>3.5737699259493696</v>
      </c>
      <c r="G42" s="29">
        <v>3.5773536551214544</v>
      </c>
      <c r="I42" s="10">
        <v>3.4006662556832699</v>
      </c>
      <c r="J42" s="10">
        <v>3.360200616576444</v>
      </c>
      <c r="K42" s="58">
        <v>3.5129421318638459</v>
      </c>
      <c r="L42" s="58">
        <v>3.4981938444714906</v>
      </c>
      <c r="M42" s="59">
        <v>3.3709194475598792</v>
      </c>
      <c r="N42" s="60">
        <v>3.4104756815784096</v>
      </c>
      <c r="O42" s="15"/>
      <c r="P42" s="10">
        <v>3.5824068442072563</v>
      </c>
      <c r="Q42" s="10">
        <v>3.6311794450255017</v>
      </c>
      <c r="R42" s="58">
        <v>3.53231247004152</v>
      </c>
      <c r="S42" s="58">
        <v>3.5548083116509024</v>
      </c>
      <c r="T42" s="59">
        <v>3.5814687434291592</v>
      </c>
      <c r="U42" s="60">
        <v>3.7758436949801317</v>
      </c>
      <c r="V42" s="15"/>
      <c r="W42" s="10">
        <v>3.8934588135321331</v>
      </c>
      <c r="X42" s="10">
        <v>3.6289813767597368</v>
      </c>
      <c r="Y42" s="58">
        <v>3.5387315082093691</v>
      </c>
      <c r="Z42" s="58">
        <v>3.5994284752846135</v>
      </c>
      <c r="AA42" s="59">
        <v>3.674656358725982</v>
      </c>
      <c r="AB42" s="60">
        <v>3.5852980290626451</v>
      </c>
    </row>
    <row r="43" spans="1:28" x14ac:dyDescent="0.25">
      <c r="A43" s="5"/>
      <c r="B43" s="10"/>
      <c r="C43" s="10"/>
      <c r="D43" s="10"/>
      <c r="E43" s="10"/>
      <c r="F43" s="10"/>
      <c r="G43" s="29"/>
      <c r="I43" s="10"/>
      <c r="J43" s="10"/>
      <c r="K43" s="58"/>
      <c r="L43" s="58"/>
      <c r="M43" s="59"/>
      <c r="N43" s="60"/>
      <c r="O43" s="15"/>
      <c r="P43" s="10"/>
      <c r="Q43" s="10"/>
      <c r="R43" s="58"/>
      <c r="S43" s="58"/>
      <c r="T43" s="59"/>
      <c r="U43" s="60"/>
      <c r="V43" s="15"/>
      <c r="W43" s="10"/>
      <c r="X43" s="10"/>
      <c r="Y43" s="58"/>
      <c r="Z43" s="58"/>
      <c r="AA43" s="59"/>
      <c r="AB43" s="60"/>
    </row>
    <row r="44" spans="1:28" x14ac:dyDescent="0.25">
      <c r="A44" s="5" t="s">
        <v>35</v>
      </c>
      <c r="B44" s="10">
        <v>3.9456406995212565</v>
      </c>
      <c r="C44" s="10">
        <v>3.8336093407471918</v>
      </c>
      <c r="D44" s="10">
        <v>3.7697459721209303</v>
      </c>
      <c r="E44" s="10">
        <v>3.7872717024373599</v>
      </c>
      <c r="F44" s="10">
        <v>3.7495394085584142</v>
      </c>
      <c r="G44" s="29">
        <v>3.7734871062435542</v>
      </c>
      <c r="I44" s="10">
        <v>3.7073334051274753</v>
      </c>
      <c r="J44" s="10">
        <v>3.5432049176357605</v>
      </c>
      <c r="K44" s="58">
        <v>3.5868277867417366</v>
      </c>
      <c r="L44" s="58">
        <v>3.6695507274489874</v>
      </c>
      <c r="M44" s="59">
        <v>3.5315543685423942</v>
      </c>
      <c r="N44" s="60">
        <v>3.5729085730114298</v>
      </c>
      <c r="O44" s="15"/>
      <c r="P44" s="10">
        <v>3.8311802799636712</v>
      </c>
      <c r="Q44" s="10">
        <v>3.8503661667428708</v>
      </c>
      <c r="R44" s="58">
        <v>3.8698840423555225</v>
      </c>
      <c r="S44" s="58">
        <v>3.8492346585578918</v>
      </c>
      <c r="T44" s="59">
        <v>3.7389123851660151</v>
      </c>
      <c r="U44" s="60">
        <v>3.8736282012421617</v>
      </c>
      <c r="V44" s="15"/>
      <c r="W44" s="10">
        <v>4.0482949875877674</v>
      </c>
      <c r="X44" s="10">
        <v>3.9320459332519091</v>
      </c>
      <c r="Y44" s="58">
        <v>3.8149466527337239</v>
      </c>
      <c r="Z44" s="58">
        <v>3.8251598834290643</v>
      </c>
      <c r="AA44" s="59">
        <v>3.8631701733595967</v>
      </c>
      <c r="AB44" s="60">
        <v>3.8287415360914365</v>
      </c>
    </row>
    <row r="45" spans="1:28" x14ac:dyDescent="0.25">
      <c r="A45" s="5" t="s">
        <v>36</v>
      </c>
      <c r="B45" s="10">
        <v>3.6932992124758774</v>
      </c>
      <c r="C45" s="10">
        <v>3.5665044851519472</v>
      </c>
      <c r="D45" s="10">
        <v>3.5392380902025748</v>
      </c>
      <c r="E45" s="10">
        <v>3.5648525495331556</v>
      </c>
      <c r="F45" s="10">
        <v>3.5060821159851145</v>
      </c>
      <c r="G45" s="29">
        <v>3.5595772785271937</v>
      </c>
      <c r="I45" s="10">
        <v>3.1943272588918208</v>
      </c>
      <c r="J45" s="10">
        <v>3.1194925494626196</v>
      </c>
      <c r="K45" s="58">
        <v>3.1516725584973591</v>
      </c>
      <c r="L45" s="58">
        <v>3.3664621599149225</v>
      </c>
      <c r="M45" s="59">
        <v>3.1475020057979424</v>
      </c>
      <c r="N45" s="60">
        <v>3.2566718997314377</v>
      </c>
      <c r="O45" s="15"/>
      <c r="P45" s="10">
        <v>3.4396113861907813</v>
      </c>
      <c r="Q45" s="10">
        <v>3.4298476384035439</v>
      </c>
      <c r="R45" s="58">
        <v>3.5653964899354471</v>
      </c>
      <c r="S45" s="58">
        <v>3.4868708466397647</v>
      </c>
      <c r="T45" s="59">
        <v>3.3477909388941041</v>
      </c>
      <c r="U45" s="60">
        <v>3.5312393310337118</v>
      </c>
      <c r="V45" s="15"/>
      <c r="W45" s="10">
        <v>3.910906407566713</v>
      </c>
      <c r="X45" s="10">
        <v>3.783649350449394</v>
      </c>
      <c r="Y45" s="58">
        <v>3.6969807095100213</v>
      </c>
      <c r="Z45" s="58">
        <v>3.6845292545332731</v>
      </c>
      <c r="AA45" s="59">
        <v>3.7379138284409392</v>
      </c>
      <c r="AB45" s="60">
        <v>3.7074740728929392</v>
      </c>
    </row>
    <row r="46" spans="1:28" x14ac:dyDescent="0.25">
      <c r="A46" s="5"/>
      <c r="B46" s="10"/>
      <c r="C46" s="10"/>
      <c r="D46" s="10"/>
      <c r="E46" s="10"/>
      <c r="F46" s="10"/>
      <c r="G46" s="29"/>
      <c r="I46" s="10"/>
      <c r="J46" s="10"/>
      <c r="K46" s="58"/>
      <c r="L46" s="58"/>
      <c r="M46" s="59"/>
      <c r="N46" s="60"/>
      <c r="O46" s="15"/>
      <c r="P46" s="10"/>
      <c r="Q46" s="10"/>
      <c r="R46" s="58"/>
      <c r="S46" s="58"/>
      <c r="T46" s="59"/>
      <c r="U46" s="60"/>
      <c r="V46" s="15"/>
      <c r="W46" s="10"/>
      <c r="X46" s="10"/>
      <c r="Y46" s="58"/>
      <c r="Z46" s="58"/>
      <c r="AA46" s="59"/>
      <c r="AB46" s="60"/>
    </row>
    <row r="47" spans="1:28" ht="20.399999999999999" x14ac:dyDescent="0.25">
      <c r="A47" s="5" t="s">
        <v>37</v>
      </c>
      <c r="B47" s="10">
        <v>3.9207057744686473</v>
      </c>
      <c r="C47" s="10">
        <v>3.8032250891798398</v>
      </c>
      <c r="D47" s="10">
        <v>3.7643343344190403</v>
      </c>
      <c r="E47" s="10">
        <v>3.9377439571724913</v>
      </c>
      <c r="F47" s="10">
        <v>3.8508871240697724</v>
      </c>
      <c r="G47" s="29">
        <v>3.8965742965227457</v>
      </c>
      <c r="I47" s="10">
        <v>3.9703880715150999</v>
      </c>
      <c r="J47" s="10">
        <v>3.6425086339808646</v>
      </c>
      <c r="K47" s="58">
        <v>3.9014293374227194</v>
      </c>
      <c r="L47" s="58">
        <v>3.9276461694424705</v>
      </c>
      <c r="M47" s="59">
        <v>3.7558659226472408</v>
      </c>
      <c r="N47" s="60">
        <v>3.9858064520147027</v>
      </c>
      <c r="O47" s="15"/>
      <c r="P47" s="10">
        <v>3.8696404030427227</v>
      </c>
      <c r="Q47" s="10">
        <v>3.8640776864314965</v>
      </c>
      <c r="R47" s="58">
        <v>3.7692209233716296</v>
      </c>
      <c r="S47" s="58">
        <v>4.0017912335125798</v>
      </c>
      <c r="T47" s="59">
        <v>3.890102209079922</v>
      </c>
      <c r="U47" s="60">
        <v>3.8898441704299049</v>
      </c>
      <c r="V47" s="15"/>
      <c r="W47" s="10">
        <v>3.9285554775381581</v>
      </c>
      <c r="X47" s="10">
        <v>3.8303962595325833</v>
      </c>
      <c r="Y47" s="58">
        <v>3.6994374049065719</v>
      </c>
      <c r="Z47" s="58">
        <v>3.9208963777639552</v>
      </c>
      <c r="AA47" s="59">
        <v>3.8792780640047848</v>
      </c>
      <c r="AB47" s="60">
        <v>3.8574297187578428</v>
      </c>
    </row>
    <row r="48" spans="1:28" x14ac:dyDescent="0.25">
      <c r="A48" s="5" t="s">
        <v>38</v>
      </c>
      <c r="B48" s="10">
        <v>3.7016320306231054</v>
      </c>
      <c r="C48" s="10">
        <v>3.4764125810280708</v>
      </c>
      <c r="D48" s="10">
        <v>3.530218130248882</v>
      </c>
      <c r="E48" s="10">
        <v>3.6324179693265997</v>
      </c>
      <c r="F48" s="10">
        <v>3.5931900009891131</v>
      </c>
      <c r="G48" s="29">
        <v>3.654173344899255</v>
      </c>
      <c r="I48" s="10">
        <v>3.6024254953419153</v>
      </c>
      <c r="J48" s="10">
        <v>3.2533530729705005</v>
      </c>
      <c r="K48" s="58">
        <v>3.6867635325789245</v>
      </c>
      <c r="L48" s="58">
        <v>3.6160974356914815</v>
      </c>
      <c r="M48" s="59">
        <v>3.486481121110903</v>
      </c>
      <c r="N48" s="60">
        <v>3.6470019346196154</v>
      </c>
      <c r="O48" s="15"/>
      <c r="P48" s="10">
        <v>3.7793986378385811</v>
      </c>
      <c r="Q48" s="10">
        <v>3.6069738264552478</v>
      </c>
      <c r="R48" s="58">
        <v>3.6006992393815089</v>
      </c>
      <c r="S48" s="58">
        <v>4.0274976794714998</v>
      </c>
      <c r="T48" s="59">
        <v>3.6830891247017417</v>
      </c>
      <c r="U48" s="60">
        <v>3.5620389005784814</v>
      </c>
      <c r="V48" s="15"/>
      <c r="W48" s="10">
        <v>3.6987553444737653</v>
      </c>
      <c r="X48" s="10">
        <v>3.511164976896469</v>
      </c>
      <c r="Y48" s="58">
        <v>3.4365147130421136</v>
      </c>
      <c r="Z48" s="58">
        <v>3.5290711577526888</v>
      </c>
      <c r="AA48" s="59">
        <v>3.6156473350371381</v>
      </c>
      <c r="AB48" s="60">
        <v>3.6876098415408038</v>
      </c>
    </row>
    <row r="49" spans="1:28" x14ac:dyDescent="0.25">
      <c r="A49" s="5" t="s">
        <v>39</v>
      </c>
      <c r="B49" s="10">
        <v>3.7729888323017922</v>
      </c>
      <c r="C49" s="10">
        <v>3.6561924861642061</v>
      </c>
      <c r="D49" s="10">
        <v>3.6420838797343351</v>
      </c>
      <c r="E49" s="10">
        <v>3.8111641676500505</v>
      </c>
      <c r="F49" s="10">
        <v>3.6922536439180376</v>
      </c>
      <c r="G49" s="29">
        <v>3.7534997838121136</v>
      </c>
      <c r="I49" s="10">
        <v>3.8574824677531674</v>
      </c>
      <c r="J49" s="10">
        <v>3.5197898306669533</v>
      </c>
      <c r="K49" s="58">
        <v>3.7910757372092005</v>
      </c>
      <c r="L49" s="58">
        <v>3.790176380607019</v>
      </c>
      <c r="M49" s="59">
        <v>3.5208121507403178</v>
      </c>
      <c r="N49" s="60">
        <v>3.7911877403492671</v>
      </c>
      <c r="O49" s="15"/>
      <c r="P49" s="10">
        <v>3.6589943700208707</v>
      </c>
      <c r="Q49" s="10">
        <v>3.6421683687295396</v>
      </c>
      <c r="R49" s="58">
        <v>3.5854510154803227</v>
      </c>
      <c r="S49" s="58">
        <v>3.8280266033507875</v>
      </c>
      <c r="T49" s="59">
        <v>3.6997737302167217</v>
      </c>
      <c r="U49" s="60">
        <v>3.6992907802359989</v>
      </c>
      <c r="V49" s="15"/>
      <c r="W49" s="10">
        <v>3.800435962461183</v>
      </c>
      <c r="X49" s="10">
        <v>3.705335183609376</v>
      </c>
      <c r="Y49" s="58">
        <v>3.6125397962526109</v>
      </c>
      <c r="Z49" s="58">
        <v>3.8126464655442107</v>
      </c>
      <c r="AA49" s="59">
        <v>3.7602397412557265</v>
      </c>
      <c r="AB49" s="60">
        <v>3.7579053883801463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7"/>
  <sheetViews>
    <sheetView workbookViewId="0">
      <selection activeCell="E16" sqref="E16"/>
    </sheetView>
  </sheetViews>
  <sheetFormatPr defaultRowHeight="13.2" x14ac:dyDescent="0.25"/>
  <sheetData>
    <row r="1" spans="1:28" x14ac:dyDescent="0.25">
      <c r="B1" t="s">
        <v>77</v>
      </c>
      <c r="C1" t="s">
        <v>78</v>
      </c>
      <c r="D1" t="s">
        <v>79</v>
      </c>
      <c r="E1" t="s">
        <v>80</v>
      </c>
      <c r="F1" t="s">
        <v>82</v>
      </c>
      <c r="G1" t="s">
        <v>81</v>
      </c>
      <c r="I1" s="17" t="s">
        <v>83</v>
      </c>
      <c r="J1" s="17" t="s">
        <v>84</v>
      </c>
      <c r="K1" s="17" t="s">
        <v>85</v>
      </c>
      <c r="L1" s="17" t="s">
        <v>86</v>
      </c>
      <c r="M1" s="47" t="s">
        <v>87</v>
      </c>
      <c r="N1" s="52" t="s">
        <v>88</v>
      </c>
      <c r="O1" s="53"/>
      <c r="P1" s="17" t="s">
        <v>83</v>
      </c>
      <c r="Q1" s="17" t="s">
        <v>84</v>
      </c>
      <c r="R1" s="17" t="s">
        <v>85</v>
      </c>
      <c r="S1" s="17" t="s">
        <v>86</v>
      </c>
      <c r="T1" s="47" t="s">
        <v>87</v>
      </c>
      <c r="U1" s="52" t="s">
        <v>88</v>
      </c>
      <c r="V1" s="53"/>
      <c r="W1" s="17" t="s">
        <v>83</v>
      </c>
      <c r="X1" s="17" t="s">
        <v>84</v>
      </c>
      <c r="Y1" s="17" t="s">
        <v>85</v>
      </c>
      <c r="Z1" s="17" t="s">
        <v>86</v>
      </c>
      <c r="AA1" s="47" t="s">
        <v>87</v>
      </c>
      <c r="AB1" s="52" t="s">
        <v>88</v>
      </c>
    </row>
    <row r="2" spans="1:28" x14ac:dyDescent="0.25">
      <c r="B2" t="s">
        <v>1</v>
      </c>
      <c r="C2" t="s">
        <v>1</v>
      </c>
      <c r="D2" t="s">
        <v>1</v>
      </c>
      <c r="E2" t="s">
        <v>1</v>
      </c>
      <c r="F2" t="s">
        <v>1</v>
      </c>
      <c r="G2" t="s">
        <v>1</v>
      </c>
      <c r="I2" s="17" t="s">
        <v>89</v>
      </c>
      <c r="J2" s="17" t="s">
        <v>89</v>
      </c>
      <c r="K2" s="17" t="s">
        <v>89</v>
      </c>
      <c r="L2" s="17" t="s">
        <v>89</v>
      </c>
      <c r="M2" s="47" t="s">
        <v>89</v>
      </c>
      <c r="N2" s="47" t="s">
        <v>89</v>
      </c>
      <c r="O2" s="54"/>
      <c r="P2" s="17" t="s">
        <v>90</v>
      </c>
      <c r="Q2" s="17" t="s">
        <v>90</v>
      </c>
      <c r="R2" s="17" t="s">
        <v>90</v>
      </c>
      <c r="S2" s="17" t="s">
        <v>90</v>
      </c>
      <c r="T2" s="47" t="s">
        <v>90</v>
      </c>
      <c r="U2" s="47" t="s">
        <v>90</v>
      </c>
      <c r="V2" s="54"/>
      <c r="W2" s="17" t="s">
        <v>91</v>
      </c>
      <c r="X2" s="17" t="s">
        <v>91</v>
      </c>
      <c r="Y2" s="47" t="s">
        <v>91</v>
      </c>
      <c r="Z2" s="17" t="s">
        <v>91</v>
      </c>
      <c r="AA2" s="47" t="s">
        <v>91</v>
      </c>
      <c r="AB2" s="47" t="s">
        <v>91</v>
      </c>
    </row>
    <row r="3" spans="1:28" x14ac:dyDescent="0.25">
      <c r="I3" s="18"/>
      <c r="J3" s="18"/>
      <c r="K3" s="55"/>
      <c r="L3" s="55"/>
      <c r="M3" s="56"/>
      <c r="N3" s="56"/>
      <c r="O3" s="57"/>
      <c r="P3" s="18"/>
      <c r="Q3" s="18"/>
      <c r="R3" s="55"/>
      <c r="S3" s="55"/>
      <c r="T3" s="56"/>
      <c r="U3" s="56"/>
      <c r="V3" s="57"/>
      <c r="W3" s="18"/>
      <c r="X3" s="18"/>
      <c r="Y3" s="55"/>
      <c r="Z3" s="55"/>
      <c r="AA3" s="56"/>
      <c r="AB3" s="56"/>
    </row>
    <row r="4" spans="1:28" x14ac:dyDescent="0.25">
      <c r="A4" s="5" t="s">
        <v>7</v>
      </c>
      <c r="B4" s="10">
        <v>3.7490748766132036</v>
      </c>
      <c r="C4" s="10">
        <v>3.801217418601917</v>
      </c>
      <c r="D4" s="10">
        <v>3.7330523489591401</v>
      </c>
      <c r="E4" s="10">
        <v>3.8271643129993387</v>
      </c>
      <c r="F4" s="10">
        <v>3.7803028026755858</v>
      </c>
      <c r="G4" s="29">
        <v>3.8007122506551054</v>
      </c>
      <c r="I4" s="10">
        <v>3.9580403678422647</v>
      </c>
      <c r="J4" s="10">
        <v>3.7838773403837931</v>
      </c>
      <c r="K4" s="58">
        <v>3.8232896792586035</v>
      </c>
      <c r="L4" s="58">
        <v>3.7693781331688405</v>
      </c>
      <c r="M4" s="59">
        <v>3.7362120020887915</v>
      </c>
      <c r="N4" s="60">
        <v>3.7238805971682338</v>
      </c>
      <c r="O4" s="15"/>
      <c r="P4" s="10">
        <v>3.793565612006681</v>
      </c>
      <c r="Q4" s="10">
        <v>3.9959776488808232</v>
      </c>
      <c r="R4" s="58">
        <v>3.861159753030631</v>
      </c>
      <c r="S4" s="58">
        <v>3.8966073503321152</v>
      </c>
      <c r="T4" s="59">
        <v>3.7034947770607012</v>
      </c>
      <c r="U4" s="60">
        <v>3.938255887967216</v>
      </c>
      <c r="V4" s="15"/>
      <c r="W4" s="10">
        <v>3.6668964057230018</v>
      </c>
      <c r="X4" s="10">
        <v>3.7092281462420011</v>
      </c>
      <c r="Y4" s="58">
        <v>3.6249149902604216</v>
      </c>
      <c r="Z4" s="58">
        <v>3.8290049236095562</v>
      </c>
      <c r="AA4" s="59">
        <v>3.8339285601711395</v>
      </c>
      <c r="AB4" s="60">
        <v>3.7827856935055486</v>
      </c>
    </row>
    <row r="5" spans="1:28" x14ac:dyDescent="0.25">
      <c r="A5" s="5" t="s">
        <v>8</v>
      </c>
      <c r="B5" s="10">
        <v>3.7094853220063837</v>
      </c>
      <c r="C5" s="10">
        <v>3.5971494676444253</v>
      </c>
      <c r="D5" s="10">
        <v>3.4507582845415272</v>
      </c>
      <c r="E5" s="10">
        <v>3.4586179558983425</v>
      </c>
      <c r="F5" s="10">
        <v>3.4938400255856283</v>
      </c>
      <c r="G5" s="29">
        <v>3.6143064275638395</v>
      </c>
      <c r="I5" s="10">
        <v>3.6963042036903406</v>
      </c>
      <c r="J5" s="10">
        <v>3.5909492956238354</v>
      </c>
      <c r="K5" s="58">
        <v>3.52959149844567</v>
      </c>
      <c r="L5" s="58">
        <v>3.2380952380952381</v>
      </c>
      <c r="M5" s="59">
        <v>3.391016749386687</v>
      </c>
      <c r="N5" s="60">
        <v>3.5449010653724815</v>
      </c>
      <c r="O5" s="15"/>
      <c r="P5" s="10">
        <v>3.7399122005784902</v>
      </c>
      <c r="Q5" s="10">
        <v>3.5823347322252439</v>
      </c>
      <c r="R5" s="58">
        <v>3.7536099660417874</v>
      </c>
      <c r="S5" s="58">
        <v>4.0108436369789962</v>
      </c>
      <c r="T5" s="59">
        <v>3.7023375526568501</v>
      </c>
      <c r="U5" s="60">
        <v>4.0000000000000009</v>
      </c>
      <c r="V5" s="15"/>
      <c r="W5" s="10">
        <v>3.7053065966485881</v>
      </c>
      <c r="X5" s="10">
        <v>3.6003715069807098</v>
      </c>
      <c r="Y5" s="58">
        <v>3.2949363952256094</v>
      </c>
      <c r="Z5" s="58">
        <v>3.3785004163973817</v>
      </c>
      <c r="AA5" s="59">
        <v>3.4698024407106001</v>
      </c>
      <c r="AB5" s="60">
        <v>3.5211132427554555</v>
      </c>
    </row>
    <row r="6" spans="1:28" x14ac:dyDescent="0.25">
      <c r="A6" s="5" t="s">
        <v>9</v>
      </c>
      <c r="B6" s="10">
        <v>3.0591923380559658</v>
      </c>
      <c r="C6" s="10">
        <v>2.8871831867540743</v>
      </c>
      <c r="D6" s="10">
        <v>2.9366770907969606</v>
      </c>
      <c r="E6" s="10">
        <v>2.9542109951985007</v>
      </c>
      <c r="F6" s="10">
        <v>3.0477082510503264</v>
      </c>
      <c r="G6" s="29">
        <v>3.1940298499140205</v>
      </c>
      <c r="I6" s="10">
        <v>2.9534219850521093</v>
      </c>
      <c r="J6" s="10">
        <v>2.8430078065750259</v>
      </c>
      <c r="K6" s="58">
        <v>3.054355309390659</v>
      </c>
      <c r="L6" s="58">
        <v>2.5678630473386623</v>
      </c>
      <c r="M6" s="59">
        <v>2.8888888888888888</v>
      </c>
      <c r="N6" s="60">
        <v>3.2361809049165235</v>
      </c>
      <c r="O6" s="15"/>
      <c r="P6" s="10">
        <v>3.3772157161850278</v>
      </c>
      <c r="Q6" s="10">
        <v>3.1694610955976787</v>
      </c>
      <c r="R6" s="58">
        <v>3.1158061610189107</v>
      </c>
      <c r="S6" s="58">
        <v>4</v>
      </c>
      <c r="T6" s="59">
        <v>3</v>
      </c>
      <c r="U6" s="60">
        <v>3.6118980171076251</v>
      </c>
      <c r="V6" s="15"/>
      <c r="W6" s="10">
        <v>3.01349720913875</v>
      </c>
      <c r="X6" s="10">
        <v>2.8053131326537946</v>
      </c>
      <c r="Y6" s="58">
        <v>2.8212560224182446</v>
      </c>
      <c r="Z6" s="58">
        <v>2.8371550875708733</v>
      </c>
      <c r="AA6" s="59">
        <v>3.0830257429910515</v>
      </c>
      <c r="AB6" s="60">
        <v>3.0075593933317948</v>
      </c>
    </row>
    <row r="7" spans="1:28" ht="20.399999999999999" x14ac:dyDescent="0.25">
      <c r="A7" s="5" t="s">
        <v>10</v>
      </c>
      <c r="B7" s="10">
        <v>3.5133604993603451</v>
      </c>
      <c r="C7" s="10">
        <v>3.5827921950873214</v>
      </c>
      <c r="D7" s="10">
        <v>3.3581275293726289</v>
      </c>
      <c r="E7" s="10">
        <v>3.5994557759673667</v>
      </c>
      <c r="F7" s="10">
        <v>3.5653263262292638</v>
      </c>
      <c r="G7" s="29">
        <v>3.4335235676529869</v>
      </c>
      <c r="I7" s="10">
        <v>3.4851608456694159</v>
      </c>
      <c r="J7" s="10">
        <v>3.5167750073265749</v>
      </c>
      <c r="K7" s="58">
        <v>3.3110532303373299</v>
      </c>
      <c r="L7" s="58">
        <v>3.791787132364747</v>
      </c>
      <c r="M7" s="59">
        <v>3.2955018024961178</v>
      </c>
      <c r="N7" s="60">
        <v>3.3339517626084691</v>
      </c>
      <c r="O7" s="15"/>
      <c r="P7" s="10">
        <v>3.341628979446182</v>
      </c>
      <c r="Q7" s="10">
        <v>3.3589700026105564</v>
      </c>
      <c r="R7" s="58">
        <v>3.6446026844661725</v>
      </c>
      <c r="S7" s="58">
        <v>3.5199002374345452</v>
      </c>
      <c r="T7" s="59">
        <v>3.7285367087921464</v>
      </c>
      <c r="U7" s="60">
        <v>3.5427782898702542</v>
      </c>
      <c r="V7" s="15"/>
      <c r="W7" s="10">
        <v>3.5791786438579138</v>
      </c>
      <c r="X7" s="10">
        <v>3.6984111387364935</v>
      </c>
      <c r="Y7" s="58">
        <v>3.2672518169948295</v>
      </c>
      <c r="Z7" s="58">
        <v>3.5437578411870931</v>
      </c>
      <c r="AA7" s="59">
        <v>3.6430273793457091</v>
      </c>
      <c r="AB7" s="60">
        <v>3.4290724855109662</v>
      </c>
    </row>
    <row r="8" spans="1:28" x14ac:dyDescent="0.25">
      <c r="A8" s="5"/>
      <c r="B8" s="10"/>
      <c r="C8" s="10"/>
      <c r="D8" s="10"/>
      <c r="E8" s="10"/>
      <c r="F8" s="10"/>
      <c r="G8" s="29"/>
      <c r="I8" s="10"/>
      <c r="J8" s="10"/>
      <c r="K8" s="58"/>
      <c r="L8" s="58"/>
      <c r="M8" s="59"/>
      <c r="N8" s="60"/>
      <c r="O8" s="15"/>
      <c r="P8" s="10"/>
      <c r="Q8" s="10"/>
      <c r="R8" s="58"/>
      <c r="S8" s="58"/>
      <c r="T8" s="59"/>
      <c r="U8" s="60"/>
      <c r="V8" s="15"/>
      <c r="W8" s="10"/>
      <c r="X8" s="10"/>
      <c r="Y8" s="58"/>
      <c r="Z8" s="58"/>
      <c r="AA8" s="59"/>
      <c r="AB8" s="60"/>
    </row>
    <row r="9" spans="1:28" x14ac:dyDescent="0.25">
      <c r="A9" s="5" t="s">
        <v>20</v>
      </c>
      <c r="B9" s="10">
        <v>4.0431716055096141</v>
      </c>
      <c r="C9" s="10">
        <v>3.9176219262072136</v>
      </c>
      <c r="D9" s="10">
        <v>3.9954495523098377</v>
      </c>
      <c r="E9" s="10">
        <v>3.9638984850166552</v>
      </c>
      <c r="F9" s="10">
        <v>3.9431380053961345</v>
      </c>
      <c r="G9" s="29">
        <v>3.9930971606488335</v>
      </c>
      <c r="I9" s="10">
        <v>4.1077958164782347</v>
      </c>
      <c r="J9" s="10">
        <v>4.0057693923928452</v>
      </c>
      <c r="K9" s="58">
        <v>4.0431822497003429</v>
      </c>
      <c r="L9" s="58">
        <v>4.0580167556039708</v>
      </c>
      <c r="M9" s="59">
        <v>3.8295715661486525</v>
      </c>
      <c r="N9" s="60">
        <v>3.927505888569311</v>
      </c>
      <c r="O9" s="15"/>
      <c r="P9" s="10">
        <v>4.0012801914651979</v>
      </c>
      <c r="Q9" s="10">
        <v>3.93490997117748</v>
      </c>
      <c r="R9" s="58">
        <v>4.0553014465351396</v>
      </c>
      <c r="S9" s="58">
        <v>3.9057341288391552</v>
      </c>
      <c r="T9" s="59">
        <v>3.9761340951902424</v>
      </c>
      <c r="U9" s="60">
        <v>4.0825656776822603</v>
      </c>
      <c r="V9" s="15"/>
      <c r="W9" s="10">
        <v>4.0367312338623638</v>
      </c>
      <c r="X9" s="10">
        <v>3.8692372850374888</v>
      </c>
      <c r="Y9" s="58">
        <v>3.9559660815312747</v>
      </c>
      <c r="Z9" s="58">
        <v>3.9358436191475068</v>
      </c>
      <c r="AA9" s="59">
        <v>3.9909728775142264</v>
      </c>
      <c r="AB9" s="60">
        <v>3.9917480239782384</v>
      </c>
    </row>
    <row r="10" spans="1:28" x14ac:dyDescent="0.25">
      <c r="A10" s="5" t="s">
        <v>22</v>
      </c>
      <c r="B10" s="10">
        <v>3.8854963713813122</v>
      </c>
      <c r="C10" s="10">
        <v>3.7364899390963151</v>
      </c>
      <c r="D10" s="10">
        <v>3.7634243192083461</v>
      </c>
      <c r="E10" s="10">
        <v>3.764133332651626</v>
      </c>
      <c r="F10" s="10">
        <v>3.7816239903504956</v>
      </c>
      <c r="G10" s="29">
        <v>3.8085970776028799</v>
      </c>
      <c r="I10" s="10">
        <v>4.1565850604224961</v>
      </c>
      <c r="J10" s="10">
        <v>3.9275792713375819</v>
      </c>
      <c r="K10" s="58">
        <v>3.9023384640579351</v>
      </c>
      <c r="L10" s="58">
        <v>4.0275127147409231</v>
      </c>
      <c r="M10" s="59">
        <v>3.834367793132035</v>
      </c>
      <c r="N10" s="60">
        <v>3.9229352974151888</v>
      </c>
      <c r="O10" s="15"/>
      <c r="P10" s="10">
        <v>4.1339688331375068</v>
      </c>
      <c r="Q10" s="10">
        <v>4.0898787671758656</v>
      </c>
      <c r="R10" s="58">
        <v>4.1651685753270966</v>
      </c>
      <c r="S10" s="58">
        <v>4.0731314133285856</v>
      </c>
      <c r="T10" s="59">
        <v>4.0319830964450842</v>
      </c>
      <c r="U10" s="60">
        <v>4.0000000009456578</v>
      </c>
      <c r="V10" s="15"/>
      <c r="W10" s="10">
        <v>3.7318289852030846</v>
      </c>
      <c r="X10" s="10">
        <v>3.5174151569618961</v>
      </c>
      <c r="Y10" s="58">
        <v>3.573071623786622</v>
      </c>
      <c r="Z10" s="58">
        <v>3.5406251902435577</v>
      </c>
      <c r="AA10" s="59">
        <v>3.6816243936257869</v>
      </c>
      <c r="AB10" s="60">
        <v>3.6925596628418824</v>
      </c>
    </row>
    <row r="11" spans="1:28" x14ac:dyDescent="0.25">
      <c r="A11" s="5" t="s">
        <v>23</v>
      </c>
      <c r="B11" s="10">
        <v>3.900846858166032</v>
      </c>
      <c r="C11" s="10">
        <v>3.5362890082736875</v>
      </c>
      <c r="D11" s="10">
        <v>3.5809805329820241</v>
      </c>
      <c r="E11" s="10">
        <v>3.6370147876586549</v>
      </c>
      <c r="F11" s="10">
        <v>3.6632078114532463</v>
      </c>
      <c r="G11" s="29">
        <v>3.6956080222129524</v>
      </c>
      <c r="I11" s="10">
        <v>3.7139432158096963</v>
      </c>
      <c r="J11" s="10">
        <v>3.1613409920750906</v>
      </c>
      <c r="K11" s="58">
        <v>3.0752459602397213</v>
      </c>
      <c r="L11" s="58">
        <v>3.516753296690255</v>
      </c>
      <c r="M11" s="59">
        <v>3.2065150230479467</v>
      </c>
      <c r="N11" s="60">
        <v>3.4237012993034321</v>
      </c>
      <c r="O11" s="15"/>
      <c r="P11" s="10">
        <v>4.3088282924736365</v>
      </c>
      <c r="Q11" s="10">
        <v>3.4897708658923161</v>
      </c>
      <c r="R11" s="58">
        <v>3.5054363424677026</v>
      </c>
      <c r="S11" s="58">
        <v>4.2859004458137511</v>
      </c>
      <c r="T11" s="59">
        <v>3.6212791878667128</v>
      </c>
      <c r="U11" s="60">
        <v>3.3917995444905533</v>
      </c>
      <c r="V11" s="15"/>
      <c r="W11" s="10">
        <v>3.8669748356086364</v>
      </c>
      <c r="X11" s="10">
        <v>3.5796025997040122</v>
      </c>
      <c r="Y11" s="58">
        <v>3.6887327734326942</v>
      </c>
      <c r="Z11" s="58">
        <v>3.6113257439681443</v>
      </c>
      <c r="AA11" s="59">
        <v>3.829823644864133</v>
      </c>
      <c r="AB11" s="60">
        <v>3.7999306514808646</v>
      </c>
    </row>
    <row r="12" spans="1:28" x14ac:dyDescent="0.25">
      <c r="A12" s="5"/>
      <c r="B12" s="10"/>
      <c r="C12" s="10"/>
      <c r="D12" s="10"/>
      <c r="E12" s="10"/>
      <c r="F12" s="10"/>
      <c r="G12" s="29"/>
      <c r="I12" s="10"/>
      <c r="J12" s="10"/>
      <c r="K12" s="58"/>
      <c r="L12" s="58"/>
      <c r="M12" s="59"/>
      <c r="N12" s="60"/>
      <c r="O12" s="15"/>
      <c r="P12" s="10"/>
      <c r="Q12" s="10"/>
      <c r="R12" s="58"/>
      <c r="S12" s="58"/>
      <c r="T12" s="59"/>
      <c r="U12" s="60"/>
      <c r="V12" s="15"/>
      <c r="W12" s="10"/>
      <c r="X12" s="10"/>
      <c r="Y12" s="58"/>
      <c r="Z12" s="58"/>
      <c r="AA12" s="59"/>
      <c r="AB12" s="60"/>
    </row>
    <row r="13" spans="1:28" x14ac:dyDescent="0.25">
      <c r="A13" s="61" t="s">
        <v>92</v>
      </c>
      <c r="B13" t="s">
        <v>77</v>
      </c>
      <c r="C13" t="s">
        <v>78</v>
      </c>
      <c r="D13" t="s">
        <v>79</v>
      </c>
      <c r="E13" t="s">
        <v>80</v>
      </c>
      <c r="F13" t="s">
        <v>82</v>
      </c>
      <c r="G13" t="s">
        <v>81</v>
      </c>
    </row>
    <row r="14" spans="1:28" x14ac:dyDescent="0.25">
      <c r="A14" s="61" t="s">
        <v>89</v>
      </c>
      <c r="B14" s="10">
        <v>3.9580403678422647</v>
      </c>
      <c r="C14" s="10">
        <v>3.7838773403837931</v>
      </c>
      <c r="D14" s="58">
        <v>3.8232896792586035</v>
      </c>
      <c r="E14" s="58">
        <v>3.7693781331688405</v>
      </c>
      <c r="F14" s="59">
        <v>3.7362120020887915</v>
      </c>
      <c r="G14" s="60">
        <v>3.7238805971682338</v>
      </c>
    </row>
    <row r="15" spans="1:28" x14ac:dyDescent="0.25">
      <c r="A15" s="61" t="s">
        <v>90</v>
      </c>
      <c r="B15" s="10">
        <v>3.793565612006681</v>
      </c>
      <c r="C15" s="10">
        <v>3.9959776488808232</v>
      </c>
      <c r="D15" s="58">
        <v>3.861159753030631</v>
      </c>
      <c r="E15" s="58">
        <v>3.8966073503321152</v>
      </c>
      <c r="F15" s="59">
        <v>3.7034947770607012</v>
      </c>
      <c r="G15" s="60">
        <v>3.938255887967216</v>
      </c>
    </row>
    <row r="16" spans="1:28" x14ac:dyDescent="0.25">
      <c r="A16" s="61" t="s">
        <v>91</v>
      </c>
      <c r="B16" s="10">
        <v>3.6668964057230018</v>
      </c>
      <c r="C16" s="10">
        <v>3.7092281462420011</v>
      </c>
      <c r="D16" s="58">
        <v>3.6249149902604216</v>
      </c>
      <c r="E16" s="58">
        <v>3.8290049236095562</v>
      </c>
      <c r="F16" s="59">
        <v>3.8339285601711395</v>
      </c>
      <c r="G16" s="60">
        <v>3.7827856935055486</v>
      </c>
    </row>
    <row r="17" spans="1:7" x14ac:dyDescent="0.25">
      <c r="A17" s="5" t="s">
        <v>1</v>
      </c>
      <c r="B17" s="10">
        <v>3.7490748766132036</v>
      </c>
      <c r="C17" s="10">
        <v>3.801217418601917</v>
      </c>
      <c r="D17" s="10">
        <v>3.7330523489591401</v>
      </c>
      <c r="E17" s="10">
        <v>3.8271643129993387</v>
      </c>
      <c r="F17" s="10">
        <v>3.7803028026755858</v>
      </c>
      <c r="G17" s="29">
        <v>3.8007122506551054</v>
      </c>
    </row>
    <row r="19" spans="1:7" x14ac:dyDescent="0.25">
      <c r="A19" s="61" t="s">
        <v>93</v>
      </c>
      <c r="B19" t="s">
        <v>77</v>
      </c>
      <c r="C19" t="s">
        <v>78</v>
      </c>
      <c r="D19" t="s">
        <v>79</v>
      </c>
      <c r="E19" t="s">
        <v>80</v>
      </c>
      <c r="F19" t="s">
        <v>82</v>
      </c>
      <c r="G19" t="s">
        <v>81</v>
      </c>
    </row>
    <row r="20" spans="1:7" x14ac:dyDescent="0.25">
      <c r="A20" s="5" t="s">
        <v>1</v>
      </c>
      <c r="B20" s="10">
        <v>3.7094853220063837</v>
      </c>
      <c r="C20" s="10">
        <v>3.5971494676444253</v>
      </c>
      <c r="D20" s="10">
        <v>3.4507582845415272</v>
      </c>
      <c r="E20" s="10">
        <v>3.4586179558983425</v>
      </c>
      <c r="F20" s="10">
        <v>3.4938400255856283</v>
      </c>
      <c r="G20" s="29">
        <v>3.6143064275638395</v>
      </c>
    </row>
    <row r="21" spans="1:7" x14ac:dyDescent="0.25">
      <c r="A21" s="61" t="s">
        <v>89</v>
      </c>
      <c r="B21" s="10">
        <v>3.6963042036903406</v>
      </c>
      <c r="C21" s="10">
        <v>3.5909492956238354</v>
      </c>
      <c r="D21" s="58">
        <v>3.52959149844567</v>
      </c>
      <c r="E21" s="58">
        <v>3.2380952380952381</v>
      </c>
      <c r="F21" s="59">
        <v>3.391016749386687</v>
      </c>
      <c r="G21" s="60">
        <v>3.5449010653724815</v>
      </c>
    </row>
    <row r="22" spans="1:7" x14ac:dyDescent="0.25">
      <c r="A22" s="61" t="s">
        <v>90</v>
      </c>
      <c r="B22" s="10">
        <v>3.7399122005784902</v>
      </c>
      <c r="C22" s="10">
        <v>3.5823347322252439</v>
      </c>
      <c r="D22" s="58">
        <v>3.7536099660417874</v>
      </c>
      <c r="E22" s="58">
        <v>4.0108436369789962</v>
      </c>
      <c r="F22" s="59">
        <v>3.7023375526568501</v>
      </c>
      <c r="G22" s="60">
        <v>4.0000000000000009</v>
      </c>
    </row>
    <row r="23" spans="1:7" x14ac:dyDescent="0.25">
      <c r="A23" s="61" t="s">
        <v>91</v>
      </c>
      <c r="B23" s="10">
        <v>3.7053065966485881</v>
      </c>
      <c r="C23" s="10">
        <v>3.6003715069807098</v>
      </c>
      <c r="D23" s="58">
        <v>3.2949363952256094</v>
      </c>
      <c r="E23" s="58">
        <v>3.3785004163973817</v>
      </c>
      <c r="F23" s="59">
        <v>3.4698024407106001</v>
      </c>
      <c r="G23" s="60">
        <v>3.5211132427554555</v>
      </c>
    </row>
    <row r="25" spans="1:7" ht="20.399999999999999" x14ac:dyDescent="0.25">
      <c r="A25" s="61" t="s">
        <v>94</v>
      </c>
      <c r="B25" t="s">
        <v>77</v>
      </c>
      <c r="C25" t="s">
        <v>78</v>
      </c>
      <c r="D25" t="s">
        <v>79</v>
      </c>
      <c r="E25" t="s">
        <v>80</v>
      </c>
      <c r="F25" t="s">
        <v>82</v>
      </c>
      <c r="G25" t="s">
        <v>81</v>
      </c>
    </row>
    <row r="26" spans="1:7" x14ac:dyDescent="0.25">
      <c r="A26" s="5" t="s">
        <v>1</v>
      </c>
      <c r="B26" s="10">
        <v>3.0591923380559658</v>
      </c>
      <c r="C26" s="10">
        <v>2.8871831867540743</v>
      </c>
      <c r="D26" s="10">
        <v>2.9366770907969606</v>
      </c>
      <c r="E26" s="10">
        <v>2.9542109951985007</v>
      </c>
      <c r="F26" s="10">
        <v>3.0477082510503264</v>
      </c>
      <c r="G26" s="29">
        <v>3.1940298499140205</v>
      </c>
    </row>
    <row r="27" spans="1:7" x14ac:dyDescent="0.25">
      <c r="A27" s="61" t="s">
        <v>89</v>
      </c>
      <c r="B27" s="10">
        <v>2.9534219850521093</v>
      </c>
      <c r="C27" s="10">
        <v>2.8430078065750259</v>
      </c>
      <c r="D27" s="58">
        <v>3.054355309390659</v>
      </c>
      <c r="E27" s="58">
        <v>2.5678630473386623</v>
      </c>
      <c r="F27" s="59">
        <v>2.8888888888888888</v>
      </c>
      <c r="G27" s="60">
        <v>3.2361809049165235</v>
      </c>
    </row>
    <row r="28" spans="1:7" x14ac:dyDescent="0.25">
      <c r="A28" s="61" t="s">
        <v>90</v>
      </c>
      <c r="B28" s="10">
        <v>3.3772157161850278</v>
      </c>
      <c r="C28" s="10">
        <v>3.1694610955976787</v>
      </c>
      <c r="D28" s="58">
        <v>3.1158061610189107</v>
      </c>
      <c r="E28" s="58">
        <v>4</v>
      </c>
      <c r="F28" s="59">
        <v>3</v>
      </c>
      <c r="G28" s="60">
        <v>3.6118980171076251</v>
      </c>
    </row>
    <row r="29" spans="1:7" x14ac:dyDescent="0.25">
      <c r="A29" s="61" t="s">
        <v>91</v>
      </c>
      <c r="B29" s="10">
        <v>3.01349720913875</v>
      </c>
      <c r="C29" s="10">
        <v>2.8053131326537946</v>
      </c>
      <c r="D29" s="58">
        <v>2.8212560224182446</v>
      </c>
      <c r="E29" s="58">
        <v>2.8371550875708733</v>
      </c>
      <c r="F29" s="59">
        <v>3.0830257429910515</v>
      </c>
      <c r="G29" s="60">
        <v>3.0075593933317948</v>
      </c>
    </row>
    <row r="31" spans="1:7" x14ac:dyDescent="0.25">
      <c r="A31" s="61" t="s">
        <v>95</v>
      </c>
      <c r="B31" t="s">
        <v>77</v>
      </c>
      <c r="C31" t="s">
        <v>78</v>
      </c>
      <c r="D31" t="s">
        <v>79</v>
      </c>
      <c r="E31" t="s">
        <v>80</v>
      </c>
      <c r="F31" t="s">
        <v>82</v>
      </c>
      <c r="G31" t="s">
        <v>81</v>
      </c>
    </row>
    <row r="32" spans="1:7" x14ac:dyDescent="0.25">
      <c r="A32" s="5" t="s">
        <v>1</v>
      </c>
      <c r="B32" s="10">
        <v>4.0431716055096141</v>
      </c>
      <c r="C32" s="10">
        <v>3.9176219262072136</v>
      </c>
      <c r="D32" s="10">
        <v>3.9954495523098377</v>
      </c>
      <c r="E32" s="10">
        <v>3.9638984850166552</v>
      </c>
      <c r="F32" s="10">
        <v>3.9431380053961345</v>
      </c>
      <c r="G32" s="29">
        <v>3.9930971606488335</v>
      </c>
    </row>
    <row r="33" spans="1:7" x14ac:dyDescent="0.25">
      <c r="A33" s="61" t="s">
        <v>89</v>
      </c>
      <c r="B33" s="10">
        <v>4.1077958164782347</v>
      </c>
      <c r="C33" s="10">
        <v>4.0057693923928452</v>
      </c>
      <c r="D33" s="58">
        <v>4.0431822497003429</v>
      </c>
      <c r="E33" s="58">
        <v>4.0580167556039708</v>
      </c>
      <c r="F33" s="59">
        <v>3.8295715661486525</v>
      </c>
      <c r="G33" s="60">
        <v>3.927505888569311</v>
      </c>
    </row>
    <row r="34" spans="1:7" x14ac:dyDescent="0.25">
      <c r="A34" s="61" t="s">
        <v>90</v>
      </c>
      <c r="B34" s="10">
        <v>4.0012801914651979</v>
      </c>
      <c r="C34" s="10">
        <v>3.93490997117748</v>
      </c>
      <c r="D34" s="58">
        <v>4.0553014465351396</v>
      </c>
      <c r="E34" s="58">
        <v>3.9057341288391552</v>
      </c>
      <c r="F34" s="59">
        <v>3.9761340951902424</v>
      </c>
      <c r="G34" s="60">
        <v>4.0825656776822603</v>
      </c>
    </row>
    <row r="35" spans="1:7" x14ac:dyDescent="0.25">
      <c r="A35" s="61" t="s">
        <v>91</v>
      </c>
      <c r="B35" s="10">
        <v>4.0367312338623638</v>
      </c>
      <c r="C35" s="10">
        <v>3.8692372850374888</v>
      </c>
      <c r="D35" s="58">
        <v>3.9559660815312747</v>
      </c>
      <c r="E35" s="58">
        <v>3.9358436191475068</v>
      </c>
      <c r="F35" s="59">
        <v>3.9909728775142264</v>
      </c>
      <c r="G35" s="60">
        <v>3.9917480239782384</v>
      </c>
    </row>
    <row r="37" spans="1:7" x14ac:dyDescent="0.25">
      <c r="A37" t="s">
        <v>96</v>
      </c>
      <c r="B37" t="s">
        <v>77</v>
      </c>
      <c r="C37" t="s">
        <v>78</v>
      </c>
      <c r="D37" t="s">
        <v>79</v>
      </c>
      <c r="E37" t="s">
        <v>80</v>
      </c>
      <c r="F37" t="s">
        <v>82</v>
      </c>
      <c r="G37" t="s">
        <v>81</v>
      </c>
    </row>
    <row r="38" spans="1:7" x14ac:dyDescent="0.25">
      <c r="A38" s="5" t="s">
        <v>1</v>
      </c>
      <c r="B38" s="10">
        <v>3.8854963713813122</v>
      </c>
      <c r="C38" s="10">
        <v>3.7364899390963151</v>
      </c>
      <c r="D38" s="10">
        <v>3.7634243192083461</v>
      </c>
      <c r="E38" s="10">
        <v>3.764133332651626</v>
      </c>
      <c r="F38" s="10">
        <v>3.7816239903504956</v>
      </c>
      <c r="G38" s="29">
        <v>3.8085970776028799</v>
      </c>
    </row>
    <row r="39" spans="1:7" x14ac:dyDescent="0.25">
      <c r="A39" s="61" t="s">
        <v>89</v>
      </c>
      <c r="B39" s="10">
        <v>4.1565850604224961</v>
      </c>
      <c r="C39" s="10">
        <v>3.9275792713375819</v>
      </c>
      <c r="D39" s="58">
        <v>3.9023384640579351</v>
      </c>
      <c r="E39" s="58">
        <v>4.0275127147409231</v>
      </c>
      <c r="F39" s="59">
        <v>3.834367793132035</v>
      </c>
      <c r="G39" s="60">
        <v>3.9229352974151888</v>
      </c>
    </row>
    <row r="40" spans="1:7" x14ac:dyDescent="0.25">
      <c r="A40" s="61" t="s">
        <v>90</v>
      </c>
      <c r="B40" s="10">
        <v>4.1339688331375068</v>
      </c>
      <c r="C40" s="10">
        <v>4.0898787671758656</v>
      </c>
      <c r="D40" s="58">
        <v>4.1651685753270966</v>
      </c>
      <c r="E40" s="58">
        <v>4.0731314133285856</v>
      </c>
      <c r="F40" s="59">
        <v>4.0319830964450842</v>
      </c>
      <c r="G40" s="60">
        <v>4.0000000009456578</v>
      </c>
    </row>
    <row r="41" spans="1:7" x14ac:dyDescent="0.25">
      <c r="A41" s="61" t="s">
        <v>91</v>
      </c>
      <c r="B41" s="10">
        <v>3.7318289852030846</v>
      </c>
      <c r="C41" s="10">
        <v>3.5174151569618961</v>
      </c>
      <c r="D41" s="58">
        <v>3.573071623786622</v>
      </c>
      <c r="E41" s="58">
        <v>3.5406251902435577</v>
      </c>
      <c r="F41" s="59">
        <v>3.6816243936257869</v>
      </c>
      <c r="G41" s="60">
        <v>3.6925596628418824</v>
      </c>
    </row>
    <row r="43" spans="1:7" x14ac:dyDescent="0.25">
      <c r="A43" t="s">
        <v>97</v>
      </c>
      <c r="B43" t="s">
        <v>77</v>
      </c>
      <c r="C43" t="s">
        <v>78</v>
      </c>
      <c r="D43" t="s">
        <v>79</v>
      </c>
      <c r="E43" t="s">
        <v>80</v>
      </c>
      <c r="F43" t="s">
        <v>82</v>
      </c>
      <c r="G43" t="s">
        <v>81</v>
      </c>
    </row>
    <row r="44" spans="1:7" x14ac:dyDescent="0.25">
      <c r="A44" s="5" t="s">
        <v>1</v>
      </c>
      <c r="B44" s="10">
        <v>3.900846858166032</v>
      </c>
      <c r="C44" s="10">
        <v>3.5362890082736875</v>
      </c>
      <c r="D44" s="10">
        <v>3.5809805329820241</v>
      </c>
      <c r="E44" s="10">
        <v>3.6370147876586549</v>
      </c>
      <c r="F44" s="10">
        <v>3.6632078114532463</v>
      </c>
      <c r="G44" s="29">
        <v>3.6956080222129524</v>
      </c>
    </row>
    <row r="45" spans="1:7" x14ac:dyDescent="0.25">
      <c r="A45" s="61" t="s">
        <v>89</v>
      </c>
      <c r="B45" s="10">
        <v>3.7139432158096963</v>
      </c>
      <c r="C45" s="10">
        <v>3.1613409920750906</v>
      </c>
      <c r="D45" s="58">
        <v>3.0752459602397213</v>
      </c>
      <c r="E45" s="58">
        <v>3.516753296690255</v>
      </c>
      <c r="F45" s="59">
        <v>3.2065150230479467</v>
      </c>
      <c r="G45" s="60">
        <v>3.4237012993034321</v>
      </c>
    </row>
    <row r="46" spans="1:7" x14ac:dyDescent="0.25">
      <c r="A46" s="61" t="s">
        <v>90</v>
      </c>
      <c r="B46" s="10">
        <v>4.3088282924736365</v>
      </c>
      <c r="C46" s="10">
        <v>3.4897708658923161</v>
      </c>
      <c r="D46" s="58">
        <v>3.5054363424677026</v>
      </c>
      <c r="E46" s="58">
        <v>4.2859004458137511</v>
      </c>
      <c r="F46" s="59">
        <v>3.6212791878667128</v>
      </c>
      <c r="G46" s="60">
        <v>3.3917995444905533</v>
      </c>
    </row>
    <row r="47" spans="1:7" x14ac:dyDescent="0.25">
      <c r="A47" s="61" t="s">
        <v>91</v>
      </c>
      <c r="B47" s="10">
        <v>3.8669748356086364</v>
      </c>
      <c r="C47" s="10">
        <v>3.5796025997040122</v>
      </c>
      <c r="D47" s="58">
        <v>3.6887327734326942</v>
      </c>
      <c r="E47" s="58">
        <v>3.6113257439681443</v>
      </c>
      <c r="F47" s="59">
        <v>3.829823644864133</v>
      </c>
      <c r="G47" s="60">
        <v>3.7999306514808646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"/>
  <sheetViews>
    <sheetView tabSelected="1" zoomScaleNormal="100" workbookViewId="0">
      <pane xSplit="1" ySplit="2" topLeftCell="B3" activePane="bottomRight" state="frozen"/>
      <selection pane="topRight" activeCell="C1" sqref="C1"/>
      <selection pane="bottomLeft" activeCell="A4" sqref="A4"/>
      <selection pane="bottomRight" activeCell="A16" sqref="A16"/>
    </sheetView>
  </sheetViews>
  <sheetFormatPr defaultRowHeight="10.199999999999999" x14ac:dyDescent="0.2"/>
  <cols>
    <col min="1" max="1" width="14" style="87" bestFit="1" customWidth="1"/>
    <col min="2" max="103" width="4.33203125" style="87" customWidth="1"/>
    <col min="104" max="16384" width="8.88671875" style="87"/>
  </cols>
  <sheetData>
    <row r="1" spans="1:84" s="13" customFormat="1" ht="30.6" x14ac:dyDescent="0.2">
      <c r="A1" s="4"/>
      <c r="B1" s="17" t="s">
        <v>61</v>
      </c>
      <c r="C1" s="17"/>
      <c r="D1" s="17" t="s">
        <v>62</v>
      </c>
      <c r="E1" s="17"/>
      <c r="F1" s="13" t="s">
        <v>63</v>
      </c>
      <c r="G1" s="1"/>
      <c r="H1" s="17" t="s">
        <v>64</v>
      </c>
      <c r="I1" s="1"/>
      <c r="J1" s="17" t="s">
        <v>65</v>
      </c>
      <c r="K1" s="1"/>
      <c r="L1" s="1" t="s">
        <v>66</v>
      </c>
      <c r="M1" s="1"/>
      <c r="N1" s="17" t="s">
        <v>83</v>
      </c>
      <c r="O1" s="17"/>
      <c r="P1" s="17" t="s">
        <v>84</v>
      </c>
      <c r="Q1" s="17"/>
      <c r="R1" s="17" t="s">
        <v>85</v>
      </c>
      <c r="S1" s="17"/>
      <c r="T1" s="17" t="s">
        <v>86</v>
      </c>
      <c r="U1" s="17"/>
      <c r="V1" s="17" t="s">
        <v>87</v>
      </c>
      <c r="W1" s="17"/>
      <c r="X1" s="17" t="s">
        <v>88</v>
      </c>
      <c r="Y1" s="79"/>
      <c r="Z1" s="17" t="s">
        <v>83</v>
      </c>
      <c r="AA1" s="17"/>
      <c r="AB1" s="17" t="s">
        <v>84</v>
      </c>
      <c r="AC1" s="17"/>
      <c r="AD1" s="17" t="s">
        <v>85</v>
      </c>
      <c r="AE1" s="17"/>
      <c r="AF1" s="17" t="s">
        <v>86</v>
      </c>
      <c r="AG1" s="17"/>
      <c r="AH1" s="17" t="s">
        <v>87</v>
      </c>
      <c r="AI1" s="17"/>
      <c r="AJ1" s="17" t="s">
        <v>88</v>
      </c>
      <c r="AK1" s="79"/>
      <c r="AL1" s="17" t="s">
        <v>83</v>
      </c>
      <c r="AM1" s="17"/>
      <c r="AN1" s="17" t="s">
        <v>84</v>
      </c>
      <c r="AO1" s="17"/>
      <c r="AP1" s="17" t="s">
        <v>85</v>
      </c>
      <c r="AQ1" s="17"/>
      <c r="AR1" s="17" t="s">
        <v>86</v>
      </c>
      <c r="AS1" s="17"/>
      <c r="AT1" s="17" t="s">
        <v>87</v>
      </c>
      <c r="AU1" s="17"/>
      <c r="AV1" s="17" t="s">
        <v>88</v>
      </c>
      <c r="AW1" s="79"/>
      <c r="AX1" s="17" t="s">
        <v>83</v>
      </c>
      <c r="AY1" s="17"/>
      <c r="AZ1" s="17" t="s">
        <v>84</v>
      </c>
      <c r="BA1" s="17"/>
      <c r="BB1" s="17" t="s">
        <v>85</v>
      </c>
      <c r="BC1" s="17"/>
      <c r="BD1" s="17" t="s">
        <v>86</v>
      </c>
      <c r="BE1" s="17"/>
      <c r="BF1" s="17" t="s">
        <v>87</v>
      </c>
      <c r="BG1" s="17"/>
      <c r="BH1" s="17" t="s">
        <v>88</v>
      </c>
      <c r="BI1" s="79"/>
      <c r="BJ1" s="17" t="s">
        <v>83</v>
      </c>
      <c r="BK1" s="17"/>
      <c r="BL1" s="17" t="s">
        <v>84</v>
      </c>
      <c r="BM1" s="17"/>
      <c r="BN1" s="17" t="s">
        <v>85</v>
      </c>
      <c r="BO1" s="17"/>
      <c r="BP1" s="17" t="s">
        <v>86</v>
      </c>
      <c r="BQ1" s="17"/>
      <c r="BR1" s="17" t="s">
        <v>87</v>
      </c>
      <c r="BS1" s="17"/>
      <c r="BT1" s="17" t="s">
        <v>88</v>
      </c>
      <c r="BU1" s="79"/>
      <c r="BV1" s="17" t="s">
        <v>83</v>
      </c>
      <c r="BW1" s="17"/>
      <c r="BX1" s="17" t="s">
        <v>84</v>
      </c>
      <c r="BY1" s="17"/>
      <c r="BZ1" s="17" t="s">
        <v>85</v>
      </c>
      <c r="CA1" s="17"/>
      <c r="CB1" s="17" t="s">
        <v>86</v>
      </c>
      <c r="CC1" s="17"/>
      <c r="CD1" s="17" t="s">
        <v>87</v>
      </c>
      <c r="CE1" s="17"/>
      <c r="CF1" s="17" t="s">
        <v>88</v>
      </c>
    </row>
    <row r="2" spans="1:84" s="78" customFormat="1" x14ac:dyDescent="0.2">
      <c r="A2" s="17"/>
      <c r="B2" s="17" t="s">
        <v>67</v>
      </c>
      <c r="C2" s="17"/>
      <c r="D2" s="17" t="s">
        <v>67</v>
      </c>
      <c r="E2" s="17"/>
      <c r="F2" s="17" t="s">
        <v>67</v>
      </c>
      <c r="G2" s="17"/>
      <c r="H2" s="17" t="s">
        <v>67</v>
      </c>
      <c r="I2" s="17"/>
      <c r="J2" s="17" t="s">
        <v>67</v>
      </c>
      <c r="K2" s="17"/>
      <c r="L2" s="17" t="s">
        <v>67</v>
      </c>
      <c r="M2" s="17"/>
      <c r="N2" s="17" t="s">
        <v>98</v>
      </c>
      <c r="O2" s="17"/>
      <c r="P2" s="17" t="s">
        <v>98</v>
      </c>
      <c r="Q2" s="17"/>
      <c r="R2" s="17" t="s">
        <v>98</v>
      </c>
      <c r="S2" s="17"/>
      <c r="T2" s="17" t="s">
        <v>98</v>
      </c>
      <c r="U2" s="17"/>
      <c r="V2" s="17" t="s">
        <v>98</v>
      </c>
      <c r="W2" s="17"/>
      <c r="X2" s="17" t="s">
        <v>98</v>
      </c>
      <c r="Y2" s="79"/>
      <c r="Z2" s="17" t="s">
        <v>99</v>
      </c>
      <c r="AB2" s="17" t="s">
        <v>99</v>
      </c>
      <c r="AC2" s="17"/>
      <c r="AD2" s="17" t="s">
        <v>99</v>
      </c>
      <c r="AE2" s="17"/>
      <c r="AF2" s="17" t="s">
        <v>99</v>
      </c>
      <c r="AG2" s="17"/>
      <c r="AH2" s="17" t="s">
        <v>99</v>
      </c>
      <c r="AI2" s="17"/>
      <c r="AJ2" s="17" t="s">
        <v>99</v>
      </c>
      <c r="AK2" s="79"/>
      <c r="AL2" s="17" t="s">
        <v>100</v>
      </c>
      <c r="AM2" s="17"/>
      <c r="AN2" s="17" t="s">
        <v>100</v>
      </c>
      <c r="AO2" s="17"/>
      <c r="AP2" s="17" t="s">
        <v>100</v>
      </c>
      <c r="AQ2" s="17"/>
      <c r="AR2" s="17" t="s">
        <v>100</v>
      </c>
      <c r="AS2" s="17"/>
      <c r="AT2" s="17" t="s">
        <v>100</v>
      </c>
      <c r="AU2" s="17"/>
      <c r="AV2" s="17" t="s">
        <v>100</v>
      </c>
      <c r="AW2" s="79"/>
      <c r="AX2" s="17" t="s">
        <v>101</v>
      </c>
      <c r="AY2" s="17"/>
      <c r="AZ2" s="17" t="s">
        <v>101</v>
      </c>
      <c r="BA2" s="17"/>
      <c r="BB2" s="17" t="s">
        <v>101</v>
      </c>
      <c r="BC2" s="17"/>
      <c r="BD2" s="17" t="s">
        <v>101</v>
      </c>
      <c r="BE2" s="17"/>
      <c r="BF2" s="17" t="s">
        <v>101</v>
      </c>
      <c r="BG2" s="17"/>
      <c r="BH2" s="17" t="s">
        <v>101</v>
      </c>
      <c r="BI2" s="79"/>
      <c r="BJ2" s="17" t="s">
        <v>102</v>
      </c>
      <c r="BK2" s="17"/>
      <c r="BL2" s="17" t="s">
        <v>102</v>
      </c>
      <c r="BM2" s="17"/>
      <c r="BN2" s="17" t="s">
        <v>102</v>
      </c>
      <c r="BO2" s="17"/>
      <c r="BP2" s="17" t="s">
        <v>102</v>
      </c>
      <c r="BQ2" s="17"/>
      <c r="BR2" s="17" t="s">
        <v>102</v>
      </c>
      <c r="BS2" s="17"/>
      <c r="BT2" s="17" t="s">
        <v>102</v>
      </c>
      <c r="BU2" s="79"/>
      <c r="BV2" s="17" t="s">
        <v>103</v>
      </c>
      <c r="BW2" s="17"/>
      <c r="BX2" s="17" t="s">
        <v>103</v>
      </c>
      <c r="BY2" s="17"/>
      <c r="BZ2" s="17" t="s">
        <v>103</v>
      </c>
      <c r="CA2" s="17"/>
      <c r="CB2" s="17" t="s">
        <v>103</v>
      </c>
      <c r="CC2" s="17"/>
      <c r="CD2" s="17" t="s">
        <v>103</v>
      </c>
      <c r="CE2" s="17"/>
      <c r="CF2" s="17" t="s">
        <v>103</v>
      </c>
    </row>
    <row r="3" spans="1:84" s="81" customFormat="1" ht="20.399999999999999" x14ac:dyDescent="0.25">
      <c r="A3" s="5" t="s">
        <v>104</v>
      </c>
      <c r="B3" s="10">
        <v>3.8397853637438986</v>
      </c>
      <c r="C3" s="11"/>
      <c r="D3" s="10">
        <v>3.736662636218695</v>
      </c>
      <c r="E3" s="11"/>
      <c r="F3" s="10">
        <v>3.7084505812710447</v>
      </c>
      <c r="G3" s="27"/>
      <c r="H3" s="10">
        <v>3.6876379192625777</v>
      </c>
      <c r="I3" s="26"/>
      <c r="J3" s="10">
        <v>3.6707749244515413</v>
      </c>
      <c r="K3" s="27"/>
      <c r="L3" s="29">
        <v>3.6370391864083778</v>
      </c>
      <c r="M3" s="27"/>
      <c r="N3" s="10">
        <v>3.709251101321585</v>
      </c>
      <c r="O3" s="11"/>
      <c r="P3" s="10">
        <v>3.6808510638297851</v>
      </c>
      <c r="Q3" s="6"/>
      <c r="R3" s="58">
        <v>3.6142592295032183</v>
      </c>
      <c r="S3" s="6"/>
      <c r="T3" s="58">
        <v>3.6000000000000005</v>
      </c>
      <c r="U3" s="6"/>
      <c r="V3" s="58">
        <v>3.8125000000000009</v>
      </c>
      <c r="W3" s="6"/>
      <c r="X3" s="80">
        <v>3.5476190476190492</v>
      </c>
      <c r="Y3" s="77"/>
      <c r="Z3" s="10">
        <v>3.9509569499963422</v>
      </c>
      <c r="AA3" s="9"/>
      <c r="AB3" s="10">
        <v>3.6378082629873321</v>
      </c>
      <c r="AC3" s="66"/>
      <c r="AD3" s="58">
        <v>4</v>
      </c>
      <c r="AE3" s="66"/>
      <c r="AF3" s="58">
        <v>3.5742209399449765</v>
      </c>
      <c r="AG3" s="6"/>
      <c r="AH3" s="58">
        <v>3.3814011990870498</v>
      </c>
      <c r="AI3" s="6"/>
      <c r="AJ3" s="80">
        <v>3.368070151885747</v>
      </c>
      <c r="AK3" s="77"/>
      <c r="AL3" s="10">
        <v>3.8433794844025604</v>
      </c>
      <c r="AM3" s="11"/>
      <c r="AN3" s="10">
        <v>3.7405045113477002</v>
      </c>
      <c r="AO3" s="11"/>
      <c r="AP3" s="58">
        <v>3.7313520059280991</v>
      </c>
      <c r="AQ3" s="6"/>
      <c r="AR3" s="58">
        <v>3.5400517007251482</v>
      </c>
      <c r="AS3" s="6"/>
      <c r="AT3" s="58">
        <v>3.3448691518182581</v>
      </c>
      <c r="AU3" s="6"/>
      <c r="AV3" s="80">
        <v>3.4781081587441127</v>
      </c>
      <c r="AW3" s="77"/>
      <c r="AX3" s="10">
        <v>3.9020875212450616</v>
      </c>
      <c r="AY3" s="11"/>
      <c r="AZ3" s="10">
        <v>3.6807129298570311</v>
      </c>
      <c r="BA3" s="11"/>
      <c r="BB3" s="58">
        <v>3.6826401645241789</v>
      </c>
      <c r="BC3" s="6"/>
      <c r="BD3" s="58">
        <v>3.961105330424318</v>
      </c>
      <c r="BE3" s="6"/>
      <c r="BF3" s="58">
        <v>3.7402772600646577</v>
      </c>
      <c r="BG3" s="6"/>
      <c r="BH3" s="80">
        <v>3.889548565481546</v>
      </c>
      <c r="BI3" s="77"/>
      <c r="BJ3" s="10">
        <v>3.7029211194392468</v>
      </c>
      <c r="BK3" s="11"/>
      <c r="BL3" s="10">
        <v>3.7092961852915263</v>
      </c>
      <c r="BM3" s="11"/>
      <c r="BN3" s="58">
        <v>3.8143366618313772</v>
      </c>
      <c r="BO3" s="6"/>
      <c r="BP3" s="58">
        <v>3.5566803134869693</v>
      </c>
      <c r="BQ3" s="6"/>
      <c r="BR3" s="58">
        <v>3.6275128121041806</v>
      </c>
      <c r="BS3" s="6"/>
      <c r="BT3" s="80">
        <v>3.4571428571428577</v>
      </c>
      <c r="BU3" s="77"/>
      <c r="BV3" s="10">
        <v>3.9127625012451674</v>
      </c>
      <c r="BW3" s="6"/>
      <c r="BX3" s="10">
        <v>3.9177268977374116</v>
      </c>
      <c r="BY3" s="6"/>
      <c r="BZ3" s="58">
        <v>3.6791466077353561</v>
      </c>
      <c r="CA3" s="6"/>
      <c r="CB3" s="58">
        <v>3.7272063192032925</v>
      </c>
      <c r="CC3" s="6"/>
      <c r="CD3" s="58">
        <v>3.8047264201149797</v>
      </c>
      <c r="CE3" s="6"/>
      <c r="CF3" s="80">
        <v>3.8993405042286953</v>
      </c>
    </row>
    <row r="4" spans="1:84" s="81" customFormat="1" x14ac:dyDescent="0.25">
      <c r="A4" s="5" t="s">
        <v>93</v>
      </c>
      <c r="B4" s="10">
        <v>3.6899934584488667</v>
      </c>
      <c r="C4" s="11"/>
      <c r="D4" s="10">
        <v>3.584891158967233</v>
      </c>
      <c r="E4" s="11"/>
      <c r="F4" s="10">
        <v>3.6668727577126345</v>
      </c>
      <c r="G4" s="27"/>
      <c r="H4" s="10">
        <v>3.6120349919162424</v>
      </c>
      <c r="I4" s="26"/>
      <c r="J4" s="10">
        <v>3.7487252470019259</v>
      </c>
      <c r="K4" s="27"/>
      <c r="L4" s="29">
        <v>3.624753518178812</v>
      </c>
      <c r="M4" s="27"/>
      <c r="N4" s="10">
        <v>3.6585365853658538</v>
      </c>
      <c r="O4" s="11"/>
      <c r="P4" s="10">
        <v>3.7234042553191493</v>
      </c>
      <c r="Q4" s="6"/>
      <c r="R4" s="58">
        <v>3.7894736842105265</v>
      </c>
      <c r="S4" s="6"/>
      <c r="T4" s="58">
        <v>3.3333333333333335</v>
      </c>
      <c r="U4" s="6"/>
      <c r="V4" s="58">
        <v>3.3333333333333335</v>
      </c>
      <c r="W4" s="6"/>
      <c r="X4" s="80">
        <v>3.6428571428571428</v>
      </c>
      <c r="Y4" s="77"/>
      <c r="Z4" s="10">
        <v>3.6589593686059381</v>
      </c>
      <c r="AA4" s="9"/>
      <c r="AB4" s="10">
        <v>3.3000000000000003</v>
      </c>
      <c r="AC4" s="66"/>
      <c r="AD4" s="58">
        <v>3.5</v>
      </c>
      <c r="AE4" s="66"/>
      <c r="AF4" s="58">
        <v>3.5</v>
      </c>
      <c r="AG4" s="6"/>
      <c r="AH4" s="58">
        <v>3.9999999999999996</v>
      </c>
      <c r="AI4" s="6"/>
      <c r="AJ4" s="80">
        <v>4.9999999999999991</v>
      </c>
      <c r="AK4" s="77"/>
      <c r="AL4" s="10">
        <v>3.7408949102187887</v>
      </c>
      <c r="AM4" s="11"/>
      <c r="AN4" s="10">
        <v>3.5492342102226213</v>
      </c>
      <c r="AO4" s="11"/>
      <c r="AP4" s="58">
        <v>3.8438544756999629</v>
      </c>
      <c r="AQ4" s="6"/>
      <c r="AR4" s="58">
        <v>3.2551764761284554</v>
      </c>
      <c r="AS4" s="6"/>
      <c r="AT4" s="58">
        <v>3.75</v>
      </c>
      <c r="AU4" s="6"/>
      <c r="AV4" s="80">
        <v>3.4912364733867749</v>
      </c>
      <c r="AW4" s="77"/>
      <c r="AX4" s="10">
        <v>3.5629540872773209</v>
      </c>
      <c r="AY4" s="11"/>
      <c r="AZ4" s="10">
        <v>3.5236777840235285</v>
      </c>
      <c r="BA4" s="11"/>
      <c r="BB4" s="58">
        <v>3.2021296942769815</v>
      </c>
      <c r="BC4" s="6"/>
      <c r="BD4" s="58">
        <v>3.9949368488893038</v>
      </c>
      <c r="BE4" s="6"/>
      <c r="BF4" s="58">
        <v>3.7847835909839218</v>
      </c>
      <c r="BG4" s="6"/>
      <c r="BH4" s="80">
        <v>3.2909546851465534</v>
      </c>
      <c r="BI4" s="77"/>
      <c r="BJ4" s="10">
        <v>3.918239199457354</v>
      </c>
      <c r="BK4" s="19"/>
      <c r="BL4" s="10">
        <v>3.6540668494115631</v>
      </c>
      <c r="BM4" s="19"/>
      <c r="BN4" s="58">
        <v>3.8571428571428572</v>
      </c>
      <c r="BO4" s="6"/>
      <c r="BP4" s="58">
        <v>2.5</v>
      </c>
      <c r="BQ4" s="6"/>
      <c r="BR4" s="58">
        <v>3.2104713792130792</v>
      </c>
      <c r="BS4" s="6"/>
      <c r="BT4" s="80">
        <v>4.5</v>
      </c>
      <c r="BU4" s="77"/>
      <c r="BV4" s="10">
        <v>3.7704916722281956</v>
      </c>
      <c r="BW4" s="6"/>
      <c r="BX4" s="10">
        <v>3.6923170574898965</v>
      </c>
      <c r="BY4" s="6"/>
      <c r="BZ4" s="58">
        <v>3.8438042058164603</v>
      </c>
      <c r="CA4" s="6"/>
      <c r="CB4" s="58">
        <v>3.5000000000000004</v>
      </c>
      <c r="CC4" s="6"/>
      <c r="CD4" s="58">
        <v>4.1501734901658507</v>
      </c>
      <c r="CE4" s="6"/>
      <c r="CF4" s="80">
        <v>3.9691637585710211</v>
      </c>
    </row>
    <row r="5" spans="1:84" s="81" customFormat="1" x14ac:dyDescent="0.25">
      <c r="A5" s="5" t="s">
        <v>94</v>
      </c>
      <c r="B5" s="10">
        <v>3.1203377328303361</v>
      </c>
      <c r="C5" s="11"/>
      <c r="D5" s="10">
        <v>3.1091231841815192</v>
      </c>
      <c r="E5" s="11"/>
      <c r="F5" s="10">
        <v>2.9319934830275378</v>
      </c>
      <c r="G5" s="27"/>
      <c r="H5" s="10">
        <v>2.9443136204079301</v>
      </c>
      <c r="I5" s="26"/>
      <c r="J5" s="10">
        <v>3.2554417501236865</v>
      </c>
      <c r="K5" s="27"/>
      <c r="L5" s="29">
        <v>3.0133594085317843</v>
      </c>
      <c r="M5" s="27"/>
      <c r="N5" s="10">
        <v>3.0810810810810807</v>
      </c>
      <c r="O5" s="11"/>
      <c r="P5" s="10">
        <v>3.2222222222222228</v>
      </c>
      <c r="Q5" s="6"/>
      <c r="R5" s="58">
        <v>2.8947368421052628</v>
      </c>
      <c r="S5" s="6"/>
      <c r="T5" s="58">
        <v>2.833333333333333</v>
      </c>
      <c r="U5" s="6"/>
      <c r="V5" s="58">
        <v>3.1666666666666665</v>
      </c>
      <c r="W5" s="6"/>
      <c r="X5" s="80">
        <v>2.9230769230769229</v>
      </c>
      <c r="Y5" s="77"/>
      <c r="Z5" s="10">
        <v>2.4705881797441309</v>
      </c>
      <c r="AA5" s="9"/>
      <c r="AB5" s="10">
        <v>3</v>
      </c>
      <c r="AC5" s="66"/>
      <c r="AD5" s="58">
        <v>3.166666666666667</v>
      </c>
      <c r="AE5" s="66"/>
      <c r="AF5" s="58">
        <v>2.5</v>
      </c>
      <c r="AG5" s="6"/>
      <c r="AH5" s="82">
        <v>0.99999999999999989</v>
      </c>
      <c r="AI5" s="6"/>
      <c r="AJ5" s="80">
        <v>4</v>
      </c>
      <c r="AK5" s="77"/>
      <c r="AL5" s="10">
        <v>3.1905286336602421</v>
      </c>
      <c r="AM5" s="11"/>
      <c r="AN5" s="10">
        <v>3.1330653998554423</v>
      </c>
      <c r="AO5" s="11"/>
      <c r="AP5" s="58">
        <v>2.8718443300676348</v>
      </c>
      <c r="AQ5" s="6"/>
      <c r="AR5" s="58">
        <v>3.3425999152149015</v>
      </c>
      <c r="AS5" s="6"/>
      <c r="AT5" s="58">
        <v>3.6666666666666665</v>
      </c>
      <c r="AU5" s="6"/>
      <c r="AV5" s="80">
        <v>2.937179059907753</v>
      </c>
      <c r="AW5" s="77"/>
      <c r="AX5" s="10">
        <v>2.9926198507834445</v>
      </c>
      <c r="AY5" s="11"/>
      <c r="AZ5" s="10">
        <v>3.0516735055640543</v>
      </c>
      <c r="BA5" s="11"/>
      <c r="BB5" s="58">
        <v>2.5447402916584512</v>
      </c>
      <c r="BC5" s="6"/>
      <c r="BD5" s="58">
        <v>3.3333333333333339</v>
      </c>
      <c r="BE5" s="6"/>
      <c r="BF5" s="58">
        <v>3.3207369941849922</v>
      </c>
      <c r="BG5" s="6"/>
      <c r="BH5" s="80">
        <v>2.817503754038615</v>
      </c>
      <c r="BI5" s="77"/>
      <c r="BJ5" s="10">
        <v>3.7948721115178601</v>
      </c>
      <c r="BK5" s="19"/>
      <c r="BL5" s="10">
        <v>3.217405112319101</v>
      </c>
      <c r="BM5" s="19"/>
      <c r="BN5" s="58">
        <v>2.4277515054351237</v>
      </c>
      <c r="BO5" s="6"/>
      <c r="BP5" s="58">
        <v>2.5</v>
      </c>
      <c r="BQ5" s="6"/>
      <c r="BR5" s="58">
        <v>2.8942424129177127</v>
      </c>
      <c r="BS5" s="6"/>
      <c r="BT5" s="80">
        <v>4</v>
      </c>
      <c r="BU5" s="77"/>
      <c r="BV5" s="10">
        <v>3.2927926960469036</v>
      </c>
      <c r="BW5" s="6"/>
      <c r="BX5" s="10">
        <v>3.0244731280524491</v>
      </c>
      <c r="BY5" s="6"/>
      <c r="BZ5" s="58">
        <v>3.7074024852586183</v>
      </c>
      <c r="CA5" s="6"/>
      <c r="CB5" s="58">
        <v>1.3238017765989509</v>
      </c>
      <c r="CC5" s="6"/>
      <c r="CD5" s="58">
        <v>3.390586003840895</v>
      </c>
      <c r="CE5" s="6"/>
      <c r="CF5" s="80">
        <v>3.0828222825698837</v>
      </c>
    </row>
    <row r="6" spans="1:84" s="81" customFormat="1" x14ac:dyDescent="0.25">
      <c r="A6" s="5" t="s">
        <v>105</v>
      </c>
      <c r="B6" s="10">
        <v>3.7306956316252307</v>
      </c>
      <c r="C6" s="11"/>
      <c r="D6" s="10">
        <v>3.6252846002793162</v>
      </c>
      <c r="E6" s="11"/>
      <c r="F6" s="10">
        <v>3.6133915185083874</v>
      </c>
      <c r="G6" s="27"/>
      <c r="H6" s="10">
        <v>3.4264646510374708</v>
      </c>
      <c r="I6" s="26"/>
      <c r="J6" s="10">
        <v>3.326662676988823</v>
      </c>
      <c r="K6" s="27"/>
      <c r="L6" s="29">
        <v>3.3194528241227657</v>
      </c>
      <c r="M6" s="27"/>
      <c r="N6" s="10">
        <v>3.5272727272727278</v>
      </c>
      <c r="O6" s="11"/>
      <c r="P6" s="10">
        <v>3.5502392344497617</v>
      </c>
      <c r="Q6" s="6"/>
      <c r="R6" s="58">
        <v>3.4791666666666661</v>
      </c>
      <c r="S6" s="6"/>
      <c r="T6" s="58">
        <v>3.4722222222222223</v>
      </c>
      <c r="U6" s="6"/>
      <c r="V6" s="58">
        <v>3.4444444444444455</v>
      </c>
      <c r="W6" s="6"/>
      <c r="X6" s="80">
        <v>3.4625000000000004</v>
      </c>
      <c r="Y6" s="77"/>
      <c r="Z6" s="10">
        <v>3.8547367895941917</v>
      </c>
      <c r="AA6" s="9"/>
      <c r="AB6" s="10">
        <v>3.6760030024273438</v>
      </c>
      <c r="AC6" s="66"/>
      <c r="AD6" s="58">
        <v>3.5714285714285712</v>
      </c>
      <c r="AE6" s="66"/>
      <c r="AF6" s="58">
        <v>3.8695652173913042</v>
      </c>
      <c r="AG6" s="6"/>
      <c r="AH6" s="58">
        <v>3.0681869333748351</v>
      </c>
      <c r="AI6" s="6"/>
      <c r="AJ6" s="80">
        <v>2.6725786985473503</v>
      </c>
      <c r="AK6" s="77"/>
      <c r="AL6" s="10">
        <v>3.8151892371304466</v>
      </c>
      <c r="AM6" s="11"/>
      <c r="AN6" s="10">
        <v>3.6448589379102514</v>
      </c>
      <c r="AO6" s="11"/>
      <c r="AP6" s="58">
        <v>3.6221615700408796</v>
      </c>
      <c r="AQ6" s="6"/>
      <c r="AR6" s="58">
        <v>2.9744473305033314</v>
      </c>
      <c r="AS6" s="6"/>
      <c r="AT6" s="58">
        <v>2.8741095531430929</v>
      </c>
      <c r="AU6" s="6"/>
      <c r="AV6" s="80">
        <v>3.323395179277866</v>
      </c>
      <c r="AW6" s="77"/>
      <c r="AX6" s="10">
        <v>3.8243923119516618</v>
      </c>
      <c r="AY6" s="11"/>
      <c r="AZ6" s="10">
        <v>3.6237651439040888</v>
      </c>
      <c r="BA6" s="11"/>
      <c r="BB6" s="58">
        <v>3.6851478660508943</v>
      </c>
      <c r="BC6" s="6"/>
      <c r="BD6" s="58">
        <v>3.8668760412020879</v>
      </c>
      <c r="BE6" s="6"/>
      <c r="BF6" s="58">
        <v>3.8222924850673046</v>
      </c>
      <c r="BG6" s="6"/>
      <c r="BH6" s="80">
        <v>3.5627664416289617</v>
      </c>
      <c r="BI6" s="77"/>
      <c r="BJ6" s="10">
        <v>3.3325330817115892</v>
      </c>
      <c r="BK6" s="11"/>
      <c r="BL6" s="10">
        <v>3.4179006207197387</v>
      </c>
      <c r="BM6" s="11"/>
      <c r="BN6" s="58">
        <v>3.3430949571786024</v>
      </c>
      <c r="BO6" s="6"/>
      <c r="BP6" s="58">
        <v>3.3313054127356532</v>
      </c>
      <c r="BQ6" s="6"/>
      <c r="BR6" s="58">
        <v>3.3789275871240272</v>
      </c>
      <c r="BS6" s="6"/>
      <c r="BT6" s="80">
        <v>3.5652173913043481</v>
      </c>
      <c r="BU6" s="77"/>
      <c r="BV6" s="10">
        <v>3.7883894377807592</v>
      </c>
      <c r="BW6" s="6"/>
      <c r="BX6" s="10">
        <v>3.7194794050971427</v>
      </c>
      <c r="BY6" s="6"/>
      <c r="BZ6" s="58">
        <v>3.7500000000000004</v>
      </c>
      <c r="CA6" s="6"/>
      <c r="CB6" s="58">
        <v>3.4210043830648003</v>
      </c>
      <c r="CC6" s="6"/>
      <c r="CD6" s="58">
        <v>3.7569665964357726</v>
      </c>
      <c r="CE6" s="6"/>
      <c r="CF6" s="80">
        <v>3.0021650484144504</v>
      </c>
    </row>
    <row r="7" spans="1:84" s="81" customFormat="1" x14ac:dyDescent="0.25">
      <c r="A7" s="5" t="s">
        <v>95</v>
      </c>
      <c r="B7" s="10">
        <v>4.1605513529001126</v>
      </c>
      <c r="C7" s="11"/>
      <c r="D7" s="10">
        <v>4.0839415541802184</v>
      </c>
      <c r="E7" s="11"/>
      <c r="F7" s="10">
        <v>4.04628001383408</v>
      </c>
      <c r="G7" s="27"/>
      <c r="H7" s="10">
        <v>3.804508417877873</v>
      </c>
      <c r="I7" s="26"/>
      <c r="J7" s="10">
        <v>3.9219176536326641</v>
      </c>
      <c r="K7" s="27"/>
      <c r="L7" s="29">
        <v>3.6144823791166156</v>
      </c>
      <c r="M7" s="27"/>
      <c r="N7" s="10">
        <v>4.0055555555555555</v>
      </c>
      <c r="O7" s="11"/>
      <c r="P7" s="10">
        <v>3.9952718676122938</v>
      </c>
      <c r="Q7" s="6"/>
      <c r="R7" s="58">
        <v>3.9609456878269271</v>
      </c>
      <c r="S7" s="6"/>
      <c r="T7" s="58">
        <v>3.7679999999999998</v>
      </c>
      <c r="U7" s="6"/>
      <c r="V7" s="58">
        <v>3.9852941176470602</v>
      </c>
      <c r="W7" s="6"/>
      <c r="X7" s="80">
        <v>3.4832535885167455</v>
      </c>
      <c r="Y7" s="77"/>
      <c r="Z7" s="10">
        <v>4.0880794499208983</v>
      </c>
      <c r="AA7" s="9"/>
      <c r="AB7" s="10">
        <v>4.0393087267798284</v>
      </c>
      <c r="AC7" s="66"/>
      <c r="AD7" s="58">
        <v>3.6662017779439591</v>
      </c>
      <c r="AE7" s="66"/>
      <c r="AF7" s="58">
        <v>3.3738516608764519</v>
      </c>
      <c r="AG7" s="6"/>
      <c r="AH7" s="58">
        <v>3.5828758098112665</v>
      </c>
      <c r="AI7" s="6"/>
      <c r="AJ7" s="80">
        <v>3.0529193397869117</v>
      </c>
      <c r="AK7" s="77"/>
      <c r="AL7" s="10">
        <v>4.0956199951872794</v>
      </c>
      <c r="AM7" s="11"/>
      <c r="AN7" s="10">
        <v>4.0257831382170632</v>
      </c>
      <c r="AO7" s="11"/>
      <c r="AP7" s="58">
        <v>4.025061323647285</v>
      </c>
      <c r="AQ7" s="6"/>
      <c r="AR7" s="58">
        <v>3.7805210295161178</v>
      </c>
      <c r="AS7" s="6"/>
      <c r="AT7" s="58">
        <v>3.8081710034437739</v>
      </c>
      <c r="AU7" s="6"/>
      <c r="AV7" s="80">
        <v>3.5911195337985404</v>
      </c>
      <c r="AW7" s="77"/>
      <c r="AX7" s="10">
        <v>4.3177977119209014</v>
      </c>
      <c r="AY7" s="11"/>
      <c r="AZ7" s="10">
        <v>4.161478123936484</v>
      </c>
      <c r="BA7" s="11"/>
      <c r="BB7" s="58">
        <v>4.2243954124362828</v>
      </c>
      <c r="BC7" s="6"/>
      <c r="BD7" s="58">
        <v>4.2313699624060765</v>
      </c>
      <c r="BE7" s="6"/>
      <c r="BF7" s="58">
        <v>4.2687001271462419</v>
      </c>
      <c r="BG7" s="6"/>
      <c r="BH7" s="80">
        <v>4.007375934679863</v>
      </c>
      <c r="BI7" s="77"/>
      <c r="BJ7" s="10">
        <v>4.0425873333921984</v>
      </c>
      <c r="BK7" s="11"/>
      <c r="BL7" s="10">
        <v>3.9203987783987277</v>
      </c>
      <c r="BM7" s="11"/>
      <c r="BN7" s="58">
        <v>3.6407135457673365</v>
      </c>
      <c r="BO7" s="6"/>
      <c r="BP7" s="58">
        <v>3.6304661931838496</v>
      </c>
      <c r="BQ7" s="6"/>
      <c r="BR7" s="58">
        <v>3.7895919340798061</v>
      </c>
      <c r="BS7" s="6"/>
      <c r="BT7" s="80">
        <v>3.9836065573770494</v>
      </c>
      <c r="BU7" s="77"/>
      <c r="BV7" s="10">
        <v>4.2807692374187951</v>
      </c>
      <c r="BW7" s="6"/>
      <c r="BX7" s="10">
        <v>4.2832919548304522</v>
      </c>
      <c r="BY7" s="6"/>
      <c r="BZ7" s="58">
        <v>4.2477878277680023</v>
      </c>
      <c r="CA7" s="6"/>
      <c r="CB7" s="58">
        <v>3.637799081017965</v>
      </c>
      <c r="CC7" s="6"/>
      <c r="CD7" s="58">
        <v>4.0091526777463207</v>
      </c>
      <c r="CE7" s="6"/>
      <c r="CF7" s="80">
        <v>3.4088078975227809</v>
      </c>
    </row>
    <row r="8" spans="1:84" s="81" customFormat="1" x14ac:dyDescent="0.25">
      <c r="A8" s="5" t="s">
        <v>96</v>
      </c>
      <c r="B8" s="10">
        <v>3.7824526344787013</v>
      </c>
      <c r="C8" s="11"/>
      <c r="D8" s="10">
        <v>3.7186345845851601</v>
      </c>
      <c r="E8" s="11"/>
      <c r="F8" s="10">
        <v>3.7044099633793133</v>
      </c>
      <c r="G8" s="27"/>
      <c r="H8" s="10">
        <v>2.8820230242763358</v>
      </c>
      <c r="I8" s="26"/>
      <c r="J8" s="10">
        <v>3.1418478053597916</v>
      </c>
      <c r="K8" s="27"/>
      <c r="L8" s="29">
        <v>3.1762791068862355</v>
      </c>
      <c r="M8" s="27"/>
      <c r="N8" s="10">
        <v>3.9833333333333321</v>
      </c>
      <c r="O8" s="11"/>
      <c r="P8" s="10">
        <v>3.9432792876719227</v>
      </c>
      <c r="Q8" s="6"/>
      <c r="R8" s="58">
        <v>3.9921891375653851</v>
      </c>
      <c r="S8" s="6"/>
      <c r="T8" s="58">
        <v>3.008064516129032</v>
      </c>
      <c r="U8" s="6"/>
      <c r="V8" s="58">
        <v>3.8222222222222211</v>
      </c>
      <c r="W8" s="6"/>
      <c r="X8" s="80">
        <v>3.4502369668246455</v>
      </c>
      <c r="Y8" s="77"/>
      <c r="Z8" s="10">
        <v>4.1307011491483188</v>
      </c>
      <c r="AA8" s="9"/>
      <c r="AB8" s="10">
        <v>4.0292092880081984</v>
      </c>
      <c r="AC8" s="66"/>
      <c r="AD8" s="58">
        <v>3.7409736431515546</v>
      </c>
      <c r="AE8" s="66"/>
      <c r="AF8" s="58">
        <v>2.9806488885759812</v>
      </c>
      <c r="AG8" s="6"/>
      <c r="AH8" s="58">
        <v>3.1484852407857065</v>
      </c>
      <c r="AI8" s="6"/>
      <c r="AJ8" s="80">
        <v>2.7553876067238572</v>
      </c>
      <c r="AK8" s="77"/>
      <c r="AL8" s="10">
        <v>3.4559355095405846</v>
      </c>
      <c r="AM8" s="11"/>
      <c r="AN8" s="10">
        <v>3.3825952840033424</v>
      </c>
      <c r="AO8" s="11"/>
      <c r="AP8" s="58">
        <v>3.4749346075966181</v>
      </c>
      <c r="AQ8" s="6"/>
      <c r="AR8" s="58">
        <v>2.1761216814165376</v>
      </c>
      <c r="AS8" s="6"/>
      <c r="AT8" s="58">
        <v>2.1402829401245147</v>
      </c>
      <c r="AU8" s="6"/>
      <c r="AV8" s="80">
        <v>2.8928300398556193</v>
      </c>
      <c r="AW8" s="77"/>
      <c r="AX8" s="10">
        <v>3.9823887697829519</v>
      </c>
      <c r="AY8" s="11"/>
      <c r="AZ8" s="10">
        <v>3.9031819041599816</v>
      </c>
      <c r="BA8" s="11"/>
      <c r="BB8" s="58">
        <v>3.7322269053560113</v>
      </c>
      <c r="BC8" s="6"/>
      <c r="BD8" s="58">
        <v>3.7250398710167172</v>
      </c>
      <c r="BE8" s="6"/>
      <c r="BF8" s="58">
        <v>3.9318540263039257</v>
      </c>
      <c r="BG8" s="6"/>
      <c r="BH8" s="80">
        <v>3.4436804419021771</v>
      </c>
      <c r="BI8" s="77"/>
      <c r="BJ8" s="10">
        <v>4.1084772904416971</v>
      </c>
      <c r="BK8" s="11"/>
      <c r="BL8" s="10">
        <v>4.0501947862703931</v>
      </c>
      <c r="BM8" s="11"/>
      <c r="BN8" s="58">
        <v>3.7845594781151939</v>
      </c>
      <c r="BO8" s="6"/>
      <c r="BP8" s="58">
        <v>3.392600675378783</v>
      </c>
      <c r="BQ8" s="6"/>
      <c r="BR8" s="58">
        <v>3.6642038576634022</v>
      </c>
      <c r="BS8" s="6"/>
      <c r="BT8" s="80">
        <v>3.9344262295081962</v>
      </c>
      <c r="BU8" s="77"/>
      <c r="BV8" s="10">
        <v>3.7963473231009437</v>
      </c>
      <c r="BW8" s="6"/>
      <c r="BX8" s="10">
        <v>3.8688013419545726</v>
      </c>
      <c r="BY8" s="6"/>
      <c r="BZ8" s="58">
        <v>3.905561846779785</v>
      </c>
      <c r="CA8" s="6"/>
      <c r="CB8" s="58">
        <v>2.7114255659024873</v>
      </c>
      <c r="CC8" s="6"/>
      <c r="CD8" s="58">
        <v>3.4776483353604339</v>
      </c>
      <c r="CE8" s="6"/>
      <c r="CF8" s="80">
        <v>2.9773197407234835</v>
      </c>
    </row>
    <row r="9" spans="1:84" s="81" customFormat="1" x14ac:dyDescent="0.25">
      <c r="A9" s="5" t="s">
        <v>97</v>
      </c>
      <c r="B9" s="10">
        <v>3.8799717533317826</v>
      </c>
      <c r="C9" s="11"/>
      <c r="D9" s="10">
        <v>3.6604596190872947</v>
      </c>
      <c r="E9" s="11"/>
      <c r="F9" s="10">
        <v>3.6467214583887539</v>
      </c>
      <c r="G9" s="27"/>
      <c r="H9" s="10">
        <v>2.0624912231526475</v>
      </c>
      <c r="I9" s="26"/>
      <c r="J9" s="10">
        <v>2.2743080176625399</v>
      </c>
      <c r="K9" s="27"/>
      <c r="L9" s="29">
        <v>2.5559354788677098</v>
      </c>
      <c r="M9" s="27"/>
      <c r="N9" s="10">
        <v>3.6727272727272724</v>
      </c>
      <c r="O9" s="11"/>
      <c r="P9" s="10">
        <v>3.3529411764705888</v>
      </c>
      <c r="Q9" s="6"/>
      <c r="R9" s="58">
        <v>2.95</v>
      </c>
      <c r="S9" s="6"/>
      <c r="T9" s="58">
        <v>1.8571428571428572</v>
      </c>
      <c r="U9" s="6"/>
      <c r="V9" s="58">
        <v>2.7142857142857149</v>
      </c>
      <c r="W9" s="6"/>
      <c r="X9" s="80">
        <v>2.6145833333333344</v>
      </c>
      <c r="Y9" s="77"/>
      <c r="Z9" s="10">
        <v>3.4864048114178114</v>
      </c>
      <c r="AA9" s="9"/>
      <c r="AB9" s="10">
        <v>3.7777777777777781</v>
      </c>
      <c r="AC9" s="66"/>
      <c r="AD9" s="58">
        <v>3.047619047619047</v>
      </c>
      <c r="AE9" s="66"/>
      <c r="AF9" s="58">
        <v>2.0317214488630522</v>
      </c>
      <c r="AG9" s="6"/>
      <c r="AH9" s="58">
        <v>2.8345435986871395</v>
      </c>
      <c r="AI9" s="6"/>
      <c r="AJ9" s="80">
        <v>2.2421993602131502</v>
      </c>
      <c r="AK9" s="77"/>
      <c r="AL9" s="10">
        <v>3.8018402544394219</v>
      </c>
      <c r="AM9" s="11"/>
      <c r="AN9" s="10">
        <v>3.5175751470187233</v>
      </c>
      <c r="AO9" s="11"/>
      <c r="AP9" s="58">
        <v>3.7503007291511823</v>
      </c>
      <c r="AQ9" s="6"/>
      <c r="AR9" s="58">
        <v>1.6263629321455224</v>
      </c>
      <c r="AS9" s="6"/>
      <c r="AT9" s="58">
        <v>1.6188074148372031</v>
      </c>
      <c r="AU9" s="6"/>
      <c r="AV9" s="80">
        <v>2.7261536212489252</v>
      </c>
      <c r="AW9" s="77"/>
      <c r="AX9" s="10">
        <v>4.1148409086675102</v>
      </c>
      <c r="AY9" s="11"/>
      <c r="AZ9" s="10">
        <v>3.7659189431050955</v>
      </c>
      <c r="BA9" s="11"/>
      <c r="BB9" s="58">
        <v>3.833379445802263</v>
      </c>
      <c r="BC9" s="6"/>
      <c r="BD9" s="58">
        <v>3.1934376139948988</v>
      </c>
      <c r="BE9" s="6"/>
      <c r="BF9" s="58">
        <v>4.1489941873041358</v>
      </c>
      <c r="BG9" s="6"/>
      <c r="BH9" s="80">
        <v>2.7003250554554961</v>
      </c>
      <c r="BI9" s="77"/>
      <c r="BJ9" s="10">
        <v>3.5407404632649091</v>
      </c>
      <c r="BK9" s="11"/>
      <c r="BL9" s="10">
        <v>3.268435448376076</v>
      </c>
      <c r="BM9" s="11"/>
      <c r="BN9" s="58">
        <v>3.3057135607102581</v>
      </c>
      <c r="BO9" s="6"/>
      <c r="BP9" s="58">
        <v>2.5322265982879042</v>
      </c>
      <c r="BQ9" s="6"/>
      <c r="BR9" s="58">
        <v>2.6018546694463507</v>
      </c>
      <c r="BS9" s="6"/>
      <c r="BT9" s="80">
        <v>3.1249999999999996</v>
      </c>
      <c r="BU9" s="77"/>
      <c r="BV9" s="10">
        <v>4.0428695562479646</v>
      </c>
      <c r="BW9" s="6"/>
      <c r="BX9" s="10">
        <v>4.1147690759524433</v>
      </c>
      <c r="BY9" s="6"/>
      <c r="BZ9" s="58">
        <v>3.8939070064701329</v>
      </c>
      <c r="CA9" s="6"/>
      <c r="CB9" s="58">
        <v>2.0624380318751121</v>
      </c>
      <c r="CC9" s="6"/>
      <c r="CD9" s="58">
        <v>2.9454355895880306</v>
      </c>
      <c r="CE9" s="6"/>
      <c r="CF9" s="80">
        <v>2.1640690179689219</v>
      </c>
    </row>
    <row r="10" spans="1:84" s="81" customFormat="1" x14ac:dyDescent="0.25">
      <c r="A10" s="83"/>
      <c r="B10" s="84"/>
      <c r="C10" s="85"/>
      <c r="D10" s="86"/>
      <c r="E10" s="85"/>
      <c r="F10" s="85"/>
      <c r="H10" s="85"/>
      <c r="J10" s="85"/>
      <c r="N10" s="85"/>
      <c r="O10" s="85"/>
      <c r="P10" s="85"/>
      <c r="Q10" s="85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V10"/>
  <sheetViews>
    <sheetView zoomScaleNormal="100" workbookViewId="0">
      <pane xSplit="2" ySplit="2" topLeftCell="AU3" activePane="bottomRight" state="frozen"/>
      <selection pane="topRight" activeCell="E1" sqref="E1"/>
      <selection pane="bottomLeft" activeCell="A3" sqref="A3"/>
      <selection pane="bottomRight" activeCell="C1" sqref="C1:BU10"/>
    </sheetView>
  </sheetViews>
  <sheetFormatPr defaultColWidth="7" defaultRowHeight="13.2" x14ac:dyDescent="0.2"/>
  <cols>
    <col min="1" max="1" width="2.21875" style="21" customWidth="1"/>
    <col min="2" max="2" width="15.44140625" style="68" bestFit="1" customWidth="1"/>
    <col min="3" max="3" width="4.33203125" style="69" bestFit="1" customWidth="1"/>
    <col min="4" max="4" width="4" style="70" customWidth="1"/>
    <col min="5" max="5" width="4.33203125" style="71" bestFit="1" customWidth="1"/>
    <col min="6" max="6" width="4.33203125" style="72" customWidth="1"/>
    <col min="7" max="7" width="4.33203125" style="73" bestFit="1" customWidth="1"/>
    <col min="8" max="8" width="4.33203125" style="72" customWidth="1"/>
    <col min="9" max="9" width="4.33203125" style="73" bestFit="1" customWidth="1"/>
    <col min="10" max="10" width="4.109375" style="72" customWidth="1"/>
    <col min="11" max="11" width="4.33203125" style="74" bestFit="1" customWidth="1"/>
    <col min="12" max="12" width="4.21875" style="74" customWidth="1"/>
    <col min="13" max="13" width="4.33203125" style="72" bestFit="1" customWidth="1"/>
    <col min="14" max="14" width="4.44140625" style="72" customWidth="1"/>
    <col min="15" max="15" width="4.33203125" style="69" bestFit="1" customWidth="1"/>
    <col min="16" max="16" width="3.77734375" style="70" customWidth="1"/>
    <col min="17" max="17" width="4.33203125" style="70" bestFit="1" customWidth="1"/>
    <col min="18" max="18" width="3.77734375" style="73" customWidth="1"/>
    <col min="19" max="19" width="4.33203125" style="73" bestFit="1" customWidth="1"/>
    <col min="20" max="20" width="3.77734375" style="73" customWidth="1"/>
    <col min="21" max="21" width="4.33203125" style="73" bestFit="1" customWidth="1"/>
    <col min="22" max="22" width="3.33203125" style="72" customWidth="1"/>
    <col min="23" max="23" width="4.33203125" style="74" bestFit="1" customWidth="1"/>
    <col min="24" max="24" width="3.77734375" style="74" customWidth="1"/>
    <col min="25" max="25" width="4.33203125" style="72" bestFit="1" customWidth="1"/>
    <col min="26" max="26" width="4.44140625" style="72" customWidth="1"/>
    <col min="27" max="27" width="4.33203125" style="69" bestFit="1" customWidth="1"/>
    <col min="28" max="28" width="4" style="70" customWidth="1"/>
    <col min="29" max="29" width="4.33203125" style="70" bestFit="1" customWidth="1"/>
    <col min="30" max="30" width="4" style="70" customWidth="1"/>
    <col min="31" max="31" width="4.33203125" style="73" bestFit="1" customWidth="1"/>
    <col min="32" max="32" width="4.21875" style="72" customWidth="1"/>
    <col min="33" max="33" width="4.33203125" style="73" bestFit="1" customWidth="1"/>
    <col min="34" max="34" width="4.109375" style="74" customWidth="1"/>
    <col min="35" max="35" width="4.33203125" style="74" bestFit="1" customWidth="1"/>
    <col min="36" max="36" width="3.77734375" style="74" customWidth="1"/>
    <col min="37" max="37" width="4.33203125" style="72" bestFit="1" customWidth="1"/>
    <col min="38" max="38" width="4.44140625" style="72" customWidth="1"/>
    <col min="39" max="39" width="4.33203125" style="69" bestFit="1" customWidth="1"/>
    <col min="40" max="40" width="3.88671875" style="70" customWidth="1"/>
    <col min="41" max="41" width="4.33203125" style="70" bestFit="1" customWidth="1"/>
    <col min="42" max="42" width="3.88671875" style="70" customWidth="1"/>
    <col min="43" max="43" width="4.33203125" style="73" bestFit="1" customWidth="1"/>
    <col min="44" max="44" width="4.109375" style="72" customWidth="1"/>
    <col min="45" max="45" width="4.33203125" style="73" bestFit="1" customWidth="1"/>
    <col min="46" max="46" width="3.44140625" style="72" customWidth="1"/>
    <col min="47" max="47" width="4.33203125" style="74" bestFit="1" customWidth="1"/>
    <col min="48" max="48" width="4.33203125" style="74" customWidth="1"/>
    <col min="49" max="49" width="4.33203125" style="72" bestFit="1" customWidth="1"/>
    <col min="50" max="50" width="4.44140625" style="72" customWidth="1"/>
    <col min="51" max="51" width="4.33203125" style="69" bestFit="1" customWidth="1"/>
    <col min="52" max="52" width="4.6640625" style="70" customWidth="1"/>
    <col min="53" max="53" width="4.33203125" style="70" bestFit="1" customWidth="1"/>
    <col min="54" max="54" width="4.6640625" style="70" customWidth="1"/>
    <col min="55" max="55" width="4.33203125" style="73" bestFit="1" customWidth="1"/>
    <col min="56" max="56" width="4.5546875" style="72" customWidth="1"/>
    <col min="57" max="57" width="4.33203125" style="73" bestFit="1" customWidth="1"/>
    <col min="58" max="58" width="4.77734375" style="72" customWidth="1"/>
    <col min="59" max="59" width="4.33203125" style="74" bestFit="1" customWidth="1"/>
    <col min="60" max="60" width="4.21875" style="74" customWidth="1"/>
    <col min="61" max="61" width="4.33203125" style="72" bestFit="1" customWidth="1"/>
    <col min="62" max="62" width="4.44140625" style="72" customWidth="1"/>
    <col min="63" max="63" width="4.33203125" style="69" bestFit="1" customWidth="1"/>
    <col min="64" max="64" width="4" style="72" customWidth="1"/>
    <col min="65" max="65" width="4.33203125" style="70" bestFit="1" customWidth="1"/>
    <col min="66" max="66" width="4" style="72" customWidth="1"/>
    <col min="67" max="67" width="4.33203125" style="73" bestFit="1" customWidth="1"/>
    <col min="68" max="68" width="4" style="72" customWidth="1"/>
    <col min="69" max="69" width="4.33203125" style="73" bestFit="1" customWidth="1"/>
    <col min="70" max="70" width="4" style="72" customWidth="1"/>
    <col min="71" max="71" width="4.33203125" style="74" bestFit="1" customWidth="1"/>
    <col min="72" max="72" width="5.21875" style="74" customWidth="1"/>
    <col min="73" max="73" width="4.33203125" style="72" bestFit="1" customWidth="1"/>
    <col min="74" max="74" width="1.77734375" style="74" bestFit="1" customWidth="1"/>
    <col min="75" max="16384" width="7" style="72"/>
  </cols>
  <sheetData>
    <row r="1" spans="1:74" s="52" customFormat="1" ht="23.4" x14ac:dyDescent="0.25">
      <c r="A1" s="46"/>
      <c r="B1" s="62"/>
      <c r="C1" s="17" t="s">
        <v>83</v>
      </c>
      <c r="D1" s="46"/>
      <c r="E1" s="17" t="s">
        <v>84</v>
      </c>
      <c r="G1" s="17" t="s">
        <v>85</v>
      </c>
      <c r="I1" s="17" t="s">
        <v>86</v>
      </c>
      <c r="K1" s="47" t="s">
        <v>87</v>
      </c>
      <c r="L1" s="47"/>
      <c r="M1" s="47" t="s">
        <v>88</v>
      </c>
      <c r="N1" s="75"/>
      <c r="O1" s="17" t="s">
        <v>83</v>
      </c>
      <c r="Q1" s="17" t="s">
        <v>84</v>
      </c>
      <c r="S1" s="17" t="s">
        <v>85</v>
      </c>
      <c r="U1" s="17" t="s">
        <v>86</v>
      </c>
      <c r="W1" s="47" t="s">
        <v>87</v>
      </c>
      <c r="X1" s="47"/>
      <c r="Y1" s="47" t="s">
        <v>88</v>
      </c>
      <c r="Z1" s="75"/>
      <c r="AA1" s="17" t="s">
        <v>83</v>
      </c>
      <c r="AB1" s="46"/>
      <c r="AC1" s="17" t="s">
        <v>84</v>
      </c>
      <c r="AE1" s="17" t="s">
        <v>85</v>
      </c>
      <c r="AG1" s="17" t="s">
        <v>86</v>
      </c>
      <c r="AI1" s="47" t="s">
        <v>87</v>
      </c>
      <c r="AJ1" s="47"/>
      <c r="AK1" s="47" t="s">
        <v>88</v>
      </c>
      <c r="AL1" s="75"/>
      <c r="AM1" s="17" t="s">
        <v>83</v>
      </c>
      <c r="AN1" s="46"/>
      <c r="AO1" s="17" t="s">
        <v>84</v>
      </c>
      <c r="AQ1" s="17" t="s">
        <v>85</v>
      </c>
      <c r="AS1" s="17" t="s">
        <v>86</v>
      </c>
      <c r="AU1" s="47" t="s">
        <v>87</v>
      </c>
      <c r="AV1" s="47"/>
      <c r="AW1" s="47" t="s">
        <v>88</v>
      </c>
      <c r="AX1" s="75"/>
      <c r="AY1" s="17" t="s">
        <v>83</v>
      </c>
      <c r="AZ1" s="46"/>
      <c r="BA1" s="17" t="s">
        <v>84</v>
      </c>
      <c r="BC1" s="17" t="s">
        <v>85</v>
      </c>
      <c r="BE1" s="17" t="s">
        <v>86</v>
      </c>
      <c r="BG1" s="47" t="s">
        <v>87</v>
      </c>
      <c r="BH1" s="47"/>
      <c r="BI1" s="47" t="s">
        <v>88</v>
      </c>
      <c r="BJ1" s="75"/>
      <c r="BK1" s="17" t="s">
        <v>83</v>
      </c>
      <c r="BL1" s="46"/>
      <c r="BM1" s="17" t="s">
        <v>84</v>
      </c>
      <c r="BO1" s="17" t="s">
        <v>85</v>
      </c>
      <c r="BQ1" s="17" t="s">
        <v>86</v>
      </c>
      <c r="BS1" s="47" t="s">
        <v>87</v>
      </c>
      <c r="BT1" s="47"/>
      <c r="BU1" s="47" t="s">
        <v>88</v>
      </c>
    </row>
    <row r="2" spans="1:74" s="52" customFormat="1" x14ac:dyDescent="0.25">
      <c r="A2" s="46"/>
      <c r="B2" s="63"/>
      <c r="C2" s="17" t="s">
        <v>98</v>
      </c>
      <c r="D2" s="17"/>
      <c r="E2" s="17" t="s">
        <v>98</v>
      </c>
      <c r="F2" s="47"/>
      <c r="G2" s="17" t="s">
        <v>98</v>
      </c>
      <c r="H2" s="47"/>
      <c r="I2" s="17" t="s">
        <v>98</v>
      </c>
      <c r="J2" s="47"/>
      <c r="K2" s="47" t="s">
        <v>98</v>
      </c>
      <c r="L2" s="47"/>
      <c r="M2" s="47" t="s">
        <v>98</v>
      </c>
      <c r="N2" s="76"/>
      <c r="O2" s="17" t="s">
        <v>99</v>
      </c>
      <c r="Q2" s="17" t="s">
        <v>99</v>
      </c>
      <c r="R2" s="17"/>
      <c r="S2" s="17" t="s">
        <v>99</v>
      </c>
      <c r="T2" s="17"/>
      <c r="U2" s="17" t="s">
        <v>99</v>
      </c>
      <c r="V2" s="47"/>
      <c r="W2" s="47" t="s">
        <v>99</v>
      </c>
      <c r="X2" s="47"/>
      <c r="Y2" s="47" t="s">
        <v>99</v>
      </c>
      <c r="Z2" s="76"/>
      <c r="AA2" s="17" t="s">
        <v>100</v>
      </c>
      <c r="AB2" s="17"/>
      <c r="AC2" s="17" t="s">
        <v>100</v>
      </c>
      <c r="AD2" s="17"/>
      <c r="AE2" s="17" t="s">
        <v>100</v>
      </c>
      <c r="AF2" s="47"/>
      <c r="AG2" s="17" t="s">
        <v>100</v>
      </c>
      <c r="AH2" s="47"/>
      <c r="AI2" s="47" t="s">
        <v>100</v>
      </c>
      <c r="AJ2" s="47"/>
      <c r="AK2" s="47" t="s">
        <v>100</v>
      </c>
      <c r="AL2" s="76"/>
      <c r="AM2" s="17" t="s">
        <v>101</v>
      </c>
      <c r="AN2" s="17"/>
      <c r="AO2" s="17" t="s">
        <v>101</v>
      </c>
      <c r="AP2" s="17"/>
      <c r="AQ2" s="17" t="s">
        <v>101</v>
      </c>
      <c r="AR2" s="47"/>
      <c r="AS2" s="17" t="s">
        <v>101</v>
      </c>
      <c r="AT2" s="47"/>
      <c r="AU2" s="47" t="s">
        <v>101</v>
      </c>
      <c r="AV2" s="47"/>
      <c r="AW2" s="47" t="s">
        <v>101</v>
      </c>
      <c r="AX2" s="76"/>
      <c r="AY2" s="17" t="s">
        <v>102</v>
      </c>
      <c r="AZ2" s="17"/>
      <c r="BA2" s="17" t="s">
        <v>102</v>
      </c>
      <c r="BB2" s="17"/>
      <c r="BC2" s="17" t="s">
        <v>102</v>
      </c>
      <c r="BD2" s="47"/>
      <c r="BE2" s="17" t="s">
        <v>102</v>
      </c>
      <c r="BF2" s="47"/>
      <c r="BG2" s="47" t="s">
        <v>102</v>
      </c>
      <c r="BH2" s="47"/>
      <c r="BI2" s="47" t="s">
        <v>102</v>
      </c>
      <c r="BJ2" s="76"/>
      <c r="BK2" s="17" t="s">
        <v>103</v>
      </c>
      <c r="BL2" s="47"/>
      <c r="BM2" s="17" t="s">
        <v>103</v>
      </c>
      <c r="BN2" s="47"/>
      <c r="BO2" s="17" t="s">
        <v>103</v>
      </c>
      <c r="BP2" s="47"/>
      <c r="BQ2" s="17" t="s">
        <v>103</v>
      </c>
      <c r="BR2" s="47"/>
      <c r="BS2" s="47" t="s">
        <v>103</v>
      </c>
      <c r="BT2" s="47"/>
      <c r="BU2" s="47" t="s">
        <v>103</v>
      </c>
      <c r="BV2" s="47"/>
    </row>
    <row r="3" spans="1:74" s="64" customFormat="1" x14ac:dyDescent="0.2">
      <c r="A3" s="7"/>
      <c r="B3" s="65" t="s">
        <v>6</v>
      </c>
      <c r="C3" s="10">
        <v>3.5859154929577461</v>
      </c>
      <c r="D3" s="11"/>
      <c r="E3" s="10">
        <v>3.6125527055735307</v>
      </c>
      <c r="F3" s="6"/>
      <c r="G3" s="58">
        <v>3.4126105348535765</v>
      </c>
      <c r="H3" s="6"/>
      <c r="I3" s="58">
        <v>3.2845528455284549</v>
      </c>
      <c r="J3" s="6"/>
      <c r="K3" s="59">
        <v>3.5037037037037031</v>
      </c>
      <c r="L3" s="6"/>
      <c r="M3" s="60">
        <v>3.3252427184466011</v>
      </c>
      <c r="N3" s="77"/>
      <c r="O3" s="10">
        <v>3.9778375019903947</v>
      </c>
      <c r="P3" s="9"/>
      <c r="Q3" s="10">
        <v>3.8634046076184436</v>
      </c>
      <c r="R3" s="66"/>
      <c r="S3" s="58">
        <v>3.6105805497456025</v>
      </c>
      <c r="T3" s="66"/>
      <c r="U3" s="58">
        <v>3.3386444499203436</v>
      </c>
      <c r="V3" s="6"/>
      <c r="W3" s="59">
        <v>3.4648028634448877</v>
      </c>
      <c r="X3" s="6"/>
      <c r="Y3" s="60">
        <v>3.1982169012615698</v>
      </c>
      <c r="Z3" s="77"/>
      <c r="AA3" s="10">
        <v>3.9810219192109257</v>
      </c>
      <c r="AB3" s="11"/>
      <c r="AC3" s="10">
        <v>3.8031557970335474</v>
      </c>
      <c r="AD3" s="11"/>
      <c r="AE3" s="58">
        <v>3.7797053204074236</v>
      </c>
      <c r="AF3" s="6"/>
      <c r="AG3" s="58">
        <v>3.4359442773945563</v>
      </c>
      <c r="AH3" s="6"/>
      <c r="AI3" s="59">
        <v>3.611413471427475</v>
      </c>
      <c r="AJ3" s="6"/>
      <c r="AK3" s="60">
        <v>3.5945744989187474</v>
      </c>
      <c r="AL3" s="77"/>
      <c r="AM3" s="10">
        <v>4.0843808438312506</v>
      </c>
      <c r="AN3" s="11"/>
      <c r="AO3" s="10">
        <v>3.9381533361416698</v>
      </c>
      <c r="AP3" s="11"/>
      <c r="AQ3" s="58">
        <v>4.0432402527794853</v>
      </c>
      <c r="AR3" s="6"/>
      <c r="AS3" s="58">
        <v>4.0572995893982746</v>
      </c>
      <c r="AT3" s="6"/>
      <c r="AU3" s="59">
        <v>4.1478754415568071</v>
      </c>
      <c r="AV3" s="6"/>
      <c r="AW3" s="60">
        <v>3.8713554055211001</v>
      </c>
      <c r="AX3" s="77"/>
      <c r="AY3" s="10">
        <v>3.6047808466341364</v>
      </c>
      <c r="AZ3" s="11"/>
      <c r="BA3" s="10">
        <v>3.5339375579418841</v>
      </c>
      <c r="BB3" s="11"/>
      <c r="BC3" s="58">
        <v>3.2667396868948502</v>
      </c>
      <c r="BD3" s="6"/>
      <c r="BE3" s="58">
        <v>3.2770776200830731</v>
      </c>
      <c r="BF3" s="6"/>
      <c r="BG3" s="59">
        <v>3.286596497796062</v>
      </c>
      <c r="BH3" s="6"/>
      <c r="BI3" s="60">
        <v>3.5254237288135584</v>
      </c>
      <c r="BJ3" s="77"/>
      <c r="BK3" s="10">
        <v>4.0447793348925574</v>
      </c>
      <c r="BL3" s="6"/>
      <c r="BM3" s="10">
        <v>4.0488661147560174</v>
      </c>
      <c r="BN3" s="6"/>
      <c r="BO3" s="58">
        <v>4.0717866424260114</v>
      </c>
      <c r="BP3" s="6"/>
      <c r="BQ3" s="58">
        <v>3.482693512576712</v>
      </c>
      <c r="BR3" s="6"/>
      <c r="BS3" s="59">
        <v>3.6728567984262943</v>
      </c>
      <c r="BT3" s="6"/>
      <c r="BU3" s="60">
        <v>3.5712950210785883</v>
      </c>
      <c r="BV3" s="6" t="s">
        <v>57</v>
      </c>
    </row>
    <row r="4" spans="1:74" s="64" customFormat="1" x14ac:dyDescent="0.2">
      <c r="A4" s="14"/>
      <c r="B4" s="65" t="s">
        <v>7</v>
      </c>
      <c r="C4" s="10">
        <v>3.709251101321585</v>
      </c>
      <c r="D4" s="11"/>
      <c r="E4" s="10">
        <v>3.6808510638297851</v>
      </c>
      <c r="F4" s="6"/>
      <c r="G4" s="58">
        <v>3.6142592295032183</v>
      </c>
      <c r="H4" s="6"/>
      <c r="I4" s="58">
        <v>3.6000000000000005</v>
      </c>
      <c r="J4" s="6"/>
      <c r="K4" s="59">
        <v>3.8125000000000009</v>
      </c>
      <c r="L4" s="6"/>
      <c r="M4" s="60">
        <v>3.5476190476190492</v>
      </c>
      <c r="N4" s="77"/>
      <c r="O4" s="10">
        <v>3.9509569499963422</v>
      </c>
      <c r="P4" s="9"/>
      <c r="Q4" s="10">
        <v>3.6378082629873321</v>
      </c>
      <c r="R4" s="66"/>
      <c r="S4" s="58">
        <v>4</v>
      </c>
      <c r="T4" s="66"/>
      <c r="U4" s="58">
        <v>3.5742209399449765</v>
      </c>
      <c r="V4" s="6"/>
      <c r="W4" s="59">
        <v>3.3814011990870498</v>
      </c>
      <c r="X4" s="6"/>
      <c r="Y4" s="60">
        <v>3.368070151885747</v>
      </c>
      <c r="Z4" s="77"/>
      <c r="AA4" s="10">
        <v>3.8433794844025604</v>
      </c>
      <c r="AB4" s="11"/>
      <c r="AC4" s="10">
        <v>3.7405045113477002</v>
      </c>
      <c r="AD4" s="11"/>
      <c r="AE4" s="58">
        <v>3.7313520059280991</v>
      </c>
      <c r="AF4" s="6"/>
      <c r="AG4" s="58">
        <v>3.5400517007251482</v>
      </c>
      <c r="AH4" s="6"/>
      <c r="AI4" s="59">
        <v>3.3448691518182581</v>
      </c>
      <c r="AJ4" s="6"/>
      <c r="AK4" s="60">
        <v>3.4781081587441127</v>
      </c>
      <c r="AL4" s="77"/>
      <c r="AM4" s="10">
        <v>3.9020875212450616</v>
      </c>
      <c r="AN4" s="11"/>
      <c r="AO4" s="10">
        <v>3.6807129298570311</v>
      </c>
      <c r="AP4" s="11"/>
      <c r="AQ4" s="58">
        <v>3.6826401645241789</v>
      </c>
      <c r="AR4" s="6"/>
      <c r="AS4" s="58">
        <v>3.961105330424318</v>
      </c>
      <c r="AT4" s="6"/>
      <c r="AU4" s="59">
        <v>3.7402772600646577</v>
      </c>
      <c r="AV4" s="6"/>
      <c r="AW4" s="60">
        <v>3.889548565481546</v>
      </c>
      <c r="AX4" s="77"/>
      <c r="AY4" s="10">
        <v>3.7029211194392468</v>
      </c>
      <c r="AZ4" s="11"/>
      <c r="BA4" s="10">
        <v>3.7092961852915263</v>
      </c>
      <c r="BB4" s="11"/>
      <c r="BC4" s="58">
        <v>3.8143366618313772</v>
      </c>
      <c r="BD4" s="6"/>
      <c r="BE4" s="58">
        <v>3.5566803134869693</v>
      </c>
      <c r="BF4" s="6"/>
      <c r="BG4" s="59">
        <v>3.6275128121041806</v>
      </c>
      <c r="BH4" s="6"/>
      <c r="BI4" s="60">
        <v>3.4571428571428577</v>
      </c>
      <c r="BJ4" s="77"/>
      <c r="BK4" s="10">
        <v>3.9127625012451674</v>
      </c>
      <c r="BL4" s="6"/>
      <c r="BM4" s="10">
        <v>3.9177268977374116</v>
      </c>
      <c r="BN4" s="6"/>
      <c r="BO4" s="58">
        <v>3.6791466077353561</v>
      </c>
      <c r="BP4" s="6"/>
      <c r="BQ4" s="58">
        <v>3.7272063192032925</v>
      </c>
      <c r="BR4" s="6"/>
      <c r="BS4" s="59">
        <v>3.8047264201149797</v>
      </c>
      <c r="BT4" s="6"/>
      <c r="BU4" s="60">
        <v>3.8993405042286953</v>
      </c>
      <c r="BV4" s="6" t="s">
        <v>57</v>
      </c>
    </row>
    <row r="5" spans="1:74" s="64" customFormat="1" x14ac:dyDescent="0.2">
      <c r="A5" s="7"/>
      <c r="B5" s="65" t="s">
        <v>8</v>
      </c>
      <c r="C5" s="10">
        <v>3.6585365853658538</v>
      </c>
      <c r="D5" s="11"/>
      <c r="E5" s="10">
        <v>3.7234042553191493</v>
      </c>
      <c r="F5" s="6"/>
      <c r="G5" s="58">
        <v>3.7894736842105265</v>
      </c>
      <c r="H5" s="6"/>
      <c r="I5" s="58">
        <v>3.3333333333333335</v>
      </c>
      <c r="J5" s="6"/>
      <c r="K5" s="59">
        <v>3.3333333333333335</v>
      </c>
      <c r="L5" s="6"/>
      <c r="M5" s="60">
        <v>3.6428571428571428</v>
      </c>
      <c r="N5" s="77"/>
      <c r="O5" s="10">
        <v>3.6589593686059381</v>
      </c>
      <c r="P5" s="9"/>
      <c r="Q5" s="10">
        <v>3.3000000000000003</v>
      </c>
      <c r="R5" s="66"/>
      <c r="S5" s="58">
        <v>3.5</v>
      </c>
      <c r="T5" s="66"/>
      <c r="U5" s="58">
        <v>3.5</v>
      </c>
      <c r="V5" s="6"/>
      <c r="W5" s="59">
        <v>3.9999999999999996</v>
      </c>
      <c r="X5" s="6"/>
      <c r="Y5" s="60">
        <v>4.9999999999999991</v>
      </c>
      <c r="Z5" s="77"/>
      <c r="AA5" s="10">
        <v>3.7408949102187887</v>
      </c>
      <c r="AB5" s="11"/>
      <c r="AC5" s="10">
        <v>3.5492342102226213</v>
      </c>
      <c r="AD5" s="11"/>
      <c r="AE5" s="58">
        <v>3.8438544756999629</v>
      </c>
      <c r="AF5" s="6"/>
      <c r="AG5" s="58">
        <v>3.2551764761284554</v>
      </c>
      <c r="AH5" s="6"/>
      <c r="AI5" s="59">
        <v>3.75</v>
      </c>
      <c r="AJ5" s="6"/>
      <c r="AK5" s="60">
        <v>3.4912364733867749</v>
      </c>
      <c r="AL5" s="77"/>
      <c r="AM5" s="10">
        <v>3.5629540872773209</v>
      </c>
      <c r="AN5" s="11"/>
      <c r="AO5" s="10">
        <v>3.5236777840235285</v>
      </c>
      <c r="AP5" s="11"/>
      <c r="AQ5" s="58">
        <v>3.2021296942769815</v>
      </c>
      <c r="AR5" s="6"/>
      <c r="AS5" s="58">
        <v>3.9949368488893038</v>
      </c>
      <c r="AT5" s="6"/>
      <c r="AU5" s="59">
        <v>3.7847835909839218</v>
      </c>
      <c r="AV5" s="6"/>
      <c r="AW5" s="60">
        <v>3.2909546851465534</v>
      </c>
      <c r="AX5" s="77"/>
      <c r="AY5" s="10">
        <v>3.918239199457354</v>
      </c>
      <c r="AZ5" s="19"/>
      <c r="BA5" s="10">
        <v>3.6540668494115631</v>
      </c>
      <c r="BB5" s="19"/>
      <c r="BC5" s="58">
        <v>3.8571428571428572</v>
      </c>
      <c r="BD5" s="6"/>
      <c r="BE5" s="58">
        <v>2.5</v>
      </c>
      <c r="BF5" s="6"/>
      <c r="BG5" s="59">
        <v>3.2104713792130792</v>
      </c>
      <c r="BH5" s="6"/>
      <c r="BI5" s="60">
        <v>4.5</v>
      </c>
      <c r="BJ5" s="77"/>
      <c r="BK5" s="10">
        <v>3.7704916722281956</v>
      </c>
      <c r="BL5" s="6"/>
      <c r="BM5" s="10">
        <v>3.6923170574898965</v>
      </c>
      <c r="BN5" s="6"/>
      <c r="BO5" s="58">
        <v>3.8438042058164603</v>
      </c>
      <c r="BP5" s="6"/>
      <c r="BQ5" s="58">
        <v>3.5000000000000004</v>
      </c>
      <c r="BR5" s="6"/>
      <c r="BS5" s="59">
        <v>4.1501734901658507</v>
      </c>
      <c r="BT5" s="6"/>
      <c r="BU5" s="60">
        <v>3.9691637585710211</v>
      </c>
      <c r="BV5" s="6" t="s">
        <v>57</v>
      </c>
    </row>
    <row r="6" spans="1:74" s="64" customFormat="1" x14ac:dyDescent="0.2">
      <c r="A6" s="7"/>
      <c r="B6" s="65" t="s">
        <v>9</v>
      </c>
      <c r="C6" s="10">
        <v>3.0810810810810807</v>
      </c>
      <c r="D6" s="11"/>
      <c r="E6" s="10">
        <v>3.2222222222222228</v>
      </c>
      <c r="F6" s="6"/>
      <c r="G6" s="58">
        <v>2.8947368421052628</v>
      </c>
      <c r="H6" s="6"/>
      <c r="I6" s="58">
        <v>2.833333333333333</v>
      </c>
      <c r="J6" s="6"/>
      <c r="K6" s="59">
        <v>3.1666666666666665</v>
      </c>
      <c r="L6" s="6"/>
      <c r="M6" s="60">
        <v>2.9230769230769229</v>
      </c>
      <c r="N6" s="77"/>
      <c r="O6" s="10">
        <v>2.4705881797441309</v>
      </c>
      <c r="P6" s="9"/>
      <c r="Q6" s="10">
        <v>3</v>
      </c>
      <c r="R6" s="66"/>
      <c r="S6" s="58">
        <v>3.166666666666667</v>
      </c>
      <c r="T6" s="66"/>
      <c r="U6" s="58">
        <v>2.5</v>
      </c>
      <c r="V6" s="6"/>
      <c r="W6" s="67">
        <v>0.99999999999999989</v>
      </c>
      <c r="X6" s="6"/>
      <c r="Y6" s="60">
        <v>4</v>
      </c>
      <c r="Z6" s="77"/>
      <c r="AA6" s="10">
        <v>3.1905286336602421</v>
      </c>
      <c r="AB6" s="11"/>
      <c r="AC6" s="10">
        <v>3.1330653998554423</v>
      </c>
      <c r="AD6" s="11"/>
      <c r="AE6" s="58">
        <v>2.8718443300676348</v>
      </c>
      <c r="AF6" s="6"/>
      <c r="AG6" s="58">
        <v>3.3425999152149015</v>
      </c>
      <c r="AH6" s="6"/>
      <c r="AI6" s="59">
        <v>3.6666666666666665</v>
      </c>
      <c r="AJ6" s="6"/>
      <c r="AK6" s="60">
        <v>2.937179059907753</v>
      </c>
      <c r="AL6" s="77"/>
      <c r="AM6" s="10">
        <v>2.9926198507834445</v>
      </c>
      <c r="AN6" s="11"/>
      <c r="AO6" s="10">
        <v>3.0516735055640543</v>
      </c>
      <c r="AP6" s="11"/>
      <c r="AQ6" s="58">
        <v>2.5447402916584512</v>
      </c>
      <c r="AR6" s="6"/>
      <c r="AS6" s="58">
        <v>3.3333333333333339</v>
      </c>
      <c r="AT6" s="6"/>
      <c r="AU6" s="59">
        <v>3.3207369941849922</v>
      </c>
      <c r="AV6" s="6"/>
      <c r="AW6" s="60">
        <v>2.817503754038615</v>
      </c>
      <c r="AX6" s="77"/>
      <c r="AY6" s="10">
        <v>3.7948721115178601</v>
      </c>
      <c r="AZ6" s="19"/>
      <c r="BA6" s="10">
        <v>3.217405112319101</v>
      </c>
      <c r="BB6" s="19"/>
      <c r="BC6" s="58">
        <v>2.4277515054351237</v>
      </c>
      <c r="BD6" s="6"/>
      <c r="BE6" s="58">
        <v>2.5</v>
      </c>
      <c r="BF6" s="6"/>
      <c r="BG6" s="59">
        <v>2.8942424129177127</v>
      </c>
      <c r="BH6" s="6"/>
      <c r="BI6" s="60">
        <v>4</v>
      </c>
      <c r="BJ6" s="77"/>
      <c r="BK6" s="10">
        <v>3.2927926960469036</v>
      </c>
      <c r="BL6" s="6"/>
      <c r="BM6" s="10">
        <v>3.0244731280524491</v>
      </c>
      <c r="BN6" s="6"/>
      <c r="BO6" s="58">
        <v>3.7074024852586183</v>
      </c>
      <c r="BP6" s="6"/>
      <c r="BQ6" s="58">
        <v>1.3238017765989509</v>
      </c>
      <c r="BR6" s="6"/>
      <c r="BS6" s="59">
        <v>3.390586003840895</v>
      </c>
      <c r="BT6" s="6"/>
      <c r="BU6" s="60">
        <v>3.0828222825698837</v>
      </c>
      <c r="BV6" s="6" t="s">
        <v>57</v>
      </c>
    </row>
    <row r="7" spans="1:74" s="64" customFormat="1" x14ac:dyDescent="0.2">
      <c r="A7" s="7"/>
      <c r="B7" s="65" t="s">
        <v>10</v>
      </c>
      <c r="C7" s="10">
        <v>3.5272727272727278</v>
      </c>
      <c r="D7" s="11"/>
      <c r="E7" s="10">
        <v>3.5502392344497617</v>
      </c>
      <c r="F7" s="6"/>
      <c r="G7" s="58">
        <v>3.4791666666666661</v>
      </c>
      <c r="H7" s="6"/>
      <c r="I7" s="58">
        <v>3.4722222222222223</v>
      </c>
      <c r="J7" s="6"/>
      <c r="K7" s="59">
        <v>3.4444444444444455</v>
      </c>
      <c r="L7" s="6"/>
      <c r="M7" s="60">
        <v>3.4625000000000004</v>
      </c>
      <c r="N7" s="77"/>
      <c r="O7" s="10">
        <v>3.8547367895941917</v>
      </c>
      <c r="P7" s="9"/>
      <c r="Q7" s="10">
        <v>3.6760030024273438</v>
      </c>
      <c r="R7" s="66"/>
      <c r="S7" s="58">
        <v>3.5714285714285712</v>
      </c>
      <c r="T7" s="66"/>
      <c r="U7" s="58">
        <v>3.8695652173913042</v>
      </c>
      <c r="V7" s="6"/>
      <c r="W7" s="59">
        <v>3.0681869333748351</v>
      </c>
      <c r="X7" s="6"/>
      <c r="Y7" s="60">
        <v>2.6725786985473503</v>
      </c>
      <c r="Z7" s="77"/>
      <c r="AA7" s="10">
        <v>3.8151892371304466</v>
      </c>
      <c r="AB7" s="11"/>
      <c r="AC7" s="10">
        <v>3.6448589379102514</v>
      </c>
      <c r="AD7" s="11"/>
      <c r="AE7" s="58">
        <v>3.6221615700408796</v>
      </c>
      <c r="AF7" s="6"/>
      <c r="AG7" s="58">
        <v>2.9744473305033314</v>
      </c>
      <c r="AH7" s="6"/>
      <c r="AI7" s="59">
        <v>2.8741095531430929</v>
      </c>
      <c r="AJ7" s="6"/>
      <c r="AK7" s="60">
        <v>3.323395179277866</v>
      </c>
      <c r="AL7" s="77"/>
      <c r="AM7" s="10">
        <v>3.8243923119516618</v>
      </c>
      <c r="AN7" s="11"/>
      <c r="AO7" s="10">
        <v>3.6237651439040888</v>
      </c>
      <c r="AP7" s="11"/>
      <c r="AQ7" s="58">
        <v>3.6851478660508943</v>
      </c>
      <c r="AR7" s="6"/>
      <c r="AS7" s="58">
        <v>3.8668760412020879</v>
      </c>
      <c r="AT7" s="6"/>
      <c r="AU7" s="59">
        <v>3.8222924850673046</v>
      </c>
      <c r="AV7" s="6"/>
      <c r="AW7" s="60">
        <v>3.5627664416289617</v>
      </c>
      <c r="AX7" s="77"/>
      <c r="AY7" s="10">
        <v>3.3325330817115892</v>
      </c>
      <c r="AZ7" s="11"/>
      <c r="BA7" s="10">
        <v>3.4179006207197387</v>
      </c>
      <c r="BB7" s="11"/>
      <c r="BC7" s="58">
        <v>3.3430949571786024</v>
      </c>
      <c r="BD7" s="6"/>
      <c r="BE7" s="58">
        <v>3.3313054127356532</v>
      </c>
      <c r="BF7" s="6"/>
      <c r="BG7" s="59">
        <v>3.3789275871240272</v>
      </c>
      <c r="BH7" s="6"/>
      <c r="BI7" s="60">
        <v>3.5652173913043481</v>
      </c>
      <c r="BJ7" s="77"/>
      <c r="BK7" s="10">
        <v>3.7883894377807592</v>
      </c>
      <c r="BL7" s="6"/>
      <c r="BM7" s="10">
        <v>3.7194794050971427</v>
      </c>
      <c r="BN7" s="6"/>
      <c r="BO7" s="58">
        <v>3.7500000000000004</v>
      </c>
      <c r="BP7" s="6"/>
      <c r="BQ7" s="58">
        <v>3.4210043830648003</v>
      </c>
      <c r="BR7" s="6"/>
      <c r="BS7" s="59">
        <v>3.7569665964357726</v>
      </c>
      <c r="BT7" s="6"/>
      <c r="BU7" s="60">
        <v>3.0021650484144504</v>
      </c>
      <c r="BV7" s="6" t="s">
        <v>59</v>
      </c>
    </row>
    <row r="8" spans="1:74" s="64" customFormat="1" x14ac:dyDescent="0.2">
      <c r="A8" s="14"/>
      <c r="B8" s="65" t="s">
        <v>20</v>
      </c>
      <c r="C8" s="10">
        <v>4.0055555555555555</v>
      </c>
      <c r="D8" s="11"/>
      <c r="E8" s="10">
        <v>3.9952718676122938</v>
      </c>
      <c r="F8" s="6"/>
      <c r="G8" s="58">
        <v>3.9609456878269271</v>
      </c>
      <c r="H8" s="6"/>
      <c r="I8" s="58">
        <v>3.7679999999999998</v>
      </c>
      <c r="J8" s="6"/>
      <c r="K8" s="59">
        <v>3.9852941176470602</v>
      </c>
      <c r="L8" s="6"/>
      <c r="M8" s="60">
        <v>3.4832535885167455</v>
      </c>
      <c r="N8" s="77"/>
      <c r="O8" s="10">
        <v>4.0880794499208983</v>
      </c>
      <c r="P8" s="9"/>
      <c r="Q8" s="10">
        <v>4.0393087267798284</v>
      </c>
      <c r="R8" s="66"/>
      <c r="S8" s="58">
        <v>3.6662017779439591</v>
      </c>
      <c r="T8" s="66"/>
      <c r="U8" s="58">
        <v>3.3738516608764519</v>
      </c>
      <c r="V8" s="6"/>
      <c r="W8" s="59">
        <v>3.5828758098112665</v>
      </c>
      <c r="X8" s="6"/>
      <c r="Y8" s="60">
        <v>3.0529193397869117</v>
      </c>
      <c r="Z8" s="77"/>
      <c r="AA8" s="10">
        <v>4.0956199951872794</v>
      </c>
      <c r="AB8" s="11"/>
      <c r="AC8" s="10">
        <v>4.0257831382170632</v>
      </c>
      <c r="AD8" s="11"/>
      <c r="AE8" s="58">
        <v>4.025061323647285</v>
      </c>
      <c r="AF8" s="6"/>
      <c r="AG8" s="58">
        <v>3.7805210295161178</v>
      </c>
      <c r="AH8" s="6"/>
      <c r="AI8" s="59">
        <v>3.8081710034437739</v>
      </c>
      <c r="AJ8" s="6"/>
      <c r="AK8" s="60">
        <v>3.5911195337985404</v>
      </c>
      <c r="AL8" s="77"/>
      <c r="AM8" s="10">
        <v>4.3177977119209014</v>
      </c>
      <c r="AN8" s="11"/>
      <c r="AO8" s="10">
        <v>4.161478123936484</v>
      </c>
      <c r="AP8" s="11"/>
      <c r="AQ8" s="58">
        <v>4.2243954124362828</v>
      </c>
      <c r="AR8" s="6"/>
      <c r="AS8" s="58">
        <v>4.2313699624060765</v>
      </c>
      <c r="AT8" s="6"/>
      <c r="AU8" s="59">
        <v>4.2687001271462419</v>
      </c>
      <c r="AV8" s="6"/>
      <c r="AW8" s="60">
        <v>4.007375934679863</v>
      </c>
      <c r="AX8" s="77"/>
      <c r="AY8" s="10">
        <v>4.0425873333921984</v>
      </c>
      <c r="AZ8" s="11"/>
      <c r="BA8" s="10">
        <v>3.9203987783987277</v>
      </c>
      <c r="BB8" s="11"/>
      <c r="BC8" s="58">
        <v>3.6407135457673365</v>
      </c>
      <c r="BD8" s="6"/>
      <c r="BE8" s="58">
        <v>3.6304661931838496</v>
      </c>
      <c r="BF8" s="6"/>
      <c r="BG8" s="59">
        <v>3.7895919340798061</v>
      </c>
      <c r="BH8" s="6"/>
      <c r="BI8" s="60">
        <v>3.9836065573770494</v>
      </c>
      <c r="BJ8" s="77"/>
      <c r="BK8" s="10">
        <v>4.2807692374187951</v>
      </c>
      <c r="BL8" s="6"/>
      <c r="BM8" s="10">
        <v>4.2832919548304522</v>
      </c>
      <c r="BN8" s="6"/>
      <c r="BO8" s="58">
        <v>4.2477878277680023</v>
      </c>
      <c r="BP8" s="6"/>
      <c r="BQ8" s="58">
        <v>3.637799081017965</v>
      </c>
      <c r="BR8" s="6"/>
      <c r="BS8" s="59">
        <v>4.0091526777463207</v>
      </c>
      <c r="BT8" s="6"/>
      <c r="BU8" s="60">
        <v>3.4088078975227809</v>
      </c>
      <c r="BV8" s="6" t="s">
        <v>57</v>
      </c>
    </row>
    <row r="9" spans="1:74" s="64" customFormat="1" x14ac:dyDescent="0.2">
      <c r="A9" s="7"/>
      <c r="B9" s="65" t="s">
        <v>22</v>
      </c>
      <c r="C9" s="10">
        <v>3.9833333333333321</v>
      </c>
      <c r="D9" s="11"/>
      <c r="E9" s="10">
        <v>3.9432792876719227</v>
      </c>
      <c r="F9" s="6"/>
      <c r="G9" s="58">
        <v>3.9921891375653851</v>
      </c>
      <c r="H9" s="6"/>
      <c r="I9" s="58">
        <v>3.008064516129032</v>
      </c>
      <c r="J9" s="6"/>
      <c r="K9" s="59">
        <v>3.8222222222222211</v>
      </c>
      <c r="L9" s="6"/>
      <c r="M9" s="60">
        <v>3.4502369668246455</v>
      </c>
      <c r="N9" s="77"/>
      <c r="O9" s="10">
        <v>4.1307011491483188</v>
      </c>
      <c r="P9" s="9"/>
      <c r="Q9" s="10">
        <v>4.0292092880081984</v>
      </c>
      <c r="R9" s="66"/>
      <c r="S9" s="58">
        <v>3.7409736431515546</v>
      </c>
      <c r="T9" s="66"/>
      <c r="U9" s="58">
        <v>2.9806488885759812</v>
      </c>
      <c r="V9" s="6"/>
      <c r="W9" s="59">
        <v>3.1484852407857065</v>
      </c>
      <c r="X9" s="6"/>
      <c r="Y9" s="60">
        <v>2.7553876067238572</v>
      </c>
      <c r="Z9" s="77"/>
      <c r="AA9" s="10">
        <v>3.4559355095405846</v>
      </c>
      <c r="AB9" s="11"/>
      <c r="AC9" s="10">
        <v>3.3825952840033424</v>
      </c>
      <c r="AD9" s="11"/>
      <c r="AE9" s="58">
        <v>3.4749346075966181</v>
      </c>
      <c r="AF9" s="6"/>
      <c r="AG9" s="58">
        <v>2.1761216814165376</v>
      </c>
      <c r="AH9" s="6"/>
      <c r="AI9" s="59">
        <v>2.1402829401245147</v>
      </c>
      <c r="AJ9" s="6"/>
      <c r="AK9" s="60">
        <v>2.8928300398556193</v>
      </c>
      <c r="AL9" s="77"/>
      <c r="AM9" s="10">
        <v>3.9823887697829519</v>
      </c>
      <c r="AN9" s="11"/>
      <c r="AO9" s="10">
        <v>3.9031819041599816</v>
      </c>
      <c r="AP9" s="11"/>
      <c r="AQ9" s="58">
        <v>3.7322269053560113</v>
      </c>
      <c r="AR9" s="6"/>
      <c r="AS9" s="58">
        <v>3.7250398710167172</v>
      </c>
      <c r="AT9" s="6"/>
      <c r="AU9" s="59">
        <v>3.9318540263039257</v>
      </c>
      <c r="AV9" s="6"/>
      <c r="AW9" s="60">
        <v>3.4436804419021771</v>
      </c>
      <c r="AX9" s="77"/>
      <c r="AY9" s="10">
        <v>4.1084772904416971</v>
      </c>
      <c r="AZ9" s="11"/>
      <c r="BA9" s="10">
        <v>4.0501947862703931</v>
      </c>
      <c r="BB9" s="11"/>
      <c r="BC9" s="58">
        <v>3.7845594781151939</v>
      </c>
      <c r="BD9" s="6"/>
      <c r="BE9" s="58">
        <v>3.392600675378783</v>
      </c>
      <c r="BF9" s="6"/>
      <c r="BG9" s="59">
        <v>3.6642038576634022</v>
      </c>
      <c r="BH9" s="6"/>
      <c r="BI9" s="60">
        <v>3.9344262295081962</v>
      </c>
      <c r="BJ9" s="77"/>
      <c r="BK9" s="10">
        <v>3.7963473231009437</v>
      </c>
      <c r="BL9" s="6"/>
      <c r="BM9" s="10">
        <v>3.8688013419545726</v>
      </c>
      <c r="BN9" s="6"/>
      <c r="BO9" s="58">
        <v>3.905561846779785</v>
      </c>
      <c r="BP9" s="6"/>
      <c r="BQ9" s="58">
        <v>2.7114255659024873</v>
      </c>
      <c r="BR9" s="6"/>
      <c r="BS9" s="59">
        <v>3.4776483353604339</v>
      </c>
      <c r="BT9" s="6"/>
      <c r="BU9" s="60">
        <v>2.9773197407234835</v>
      </c>
      <c r="BV9" s="6" t="s">
        <v>57</v>
      </c>
    </row>
    <row r="10" spans="1:74" s="64" customFormat="1" x14ac:dyDescent="0.2">
      <c r="A10" s="7"/>
      <c r="B10" s="65" t="s">
        <v>23</v>
      </c>
      <c r="C10" s="10">
        <v>3.6727272727272724</v>
      </c>
      <c r="D10" s="11"/>
      <c r="E10" s="10">
        <v>3.3529411764705888</v>
      </c>
      <c r="F10" s="6"/>
      <c r="G10" s="58">
        <v>2.95</v>
      </c>
      <c r="H10" s="6"/>
      <c r="I10" s="58">
        <v>1.8571428571428572</v>
      </c>
      <c r="J10" s="6"/>
      <c r="K10" s="59">
        <v>2.7142857142857149</v>
      </c>
      <c r="L10" s="6"/>
      <c r="M10" s="60">
        <v>2.6145833333333344</v>
      </c>
      <c r="N10" s="77"/>
      <c r="O10" s="10">
        <v>3.4864048114178114</v>
      </c>
      <c r="P10" s="9"/>
      <c r="Q10" s="10">
        <v>3.7777777777777781</v>
      </c>
      <c r="R10" s="66"/>
      <c r="S10" s="58">
        <v>3.047619047619047</v>
      </c>
      <c r="T10" s="66"/>
      <c r="U10" s="58">
        <v>2.0317214488630522</v>
      </c>
      <c r="V10" s="6"/>
      <c r="W10" s="59">
        <v>2.8345435986871395</v>
      </c>
      <c r="X10" s="6"/>
      <c r="Y10" s="60">
        <v>2.2421993602131502</v>
      </c>
      <c r="Z10" s="77"/>
      <c r="AA10" s="10">
        <v>3.8018402544394219</v>
      </c>
      <c r="AB10" s="11"/>
      <c r="AC10" s="10">
        <v>3.5175751470187233</v>
      </c>
      <c r="AD10" s="11"/>
      <c r="AE10" s="58">
        <v>3.7503007291511823</v>
      </c>
      <c r="AF10" s="6"/>
      <c r="AG10" s="58">
        <v>1.6263629321455224</v>
      </c>
      <c r="AH10" s="6"/>
      <c r="AI10" s="59">
        <v>1.6188074148372031</v>
      </c>
      <c r="AJ10" s="6"/>
      <c r="AK10" s="60">
        <v>2.7261536212489252</v>
      </c>
      <c r="AL10" s="77"/>
      <c r="AM10" s="10">
        <v>4.1148409086675102</v>
      </c>
      <c r="AN10" s="11"/>
      <c r="AO10" s="10">
        <v>3.7659189431050955</v>
      </c>
      <c r="AP10" s="11"/>
      <c r="AQ10" s="58">
        <v>3.833379445802263</v>
      </c>
      <c r="AR10" s="6"/>
      <c r="AS10" s="58">
        <v>3.1934376139948988</v>
      </c>
      <c r="AT10" s="6"/>
      <c r="AU10" s="59">
        <v>4.1489941873041358</v>
      </c>
      <c r="AV10" s="6"/>
      <c r="AW10" s="60">
        <v>2.7003250554554961</v>
      </c>
      <c r="AX10" s="77"/>
      <c r="AY10" s="10">
        <v>3.5407404632649091</v>
      </c>
      <c r="AZ10" s="11"/>
      <c r="BA10" s="10">
        <v>3.268435448376076</v>
      </c>
      <c r="BB10" s="11"/>
      <c r="BC10" s="58">
        <v>3.3057135607102581</v>
      </c>
      <c r="BD10" s="6"/>
      <c r="BE10" s="58">
        <v>2.5322265982879042</v>
      </c>
      <c r="BF10" s="6"/>
      <c r="BG10" s="59">
        <v>2.6018546694463507</v>
      </c>
      <c r="BH10" s="6"/>
      <c r="BI10" s="60">
        <v>3.1249999999999996</v>
      </c>
      <c r="BJ10" s="77"/>
      <c r="BK10" s="10">
        <v>4.0428695562479646</v>
      </c>
      <c r="BL10" s="6"/>
      <c r="BM10" s="10">
        <v>4.1147690759524433</v>
      </c>
      <c r="BN10" s="6"/>
      <c r="BO10" s="58">
        <v>3.8939070064701329</v>
      </c>
      <c r="BP10" s="6"/>
      <c r="BQ10" s="58">
        <v>2.0624380318751121</v>
      </c>
      <c r="BR10" s="6"/>
      <c r="BS10" s="59">
        <v>2.9454355895880306</v>
      </c>
      <c r="BT10" s="6"/>
      <c r="BU10" s="60">
        <v>2.1640690179689219</v>
      </c>
      <c r="BV10" s="6" t="s">
        <v>57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Airports</vt:lpstr>
      <vt:lpstr>EWR </vt:lpstr>
      <vt:lpstr>EWR GT</vt:lpstr>
      <vt:lpstr>JFK</vt:lpstr>
      <vt:lpstr>Terminals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Fushan, Peter</dc:creator>
  <cp:lastModifiedBy>Browder, Elizabeth</cp:lastModifiedBy>
  <cp:lastPrinted>2017-10-30T18:31:10Z</cp:lastPrinted>
  <dcterms:created xsi:type="dcterms:W3CDTF">2018-01-08T15:42:08Z</dcterms:created>
  <dcterms:modified xsi:type="dcterms:W3CDTF">2019-03-13T22:55:08Z</dcterms:modified>
</cp:coreProperties>
</file>