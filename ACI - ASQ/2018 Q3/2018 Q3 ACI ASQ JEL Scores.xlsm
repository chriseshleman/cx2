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ANYNJ\ACI-ASQ Global\ASQ-ACI\2018\3rd Qtr\Analysis\"/>
    </mc:Choice>
  </mc:AlternateContent>
  <bookViews>
    <workbookView xWindow="363" yWindow="275" windowWidth="14938" windowHeight="9153" tabRatio="766" activeTab="5"/>
  </bookViews>
  <sheets>
    <sheet name="STAT1" sheetId="21" r:id="rId1"/>
    <sheet name="STAT2" sheetId="17" r:id="rId2"/>
    <sheet name="Rankings1" sheetId="14" r:id="rId3"/>
    <sheet name="Rankings2" sheetId="19" r:id="rId4"/>
    <sheet name="Terminals1" sheetId="6" r:id="rId5"/>
    <sheet name="Terminals2" sheetId="20" r:id="rId6"/>
    <sheet name="NPS" sheetId="7" r:id="rId7"/>
    <sheet name="Sheet1" sheetId="8" r:id="rId8"/>
  </sheets>
  <definedNames>
    <definedName name="_xlnm.Print_Area" localSheetId="6">NPS!$A$1:$H$285</definedName>
    <definedName name="_xlnm.Print_Titles" localSheetId="6">NPS!$1:$3</definedName>
  </definedNames>
  <calcPr calcId="162913"/>
</workbook>
</file>

<file path=xl/calcChain.xml><?xml version="1.0" encoding="utf-8"?>
<calcChain xmlns="http://schemas.openxmlformats.org/spreadsheetml/2006/main">
  <c r="OA10" i="20" l="1"/>
  <c r="MW10" i="20"/>
  <c r="LS10" i="20"/>
  <c r="KO10" i="20"/>
  <c r="JK10" i="20"/>
  <c r="IG10" i="20"/>
  <c r="HC10" i="20"/>
  <c r="FY10" i="20"/>
  <c r="EU10" i="20"/>
  <c r="DQ10" i="20"/>
  <c r="CM10" i="20"/>
  <c r="BI10" i="20"/>
  <c r="AE10" i="20"/>
  <c r="OA49" i="20"/>
  <c r="OA48" i="20"/>
  <c r="OA47" i="20"/>
  <c r="OA45" i="20"/>
  <c r="OA44" i="20"/>
  <c r="OA42" i="20"/>
  <c r="OA41" i="20"/>
  <c r="OA40" i="20"/>
  <c r="OA39" i="20"/>
  <c r="OA38" i="20"/>
  <c r="OA37" i="20"/>
  <c r="OA36" i="20"/>
  <c r="OA35" i="20"/>
  <c r="OA34" i="20"/>
  <c r="OA33" i="20"/>
  <c r="OA32" i="20"/>
  <c r="OA30" i="20"/>
  <c r="OA29" i="20"/>
  <c r="OA28" i="20"/>
  <c r="OA27" i="20"/>
  <c r="OA25" i="20"/>
  <c r="OA24" i="20"/>
  <c r="OA23" i="20"/>
  <c r="OA22" i="20"/>
  <c r="OA20" i="20"/>
  <c r="OA19" i="20"/>
  <c r="OA17" i="20"/>
  <c r="OA16" i="20"/>
  <c r="OA15" i="20"/>
  <c r="OA13" i="20"/>
  <c r="OA12" i="20"/>
  <c r="OA11" i="20"/>
  <c r="OA8" i="20"/>
  <c r="OA7" i="20"/>
  <c r="OA6" i="20"/>
  <c r="OA5" i="20"/>
  <c r="OA4" i="20"/>
  <c r="MW49" i="20"/>
  <c r="MW48" i="20"/>
  <c r="MW47" i="20"/>
  <c r="MW45" i="20"/>
  <c r="MW44" i="20"/>
  <c r="MW42" i="20"/>
  <c r="MW41" i="20"/>
  <c r="MW40" i="20"/>
  <c r="MW39" i="20"/>
  <c r="MW38" i="20"/>
  <c r="MW37" i="20"/>
  <c r="MW36" i="20"/>
  <c r="MW35" i="20"/>
  <c r="MW34" i="20"/>
  <c r="MW33" i="20"/>
  <c r="MW32" i="20"/>
  <c r="MW30" i="20"/>
  <c r="MW29" i="20"/>
  <c r="MW28" i="20"/>
  <c r="MW27" i="20"/>
  <c r="MW25" i="20"/>
  <c r="MW24" i="20"/>
  <c r="MW23" i="20"/>
  <c r="MW22" i="20"/>
  <c r="MW20" i="20"/>
  <c r="MW19" i="20"/>
  <c r="MW17" i="20"/>
  <c r="MW16" i="20"/>
  <c r="MW15" i="20"/>
  <c r="MW13" i="20"/>
  <c r="MW12" i="20"/>
  <c r="MW11" i="20"/>
  <c r="MW8" i="20"/>
  <c r="MW7" i="20"/>
  <c r="MW6" i="20"/>
  <c r="MW5" i="20"/>
  <c r="MW4" i="20"/>
  <c r="LS49" i="20"/>
  <c r="LS48" i="20"/>
  <c r="LS47" i="20"/>
  <c r="LS45" i="20"/>
  <c r="LS44" i="20"/>
  <c r="LS42" i="20"/>
  <c r="LS41" i="20"/>
  <c r="LS40" i="20"/>
  <c r="LS39" i="20"/>
  <c r="LS38" i="20"/>
  <c r="LS37" i="20"/>
  <c r="LS36" i="20"/>
  <c r="LS35" i="20"/>
  <c r="LS34" i="20"/>
  <c r="LS33" i="20"/>
  <c r="LS32" i="20"/>
  <c r="LS30" i="20"/>
  <c r="LS29" i="20"/>
  <c r="LS28" i="20"/>
  <c r="LS27" i="20"/>
  <c r="LS25" i="20"/>
  <c r="LS24" i="20"/>
  <c r="LS23" i="20"/>
  <c r="LS22" i="20"/>
  <c r="LS20" i="20"/>
  <c r="LS19" i="20"/>
  <c r="LS17" i="20"/>
  <c r="LS16" i="20"/>
  <c r="LS15" i="20"/>
  <c r="LS13" i="20"/>
  <c r="LS12" i="20"/>
  <c r="LS11" i="20"/>
  <c r="LS8" i="20"/>
  <c r="LS7" i="20"/>
  <c r="LS6" i="20"/>
  <c r="LS5" i="20"/>
  <c r="LS4" i="20"/>
  <c r="KO49" i="20"/>
  <c r="KO48" i="20"/>
  <c r="KO47" i="20"/>
  <c r="KO45" i="20"/>
  <c r="KO44" i="20"/>
  <c r="KO42" i="20"/>
  <c r="KO41" i="20"/>
  <c r="KO40" i="20"/>
  <c r="KO39" i="20"/>
  <c r="KO38" i="20"/>
  <c r="KO37" i="20"/>
  <c r="KO36" i="20"/>
  <c r="KO35" i="20"/>
  <c r="KO34" i="20"/>
  <c r="KO33" i="20"/>
  <c r="KO32" i="20"/>
  <c r="KO29" i="20"/>
  <c r="KO28" i="20"/>
  <c r="KO27" i="20"/>
  <c r="KO25" i="20"/>
  <c r="KO24" i="20"/>
  <c r="KO23" i="20"/>
  <c r="KO22" i="20"/>
  <c r="KO20" i="20"/>
  <c r="KO19" i="20"/>
  <c r="KO17" i="20"/>
  <c r="KO16" i="20"/>
  <c r="KO15" i="20"/>
  <c r="KO13" i="20"/>
  <c r="KO12" i="20"/>
  <c r="KO11" i="20"/>
  <c r="KO8" i="20"/>
  <c r="KO7" i="20"/>
  <c r="KO6" i="20"/>
  <c r="KO5" i="20"/>
  <c r="KO4" i="20"/>
  <c r="JK49" i="20"/>
  <c r="JK48" i="20"/>
  <c r="JK47" i="20"/>
  <c r="JK45" i="20"/>
  <c r="JK44" i="20"/>
  <c r="JK42" i="20"/>
  <c r="JK41" i="20"/>
  <c r="JK40" i="20"/>
  <c r="JK39" i="20"/>
  <c r="JK38" i="20"/>
  <c r="JK37" i="20"/>
  <c r="JK36" i="20"/>
  <c r="JK35" i="20"/>
  <c r="JK34" i="20"/>
  <c r="JK33" i="20"/>
  <c r="JK32" i="20"/>
  <c r="JK30" i="20"/>
  <c r="JK29" i="20"/>
  <c r="JK28" i="20"/>
  <c r="JK27" i="20"/>
  <c r="JK25" i="20"/>
  <c r="JK24" i="20"/>
  <c r="JK23" i="20"/>
  <c r="JK22" i="20"/>
  <c r="JK20" i="20"/>
  <c r="JK19" i="20"/>
  <c r="JK17" i="20"/>
  <c r="JK16" i="20"/>
  <c r="JK15" i="20"/>
  <c r="JK13" i="20"/>
  <c r="JK12" i="20"/>
  <c r="JK11" i="20"/>
  <c r="JK8" i="20"/>
  <c r="JK7" i="20"/>
  <c r="JK6" i="20"/>
  <c r="JK5" i="20"/>
  <c r="JK4" i="20"/>
  <c r="IG49" i="20"/>
  <c r="IG48" i="20"/>
  <c r="IG47" i="20"/>
  <c r="IG45" i="20"/>
  <c r="IG44" i="20"/>
  <c r="IG42" i="20"/>
  <c r="IG41" i="20"/>
  <c r="IG40" i="20"/>
  <c r="IG39" i="20"/>
  <c r="IG38" i="20"/>
  <c r="IG37" i="20"/>
  <c r="IG36" i="20"/>
  <c r="IG35" i="20"/>
  <c r="IG34" i="20"/>
  <c r="IG33" i="20"/>
  <c r="IG32" i="20"/>
  <c r="IG30" i="20"/>
  <c r="IG29" i="20"/>
  <c r="IG28" i="20"/>
  <c r="IG27" i="20"/>
  <c r="IG25" i="20"/>
  <c r="IG24" i="20"/>
  <c r="IG23" i="20"/>
  <c r="IG22" i="20"/>
  <c r="IG20" i="20"/>
  <c r="IG19" i="20"/>
  <c r="IG17" i="20"/>
  <c r="IG16" i="20"/>
  <c r="IG15" i="20"/>
  <c r="IG13" i="20"/>
  <c r="IG12" i="20"/>
  <c r="IG11" i="20"/>
  <c r="IG8" i="20"/>
  <c r="IG7" i="20"/>
  <c r="IG6" i="20"/>
  <c r="IG5" i="20"/>
  <c r="IG4" i="20"/>
  <c r="HC49" i="20"/>
  <c r="HC48" i="20"/>
  <c r="HC47" i="20"/>
  <c r="HC45" i="20"/>
  <c r="HC44" i="20"/>
  <c r="HC42" i="20"/>
  <c r="HC41" i="20"/>
  <c r="HC40" i="20"/>
  <c r="HC39" i="20"/>
  <c r="HC38" i="20"/>
  <c r="HC37" i="20"/>
  <c r="HC36" i="20"/>
  <c r="HC35" i="20"/>
  <c r="HC34" i="20"/>
  <c r="HC33" i="20"/>
  <c r="HC32" i="20"/>
  <c r="HC30" i="20"/>
  <c r="HC29" i="20"/>
  <c r="HC28" i="20"/>
  <c r="HC27" i="20"/>
  <c r="HC25" i="20"/>
  <c r="HC24" i="20"/>
  <c r="HC23" i="20"/>
  <c r="HC22" i="20"/>
  <c r="HC20" i="20"/>
  <c r="HC19" i="20"/>
  <c r="HC17" i="20"/>
  <c r="HC16" i="20"/>
  <c r="HC15" i="20"/>
  <c r="HC13" i="20"/>
  <c r="HC12" i="20"/>
  <c r="HC11" i="20"/>
  <c r="HC8" i="20"/>
  <c r="HC7" i="20"/>
  <c r="HC6" i="20"/>
  <c r="HC5" i="20"/>
  <c r="HC4" i="20"/>
  <c r="FY49" i="20"/>
  <c r="FY48" i="20"/>
  <c r="FY47" i="20"/>
  <c r="FY45" i="20"/>
  <c r="FY44" i="20"/>
  <c r="FY42" i="20"/>
  <c r="FY41" i="20"/>
  <c r="FY40" i="20"/>
  <c r="FY39" i="20"/>
  <c r="FY38" i="20"/>
  <c r="FY37" i="20"/>
  <c r="FY36" i="20"/>
  <c r="FY35" i="20"/>
  <c r="FY34" i="20"/>
  <c r="FY33" i="20"/>
  <c r="FY32" i="20"/>
  <c r="FY30" i="20"/>
  <c r="FY29" i="20"/>
  <c r="FY28" i="20"/>
  <c r="FY27" i="20"/>
  <c r="FY25" i="20"/>
  <c r="FY24" i="20"/>
  <c r="FY23" i="20"/>
  <c r="FY22" i="20"/>
  <c r="FY20" i="20"/>
  <c r="FY19" i="20"/>
  <c r="FY17" i="20"/>
  <c r="FY16" i="20"/>
  <c r="FY15" i="20"/>
  <c r="FY13" i="20"/>
  <c r="FY12" i="20"/>
  <c r="FY11" i="20"/>
  <c r="FY8" i="20"/>
  <c r="FY7" i="20"/>
  <c r="FY6" i="20"/>
  <c r="FY5" i="20"/>
  <c r="FY4" i="20"/>
  <c r="EU49" i="20"/>
  <c r="EU48" i="20"/>
  <c r="EU47" i="20"/>
  <c r="EU45" i="20"/>
  <c r="EU44" i="20"/>
  <c r="EU42" i="20"/>
  <c r="EU41" i="20"/>
  <c r="EU40" i="20"/>
  <c r="EU39" i="20"/>
  <c r="EU38" i="20"/>
  <c r="EU37" i="20"/>
  <c r="EU36" i="20"/>
  <c r="EU35" i="20"/>
  <c r="EU34" i="20"/>
  <c r="EU33" i="20"/>
  <c r="EU32" i="20"/>
  <c r="EU30" i="20"/>
  <c r="EU29" i="20"/>
  <c r="EU28" i="20"/>
  <c r="EU27" i="20"/>
  <c r="EU25" i="20"/>
  <c r="EU24" i="20"/>
  <c r="EU23" i="20"/>
  <c r="EU22" i="20"/>
  <c r="EU20" i="20"/>
  <c r="EU19" i="20"/>
  <c r="EU17" i="20"/>
  <c r="EU16" i="20"/>
  <c r="EU15" i="20"/>
  <c r="EU13" i="20"/>
  <c r="EU12" i="20"/>
  <c r="EU11" i="20"/>
  <c r="EU8" i="20"/>
  <c r="EU7" i="20"/>
  <c r="EU6" i="20"/>
  <c r="EU5" i="20"/>
  <c r="EU4" i="20"/>
  <c r="DQ49" i="20"/>
  <c r="DQ48" i="20"/>
  <c r="DQ47" i="20"/>
  <c r="DQ45" i="20"/>
  <c r="DQ44" i="20"/>
  <c r="DQ42" i="20"/>
  <c r="DQ41" i="20"/>
  <c r="DQ40" i="20"/>
  <c r="DQ39" i="20"/>
  <c r="DQ38" i="20"/>
  <c r="DQ37" i="20"/>
  <c r="DQ36" i="20"/>
  <c r="DQ35" i="20"/>
  <c r="DQ34" i="20"/>
  <c r="DQ33" i="20"/>
  <c r="DQ32" i="20"/>
  <c r="DQ30" i="20"/>
  <c r="DQ29" i="20"/>
  <c r="DQ28" i="20"/>
  <c r="DQ27" i="20"/>
  <c r="DQ25" i="20"/>
  <c r="DQ24" i="20"/>
  <c r="DQ23" i="20"/>
  <c r="DQ22" i="20"/>
  <c r="DQ20" i="20"/>
  <c r="DQ19" i="20"/>
  <c r="DQ17" i="20"/>
  <c r="DQ16" i="20"/>
  <c r="DQ15" i="20"/>
  <c r="DQ13" i="20"/>
  <c r="DQ12" i="20"/>
  <c r="DQ11" i="20"/>
  <c r="DQ8" i="20"/>
  <c r="DQ7" i="20"/>
  <c r="DQ6" i="20"/>
  <c r="DQ5" i="20"/>
  <c r="DQ4" i="20"/>
  <c r="CM49" i="20"/>
  <c r="CM48" i="20"/>
  <c r="CM47" i="20"/>
  <c r="CM45" i="20"/>
  <c r="CM44" i="20"/>
  <c r="CM42" i="20"/>
  <c r="CM41" i="20"/>
  <c r="CM40" i="20"/>
  <c r="CM39" i="20"/>
  <c r="CM38" i="20"/>
  <c r="CM37" i="20"/>
  <c r="CM36" i="20"/>
  <c r="CM35" i="20"/>
  <c r="CM34" i="20"/>
  <c r="CM33" i="20"/>
  <c r="CM32" i="20"/>
  <c r="CM30" i="20"/>
  <c r="CM29" i="20"/>
  <c r="CM28" i="20"/>
  <c r="CM27" i="20"/>
  <c r="CM25" i="20"/>
  <c r="CM24" i="20"/>
  <c r="CM23" i="20"/>
  <c r="CM22" i="20"/>
  <c r="CM20" i="20"/>
  <c r="CM19" i="20"/>
  <c r="CM17" i="20"/>
  <c r="CM16" i="20"/>
  <c r="CM15" i="20"/>
  <c r="CM13" i="20"/>
  <c r="CM12" i="20"/>
  <c r="CM11" i="20"/>
  <c r="CM8" i="20"/>
  <c r="CM7" i="20"/>
  <c r="CM6" i="20"/>
  <c r="CM5" i="20"/>
  <c r="CM4" i="20"/>
  <c r="BI49" i="20"/>
  <c r="BI48" i="20"/>
  <c r="BI47" i="20"/>
  <c r="BI45" i="20"/>
  <c r="BI44" i="20"/>
  <c r="BI42" i="20"/>
  <c r="BI41" i="20"/>
  <c r="BI40" i="20"/>
  <c r="BI39" i="20"/>
  <c r="BI38" i="20"/>
  <c r="BI37" i="20"/>
  <c r="BI36" i="20"/>
  <c r="BI35" i="20"/>
  <c r="BI34" i="20"/>
  <c r="BI33" i="20"/>
  <c r="BI32" i="20"/>
  <c r="BI30" i="20"/>
  <c r="BI29" i="20"/>
  <c r="BI28" i="20"/>
  <c r="BI27" i="20"/>
  <c r="BI25" i="20"/>
  <c r="BI24" i="20"/>
  <c r="BI23" i="20"/>
  <c r="BI22" i="20"/>
  <c r="BI20" i="20"/>
  <c r="BI19" i="20"/>
  <c r="BI17" i="20"/>
  <c r="BI16" i="20"/>
  <c r="BI15" i="20"/>
  <c r="BI13" i="20"/>
  <c r="BI12" i="20"/>
  <c r="BI11" i="20"/>
  <c r="BI8" i="20"/>
  <c r="BI7" i="20"/>
  <c r="BI6" i="20"/>
  <c r="BI5" i="20"/>
  <c r="BI4" i="20"/>
  <c r="AE49" i="20"/>
  <c r="AE48" i="20"/>
  <c r="AE47" i="20"/>
  <c r="AE45" i="20"/>
  <c r="AE44" i="20"/>
  <c r="AE42" i="20"/>
  <c r="AE41" i="20"/>
  <c r="AE40" i="20"/>
  <c r="AE39" i="20"/>
  <c r="AE38" i="20"/>
  <c r="AE37" i="20"/>
  <c r="AE36" i="20"/>
  <c r="AE35" i="20"/>
  <c r="AE34" i="20"/>
  <c r="AE33" i="20"/>
  <c r="AE32" i="20"/>
  <c r="AE30" i="20"/>
  <c r="AE29" i="20"/>
  <c r="AE28" i="20"/>
  <c r="AE27" i="20"/>
  <c r="AE25" i="20"/>
  <c r="AE24" i="20"/>
  <c r="AE23" i="20"/>
  <c r="AE22" i="20"/>
  <c r="AE20" i="20"/>
  <c r="AE19" i="20"/>
  <c r="AE17" i="20"/>
  <c r="AE16" i="20"/>
  <c r="AE15" i="20"/>
  <c r="AE13" i="20"/>
  <c r="AE12" i="20"/>
  <c r="AE11" i="20"/>
  <c r="AE8" i="20"/>
  <c r="AE7" i="20"/>
  <c r="AE6" i="20"/>
  <c r="AE5" i="20"/>
  <c r="AE4" i="20"/>
  <c r="NH49" i="20"/>
  <c r="NH48" i="20"/>
  <c r="NH47" i="20"/>
  <c r="NH45" i="20"/>
  <c r="NH44" i="20"/>
  <c r="NH42" i="20"/>
  <c r="NH41" i="20"/>
  <c r="NH40" i="20"/>
  <c r="NH39" i="20"/>
  <c r="NH38" i="20"/>
  <c r="NH37" i="20"/>
  <c r="NH36" i="20"/>
  <c r="NH35" i="20"/>
  <c r="NH34" i="20"/>
  <c r="NH33" i="20"/>
  <c r="NH32" i="20"/>
  <c r="NH30" i="20"/>
  <c r="NH29" i="20"/>
  <c r="NH28" i="20"/>
  <c r="NH27" i="20"/>
  <c r="NH25" i="20"/>
  <c r="NH24" i="20"/>
  <c r="NH23" i="20"/>
  <c r="NH22" i="20"/>
  <c r="NH20" i="20"/>
  <c r="NH19" i="20"/>
  <c r="NH17" i="20"/>
  <c r="NH16" i="20"/>
  <c r="NH15" i="20"/>
  <c r="NH13" i="20"/>
  <c r="NH12" i="20"/>
  <c r="NH11" i="20"/>
  <c r="NH10" i="20"/>
  <c r="NH8" i="20"/>
  <c r="NH7" i="20"/>
  <c r="NH6" i="20"/>
  <c r="NH5" i="20"/>
  <c r="NH4" i="20"/>
  <c r="MD49" i="20"/>
  <c r="MD48" i="20"/>
  <c r="MD47" i="20"/>
  <c r="MD45" i="20"/>
  <c r="MD44" i="20"/>
  <c r="MD42" i="20"/>
  <c r="MD41" i="20"/>
  <c r="MD40" i="20"/>
  <c r="MD39" i="20"/>
  <c r="MD38" i="20"/>
  <c r="MD37" i="20"/>
  <c r="MD36" i="20"/>
  <c r="MD35" i="20"/>
  <c r="MD34" i="20"/>
  <c r="MD33" i="20"/>
  <c r="MD32" i="20"/>
  <c r="MD30" i="20"/>
  <c r="MD29" i="20"/>
  <c r="MD28" i="20"/>
  <c r="MD27" i="20"/>
  <c r="MD25" i="20"/>
  <c r="MD24" i="20"/>
  <c r="MD23" i="20"/>
  <c r="MD22" i="20"/>
  <c r="MD20" i="20"/>
  <c r="MD19" i="20"/>
  <c r="MD17" i="20"/>
  <c r="MD16" i="20"/>
  <c r="MD15" i="20"/>
  <c r="MD13" i="20"/>
  <c r="MD12" i="20"/>
  <c r="MD11" i="20"/>
  <c r="MD10" i="20"/>
  <c r="MD8" i="20"/>
  <c r="MD7" i="20"/>
  <c r="MD6" i="20"/>
  <c r="MD5" i="20"/>
  <c r="MD4" i="20"/>
  <c r="KZ49" i="20"/>
  <c r="KZ48" i="20"/>
  <c r="KZ47" i="20"/>
  <c r="KZ45" i="20"/>
  <c r="KZ44" i="20"/>
  <c r="KZ42" i="20"/>
  <c r="KZ41" i="20"/>
  <c r="KZ40" i="20"/>
  <c r="KZ39" i="20"/>
  <c r="KZ38" i="20"/>
  <c r="KZ37" i="20"/>
  <c r="KZ36" i="20"/>
  <c r="KZ35" i="20"/>
  <c r="KZ34" i="20"/>
  <c r="KZ33" i="20"/>
  <c r="KZ32" i="20"/>
  <c r="KZ30" i="20"/>
  <c r="KZ29" i="20"/>
  <c r="KZ28" i="20"/>
  <c r="KZ27" i="20"/>
  <c r="KZ25" i="20"/>
  <c r="KZ24" i="20"/>
  <c r="KZ23" i="20"/>
  <c r="KZ22" i="20"/>
  <c r="KZ20" i="20"/>
  <c r="KZ19" i="20"/>
  <c r="KZ17" i="20"/>
  <c r="KZ16" i="20"/>
  <c r="KZ15" i="20"/>
  <c r="KZ13" i="20"/>
  <c r="KZ12" i="20"/>
  <c r="KZ11" i="20"/>
  <c r="KZ10" i="20"/>
  <c r="KZ8" i="20"/>
  <c r="KZ7" i="20"/>
  <c r="KZ6" i="20"/>
  <c r="KZ5" i="20"/>
  <c r="KZ4" i="20"/>
  <c r="JV49" i="20"/>
  <c r="JV48" i="20"/>
  <c r="JV47" i="20"/>
  <c r="JV45" i="20"/>
  <c r="JV44" i="20"/>
  <c r="JV42" i="20"/>
  <c r="JV41" i="20"/>
  <c r="JV40" i="20"/>
  <c r="JV39" i="20"/>
  <c r="JV38" i="20"/>
  <c r="JV37" i="20"/>
  <c r="JV36" i="20"/>
  <c r="JV35" i="20"/>
  <c r="JV34" i="20"/>
  <c r="JV33" i="20"/>
  <c r="JV32" i="20"/>
  <c r="JV30" i="20"/>
  <c r="JV29" i="20"/>
  <c r="JV28" i="20"/>
  <c r="JV27" i="20"/>
  <c r="JV25" i="20"/>
  <c r="JV24" i="20"/>
  <c r="JV23" i="20"/>
  <c r="JV22" i="20"/>
  <c r="JV20" i="20"/>
  <c r="JV19" i="20"/>
  <c r="JV17" i="20"/>
  <c r="JV16" i="20"/>
  <c r="JV15" i="20"/>
  <c r="JV13" i="20"/>
  <c r="JV12" i="20"/>
  <c r="JV11" i="20"/>
  <c r="JV10" i="20"/>
  <c r="JV8" i="20"/>
  <c r="JV7" i="20"/>
  <c r="JV6" i="20"/>
  <c r="JV5" i="20"/>
  <c r="JV4" i="20"/>
  <c r="IR49" i="20"/>
  <c r="IR48" i="20"/>
  <c r="IR47" i="20"/>
  <c r="IR45" i="20"/>
  <c r="IR44" i="20"/>
  <c r="IR42" i="20"/>
  <c r="IR41" i="20"/>
  <c r="IR40" i="20"/>
  <c r="IR39" i="20"/>
  <c r="IR38" i="20"/>
  <c r="IR37" i="20"/>
  <c r="IR36" i="20"/>
  <c r="IR35" i="20"/>
  <c r="IR34" i="20"/>
  <c r="IR33" i="20"/>
  <c r="IR32" i="20"/>
  <c r="IR30" i="20"/>
  <c r="IR29" i="20"/>
  <c r="IR28" i="20"/>
  <c r="IR27" i="20"/>
  <c r="IR25" i="20"/>
  <c r="IR24" i="20"/>
  <c r="IR23" i="20"/>
  <c r="IR22" i="20"/>
  <c r="IR20" i="20"/>
  <c r="IR19" i="20"/>
  <c r="IR17" i="20"/>
  <c r="IR16" i="20"/>
  <c r="IR15" i="20"/>
  <c r="IR13" i="20"/>
  <c r="IR12" i="20"/>
  <c r="IR11" i="20"/>
  <c r="IR10" i="20"/>
  <c r="IR8" i="20"/>
  <c r="IR7" i="20"/>
  <c r="IR6" i="20"/>
  <c r="IR5" i="20"/>
  <c r="IR4" i="20"/>
  <c r="HN49" i="20"/>
  <c r="HN48" i="20"/>
  <c r="HN47" i="20"/>
  <c r="HN45" i="20"/>
  <c r="HN44" i="20"/>
  <c r="HN42" i="20"/>
  <c r="HN41" i="20"/>
  <c r="HN40" i="20"/>
  <c r="HN39" i="20"/>
  <c r="HN38" i="20"/>
  <c r="HN37" i="20"/>
  <c r="HN36" i="20"/>
  <c r="HN35" i="20"/>
  <c r="HN34" i="20"/>
  <c r="HN33" i="20"/>
  <c r="HN32" i="20"/>
  <c r="HN30" i="20"/>
  <c r="HN29" i="20"/>
  <c r="HN28" i="20"/>
  <c r="HN27" i="20"/>
  <c r="HN25" i="20"/>
  <c r="HN24" i="20"/>
  <c r="HN23" i="20"/>
  <c r="HN22" i="20"/>
  <c r="HN20" i="20"/>
  <c r="HN19" i="20"/>
  <c r="HN17" i="20"/>
  <c r="HN16" i="20"/>
  <c r="HN15" i="20"/>
  <c r="HN13" i="20"/>
  <c r="HN12" i="20"/>
  <c r="HN11" i="20"/>
  <c r="HN10" i="20"/>
  <c r="HN8" i="20"/>
  <c r="HN7" i="20"/>
  <c r="HN6" i="20"/>
  <c r="HN5" i="20"/>
  <c r="HN4" i="20"/>
  <c r="GJ49" i="20"/>
  <c r="GJ48" i="20"/>
  <c r="GJ47" i="20"/>
  <c r="GJ45" i="20"/>
  <c r="GJ44" i="20"/>
  <c r="GJ42" i="20"/>
  <c r="GJ41" i="20"/>
  <c r="GJ40" i="20"/>
  <c r="GJ39" i="20"/>
  <c r="GJ38" i="20"/>
  <c r="GJ37" i="20"/>
  <c r="GJ36" i="20"/>
  <c r="GJ35" i="20"/>
  <c r="GJ34" i="20"/>
  <c r="GJ33" i="20"/>
  <c r="GJ32" i="20"/>
  <c r="GJ30" i="20"/>
  <c r="GJ29" i="20"/>
  <c r="GJ28" i="20"/>
  <c r="GJ27" i="20"/>
  <c r="GJ25" i="20"/>
  <c r="GJ24" i="20"/>
  <c r="GJ23" i="20"/>
  <c r="GJ22" i="20"/>
  <c r="GJ20" i="20"/>
  <c r="GJ19" i="20"/>
  <c r="GJ17" i="20"/>
  <c r="GJ16" i="20"/>
  <c r="GJ15" i="20"/>
  <c r="GJ13" i="20"/>
  <c r="GJ12" i="20"/>
  <c r="GJ11" i="20"/>
  <c r="GJ10" i="20"/>
  <c r="GJ8" i="20"/>
  <c r="GJ7" i="20"/>
  <c r="GJ6" i="20"/>
  <c r="GJ5" i="20"/>
  <c r="GJ4" i="20"/>
  <c r="FF49" i="20"/>
  <c r="FF48" i="20"/>
  <c r="FF47" i="20"/>
  <c r="FF45" i="20"/>
  <c r="FF44" i="20"/>
  <c r="FF42" i="20"/>
  <c r="FF41" i="20"/>
  <c r="FF40" i="20"/>
  <c r="FF39" i="20"/>
  <c r="FF38" i="20"/>
  <c r="FF37" i="20"/>
  <c r="FF36" i="20"/>
  <c r="FF35" i="20"/>
  <c r="FF34" i="20"/>
  <c r="FF33" i="20"/>
  <c r="FF32" i="20"/>
  <c r="FF30" i="20"/>
  <c r="FF29" i="20"/>
  <c r="FF28" i="20"/>
  <c r="FF27" i="20"/>
  <c r="FF25" i="20"/>
  <c r="FF24" i="20"/>
  <c r="FF23" i="20"/>
  <c r="FF22" i="20"/>
  <c r="FF20" i="20"/>
  <c r="FF19" i="20"/>
  <c r="FF17" i="20"/>
  <c r="FF16" i="20"/>
  <c r="FF15" i="20"/>
  <c r="FF13" i="20"/>
  <c r="FF12" i="20"/>
  <c r="FF11" i="20"/>
  <c r="FF10" i="20"/>
  <c r="FF8" i="20"/>
  <c r="FF7" i="20"/>
  <c r="FF6" i="20"/>
  <c r="FF5" i="20"/>
  <c r="FF4" i="20"/>
  <c r="EB49" i="20"/>
  <c r="EB48" i="20"/>
  <c r="EB47" i="20"/>
  <c r="EB45" i="20"/>
  <c r="EB44" i="20"/>
  <c r="EB42" i="20"/>
  <c r="EB41" i="20"/>
  <c r="EB40" i="20"/>
  <c r="EB39" i="20"/>
  <c r="EB38" i="20"/>
  <c r="EB37" i="20"/>
  <c r="EB36" i="20"/>
  <c r="EB35" i="20"/>
  <c r="EB34" i="20"/>
  <c r="EB33" i="20"/>
  <c r="EB32" i="20"/>
  <c r="EB30" i="20"/>
  <c r="EB29" i="20"/>
  <c r="EB28" i="20"/>
  <c r="EB27" i="20"/>
  <c r="EB25" i="20"/>
  <c r="EB24" i="20"/>
  <c r="EB23" i="20"/>
  <c r="EB22" i="20"/>
  <c r="EB20" i="20"/>
  <c r="EB19" i="20"/>
  <c r="EB17" i="20"/>
  <c r="EB16" i="20"/>
  <c r="EB15" i="20"/>
  <c r="EB13" i="20"/>
  <c r="EB12" i="20"/>
  <c r="EB11" i="20"/>
  <c r="EB10" i="20"/>
  <c r="EB8" i="20"/>
  <c r="EB7" i="20"/>
  <c r="EB6" i="20"/>
  <c r="EB5" i="20"/>
  <c r="EB4" i="20"/>
  <c r="CX49" i="20"/>
  <c r="CX48" i="20"/>
  <c r="CX47" i="20"/>
  <c r="CX45" i="20"/>
  <c r="CX44" i="20"/>
  <c r="CX42" i="20"/>
  <c r="CX41" i="20"/>
  <c r="CX40" i="20"/>
  <c r="CX39" i="20"/>
  <c r="CX38" i="20"/>
  <c r="CX37" i="20"/>
  <c r="CX36" i="20"/>
  <c r="CX35" i="20"/>
  <c r="CX34" i="20"/>
  <c r="CX33" i="20"/>
  <c r="CX32" i="20"/>
  <c r="CX30" i="20"/>
  <c r="CX29" i="20"/>
  <c r="CX28" i="20"/>
  <c r="CX27" i="20"/>
  <c r="CX25" i="20"/>
  <c r="CX24" i="20"/>
  <c r="CX23" i="20"/>
  <c r="CX22" i="20"/>
  <c r="CX20" i="20"/>
  <c r="CX19" i="20"/>
  <c r="CX17" i="20"/>
  <c r="CX16" i="20"/>
  <c r="CX15" i="20"/>
  <c r="CX13" i="20"/>
  <c r="CX12" i="20"/>
  <c r="CX11" i="20"/>
  <c r="CX10" i="20"/>
  <c r="CX8" i="20"/>
  <c r="CX7" i="20"/>
  <c r="CX6" i="20"/>
  <c r="CX5" i="20"/>
  <c r="CX4" i="20"/>
  <c r="BT49" i="20"/>
  <c r="BT48" i="20"/>
  <c r="BT47" i="20"/>
  <c r="BT45" i="20"/>
  <c r="BT44" i="20"/>
  <c r="BT42" i="20"/>
  <c r="BT41" i="20"/>
  <c r="BT40" i="20"/>
  <c r="BT39" i="20"/>
  <c r="BT38" i="20"/>
  <c r="BT37" i="20"/>
  <c r="BT36" i="20"/>
  <c r="BT35" i="20"/>
  <c r="BT34" i="20"/>
  <c r="BT33" i="20"/>
  <c r="BT32" i="20"/>
  <c r="BT30" i="20"/>
  <c r="BT29" i="20"/>
  <c r="BT28" i="20"/>
  <c r="BT27" i="20"/>
  <c r="BT25" i="20"/>
  <c r="BT24" i="20"/>
  <c r="BT23" i="20"/>
  <c r="BT22" i="20"/>
  <c r="BT20" i="20"/>
  <c r="BT19" i="20"/>
  <c r="BT17" i="20"/>
  <c r="BT16" i="20"/>
  <c r="BT15" i="20"/>
  <c r="BT13" i="20"/>
  <c r="BT12" i="20"/>
  <c r="BT11" i="20"/>
  <c r="BT10" i="20"/>
  <c r="BT8" i="20"/>
  <c r="BT7" i="20"/>
  <c r="BT6" i="20"/>
  <c r="BT5" i="20"/>
  <c r="BT4" i="20"/>
  <c r="AP49" i="20"/>
  <c r="AP48" i="20"/>
  <c r="AP47" i="20"/>
  <c r="AP45" i="20"/>
  <c r="AP44" i="20"/>
  <c r="AP42" i="20"/>
  <c r="AP41" i="20"/>
  <c r="AP40" i="20"/>
  <c r="AP39" i="20"/>
  <c r="AP38" i="20"/>
  <c r="AP37" i="20"/>
  <c r="AP36" i="20"/>
  <c r="AP35" i="20"/>
  <c r="AP34" i="20"/>
  <c r="AP33" i="20"/>
  <c r="AP32" i="20"/>
  <c r="AP30" i="20"/>
  <c r="AP29" i="20"/>
  <c r="AP28" i="20"/>
  <c r="AP27" i="20"/>
  <c r="AP25" i="20"/>
  <c r="AP24" i="20"/>
  <c r="AP23" i="20"/>
  <c r="AP22" i="20"/>
  <c r="AP20" i="20"/>
  <c r="AP19" i="20"/>
  <c r="AP17" i="20"/>
  <c r="AP16" i="20"/>
  <c r="AP15" i="20"/>
  <c r="AP13" i="20"/>
  <c r="AP12" i="20"/>
  <c r="AP11" i="20"/>
  <c r="AP10" i="20"/>
  <c r="AP8" i="20"/>
  <c r="AP7" i="20"/>
  <c r="AP6" i="20"/>
  <c r="AP5" i="20"/>
  <c r="AP4" i="20"/>
  <c r="L49" i="20"/>
  <c r="L48" i="20"/>
  <c r="L47" i="20"/>
  <c r="L45" i="20"/>
  <c r="L44" i="20"/>
  <c r="L42" i="20"/>
  <c r="L41" i="20"/>
  <c r="L40" i="20"/>
  <c r="L39" i="20"/>
  <c r="L38" i="20"/>
  <c r="L37" i="20"/>
  <c r="L36" i="20"/>
  <c r="L35" i="20"/>
  <c r="L34" i="20"/>
  <c r="L33" i="20"/>
  <c r="L32" i="20"/>
  <c r="L30" i="20"/>
  <c r="L29" i="20"/>
  <c r="L28" i="20"/>
  <c r="L27" i="20"/>
  <c r="L25" i="20"/>
  <c r="L24" i="20"/>
  <c r="L23" i="20"/>
  <c r="L22" i="20"/>
  <c r="L20" i="20"/>
  <c r="L19" i="20"/>
  <c r="L17" i="20"/>
  <c r="L16" i="20"/>
  <c r="L15" i="20"/>
  <c r="L13" i="20"/>
  <c r="L12" i="20"/>
  <c r="L11" i="20"/>
  <c r="L10" i="20"/>
  <c r="L8" i="20"/>
  <c r="L7" i="20"/>
  <c r="L6" i="20"/>
  <c r="L5" i="20"/>
  <c r="L4" i="20"/>
  <c r="NY49" i="20" l="1"/>
  <c r="NZ49" i="20" s="1"/>
  <c r="NS49" i="20"/>
  <c r="NT49" i="20" s="1"/>
  <c r="NM49" i="20"/>
  <c r="NN49" i="20" s="1"/>
  <c r="NF49" i="20"/>
  <c r="NG49" i="20" s="1"/>
  <c r="MU49" i="20"/>
  <c r="MV49" i="20" s="1"/>
  <c r="MO49" i="20"/>
  <c r="MP49" i="20" s="1"/>
  <c r="MI49" i="20"/>
  <c r="MJ49" i="20" s="1"/>
  <c r="MB49" i="20"/>
  <c r="MC49" i="20" s="1"/>
  <c r="LQ49" i="20"/>
  <c r="LR49" i="20" s="1"/>
  <c r="LK49" i="20"/>
  <c r="LL49" i="20" s="1"/>
  <c r="LE49" i="20"/>
  <c r="LF49" i="20" s="1"/>
  <c r="KX49" i="20"/>
  <c r="KY49" i="20" s="1"/>
  <c r="KM49" i="20"/>
  <c r="KN49" i="20" s="1"/>
  <c r="KG49" i="20"/>
  <c r="KH49" i="20" s="1"/>
  <c r="KA49" i="20"/>
  <c r="KB49" i="20" s="1"/>
  <c r="JT49" i="20"/>
  <c r="JU49" i="20" s="1"/>
  <c r="JI49" i="20"/>
  <c r="JJ49" i="20" s="1"/>
  <c r="JC49" i="20"/>
  <c r="JD49" i="20" s="1"/>
  <c r="IW49" i="20"/>
  <c r="IX49" i="20" s="1"/>
  <c r="IP49" i="20"/>
  <c r="IQ49" i="20" s="1"/>
  <c r="IE49" i="20"/>
  <c r="IF49" i="20" s="1"/>
  <c r="HY49" i="20"/>
  <c r="HZ49" i="20" s="1"/>
  <c r="HS49" i="20"/>
  <c r="HT49" i="20" s="1"/>
  <c r="HL49" i="20"/>
  <c r="HM49" i="20" s="1"/>
  <c r="HA49" i="20"/>
  <c r="HB49" i="20" s="1"/>
  <c r="GU49" i="20"/>
  <c r="GV49" i="20" s="1"/>
  <c r="GO49" i="20"/>
  <c r="GP49" i="20" s="1"/>
  <c r="GH49" i="20"/>
  <c r="GI49" i="20" s="1"/>
  <c r="FW49" i="20"/>
  <c r="FX49" i="20" s="1"/>
  <c r="FQ49" i="20"/>
  <c r="FR49" i="20" s="1"/>
  <c r="FK49" i="20"/>
  <c r="FL49" i="20" s="1"/>
  <c r="FD49" i="20"/>
  <c r="FE49" i="20" s="1"/>
  <c r="ES49" i="20"/>
  <c r="ET49" i="20" s="1"/>
  <c r="EM49" i="20"/>
  <c r="EN49" i="20" s="1"/>
  <c r="EG49" i="20"/>
  <c r="EH49" i="20" s="1"/>
  <c r="DZ49" i="20"/>
  <c r="EA49" i="20" s="1"/>
  <c r="DO49" i="20"/>
  <c r="DP49" i="20" s="1"/>
  <c r="DI49" i="20"/>
  <c r="DJ49" i="20" s="1"/>
  <c r="DC49" i="20"/>
  <c r="DD49" i="20" s="1"/>
  <c r="CV49" i="20"/>
  <c r="CW49" i="20" s="1"/>
  <c r="CK49" i="20"/>
  <c r="CL49" i="20" s="1"/>
  <c r="CE49" i="20"/>
  <c r="CF49" i="20" s="1"/>
  <c r="BY49" i="20"/>
  <c r="BZ49" i="20" s="1"/>
  <c r="BR49" i="20"/>
  <c r="BS49" i="20" s="1"/>
  <c r="BG49" i="20"/>
  <c r="BH49" i="20" s="1"/>
  <c r="BA49" i="20"/>
  <c r="BB49" i="20" s="1"/>
  <c r="AU49" i="20"/>
  <c r="AV49" i="20" s="1"/>
  <c r="AN49" i="20"/>
  <c r="AO49" i="20" s="1"/>
  <c r="AC49" i="20"/>
  <c r="AD49" i="20" s="1"/>
  <c r="W49" i="20"/>
  <c r="X49" i="20" s="1"/>
  <c r="Q49" i="20"/>
  <c r="R49" i="20" s="1"/>
  <c r="J49" i="20"/>
  <c r="K49" i="20" s="1"/>
  <c r="NY48" i="20"/>
  <c r="NZ48" i="20" s="1"/>
  <c r="NS48" i="20"/>
  <c r="NT48" i="20" s="1"/>
  <c r="NM48" i="20"/>
  <c r="NN48" i="20" s="1"/>
  <c r="NF48" i="20"/>
  <c r="NG48" i="20" s="1"/>
  <c r="MU48" i="20"/>
  <c r="MV48" i="20" s="1"/>
  <c r="MO48" i="20"/>
  <c r="MP48" i="20" s="1"/>
  <c r="MI48" i="20"/>
  <c r="MJ48" i="20" s="1"/>
  <c r="MB48" i="20"/>
  <c r="MC48" i="20" s="1"/>
  <c r="LQ48" i="20"/>
  <c r="LR48" i="20" s="1"/>
  <c r="LK48" i="20"/>
  <c r="LL48" i="20" s="1"/>
  <c r="LE48" i="20"/>
  <c r="LF48" i="20" s="1"/>
  <c r="KX48" i="20"/>
  <c r="KY48" i="20" s="1"/>
  <c r="KM48" i="20"/>
  <c r="KN48" i="20" s="1"/>
  <c r="KG48" i="20"/>
  <c r="KH48" i="20" s="1"/>
  <c r="KA48" i="20"/>
  <c r="KB48" i="20" s="1"/>
  <c r="JT48" i="20"/>
  <c r="JU48" i="20" s="1"/>
  <c r="JI48" i="20"/>
  <c r="JJ48" i="20" s="1"/>
  <c r="JC48" i="20"/>
  <c r="JD48" i="20" s="1"/>
  <c r="IW48" i="20"/>
  <c r="IX48" i="20" s="1"/>
  <c r="IP48" i="20"/>
  <c r="IQ48" i="20" s="1"/>
  <c r="IE48" i="20"/>
  <c r="IF48" i="20" s="1"/>
  <c r="HY48" i="20"/>
  <c r="HZ48" i="20" s="1"/>
  <c r="HS48" i="20"/>
  <c r="HT48" i="20" s="1"/>
  <c r="HL48" i="20"/>
  <c r="HM48" i="20" s="1"/>
  <c r="HA48" i="20"/>
  <c r="HB48" i="20" s="1"/>
  <c r="GU48" i="20"/>
  <c r="GV48" i="20" s="1"/>
  <c r="GO48" i="20"/>
  <c r="GP48" i="20" s="1"/>
  <c r="GH48" i="20"/>
  <c r="GI48" i="20" s="1"/>
  <c r="FW48" i="20"/>
  <c r="FX48" i="20" s="1"/>
  <c r="FQ48" i="20"/>
  <c r="FR48" i="20" s="1"/>
  <c r="FK48" i="20"/>
  <c r="FL48" i="20" s="1"/>
  <c r="FD48" i="20"/>
  <c r="FE48" i="20" s="1"/>
  <c r="ES48" i="20"/>
  <c r="ET48" i="20" s="1"/>
  <c r="EM48" i="20"/>
  <c r="EN48" i="20" s="1"/>
  <c r="EG48" i="20"/>
  <c r="EH48" i="20" s="1"/>
  <c r="DZ48" i="20"/>
  <c r="EA48" i="20" s="1"/>
  <c r="DO48" i="20"/>
  <c r="DP48" i="20" s="1"/>
  <c r="DI48" i="20"/>
  <c r="DJ48" i="20" s="1"/>
  <c r="DC48" i="20"/>
  <c r="DD48" i="20" s="1"/>
  <c r="CV48" i="20"/>
  <c r="CW48" i="20" s="1"/>
  <c r="CK48" i="20"/>
  <c r="CL48" i="20" s="1"/>
  <c r="CE48" i="20"/>
  <c r="CF48" i="20" s="1"/>
  <c r="BY48" i="20"/>
  <c r="BZ48" i="20" s="1"/>
  <c r="BR48" i="20"/>
  <c r="BS48" i="20" s="1"/>
  <c r="BG48" i="20"/>
  <c r="BH48" i="20" s="1"/>
  <c r="BA48" i="20"/>
  <c r="BB48" i="20" s="1"/>
  <c r="AU48" i="20"/>
  <c r="AV48" i="20" s="1"/>
  <c r="AN48" i="20"/>
  <c r="AO48" i="20" s="1"/>
  <c r="AC48" i="20"/>
  <c r="AD48" i="20" s="1"/>
  <c r="W48" i="20"/>
  <c r="X48" i="20" s="1"/>
  <c r="Q48" i="20"/>
  <c r="R48" i="20" s="1"/>
  <c r="J48" i="20"/>
  <c r="K48" i="20" s="1"/>
  <c r="NY47" i="20"/>
  <c r="NZ47" i="20" s="1"/>
  <c r="NS47" i="20"/>
  <c r="NT47" i="20" s="1"/>
  <c r="NM47" i="20"/>
  <c r="NN47" i="20" s="1"/>
  <c r="NF47" i="20"/>
  <c r="NG47" i="20" s="1"/>
  <c r="MU47" i="20"/>
  <c r="MV47" i="20" s="1"/>
  <c r="MO47" i="20"/>
  <c r="MP47" i="20" s="1"/>
  <c r="MI47" i="20"/>
  <c r="MJ47" i="20" s="1"/>
  <c r="MB47" i="20"/>
  <c r="MC47" i="20" s="1"/>
  <c r="LQ47" i="20"/>
  <c r="LR47" i="20" s="1"/>
  <c r="LK47" i="20"/>
  <c r="LL47" i="20" s="1"/>
  <c r="LE47" i="20"/>
  <c r="LF47" i="20" s="1"/>
  <c r="KX47" i="20"/>
  <c r="KY47" i="20" s="1"/>
  <c r="KM47" i="20"/>
  <c r="KN47" i="20" s="1"/>
  <c r="KG47" i="20"/>
  <c r="KH47" i="20" s="1"/>
  <c r="KA47" i="20"/>
  <c r="KB47" i="20" s="1"/>
  <c r="JT47" i="20"/>
  <c r="JU47" i="20" s="1"/>
  <c r="JI47" i="20"/>
  <c r="JJ47" i="20" s="1"/>
  <c r="JC47" i="20"/>
  <c r="JD47" i="20" s="1"/>
  <c r="IW47" i="20"/>
  <c r="IX47" i="20" s="1"/>
  <c r="IP47" i="20"/>
  <c r="IQ47" i="20" s="1"/>
  <c r="IE47" i="20"/>
  <c r="IF47" i="20" s="1"/>
  <c r="HY47" i="20"/>
  <c r="HZ47" i="20" s="1"/>
  <c r="HS47" i="20"/>
  <c r="HT47" i="20" s="1"/>
  <c r="HL47" i="20"/>
  <c r="HM47" i="20" s="1"/>
  <c r="HA47" i="20"/>
  <c r="HB47" i="20" s="1"/>
  <c r="GU47" i="20"/>
  <c r="GV47" i="20" s="1"/>
  <c r="GO47" i="20"/>
  <c r="GP47" i="20" s="1"/>
  <c r="GH47" i="20"/>
  <c r="GI47" i="20" s="1"/>
  <c r="FW47" i="20"/>
  <c r="FX47" i="20" s="1"/>
  <c r="FQ47" i="20"/>
  <c r="FR47" i="20" s="1"/>
  <c r="FK47" i="20"/>
  <c r="FL47" i="20" s="1"/>
  <c r="FD47" i="20"/>
  <c r="FE47" i="20" s="1"/>
  <c r="ES47" i="20"/>
  <c r="ET47" i="20" s="1"/>
  <c r="EM47" i="20"/>
  <c r="EN47" i="20" s="1"/>
  <c r="EG47" i="20"/>
  <c r="EH47" i="20" s="1"/>
  <c r="DZ47" i="20"/>
  <c r="EA47" i="20" s="1"/>
  <c r="DO47" i="20"/>
  <c r="DP47" i="20" s="1"/>
  <c r="DI47" i="20"/>
  <c r="DJ47" i="20" s="1"/>
  <c r="DC47" i="20"/>
  <c r="DD47" i="20" s="1"/>
  <c r="CV47" i="20"/>
  <c r="CW47" i="20" s="1"/>
  <c r="CK47" i="20"/>
  <c r="CL47" i="20" s="1"/>
  <c r="CE47" i="20"/>
  <c r="CF47" i="20" s="1"/>
  <c r="BY47" i="20"/>
  <c r="BZ47" i="20" s="1"/>
  <c r="BR47" i="20"/>
  <c r="BS47" i="20" s="1"/>
  <c r="BG47" i="20"/>
  <c r="BH47" i="20" s="1"/>
  <c r="BA47" i="20"/>
  <c r="BB47" i="20" s="1"/>
  <c r="AU47" i="20"/>
  <c r="AV47" i="20" s="1"/>
  <c r="AN47" i="20"/>
  <c r="AO47" i="20" s="1"/>
  <c r="AC47" i="20"/>
  <c r="AD47" i="20" s="1"/>
  <c r="W47" i="20"/>
  <c r="X47" i="20" s="1"/>
  <c r="Q47" i="20"/>
  <c r="R47" i="20" s="1"/>
  <c r="J47" i="20"/>
  <c r="K47" i="20" s="1"/>
  <c r="NY45" i="20"/>
  <c r="NZ45" i="20" s="1"/>
  <c r="NS45" i="20"/>
  <c r="NT45" i="20" s="1"/>
  <c r="NM45" i="20"/>
  <c r="NN45" i="20" s="1"/>
  <c r="NF45" i="20"/>
  <c r="NG45" i="20" s="1"/>
  <c r="MU45" i="20"/>
  <c r="MV45" i="20" s="1"/>
  <c r="MO45" i="20"/>
  <c r="MP45" i="20" s="1"/>
  <c r="MI45" i="20"/>
  <c r="MJ45" i="20" s="1"/>
  <c r="MB45" i="20"/>
  <c r="MC45" i="20" s="1"/>
  <c r="LQ45" i="20"/>
  <c r="LR45" i="20" s="1"/>
  <c r="LK45" i="20"/>
  <c r="LL45" i="20" s="1"/>
  <c r="LE45" i="20"/>
  <c r="LF45" i="20" s="1"/>
  <c r="KX45" i="20"/>
  <c r="KY45" i="20" s="1"/>
  <c r="KM45" i="20"/>
  <c r="KN45" i="20" s="1"/>
  <c r="KG45" i="20"/>
  <c r="KH45" i="20" s="1"/>
  <c r="KA45" i="20"/>
  <c r="KB45" i="20" s="1"/>
  <c r="JT45" i="20"/>
  <c r="JU45" i="20" s="1"/>
  <c r="JI45" i="20"/>
  <c r="JJ45" i="20" s="1"/>
  <c r="JC45" i="20"/>
  <c r="JD45" i="20" s="1"/>
  <c r="IW45" i="20"/>
  <c r="IX45" i="20" s="1"/>
  <c r="IP45" i="20"/>
  <c r="IQ45" i="20" s="1"/>
  <c r="IE45" i="20"/>
  <c r="IF45" i="20" s="1"/>
  <c r="HY45" i="20"/>
  <c r="HZ45" i="20" s="1"/>
  <c r="HS45" i="20"/>
  <c r="HT45" i="20" s="1"/>
  <c r="HL45" i="20"/>
  <c r="HM45" i="20" s="1"/>
  <c r="HA45" i="20"/>
  <c r="HB45" i="20" s="1"/>
  <c r="GU45" i="20"/>
  <c r="GV45" i="20" s="1"/>
  <c r="GO45" i="20"/>
  <c r="GP45" i="20" s="1"/>
  <c r="GH45" i="20"/>
  <c r="GI45" i="20" s="1"/>
  <c r="FW45" i="20"/>
  <c r="FX45" i="20" s="1"/>
  <c r="FQ45" i="20"/>
  <c r="FR45" i="20" s="1"/>
  <c r="FK45" i="20"/>
  <c r="FL45" i="20" s="1"/>
  <c r="FD45" i="20"/>
  <c r="FE45" i="20" s="1"/>
  <c r="ES45" i="20"/>
  <c r="ET45" i="20" s="1"/>
  <c r="EM45" i="20"/>
  <c r="EN45" i="20" s="1"/>
  <c r="EG45" i="20"/>
  <c r="EH45" i="20" s="1"/>
  <c r="DZ45" i="20"/>
  <c r="EA45" i="20" s="1"/>
  <c r="DO45" i="20"/>
  <c r="DP45" i="20" s="1"/>
  <c r="DI45" i="20"/>
  <c r="DJ45" i="20" s="1"/>
  <c r="DC45" i="20"/>
  <c r="DD45" i="20" s="1"/>
  <c r="CV45" i="20"/>
  <c r="CW45" i="20" s="1"/>
  <c r="CK45" i="20"/>
  <c r="CL45" i="20" s="1"/>
  <c r="CE45" i="20"/>
  <c r="CF45" i="20" s="1"/>
  <c r="BY45" i="20"/>
  <c r="BZ45" i="20" s="1"/>
  <c r="BR45" i="20"/>
  <c r="BS45" i="20" s="1"/>
  <c r="BG45" i="20"/>
  <c r="BH45" i="20" s="1"/>
  <c r="BA45" i="20"/>
  <c r="BB45" i="20" s="1"/>
  <c r="AU45" i="20"/>
  <c r="AV45" i="20" s="1"/>
  <c r="AN45" i="20"/>
  <c r="AO45" i="20" s="1"/>
  <c r="AC45" i="20"/>
  <c r="AD45" i="20" s="1"/>
  <c r="W45" i="20"/>
  <c r="X45" i="20" s="1"/>
  <c r="Q45" i="20"/>
  <c r="R45" i="20" s="1"/>
  <c r="J45" i="20"/>
  <c r="K45" i="20" s="1"/>
  <c r="NY44" i="20"/>
  <c r="NZ44" i="20" s="1"/>
  <c r="NS44" i="20"/>
  <c r="NT44" i="20" s="1"/>
  <c r="NM44" i="20"/>
  <c r="NN44" i="20" s="1"/>
  <c r="NF44" i="20"/>
  <c r="NG44" i="20" s="1"/>
  <c r="MU44" i="20"/>
  <c r="MV44" i="20" s="1"/>
  <c r="MO44" i="20"/>
  <c r="MP44" i="20" s="1"/>
  <c r="MI44" i="20"/>
  <c r="MJ44" i="20" s="1"/>
  <c r="MB44" i="20"/>
  <c r="MC44" i="20" s="1"/>
  <c r="LQ44" i="20"/>
  <c r="LR44" i="20" s="1"/>
  <c r="LK44" i="20"/>
  <c r="LL44" i="20" s="1"/>
  <c r="LE44" i="20"/>
  <c r="LF44" i="20" s="1"/>
  <c r="KX44" i="20"/>
  <c r="KY44" i="20" s="1"/>
  <c r="KM44" i="20"/>
  <c r="KN44" i="20" s="1"/>
  <c r="KG44" i="20"/>
  <c r="KH44" i="20" s="1"/>
  <c r="KA44" i="20"/>
  <c r="KB44" i="20" s="1"/>
  <c r="JT44" i="20"/>
  <c r="JU44" i="20" s="1"/>
  <c r="JI44" i="20"/>
  <c r="JJ44" i="20" s="1"/>
  <c r="JC44" i="20"/>
  <c r="JD44" i="20" s="1"/>
  <c r="IW44" i="20"/>
  <c r="IX44" i="20" s="1"/>
  <c r="IP44" i="20"/>
  <c r="IQ44" i="20" s="1"/>
  <c r="IE44" i="20"/>
  <c r="IF44" i="20" s="1"/>
  <c r="HY44" i="20"/>
  <c r="HZ44" i="20" s="1"/>
  <c r="HS44" i="20"/>
  <c r="HT44" i="20" s="1"/>
  <c r="HL44" i="20"/>
  <c r="HM44" i="20" s="1"/>
  <c r="HA44" i="20"/>
  <c r="HB44" i="20" s="1"/>
  <c r="GU44" i="20"/>
  <c r="GV44" i="20" s="1"/>
  <c r="GO44" i="20"/>
  <c r="GP44" i="20" s="1"/>
  <c r="GH44" i="20"/>
  <c r="GI44" i="20" s="1"/>
  <c r="FW44" i="20"/>
  <c r="FX44" i="20" s="1"/>
  <c r="FQ44" i="20"/>
  <c r="FR44" i="20" s="1"/>
  <c r="FK44" i="20"/>
  <c r="FL44" i="20" s="1"/>
  <c r="FD44" i="20"/>
  <c r="FE44" i="20" s="1"/>
  <c r="ES44" i="20"/>
  <c r="ET44" i="20" s="1"/>
  <c r="EM44" i="20"/>
  <c r="EN44" i="20" s="1"/>
  <c r="EG44" i="20"/>
  <c r="EH44" i="20" s="1"/>
  <c r="DZ44" i="20"/>
  <c r="EA44" i="20" s="1"/>
  <c r="DO44" i="20"/>
  <c r="DP44" i="20" s="1"/>
  <c r="DI44" i="20"/>
  <c r="DJ44" i="20" s="1"/>
  <c r="DC44" i="20"/>
  <c r="DD44" i="20" s="1"/>
  <c r="CV44" i="20"/>
  <c r="CW44" i="20" s="1"/>
  <c r="CK44" i="20"/>
  <c r="CL44" i="20" s="1"/>
  <c r="CE44" i="20"/>
  <c r="CF44" i="20" s="1"/>
  <c r="BY44" i="20"/>
  <c r="BZ44" i="20" s="1"/>
  <c r="BR44" i="20"/>
  <c r="BS44" i="20" s="1"/>
  <c r="BG44" i="20"/>
  <c r="BH44" i="20" s="1"/>
  <c r="BA44" i="20"/>
  <c r="BB44" i="20" s="1"/>
  <c r="AU44" i="20"/>
  <c r="AV44" i="20" s="1"/>
  <c r="AN44" i="20"/>
  <c r="AO44" i="20" s="1"/>
  <c r="AC44" i="20"/>
  <c r="AD44" i="20" s="1"/>
  <c r="W44" i="20"/>
  <c r="X44" i="20" s="1"/>
  <c r="Q44" i="20"/>
  <c r="R44" i="20" s="1"/>
  <c r="J44" i="20"/>
  <c r="K44" i="20" s="1"/>
  <c r="NY42" i="20"/>
  <c r="NZ42" i="20" s="1"/>
  <c r="NS42" i="20"/>
  <c r="NT42" i="20" s="1"/>
  <c r="NM42" i="20"/>
  <c r="NN42" i="20" s="1"/>
  <c r="NF42" i="20"/>
  <c r="NG42" i="20" s="1"/>
  <c r="MU42" i="20"/>
  <c r="MV42" i="20" s="1"/>
  <c r="MO42" i="20"/>
  <c r="MP42" i="20" s="1"/>
  <c r="MI42" i="20"/>
  <c r="MJ42" i="20" s="1"/>
  <c r="MB42" i="20"/>
  <c r="MC42" i="20" s="1"/>
  <c r="LQ42" i="20"/>
  <c r="LR42" i="20" s="1"/>
  <c r="LK42" i="20"/>
  <c r="LL42" i="20" s="1"/>
  <c r="LE42" i="20"/>
  <c r="LF42" i="20" s="1"/>
  <c r="KX42" i="20"/>
  <c r="KY42" i="20" s="1"/>
  <c r="KM42" i="20"/>
  <c r="KN42" i="20" s="1"/>
  <c r="KG42" i="20"/>
  <c r="KH42" i="20" s="1"/>
  <c r="KA42" i="20"/>
  <c r="KB42" i="20" s="1"/>
  <c r="JT42" i="20"/>
  <c r="JU42" i="20" s="1"/>
  <c r="JI42" i="20"/>
  <c r="JJ42" i="20" s="1"/>
  <c r="JC42" i="20"/>
  <c r="JD42" i="20" s="1"/>
  <c r="IW42" i="20"/>
  <c r="IX42" i="20" s="1"/>
  <c r="IP42" i="20"/>
  <c r="IQ42" i="20" s="1"/>
  <c r="IE42" i="20"/>
  <c r="IF42" i="20" s="1"/>
  <c r="HY42" i="20"/>
  <c r="HZ42" i="20" s="1"/>
  <c r="HS42" i="20"/>
  <c r="HT42" i="20" s="1"/>
  <c r="HL42" i="20"/>
  <c r="HM42" i="20" s="1"/>
  <c r="HA42" i="20"/>
  <c r="HB42" i="20" s="1"/>
  <c r="GU42" i="20"/>
  <c r="GV42" i="20" s="1"/>
  <c r="GO42" i="20"/>
  <c r="GP42" i="20" s="1"/>
  <c r="GH42" i="20"/>
  <c r="GI42" i="20" s="1"/>
  <c r="FW42" i="20"/>
  <c r="FX42" i="20" s="1"/>
  <c r="FQ42" i="20"/>
  <c r="FR42" i="20" s="1"/>
  <c r="FK42" i="20"/>
  <c r="FL42" i="20" s="1"/>
  <c r="FD42" i="20"/>
  <c r="FE42" i="20" s="1"/>
  <c r="ES42" i="20"/>
  <c r="ET42" i="20" s="1"/>
  <c r="EM42" i="20"/>
  <c r="EN42" i="20" s="1"/>
  <c r="EG42" i="20"/>
  <c r="EH42" i="20" s="1"/>
  <c r="DZ42" i="20"/>
  <c r="EA42" i="20" s="1"/>
  <c r="DO42" i="20"/>
  <c r="DP42" i="20" s="1"/>
  <c r="DI42" i="20"/>
  <c r="DJ42" i="20" s="1"/>
  <c r="DC42" i="20"/>
  <c r="DD42" i="20" s="1"/>
  <c r="CV42" i="20"/>
  <c r="CW42" i="20" s="1"/>
  <c r="CK42" i="20"/>
  <c r="CL42" i="20" s="1"/>
  <c r="CE42" i="20"/>
  <c r="CF42" i="20" s="1"/>
  <c r="BY42" i="20"/>
  <c r="BZ42" i="20" s="1"/>
  <c r="BR42" i="20"/>
  <c r="BS42" i="20" s="1"/>
  <c r="BG42" i="20"/>
  <c r="BH42" i="20" s="1"/>
  <c r="BA42" i="20"/>
  <c r="BB42" i="20" s="1"/>
  <c r="AU42" i="20"/>
  <c r="AV42" i="20" s="1"/>
  <c r="AN42" i="20"/>
  <c r="AO42" i="20" s="1"/>
  <c r="AC42" i="20"/>
  <c r="AD42" i="20" s="1"/>
  <c r="W42" i="20"/>
  <c r="X42" i="20" s="1"/>
  <c r="Q42" i="20"/>
  <c r="R42" i="20" s="1"/>
  <c r="J42" i="20"/>
  <c r="K42" i="20" s="1"/>
  <c r="NY41" i="20"/>
  <c r="NZ41" i="20" s="1"/>
  <c r="NS41" i="20"/>
  <c r="NT41" i="20" s="1"/>
  <c r="NM41" i="20"/>
  <c r="NN41" i="20" s="1"/>
  <c r="NF41" i="20"/>
  <c r="NG41" i="20" s="1"/>
  <c r="MU41" i="20"/>
  <c r="MV41" i="20" s="1"/>
  <c r="MO41" i="20"/>
  <c r="MP41" i="20" s="1"/>
  <c r="MI41" i="20"/>
  <c r="MJ41" i="20" s="1"/>
  <c r="MB41" i="20"/>
  <c r="MC41" i="20" s="1"/>
  <c r="LQ41" i="20"/>
  <c r="LR41" i="20" s="1"/>
  <c r="LK41" i="20"/>
  <c r="LL41" i="20" s="1"/>
  <c r="LE41" i="20"/>
  <c r="LF41" i="20" s="1"/>
  <c r="KX41" i="20"/>
  <c r="KY41" i="20" s="1"/>
  <c r="KM41" i="20"/>
  <c r="KN41" i="20" s="1"/>
  <c r="KG41" i="20"/>
  <c r="KH41" i="20" s="1"/>
  <c r="KA41" i="20"/>
  <c r="KB41" i="20" s="1"/>
  <c r="JT41" i="20"/>
  <c r="JU41" i="20" s="1"/>
  <c r="JI41" i="20"/>
  <c r="JJ41" i="20" s="1"/>
  <c r="JC41" i="20"/>
  <c r="JD41" i="20" s="1"/>
  <c r="IW41" i="20"/>
  <c r="IX41" i="20" s="1"/>
  <c r="IP41" i="20"/>
  <c r="IQ41" i="20" s="1"/>
  <c r="IE41" i="20"/>
  <c r="IF41" i="20" s="1"/>
  <c r="HY41" i="20"/>
  <c r="HZ41" i="20" s="1"/>
  <c r="HS41" i="20"/>
  <c r="HT41" i="20" s="1"/>
  <c r="HL41" i="20"/>
  <c r="HM41" i="20" s="1"/>
  <c r="HA41" i="20"/>
  <c r="HB41" i="20" s="1"/>
  <c r="GU41" i="20"/>
  <c r="GV41" i="20" s="1"/>
  <c r="GO41" i="20"/>
  <c r="GP41" i="20" s="1"/>
  <c r="GH41" i="20"/>
  <c r="GI41" i="20" s="1"/>
  <c r="FW41" i="20"/>
  <c r="FX41" i="20" s="1"/>
  <c r="FQ41" i="20"/>
  <c r="FR41" i="20" s="1"/>
  <c r="FK41" i="20"/>
  <c r="FL41" i="20" s="1"/>
  <c r="FD41" i="20"/>
  <c r="FE41" i="20" s="1"/>
  <c r="ES41" i="20"/>
  <c r="ET41" i="20" s="1"/>
  <c r="EM41" i="20"/>
  <c r="EN41" i="20" s="1"/>
  <c r="EG41" i="20"/>
  <c r="EH41" i="20" s="1"/>
  <c r="DZ41" i="20"/>
  <c r="EA41" i="20" s="1"/>
  <c r="DO41" i="20"/>
  <c r="DP41" i="20" s="1"/>
  <c r="DI41" i="20"/>
  <c r="DJ41" i="20" s="1"/>
  <c r="DC41" i="20"/>
  <c r="DD41" i="20" s="1"/>
  <c r="CV41" i="20"/>
  <c r="CW41" i="20" s="1"/>
  <c r="CK41" i="20"/>
  <c r="CL41" i="20" s="1"/>
  <c r="CE41" i="20"/>
  <c r="CF41" i="20" s="1"/>
  <c r="BZ41" i="20"/>
  <c r="BY41" i="20"/>
  <c r="BR41" i="20"/>
  <c r="BS41" i="20" s="1"/>
  <c r="BG41" i="20"/>
  <c r="BH41" i="20" s="1"/>
  <c r="BA41" i="20"/>
  <c r="BB41" i="20" s="1"/>
  <c r="AU41" i="20"/>
  <c r="AV41" i="20" s="1"/>
  <c r="AN41" i="20"/>
  <c r="AO41" i="20" s="1"/>
  <c r="AC41" i="20"/>
  <c r="AD41" i="20" s="1"/>
  <c r="W41" i="20"/>
  <c r="X41" i="20" s="1"/>
  <c r="Q41" i="20"/>
  <c r="R41" i="20" s="1"/>
  <c r="J41" i="20"/>
  <c r="K41" i="20" s="1"/>
  <c r="NY40" i="20"/>
  <c r="NZ40" i="20" s="1"/>
  <c r="NS40" i="20"/>
  <c r="NT40" i="20" s="1"/>
  <c r="NM40" i="20"/>
  <c r="NN40" i="20" s="1"/>
  <c r="NF40" i="20"/>
  <c r="NG40" i="20" s="1"/>
  <c r="MU40" i="20"/>
  <c r="MV40" i="20" s="1"/>
  <c r="MO40" i="20"/>
  <c r="MP40" i="20" s="1"/>
  <c r="MI40" i="20"/>
  <c r="MJ40" i="20" s="1"/>
  <c r="MB40" i="20"/>
  <c r="MC40" i="20" s="1"/>
  <c r="LQ40" i="20"/>
  <c r="LR40" i="20" s="1"/>
  <c r="LK40" i="20"/>
  <c r="LL40" i="20" s="1"/>
  <c r="LF40" i="20"/>
  <c r="LE40" i="20"/>
  <c r="KX40" i="20"/>
  <c r="KY40" i="20" s="1"/>
  <c r="KM40" i="20"/>
  <c r="KN40" i="20" s="1"/>
  <c r="KG40" i="20"/>
  <c r="KH40" i="20" s="1"/>
  <c r="KA40" i="20"/>
  <c r="KB40" i="20" s="1"/>
  <c r="JT40" i="20"/>
  <c r="JU40" i="20" s="1"/>
  <c r="JI40" i="20"/>
  <c r="JJ40" i="20" s="1"/>
  <c r="JC40" i="20"/>
  <c r="JD40" i="20" s="1"/>
  <c r="IW40" i="20"/>
  <c r="IX40" i="20" s="1"/>
  <c r="IP40" i="20"/>
  <c r="IQ40" i="20" s="1"/>
  <c r="IE40" i="20"/>
  <c r="IF40" i="20" s="1"/>
  <c r="HY40" i="20"/>
  <c r="HZ40" i="20" s="1"/>
  <c r="HS40" i="20"/>
  <c r="HT40" i="20" s="1"/>
  <c r="HL40" i="20"/>
  <c r="HM40" i="20" s="1"/>
  <c r="HA40" i="20"/>
  <c r="HB40" i="20" s="1"/>
  <c r="GU40" i="20"/>
  <c r="GV40" i="20" s="1"/>
  <c r="GP40" i="20"/>
  <c r="GO40" i="20"/>
  <c r="GH40" i="20"/>
  <c r="GI40" i="20" s="1"/>
  <c r="FW40" i="20"/>
  <c r="FX40" i="20" s="1"/>
  <c r="FQ40" i="20"/>
  <c r="FR40" i="20" s="1"/>
  <c r="FK40" i="20"/>
  <c r="FL40" i="20" s="1"/>
  <c r="FD40" i="20"/>
  <c r="FE40" i="20" s="1"/>
  <c r="ES40" i="20"/>
  <c r="ET40" i="20" s="1"/>
  <c r="EM40" i="20"/>
  <c r="EN40" i="20" s="1"/>
  <c r="EG40" i="20"/>
  <c r="EH40" i="20" s="1"/>
  <c r="DZ40" i="20"/>
  <c r="EA40" i="20" s="1"/>
  <c r="DO40" i="20"/>
  <c r="DP40" i="20" s="1"/>
  <c r="DI40" i="20"/>
  <c r="DJ40" i="20" s="1"/>
  <c r="DC40" i="20"/>
  <c r="DD40" i="20" s="1"/>
  <c r="CV40" i="20"/>
  <c r="CW40" i="20" s="1"/>
  <c r="CK40" i="20"/>
  <c r="CL40" i="20" s="1"/>
  <c r="CE40" i="20"/>
  <c r="CF40" i="20" s="1"/>
  <c r="BY40" i="20"/>
  <c r="BZ40" i="20" s="1"/>
  <c r="BR40" i="20"/>
  <c r="BS40" i="20" s="1"/>
  <c r="BG40" i="20"/>
  <c r="BH40" i="20" s="1"/>
  <c r="BA40" i="20"/>
  <c r="BB40" i="20" s="1"/>
  <c r="AU40" i="20"/>
  <c r="AV40" i="20" s="1"/>
  <c r="AN40" i="20"/>
  <c r="AO40" i="20" s="1"/>
  <c r="AC40" i="20"/>
  <c r="AD40" i="20" s="1"/>
  <c r="W40" i="20"/>
  <c r="X40" i="20" s="1"/>
  <c r="Q40" i="20"/>
  <c r="R40" i="20" s="1"/>
  <c r="J40" i="20"/>
  <c r="K40" i="20" s="1"/>
  <c r="NY39" i="20"/>
  <c r="NZ39" i="20" s="1"/>
  <c r="NS39" i="20"/>
  <c r="NT39" i="20" s="1"/>
  <c r="NN39" i="20"/>
  <c r="NM39" i="20"/>
  <c r="NF39" i="20"/>
  <c r="NG39" i="20" s="1"/>
  <c r="MU39" i="20"/>
  <c r="MV39" i="20" s="1"/>
  <c r="MO39" i="20"/>
  <c r="MP39" i="20" s="1"/>
  <c r="MI39" i="20"/>
  <c r="MJ39" i="20" s="1"/>
  <c r="MB39" i="20"/>
  <c r="MC39" i="20" s="1"/>
  <c r="LQ39" i="20"/>
  <c r="LR39" i="20" s="1"/>
  <c r="LK39" i="20"/>
  <c r="LL39" i="20" s="1"/>
  <c r="LE39" i="20"/>
  <c r="LF39" i="20" s="1"/>
  <c r="KX39" i="20"/>
  <c r="KY39" i="20" s="1"/>
  <c r="KM39" i="20"/>
  <c r="KN39" i="20" s="1"/>
  <c r="KG39" i="20"/>
  <c r="KH39" i="20" s="1"/>
  <c r="KA39" i="20"/>
  <c r="KB39" i="20" s="1"/>
  <c r="JT39" i="20"/>
  <c r="JU39" i="20" s="1"/>
  <c r="JI39" i="20"/>
  <c r="JJ39" i="20" s="1"/>
  <c r="JC39" i="20"/>
  <c r="JD39" i="20" s="1"/>
  <c r="IW39" i="20"/>
  <c r="IX39" i="20" s="1"/>
  <c r="IP39" i="20"/>
  <c r="IQ39" i="20" s="1"/>
  <c r="IE39" i="20"/>
  <c r="IF39" i="20" s="1"/>
  <c r="HY39" i="20"/>
  <c r="HZ39" i="20" s="1"/>
  <c r="HT39" i="20"/>
  <c r="HS39" i="20"/>
  <c r="HL39" i="20"/>
  <c r="HM39" i="20" s="1"/>
  <c r="HA39" i="20"/>
  <c r="HB39" i="20" s="1"/>
  <c r="GU39" i="20"/>
  <c r="GV39" i="20" s="1"/>
  <c r="GO39" i="20"/>
  <c r="GP39" i="20" s="1"/>
  <c r="GH39" i="20"/>
  <c r="GI39" i="20" s="1"/>
  <c r="FW39" i="20"/>
  <c r="FX39" i="20" s="1"/>
  <c r="FQ39" i="20"/>
  <c r="FR39" i="20" s="1"/>
  <c r="FK39" i="20"/>
  <c r="FL39" i="20" s="1"/>
  <c r="FD39" i="20"/>
  <c r="FE39" i="20" s="1"/>
  <c r="ES39" i="20"/>
  <c r="ET39" i="20" s="1"/>
  <c r="EM39" i="20"/>
  <c r="EN39" i="20" s="1"/>
  <c r="EG39" i="20"/>
  <c r="EH39" i="20" s="1"/>
  <c r="DZ39" i="20"/>
  <c r="EA39" i="20" s="1"/>
  <c r="DO39" i="20"/>
  <c r="DP39" i="20" s="1"/>
  <c r="DI39" i="20"/>
  <c r="DJ39" i="20" s="1"/>
  <c r="DD39" i="20"/>
  <c r="DC39" i="20"/>
  <c r="CV39" i="20"/>
  <c r="CW39" i="20" s="1"/>
  <c r="CK39" i="20"/>
  <c r="CL39" i="20" s="1"/>
  <c r="CE39" i="20"/>
  <c r="CF39" i="20" s="1"/>
  <c r="BY39" i="20"/>
  <c r="BZ39" i="20" s="1"/>
  <c r="BR39" i="20"/>
  <c r="BS39" i="20" s="1"/>
  <c r="BG39" i="20"/>
  <c r="BH39" i="20" s="1"/>
  <c r="BA39" i="20"/>
  <c r="BB39" i="20" s="1"/>
  <c r="AU39" i="20"/>
  <c r="AV39" i="20" s="1"/>
  <c r="AN39" i="20"/>
  <c r="AO39" i="20" s="1"/>
  <c r="AC39" i="20"/>
  <c r="AD39" i="20" s="1"/>
  <c r="W39" i="20"/>
  <c r="X39" i="20" s="1"/>
  <c r="Q39" i="20"/>
  <c r="R39" i="20" s="1"/>
  <c r="J39" i="20"/>
  <c r="K39" i="20" s="1"/>
  <c r="NY38" i="20"/>
  <c r="NZ38" i="20" s="1"/>
  <c r="NS38" i="20"/>
  <c r="NT38" i="20" s="1"/>
  <c r="NM38" i="20"/>
  <c r="NN38" i="20" s="1"/>
  <c r="NF38" i="20"/>
  <c r="NG38" i="20" s="1"/>
  <c r="MU38" i="20"/>
  <c r="MV38" i="20" s="1"/>
  <c r="MO38" i="20"/>
  <c r="MP38" i="20" s="1"/>
  <c r="MI38" i="20"/>
  <c r="MJ38" i="20" s="1"/>
  <c r="MB38" i="20"/>
  <c r="MC38" i="20" s="1"/>
  <c r="LQ38" i="20"/>
  <c r="LR38" i="20" s="1"/>
  <c r="LK38" i="20"/>
  <c r="LL38" i="20" s="1"/>
  <c r="LE38" i="20"/>
  <c r="LF38" i="20" s="1"/>
  <c r="KX38" i="20"/>
  <c r="KY38" i="20" s="1"/>
  <c r="KM38" i="20"/>
  <c r="KN38" i="20" s="1"/>
  <c r="KG38" i="20"/>
  <c r="KH38" i="20" s="1"/>
  <c r="KB38" i="20"/>
  <c r="KA38" i="20"/>
  <c r="JT38" i="20"/>
  <c r="JU38" i="20" s="1"/>
  <c r="JI38" i="20"/>
  <c r="JJ38" i="20" s="1"/>
  <c r="JC38" i="20"/>
  <c r="JD38" i="20" s="1"/>
  <c r="IW38" i="20"/>
  <c r="IX38" i="20" s="1"/>
  <c r="IP38" i="20"/>
  <c r="IQ38" i="20" s="1"/>
  <c r="IE38" i="20"/>
  <c r="IF38" i="20" s="1"/>
  <c r="HY38" i="20"/>
  <c r="HZ38" i="20" s="1"/>
  <c r="HS38" i="20"/>
  <c r="HT38" i="20" s="1"/>
  <c r="HL38" i="20"/>
  <c r="HM38" i="20" s="1"/>
  <c r="HA38" i="20"/>
  <c r="HB38" i="20" s="1"/>
  <c r="GU38" i="20"/>
  <c r="GV38" i="20" s="1"/>
  <c r="GO38" i="20"/>
  <c r="GP38" i="20" s="1"/>
  <c r="GH38" i="20"/>
  <c r="GI38" i="20" s="1"/>
  <c r="FW38" i="20"/>
  <c r="FX38" i="20" s="1"/>
  <c r="FQ38" i="20"/>
  <c r="FR38" i="20" s="1"/>
  <c r="FK38" i="20"/>
  <c r="FL38" i="20" s="1"/>
  <c r="FD38" i="20"/>
  <c r="FE38" i="20" s="1"/>
  <c r="ES38" i="20"/>
  <c r="ET38" i="20" s="1"/>
  <c r="EM38" i="20"/>
  <c r="EN38" i="20" s="1"/>
  <c r="EG38" i="20"/>
  <c r="EH38" i="20" s="1"/>
  <c r="DZ38" i="20"/>
  <c r="EA38" i="20" s="1"/>
  <c r="DO38" i="20"/>
  <c r="DP38" i="20" s="1"/>
  <c r="DI38" i="20"/>
  <c r="DJ38" i="20" s="1"/>
  <c r="DC38" i="20"/>
  <c r="DD38" i="20" s="1"/>
  <c r="CV38" i="20"/>
  <c r="CW38" i="20" s="1"/>
  <c r="CK38" i="20"/>
  <c r="CL38" i="20" s="1"/>
  <c r="CE38" i="20"/>
  <c r="CF38" i="20" s="1"/>
  <c r="BY38" i="20"/>
  <c r="BZ38" i="20" s="1"/>
  <c r="BR38" i="20"/>
  <c r="BS38" i="20" s="1"/>
  <c r="BG38" i="20"/>
  <c r="BH38" i="20" s="1"/>
  <c r="BA38" i="20"/>
  <c r="BB38" i="20" s="1"/>
  <c r="AU38" i="20"/>
  <c r="AV38" i="20" s="1"/>
  <c r="AN38" i="20"/>
  <c r="AO38" i="20" s="1"/>
  <c r="AC38" i="20"/>
  <c r="AD38" i="20" s="1"/>
  <c r="W38" i="20"/>
  <c r="X38" i="20" s="1"/>
  <c r="R38" i="20"/>
  <c r="Q38" i="20"/>
  <c r="J38" i="20"/>
  <c r="K38" i="20" s="1"/>
  <c r="NY37" i="20"/>
  <c r="NZ37" i="20" s="1"/>
  <c r="NS37" i="20"/>
  <c r="NT37" i="20" s="1"/>
  <c r="NM37" i="20"/>
  <c r="NN37" i="20" s="1"/>
  <c r="NF37" i="20"/>
  <c r="NG37" i="20" s="1"/>
  <c r="MU37" i="20"/>
  <c r="MV37" i="20" s="1"/>
  <c r="MO37" i="20"/>
  <c r="MP37" i="20" s="1"/>
  <c r="MI37" i="20"/>
  <c r="MJ37" i="20" s="1"/>
  <c r="MB37" i="20"/>
  <c r="MC37" i="20" s="1"/>
  <c r="LQ37" i="20"/>
  <c r="LR37" i="20" s="1"/>
  <c r="LK37" i="20"/>
  <c r="LL37" i="20" s="1"/>
  <c r="LE37" i="20"/>
  <c r="LF37" i="20" s="1"/>
  <c r="KX37" i="20"/>
  <c r="KY37" i="20" s="1"/>
  <c r="KM37" i="20"/>
  <c r="KN37" i="20" s="1"/>
  <c r="KG37" i="20"/>
  <c r="KH37" i="20" s="1"/>
  <c r="KB37" i="20"/>
  <c r="KA37" i="20"/>
  <c r="JT37" i="20"/>
  <c r="JU37" i="20" s="1"/>
  <c r="JI37" i="20"/>
  <c r="JJ37" i="20" s="1"/>
  <c r="JC37" i="20"/>
  <c r="JD37" i="20" s="1"/>
  <c r="IW37" i="20"/>
  <c r="IX37" i="20" s="1"/>
  <c r="IP37" i="20"/>
  <c r="IQ37" i="20" s="1"/>
  <c r="IE37" i="20"/>
  <c r="IF37" i="20" s="1"/>
  <c r="HY37" i="20"/>
  <c r="HZ37" i="20" s="1"/>
  <c r="HS37" i="20"/>
  <c r="HT37" i="20" s="1"/>
  <c r="HL37" i="20"/>
  <c r="HM37" i="20" s="1"/>
  <c r="HA37" i="20"/>
  <c r="HB37" i="20" s="1"/>
  <c r="GU37" i="20"/>
  <c r="GV37" i="20" s="1"/>
  <c r="GO37" i="20"/>
  <c r="GP37" i="20" s="1"/>
  <c r="GH37" i="20"/>
  <c r="GI37" i="20" s="1"/>
  <c r="FW37" i="20"/>
  <c r="FX37" i="20" s="1"/>
  <c r="FQ37" i="20"/>
  <c r="FR37" i="20" s="1"/>
  <c r="FK37" i="20"/>
  <c r="FL37" i="20" s="1"/>
  <c r="FD37" i="20"/>
  <c r="FE37" i="20" s="1"/>
  <c r="ES37" i="20"/>
  <c r="ET37" i="20" s="1"/>
  <c r="EM37" i="20"/>
  <c r="EN37" i="20" s="1"/>
  <c r="EG37" i="20"/>
  <c r="EH37" i="20" s="1"/>
  <c r="DZ37" i="20"/>
  <c r="EA37" i="20" s="1"/>
  <c r="DO37" i="20"/>
  <c r="DP37" i="20" s="1"/>
  <c r="DI37" i="20"/>
  <c r="DJ37" i="20" s="1"/>
  <c r="DC37" i="20"/>
  <c r="DD37" i="20" s="1"/>
  <c r="CV37" i="20"/>
  <c r="CW37" i="20" s="1"/>
  <c r="CK37" i="20"/>
  <c r="CL37" i="20" s="1"/>
  <c r="CE37" i="20"/>
  <c r="CF37" i="20" s="1"/>
  <c r="BZ37" i="20"/>
  <c r="BY37" i="20"/>
  <c r="BR37" i="20"/>
  <c r="BS37" i="20" s="1"/>
  <c r="BG37" i="20"/>
  <c r="BH37" i="20" s="1"/>
  <c r="BA37" i="20"/>
  <c r="BB37" i="20" s="1"/>
  <c r="AU37" i="20"/>
  <c r="AV37" i="20" s="1"/>
  <c r="AN37" i="20"/>
  <c r="AO37" i="20" s="1"/>
  <c r="AC37" i="20"/>
  <c r="AD37" i="20" s="1"/>
  <c r="W37" i="20"/>
  <c r="X37" i="20" s="1"/>
  <c r="Q37" i="20"/>
  <c r="R37" i="20" s="1"/>
  <c r="J37" i="20"/>
  <c r="K37" i="20" s="1"/>
  <c r="NY36" i="20"/>
  <c r="NZ36" i="20" s="1"/>
  <c r="NS36" i="20"/>
  <c r="NT36" i="20" s="1"/>
  <c r="NM36" i="20"/>
  <c r="NN36" i="20" s="1"/>
  <c r="NF36" i="20"/>
  <c r="NG36" i="20" s="1"/>
  <c r="MU36" i="20"/>
  <c r="MV36" i="20" s="1"/>
  <c r="MO36" i="20"/>
  <c r="MP36" i="20" s="1"/>
  <c r="MI36" i="20"/>
  <c r="MJ36" i="20" s="1"/>
  <c r="MB36" i="20"/>
  <c r="MC36" i="20" s="1"/>
  <c r="LQ36" i="20"/>
  <c r="LR36" i="20" s="1"/>
  <c r="LK36" i="20"/>
  <c r="LL36" i="20" s="1"/>
  <c r="LF36" i="20"/>
  <c r="LE36" i="20"/>
  <c r="KX36" i="20"/>
  <c r="KY36" i="20" s="1"/>
  <c r="KM36" i="20"/>
  <c r="KN36" i="20" s="1"/>
  <c r="KG36" i="20"/>
  <c r="KH36" i="20" s="1"/>
  <c r="KA36" i="20"/>
  <c r="KB36" i="20" s="1"/>
  <c r="JT36" i="20"/>
  <c r="JU36" i="20" s="1"/>
  <c r="JI36" i="20"/>
  <c r="JJ36" i="20" s="1"/>
  <c r="JC36" i="20"/>
  <c r="JD36" i="20" s="1"/>
  <c r="IW36" i="20"/>
  <c r="IX36" i="20" s="1"/>
  <c r="IP36" i="20"/>
  <c r="IQ36" i="20" s="1"/>
  <c r="IE36" i="20"/>
  <c r="IF36" i="20" s="1"/>
  <c r="HY36" i="20"/>
  <c r="HZ36" i="20" s="1"/>
  <c r="HS36" i="20"/>
  <c r="HT36" i="20" s="1"/>
  <c r="HL36" i="20"/>
  <c r="HM36" i="20" s="1"/>
  <c r="HA36" i="20"/>
  <c r="HB36" i="20" s="1"/>
  <c r="GU36" i="20"/>
  <c r="GV36" i="20" s="1"/>
  <c r="GP36" i="20"/>
  <c r="GO36" i="20"/>
  <c r="GH36" i="20"/>
  <c r="GI36" i="20" s="1"/>
  <c r="FW36" i="20"/>
  <c r="FX36" i="20" s="1"/>
  <c r="FQ36" i="20"/>
  <c r="FR36" i="20" s="1"/>
  <c r="FK36" i="20"/>
  <c r="FL36" i="20" s="1"/>
  <c r="FD36" i="20"/>
  <c r="FE36" i="20" s="1"/>
  <c r="ES36" i="20"/>
  <c r="ET36" i="20" s="1"/>
  <c r="EM36" i="20"/>
  <c r="EN36" i="20" s="1"/>
  <c r="EG36" i="20"/>
  <c r="EH36" i="20" s="1"/>
  <c r="DZ36" i="20"/>
  <c r="EA36" i="20" s="1"/>
  <c r="DO36" i="20"/>
  <c r="DP36" i="20" s="1"/>
  <c r="DI36" i="20"/>
  <c r="DJ36" i="20" s="1"/>
  <c r="DC36" i="20"/>
  <c r="DD36" i="20" s="1"/>
  <c r="CV36" i="20"/>
  <c r="CW36" i="20" s="1"/>
  <c r="CK36" i="20"/>
  <c r="CL36" i="20" s="1"/>
  <c r="CE36" i="20"/>
  <c r="CF36" i="20" s="1"/>
  <c r="BY36" i="20"/>
  <c r="BZ36" i="20" s="1"/>
  <c r="BR36" i="20"/>
  <c r="BS36" i="20" s="1"/>
  <c r="BG36" i="20"/>
  <c r="BH36" i="20" s="1"/>
  <c r="BA36" i="20"/>
  <c r="BB36" i="20" s="1"/>
  <c r="AU36" i="20"/>
  <c r="AV36" i="20" s="1"/>
  <c r="AN36" i="20"/>
  <c r="AO36" i="20" s="1"/>
  <c r="AC36" i="20"/>
  <c r="AD36" i="20" s="1"/>
  <c r="W36" i="20"/>
  <c r="X36" i="20" s="1"/>
  <c r="Q36" i="20"/>
  <c r="R36" i="20" s="1"/>
  <c r="J36" i="20"/>
  <c r="K36" i="20" s="1"/>
  <c r="NY35" i="20"/>
  <c r="NZ35" i="20" s="1"/>
  <c r="NS35" i="20"/>
  <c r="NT35" i="20" s="1"/>
  <c r="NN35" i="20"/>
  <c r="NM35" i="20"/>
  <c r="NF35" i="20"/>
  <c r="NG35" i="20" s="1"/>
  <c r="MU35" i="20"/>
  <c r="MV35" i="20" s="1"/>
  <c r="MO35" i="20"/>
  <c r="MP35" i="20" s="1"/>
  <c r="MI35" i="20"/>
  <c r="MJ35" i="20" s="1"/>
  <c r="MB35" i="20"/>
  <c r="MC35" i="20" s="1"/>
  <c r="LQ35" i="20"/>
  <c r="LR35" i="20" s="1"/>
  <c r="LK35" i="20"/>
  <c r="LL35" i="20" s="1"/>
  <c r="LF35" i="20"/>
  <c r="LE35" i="20"/>
  <c r="KX35" i="20"/>
  <c r="KY35" i="20" s="1"/>
  <c r="KM35" i="20"/>
  <c r="KN35" i="20" s="1"/>
  <c r="KG35" i="20"/>
  <c r="KH35" i="20" s="1"/>
  <c r="KA35" i="20"/>
  <c r="KB35" i="20" s="1"/>
  <c r="JT35" i="20"/>
  <c r="JU35" i="20" s="1"/>
  <c r="JI35" i="20"/>
  <c r="JJ35" i="20" s="1"/>
  <c r="JC35" i="20"/>
  <c r="JD35" i="20" s="1"/>
  <c r="IW35" i="20"/>
  <c r="IX35" i="20" s="1"/>
  <c r="IP35" i="20"/>
  <c r="IQ35" i="20" s="1"/>
  <c r="IE35" i="20"/>
  <c r="IF35" i="20" s="1"/>
  <c r="HY35" i="20"/>
  <c r="HZ35" i="20" s="1"/>
  <c r="HT35" i="20"/>
  <c r="HS35" i="20"/>
  <c r="HL35" i="20"/>
  <c r="HM35" i="20" s="1"/>
  <c r="HA35" i="20"/>
  <c r="HB35" i="20" s="1"/>
  <c r="GU35" i="20"/>
  <c r="GV35" i="20" s="1"/>
  <c r="GO35" i="20"/>
  <c r="GP35" i="20" s="1"/>
  <c r="GH35" i="20"/>
  <c r="GI35" i="20" s="1"/>
  <c r="FW35" i="20"/>
  <c r="FX35" i="20" s="1"/>
  <c r="FQ35" i="20"/>
  <c r="FR35" i="20" s="1"/>
  <c r="FK35" i="20"/>
  <c r="FL35" i="20" s="1"/>
  <c r="FD35" i="20"/>
  <c r="FE35" i="20" s="1"/>
  <c r="ES35" i="20"/>
  <c r="ET35" i="20" s="1"/>
  <c r="EM35" i="20"/>
  <c r="EN35" i="20" s="1"/>
  <c r="EG35" i="20"/>
  <c r="EH35" i="20" s="1"/>
  <c r="DZ35" i="20"/>
  <c r="EA35" i="20" s="1"/>
  <c r="DO35" i="20"/>
  <c r="DP35" i="20" s="1"/>
  <c r="DI35" i="20"/>
  <c r="DJ35" i="20" s="1"/>
  <c r="DD35" i="20"/>
  <c r="DC35" i="20"/>
  <c r="CV35" i="20"/>
  <c r="CW35" i="20" s="1"/>
  <c r="CK35" i="20"/>
  <c r="CL35" i="20" s="1"/>
  <c r="CE35" i="20"/>
  <c r="CF35" i="20" s="1"/>
  <c r="BY35" i="20"/>
  <c r="BZ35" i="20" s="1"/>
  <c r="BR35" i="20"/>
  <c r="BS35" i="20" s="1"/>
  <c r="BG35" i="20"/>
  <c r="BH35" i="20" s="1"/>
  <c r="BA35" i="20"/>
  <c r="BB35" i="20" s="1"/>
  <c r="AU35" i="20"/>
  <c r="AV35" i="20" s="1"/>
  <c r="AN35" i="20"/>
  <c r="AO35" i="20" s="1"/>
  <c r="AC35" i="20"/>
  <c r="AD35" i="20" s="1"/>
  <c r="W35" i="20"/>
  <c r="X35" i="20" s="1"/>
  <c r="Q35" i="20"/>
  <c r="R35" i="20" s="1"/>
  <c r="J35" i="20"/>
  <c r="K35" i="20" s="1"/>
  <c r="NY34" i="20"/>
  <c r="NZ34" i="20" s="1"/>
  <c r="NS34" i="20"/>
  <c r="NT34" i="20" s="1"/>
  <c r="NN34" i="20"/>
  <c r="NM34" i="20"/>
  <c r="NF34" i="20"/>
  <c r="NG34" i="20" s="1"/>
  <c r="MU34" i="20"/>
  <c r="MV34" i="20" s="1"/>
  <c r="MO34" i="20"/>
  <c r="MP34" i="20" s="1"/>
  <c r="MI34" i="20"/>
  <c r="MJ34" i="20" s="1"/>
  <c r="MB34" i="20"/>
  <c r="MC34" i="20" s="1"/>
  <c r="LQ34" i="20"/>
  <c r="LR34" i="20" s="1"/>
  <c r="LK34" i="20"/>
  <c r="LL34" i="20" s="1"/>
  <c r="LE34" i="20"/>
  <c r="LF34" i="20" s="1"/>
  <c r="KX34" i="20"/>
  <c r="KY34" i="20" s="1"/>
  <c r="KM34" i="20"/>
  <c r="KN34" i="20" s="1"/>
  <c r="KG34" i="20"/>
  <c r="KH34" i="20" s="1"/>
  <c r="KB34" i="20"/>
  <c r="KA34" i="20"/>
  <c r="JT34" i="20"/>
  <c r="JU34" i="20" s="1"/>
  <c r="JI34" i="20"/>
  <c r="JJ34" i="20" s="1"/>
  <c r="JC34" i="20"/>
  <c r="JD34" i="20" s="1"/>
  <c r="IW34" i="20"/>
  <c r="IX34" i="20" s="1"/>
  <c r="IP34" i="20"/>
  <c r="IQ34" i="20" s="1"/>
  <c r="IE34" i="20"/>
  <c r="IF34" i="20" s="1"/>
  <c r="HY34" i="20"/>
  <c r="HZ34" i="20" s="1"/>
  <c r="HT34" i="20"/>
  <c r="HS34" i="20"/>
  <c r="HL34" i="20"/>
  <c r="HM34" i="20" s="1"/>
  <c r="HA34" i="20"/>
  <c r="HB34" i="20" s="1"/>
  <c r="GU34" i="20"/>
  <c r="GV34" i="20" s="1"/>
  <c r="GO34" i="20"/>
  <c r="GP34" i="20" s="1"/>
  <c r="GH34" i="20"/>
  <c r="GI34" i="20" s="1"/>
  <c r="FW34" i="20"/>
  <c r="FX34" i="20" s="1"/>
  <c r="FQ34" i="20"/>
  <c r="FR34" i="20" s="1"/>
  <c r="FK34" i="20"/>
  <c r="FL34" i="20" s="1"/>
  <c r="FD34" i="20"/>
  <c r="FE34" i="20" s="1"/>
  <c r="ES34" i="20"/>
  <c r="ET34" i="20" s="1"/>
  <c r="EM34" i="20"/>
  <c r="EN34" i="20" s="1"/>
  <c r="EH34" i="20"/>
  <c r="EG34" i="20"/>
  <c r="DZ34" i="20"/>
  <c r="EA34" i="20" s="1"/>
  <c r="DO34" i="20"/>
  <c r="DP34" i="20" s="1"/>
  <c r="DI34" i="20"/>
  <c r="DJ34" i="20" s="1"/>
  <c r="DC34" i="20"/>
  <c r="DD34" i="20" s="1"/>
  <c r="CV34" i="20"/>
  <c r="CW34" i="20" s="1"/>
  <c r="CK34" i="20"/>
  <c r="CL34" i="20" s="1"/>
  <c r="CE34" i="20"/>
  <c r="CF34" i="20" s="1"/>
  <c r="BY34" i="20"/>
  <c r="BZ34" i="20" s="1"/>
  <c r="BR34" i="20"/>
  <c r="BS34" i="20" s="1"/>
  <c r="BG34" i="20"/>
  <c r="BH34" i="20" s="1"/>
  <c r="BA34" i="20"/>
  <c r="BB34" i="20" s="1"/>
  <c r="AU34" i="20"/>
  <c r="AV34" i="20" s="1"/>
  <c r="AN34" i="20"/>
  <c r="AO34" i="20" s="1"/>
  <c r="AC34" i="20"/>
  <c r="AD34" i="20" s="1"/>
  <c r="W34" i="20"/>
  <c r="X34" i="20" s="1"/>
  <c r="R34" i="20"/>
  <c r="Q34" i="20"/>
  <c r="J34" i="20"/>
  <c r="K34" i="20" s="1"/>
  <c r="NY33" i="20"/>
  <c r="NZ33" i="20" s="1"/>
  <c r="NS33" i="20"/>
  <c r="NT33" i="20" s="1"/>
  <c r="NM33" i="20"/>
  <c r="NN33" i="20" s="1"/>
  <c r="NF33" i="20"/>
  <c r="NG33" i="20" s="1"/>
  <c r="MU33" i="20"/>
  <c r="MV33" i="20" s="1"/>
  <c r="MO33" i="20"/>
  <c r="MP33" i="20" s="1"/>
  <c r="MI33" i="20"/>
  <c r="MJ33" i="20" s="1"/>
  <c r="MB33" i="20"/>
  <c r="MC33" i="20" s="1"/>
  <c r="LQ33" i="20"/>
  <c r="LR33" i="20" s="1"/>
  <c r="LK33" i="20"/>
  <c r="LL33" i="20" s="1"/>
  <c r="LE33" i="20"/>
  <c r="LF33" i="20" s="1"/>
  <c r="KX33" i="20"/>
  <c r="KY33" i="20" s="1"/>
  <c r="KM33" i="20"/>
  <c r="KN33" i="20" s="1"/>
  <c r="KG33" i="20"/>
  <c r="KH33" i="20" s="1"/>
  <c r="KB33" i="20"/>
  <c r="KA33" i="20"/>
  <c r="JT33" i="20"/>
  <c r="JU33" i="20" s="1"/>
  <c r="JI33" i="20"/>
  <c r="JJ33" i="20" s="1"/>
  <c r="JC33" i="20"/>
  <c r="JD33" i="20" s="1"/>
  <c r="IW33" i="20"/>
  <c r="IX33" i="20" s="1"/>
  <c r="IP33" i="20"/>
  <c r="IQ33" i="20" s="1"/>
  <c r="IE33" i="20"/>
  <c r="IF33" i="20" s="1"/>
  <c r="HY33" i="20"/>
  <c r="HZ33" i="20" s="1"/>
  <c r="HS33" i="20"/>
  <c r="HT33" i="20" s="1"/>
  <c r="HL33" i="20"/>
  <c r="HM33" i="20" s="1"/>
  <c r="HA33" i="20"/>
  <c r="HB33" i="20" s="1"/>
  <c r="GU33" i="20"/>
  <c r="GV33" i="20" s="1"/>
  <c r="GP33" i="20"/>
  <c r="GO33" i="20"/>
  <c r="GH33" i="20"/>
  <c r="GI33" i="20" s="1"/>
  <c r="FW33" i="20"/>
  <c r="FX33" i="20" s="1"/>
  <c r="FQ33" i="20"/>
  <c r="FR33" i="20" s="1"/>
  <c r="FK33" i="20"/>
  <c r="FL33" i="20" s="1"/>
  <c r="FD33" i="20"/>
  <c r="FE33" i="20" s="1"/>
  <c r="ES33" i="20"/>
  <c r="ET33" i="20" s="1"/>
  <c r="EM33" i="20"/>
  <c r="EN33" i="20" s="1"/>
  <c r="EG33" i="20"/>
  <c r="EH33" i="20" s="1"/>
  <c r="DZ33" i="20"/>
  <c r="EA33" i="20" s="1"/>
  <c r="DO33" i="20"/>
  <c r="DP33" i="20" s="1"/>
  <c r="DI33" i="20"/>
  <c r="DJ33" i="20" s="1"/>
  <c r="DC33" i="20"/>
  <c r="DD33" i="20" s="1"/>
  <c r="CV33" i="20"/>
  <c r="CW33" i="20" s="1"/>
  <c r="CK33" i="20"/>
  <c r="CL33" i="20" s="1"/>
  <c r="CE33" i="20"/>
  <c r="CF33" i="20" s="1"/>
  <c r="BZ33" i="20"/>
  <c r="BY33" i="20"/>
  <c r="BR33" i="20"/>
  <c r="BS33" i="20" s="1"/>
  <c r="BG33" i="20"/>
  <c r="BH33" i="20" s="1"/>
  <c r="BA33" i="20"/>
  <c r="BB33" i="20" s="1"/>
  <c r="AU33" i="20"/>
  <c r="AV33" i="20" s="1"/>
  <c r="AN33" i="20"/>
  <c r="AO33" i="20" s="1"/>
  <c r="AC33" i="20"/>
  <c r="AD33" i="20" s="1"/>
  <c r="W33" i="20"/>
  <c r="X33" i="20" s="1"/>
  <c r="R33" i="20"/>
  <c r="Q33" i="20"/>
  <c r="J33" i="20"/>
  <c r="K33" i="20" s="1"/>
  <c r="NY32" i="20"/>
  <c r="NZ32" i="20" s="1"/>
  <c r="NS32" i="20"/>
  <c r="NT32" i="20" s="1"/>
  <c r="NM32" i="20"/>
  <c r="NN32" i="20" s="1"/>
  <c r="NF32" i="20"/>
  <c r="NG32" i="20" s="1"/>
  <c r="MU32" i="20"/>
  <c r="MV32" i="20" s="1"/>
  <c r="MO32" i="20"/>
  <c r="MP32" i="20" s="1"/>
  <c r="MI32" i="20"/>
  <c r="MJ32" i="20" s="1"/>
  <c r="MB32" i="20"/>
  <c r="MC32" i="20" s="1"/>
  <c r="LQ32" i="20"/>
  <c r="LR32" i="20" s="1"/>
  <c r="LK32" i="20"/>
  <c r="LL32" i="20" s="1"/>
  <c r="LE32" i="20"/>
  <c r="LF32" i="20" s="1"/>
  <c r="KX32" i="20"/>
  <c r="KY32" i="20" s="1"/>
  <c r="KM32" i="20"/>
  <c r="KN32" i="20" s="1"/>
  <c r="KG32" i="20"/>
  <c r="KH32" i="20" s="1"/>
  <c r="KB32" i="20"/>
  <c r="KA32" i="20"/>
  <c r="JT32" i="20"/>
  <c r="JU32" i="20" s="1"/>
  <c r="JI32" i="20"/>
  <c r="JJ32" i="20" s="1"/>
  <c r="JC32" i="20"/>
  <c r="JD32" i="20" s="1"/>
  <c r="IW32" i="20"/>
  <c r="IX32" i="20" s="1"/>
  <c r="IP32" i="20"/>
  <c r="IQ32" i="20" s="1"/>
  <c r="IE32" i="20"/>
  <c r="IF32" i="20" s="1"/>
  <c r="HY32" i="20"/>
  <c r="HZ32" i="20" s="1"/>
  <c r="HS32" i="20"/>
  <c r="HT32" i="20" s="1"/>
  <c r="HL32" i="20"/>
  <c r="HM32" i="20" s="1"/>
  <c r="HA32" i="20"/>
  <c r="HB32" i="20" s="1"/>
  <c r="GU32" i="20"/>
  <c r="GV32" i="20" s="1"/>
  <c r="GO32" i="20"/>
  <c r="GP32" i="20" s="1"/>
  <c r="GH32" i="20"/>
  <c r="GI32" i="20" s="1"/>
  <c r="FW32" i="20"/>
  <c r="FX32" i="20" s="1"/>
  <c r="FQ32" i="20"/>
  <c r="FR32" i="20" s="1"/>
  <c r="FK32" i="20"/>
  <c r="FL32" i="20" s="1"/>
  <c r="FD32" i="20"/>
  <c r="FE32" i="20" s="1"/>
  <c r="ET32" i="20"/>
  <c r="ES32" i="20"/>
  <c r="EM32" i="20"/>
  <c r="EN32" i="20" s="1"/>
  <c r="EG32" i="20"/>
  <c r="EH32" i="20" s="1"/>
  <c r="DZ32" i="20"/>
  <c r="EA32" i="20" s="1"/>
  <c r="DO32" i="20"/>
  <c r="DP32" i="20" s="1"/>
  <c r="DI32" i="20"/>
  <c r="DJ32" i="20" s="1"/>
  <c r="DC32" i="20"/>
  <c r="DD32" i="20" s="1"/>
  <c r="CV32" i="20"/>
  <c r="CW32" i="20" s="1"/>
  <c r="CL32" i="20"/>
  <c r="CK32" i="20"/>
  <c r="CE32" i="20"/>
  <c r="CF32" i="20" s="1"/>
  <c r="BY32" i="20"/>
  <c r="BZ32" i="20" s="1"/>
  <c r="BR32" i="20"/>
  <c r="BS32" i="20" s="1"/>
  <c r="BG32" i="20"/>
  <c r="BH32" i="20" s="1"/>
  <c r="BA32" i="20"/>
  <c r="BB32" i="20" s="1"/>
  <c r="AU32" i="20"/>
  <c r="AV32" i="20" s="1"/>
  <c r="AN32" i="20"/>
  <c r="AO32" i="20" s="1"/>
  <c r="AD32" i="20"/>
  <c r="AC32" i="20"/>
  <c r="W32" i="20"/>
  <c r="X32" i="20" s="1"/>
  <c r="Q32" i="20"/>
  <c r="R32" i="20" s="1"/>
  <c r="J32" i="20"/>
  <c r="K32" i="20" s="1"/>
  <c r="NY30" i="20"/>
  <c r="NZ30" i="20" s="1"/>
  <c r="NS30" i="20"/>
  <c r="NT30" i="20" s="1"/>
  <c r="NM30" i="20"/>
  <c r="NN30" i="20" s="1"/>
  <c r="NF30" i="20"/>
  <c r="NG30" i="20" s="1"/>
  <c r="MV30" i="20"/>
  <c r="MU30" i="20"/>
  <c r="MO30" i="20"/>
  <c r="MP30" i="20" s="1"/>
  <c r="MI30" i="20"/>
  <c r="MJ30" i="20" s="1"/>
  <c r="MB30" i="20"/>
  <c r="MC30" i="20" s="1"/>
  <c r="LQ30" i="20"/>
  <c r="LR30" i="20" s="1"/>
  <c r="LK30" i="20"/>
  <c r="LL30" i="20" s="1"/>
  <c r="LE30" i="20"/>
  <c r="LF30" i="20" s="1"/>
  <c r="KX30" i="20"/>
  <c r="KY30" i="20" s="1"/>
  <c r="KN30" i="20"/>
  <c r="KM30" i="20"/>
  <c r="KG30" i="20"/>
  <c r="KH30" i="20" s="1"/>
  <c r="KA30" i="20"/>
  <c r="KB30" i="20" s="1"/>
  <c r="JT30" i="20"/>
  <c r="JU30" i="20" s="1"/>
  <c r="JI30" i="20"/>
  <c r="JJ30" i="20" s="1"/>
  <c r="JC30" i="20"/>
  <c r="JD30" i="20" s="1"/>
  <c r="IW30" i="20"/>
  <c r="IX30" i="20" s="1"/>
  <c r="IP30" i="20"/>
  <c r="IQ30" i="20" s="1"/>
  <c r="IF30" i="20"/>
  <c r="IE30" i="20"/>
  <c r="HY30" i="20"/>
  <c r="HZ30" i="20" s="1"/>
  <c r="HS30" i="20"/>
  <c r="HT30" i="20" s="1"/>
  <c r="HL30" i="20"/>
  <c r="HM30" i="20" s="1"/>
  <c r="HA30" i="20"/>
  <c r="HB30" i="20" s="1"/>
  <c r="GU30" i="20"/>
  <c r="GV30" i="20" s="1"/>
  <c r="GO30" i="20"/>
  <c r="GP30" i="20" s="1"/>
  <c r="GH30" i="20"/>
  <c r="GI30" i="20" s="1"/>
  <c r="FX30" i="20"/>
  <c r="FW30" i="20"/>
  <c r="FQ30" i="20"/>
  <c r="FR30" i="20" s="1"/>
  <c r="FK30" i="20"/>
  <c r="FL30" i="20" s="1"/>
  <c r="FD30" i="20"/>
  <c r="FE30" i="20" s="1"/>
  <c r="ES30" i="20"/>
  <c r="ET30" i="20" s="1"/>
  <c r="EM30" i="20"/>
  <c r="EN30" i="20" s="1"/>
  <c r="EG30" i="20"/>
  <c r="EH30" i="20" s="1"/>
  <c r="DZ30" i="20"/>
  <c r="EA30" i="20" s="1"/>
  <c r="DP30" i="20"/>
  <c r="DO30" i="20"/>
  <c r="DI30" i="20"/>
  <c r="DJ30" i="20" s="1"/>
  <c r="DC30" i="20"/>
  <c r="DD30" i="20" s="1"/>
  <c r="CV30" i="20"/>
  <c r="CW30" i="20" s="1"/>
  <c r="CK30" i="20"/>
  <c r="CL30" i="20" s="1"/>
  <c r="CE30" i="20"/>
  <c r="CF30" i="20" s="1"/>
  <c r="BY30" i="20"/>
  <c r="BZ30" i="20" s="1"/>
  <c r="BR30" i="20"/>
  <c r="BS30" i="20" s="1"/>
  <c r="BH30" i="20"/>
  <c r="BG30" i="20"/>
  <c r="BA30" i="20"/>
  <c r="BB30" i="20" s="1"/>
  <c r="AU30" i="20"/>
  <c r="AV30" i="20" s="1"/>
  <c r="AN30" i="20"/>
  <c r="AO30" i="20" s="1"/>
  <c r="AC30" i="20"/>
  <c r="AD30" i="20" s="1"/>
  <c r="W30" i="20"/>
  <c r="X30" i="20" s="1"/>
  <c r="Q30" i="20"/>
  <c r="R30" i="20" s="1"/>
  <c r="J30" i="20"/>
  <c r="K30" i="20" s="1"/>
  <c r="NZ29" i="20"/>
  <c r="NY29" i="20"/>
  <c r="NS29" i="20"/>
  <c r="NT29" i="20" s="1"/>
  <c r="NM29" i="20"/>
  <c r="NN29" i="20" s="1"/>
  <c r="NF29" i="20"/>
  <c r="NG29" i="20" s="1"/>
  <c r="MU29" i="20"/>
  <c r="MV29" i="20" s="1"/>
  <c r="MO29" i="20"/>
  <c r="MP29" i="20" s="1"/>
  <c r="MI29" i="20"/>
  <c r="MJ29" i="20" s="1"/>
  <c r="MB29" i="20"/>
  <c r="MC29" i="20" s="1"/>
  <c r="LR29" i="20"/>
  <c r="LQ29" i="20"/>
  <c r="LK29" i="20"/>
  <c r="LL29" i="20" s="1"/>
  <c r="LE29" i="20"/>
  <c r="LF29" i="20" s="1"/>
  <c r="KX29" i="20"/>
  <c r="KY29" i="20" s="1"/>
  <c r="KM29" i="20"/>
  <c r="KN29" i="20" s="1"/>
  <c r="KG29" i="20"/>
  <c r="KH29" i="20" s="1"/>
  <c r="KA29" i="20"/>
  <c r="KB29" i="20" s="1"/>
  <c r="JT29" i="20"/>
  <c r="JU29" i="20" s="1"/>
  <c r="JJ29" i="20"/>
  <c r="JI29" i="20"/>
  <c r="JC29" i="20"/>
  <c r="JD29" i="20" s="1"/>
  <c r="IW29" i="20"/>
  <c r="IX29" i="20" s="1"/>
  <c r="IP29" i="20"/>
  <c r="IQ29" i="20" s="1"/>
  <c r="IE29" i="20"/>
  <c r="IF29" i="20" s="1"/>
  <c r="HY29" i="20"/>
  <c r="HZ29" i="20" s="1"/>
  <c r="HS29" i="20"/>
  <c r="HT29" i="20" s="1"/>
  <c r="HL29" i="20"/>
  <c r="HM29" i="20" s="1"/>
  <c r="HB29" i="20"/>
  <c r="HA29" i="20"/>
  <c r="GU29" i="20"/>
  <c r="GV29" i="20" s="1"/>
  <c r="GO29" i="20"/>
  <c r="GP29" i="20" s="1"/>
  <c r="GH29" i="20"/>
  <c r="GI29" i="20" s="1"/>
  <c r="FW29" i="20"/>
  <c r="FX29" i="20" s="1"/>
  <c r="FQ29" i="20"/>
  <c r="FR29" i="20" s="1"/>
  <c r="FK29" i="20"/>
  <c r="FL29" i="20" s="1"/>
  <c r="FD29" i="20"/>
  <c r="FE29" i="20" s="1"/>
  <c r="ET29" i="20"/>
  <c r="ES29" i="20"/>
  <c r="EM29" i="20"/>
  <c r="EN29" i="20" s="1"/>
  <c r="EG29" i="20"/>
  <c r="EH29" i="20" s="1"/>
  <c r="DZ29" i="20"/>
  <c r="EA29" i="20" s="1"/>
  <c r="DP29" i="20"/>
  <c r="DO29" i="20"/>
  <c r="DI29" i="20"/>
  <c r="DJ29" i="20" s="1"/>
  <c r="DC29" i="20"/>
  <c r="DD29" i="20" s="1"/>
  <c r="CV29" i="20"/>
  <c r="CW29" i="20" s="1"/>
  <c r="CL29" i="20"/>
  <c r="CK29" i="20"/>
  <c r="CE29" i="20"/>
  <c r="CF29" i="20" s="1"/>
  <c r="BY29" i="20"/>
  <c r="BZ29" i="20" s="1"/>
  <c r="BR29" i="20"/>
  <c r="BS29" i="20" s="1"/>
  <c r="BH29" i="20"/>
  <c r="BG29" i="20"/>
  <c r="BA29" i="20"/>
  <c r="BB29" i="20" s="1"/>
  <c r="AU29" i="20"/>
  <c r="AV29" i="20" s="1"/>
  <c r="AN29" i="20"/>
  <c r="AO29" i="20" s="1"/>
  <c r="AD29" i="20"/>
  <c r="AC29" i="20"/>
  <c r="W29" i="20"/>
  <c r="X29" i="20" s="1"/>
  <c r="Q29" i="20"/>
  <c r="R29" i="20" s="1"/>
  <c r="J29" i="20"/>
  <c r="K29" i="20" s="1"/>
  <c r="NZ28" i="20"/>
  <c r="NY28" i="20"/>
  <c r="NS28" i="20"/>
  <c r="NT28" i="20" s="1"/>
  <c r="NM28" i="20"/>
  <c r="NN28" i="20" s="1"/>
  <c r="NF28" i="20"/>
  <c r="NG28" i="20" s="1"/>
  <c r="MV28" i="20"/>
  <c r="MU28" i="20"/>
  <c r="MO28" i="20"/>
  <c r="MP28" i="20" s="1"/>
  <c r="MI28" i="20"/>
  <c r="MJ28" i="20" s="1"/>
  <c r="MB28" i="20"/>
  <c r="MC28" i="20" s="1"/>
  <c r="LR28" i="20"/>
  <c r="LQ28" i="20"/>
  <c r="LK28" i="20"/>
  <c r="LL28" i="20" s="1"/>
  <c r="LE28" i="20"/>
  <c r="LF28" i="20" s="1"/>
  <c r="KX28" i="20"/>
  <c r="KY28" i="20" s="1"/>
  <c r="KN28" i="20"/>
  <c r="KM28" i="20"/>
  <c r="KG28" i="20"/>
  <c r="KH28" i="20" s="1"/>
  <c r="KA28" i="20"/>
  <c r="KB28" i="20" s="1"/>
  <c r="JT28" i="20"/>
  <c r="JU28" i="20" s="1"/>
  <c r="JJ28" i="20"/>
  <c r="JI28" i="20"/>
  <c r="JC28" i="20"/>
  <c r="JD28" i="20" s="1"/>
  <c r="IW28" i="20"/>
  <c r="IX28" i="20" s="1"/>
  <c r="IP28" i="20"/>
  <c r="IQ28" i="20" s="1"/>
  <c r="IF28" i="20"/>
  <c r="IE28" i="20"/>
  <c r="HY28" i="20"/>
  <c r="HZ28" i="20" s="1"/>
  <c r="HS28" i="20"/>
  <c r="HT28" i="20" s="1"/>
  <c r="HL28" i="20"/>
  <c r="HM28" i="20" s="1"/>
  <c r="HB28" i="20"/>
  <c r="HA28" i="20"/>
  <c r="GU28" i="20"/>
  <c r="GV28" i="20" s="1"/>
  <c r="GO28" i="20"/>
  <c r="GP28" i="20" s="1"/>
  <c r="GH28" i="20"/>
  <c r="GI28" i="20" s="1"/>
  <c r="FX28" i="20"/>
  <c r="FW28" i="20"/>
  <c r="FQ28" i="20"/>
  <c r="FR28" i="20" s="1"/>
  <c r="FK28" i="20"/>
  <c r="FL28" i="20" s="1"/>
  <c r="FD28" i="20"/>
  <c r="FE28" i="20" s="1"/>
  <c r="ET28" i="20"/>
  <c r="ES28" i="20"/>
  <c r="EM28" i="20"/>
  <c r="EN28" i="20" s="1"/>
  <c r="EG28" i="20"/>
  <c r="EH28" i="20" s="1"/>
  <c r="DZ28" i="20"/>
  <c r="EA28" i="20" s="1"/>
  <c r="DP28" i="20"/>
  <c r="DO28" i="20"/>
  <c r="DI28" i="20"/>
  <c r="DJ28" i="20" s="1"/>
  <c r="DC28" i="20"/>
  <c r="DD28" i="20" s="1"/>
  <c r="CV28" i="20"/>
  <c r="CW28" i="20" s="1"/>
  <c r="CL28" i="20"/>
  <c r="CK28" i="20"/>
  <c r="CE28" i="20"/>
  <c r="CF28" i="20" s="1"/>
  <c r="BY28" i="20"/>
  <c r="BZ28" i="20" s="1"/>
  <c r="BR28" i="20"/>
  <c r="BS28" i="20" s="1"/>
  <c r="BH28" i="20"/>
  <c r="BG28" i="20"/>
  <c r="BA28" i="20"/>
  <c r="BB28" i="20" s="1"/>
  <c r="AU28" i="20"/>
  <c r="AV28" i="20" s="1"/>
  <c r="AN28" i="20"/>
  <c r="AO28" i="20" s="1"/>
  <c r="AD28" i="20"/>
  <c r="AC28" i="20"/>
  <c r="W28" i="20"/>
  <c r="X28" i="20" s="1"/>
  <c r="Q28" i="20"/>
  <c r="R28" i="20" s="1"/>
  <c r="J28" i="20"/>
  <c r="K28" i="20" s="1"/>
  <c r="NZ27" i="20"/>
  <c r="NY27" i="20"/>
  <c r="NS27" i="20"/>
  <c r="NT27" i="20" s="1"/>
  <c r="NM27" i="20"/>
  <c r="NN27" i="20" s="1"/>
  <c r="NF27" i="20"/>
  <c r="NG27" i="20" s="1"/>
  <c r="MV27" i="20"/>
  <c r="MU27" i="20"/>
  <c r="MO27" i="20"/>
  <c r="MP27" i="20" s="1"/>
  <c r="MI27" i="20"/>
  <c r="MJ27" i="20" s="1"/>
  <c r="MB27" i="20"/>
  <c r="MC27" i="20" s="1"/>
  <c r="LR27" i="20"/>
  <c r="LQ27" i="20"/>
  <c r="LK27" i="20"/>
  <c r="LL27" i="20" s="1"/>
  <c r="LE27" i="20"/>
  <c r="LF27" i="20" s="1"/>
  <c r="KX27" i="20"/>
  <c r="KY27" i="20" s="1"/>
  <c r="KN27" i="20"/>
  <c r="KM27" i="20"/>
  <c r="KG27" i="20"/>
  <c r="KH27" i="20" s="1"/>
  <c r="KA27" i="20"/>
  <c r="KB27" i="20" s="1"/>
  <c r="JT27" i="20"/>
  <c r="JU27" i="20" s="1"/>
  <c r="JJ27" i="20"/>
  <c r="JI27" i="20"/>
  <c r="JC27" i="20"/>
  <c r="JD27" i="20" s="1"/>
  <c r="IW27" i="20"/>
  <c r="IX27" i="20" s="1"/>
  <c r="IP27" i="20"/>
  <c r="IQ27" i="20" s="1"/>
  <c r="IF27" i="20"/>
  <c r="IE27" i="20"/>
  <c r="HY27" i="20"/>
  <c r="HZ27" i="20" s="1"/>
  <c r="HS27" i="20"/>
  <c r="HT27" i="20" s="1"/>
  <c r="HL27" i="20"/>
  <c r="HM27" i="20" s="1"/>
  <c r="HB27" i="20"/>
  <c r="HA27" i="20"/>
  <c r="GU27" i="20"/>
  <c r="GV27" i="20" s="1"/>
  <c r="GO27" i="20"/>
  <c r="GP27" i="20" s="1"/>
  <c r="GH27" i="20"/>
  <c r="GI27" i="20" s="1"/>
  <c r="FX27" i="20"/>
  <c r="FW27" i="20"/>
  <c r="FQ27" i="20"/>
  <c r="FR27" i="20" s="1"/>
  <c r="FK27" i="20"/>
  <c r="FL27" i="20" s="1"/>
  <c r="FD27" i="20"/>
  <c r="FE27" i="20" s="1"/>
  <c r="ET27" i="20"/>
  <c r="ES27" i="20"/>
  <c r="EM27" i="20"/>
  <c r="EN27" i="20" s="1"/>
  <c r="EG27" i="20"/>
  <c r="EH27" i="20" s="1"/>
  <c r="DZ27" i="20"/>
  <c r="EA27" i="20" s="1"/>
  <c r="DO27" i="20"/>
  <c r="DP27" i="20" s="1"/>
  <c r="DI27" i="20"/>
  <c r="DJ27" i="20" s="1"/>
  <c r="DC27" i="20"/>
  <c r="DD27" i="20" s="1"/>
  <c r="CV27" i="20"/>
  <c r="CW27" i="20" s="1"/>
  <c r="CK27" i="20"/>
  <c r="CL27" i="20" s="1"/>
  <c r="CE27" i="20"/>
  <c r="CF27" i="20" s="1"/>
  <c r="BY27" i="20"/>
  <c r="BZ27" i="20" s="1"/>
  <c r="BS27" i="20"/>
  <c r="BR27" i="20"/>
  <c r="BG27" i="20"/>
  <c r="BH27" i="20" s="1"/>
  <c r="BA27" i="20"/>
  <c r="BB27" i="20" s="1"/>
  <c r="AU27" i="20"/>
  <c r="AV27" i="20" s="1"/>
  <c r="AN27" i="20"/>
  <c r="AO27" i="20" s="1"/>
  <c r="AC27" i="20"/>
  <c r="AD27" i="20" s="1"/>
  <c r="W27" i="20"/>
  <c r="X27" i="20" s="1"/>
  <c r="Q27" i="20"/>
  <c r="R27" i="20" s="1"/>
  <c r="J27" i="20"/>
  <c r="K27" i="20" s="1"/>
  <c r="NY25" i="20"/>
  <c r="NZ25" i="20" s="1"/>
  <c r="NS25" i="20"/>
  <c r="NT25" i="20" s="1"/>
  <c r="NM25" i="20"/>
  <c r="NN25" i="20" s="1"/>
  <c r="NF25" i="20"/>
  <c r="NG25" i="20" s="1"/>
  <c r="MU25" i="20"/>
  <c r="MV25" i="20" s="1"/>
  <c r="MO25" i="20"/>
  <c r="MP25" i="20" s="1"/>
  <c r="MI25" i="20"/>
  <c r="MJ25" i="20" s="1"/>
  <c r="MC25" i="20"/>
  <c r="MB25" i="20"/>
  <c r="LQ25" i="20"/>
  <c r="LR25" i="20" s="1"/>
  <c r="LK25" i="20"/>
  <c r="LL25" i="20" s="1"/>
  <c r="LE25" i="20"/>
  <c r="LF25" i="20" s="1"/>
  <c r="KX25" i="20"/>
  <c r="KY25" i="20" s="1"/>
  <c r="KM25" i="20"/>
  <c r="KN25" i="20" s="1"/>
  <c r="KG25" i="20"/>
  <c r="KH25" i="20" s="1"/>
  <c r="KA25" i="20"/>
  <c r="KB25" i="20" s="1"/>
  <c r="JT25" i="20"/>
  <c r="JU25" i="20" s="1"/>
  <c r="JI25" i="20"/>
  <c r="JJ25" i="20" s="1"/>
  <c r="JC25" i="20"/>
  <c r="JD25" i="20" s="1"/>
  <c r="IW25" i="20"/>
  <c r="IX25" i="20" s="1"/>
  <c r="IP25" i="20"/>
  <c r="IQ25" i="20" s="1"/>
  <c r="IE25" i="20"/>
  <c r="IF25" i="20" s="1"/>
  <c r="HY25" i="20"/>
  <c r="HZ25" i="20" s="1"/>
  <c r="HS25" i="20"/>
  <c r="HT25" i="20" s="1"/>
  <c r="HM25" i="20"/>
  <c r="HL25" i="20"/>
  <c r="HA25" i="20"/>
  <c r="HB25" i="20" s="1"/>
  <c r="GU25" i="20"/>
  <c r="GV25" i="20" s="1"/>
  <c r="GO25" i="20"/>
  <c r="GP25" i="20" s="1"/>
  <c r="GH25" i="20"/>
  <c r="GI25" i="20" s="1"/>
  <c r="FW25" i="20"/>
  <c r="FX25" i="20" s="1"/>
  <c r="FQ25" i="20"/>
  <c r="FR25" i="20" s="1"/>
  <c r="FK25" i="20"/>
  <c r="FL25" i="20" s="1"/>
  <c r="FD25" i="20"/>
  <c r="FE25" i="20" s="1"/>
  <c r="ES25" i="20"/>
  <c r="ET25" i="20" s="1"/>
  <c r="EM25" i="20"/>
  <c r="EN25" i="20" s="1"/>
  <c r="EG25" i="20"/>
  <c r="EH25" i="20" s="1"/>
  <c r="DZ25" i="20"/>
  <c r="EA25" i="20" s="1"/>
  <c r="DO25" i="20"/>
  <c r="DP25" i="20" s="1"/>
  <c r="DI25" i="20"/>
  <c r="DJ25" i="20" s="1"/>
  <c r="DC25" i="20"/>
  <c r="DD25" i="20" s="1"/>
  <c r="CW25" i="20"/>
  <c r="CV25" i="20"/>
  <c r="CK25" i="20"/>
  <c r="CL25" i="20" s="1"/>
  <c r="CE25" i="20"/>
  <c r="CF25" i="20" s="1"/>
  <c r="BY25" i="20"/>
  <c r="BZ25" i="20" s="1"/>
  <c r="BR25" i="20"/>
  <c r="BS25" i="20" s="1"/>
  <c r="BG25" i="20"/>
  <c r="BH25" i="20" s="1"/>
  <c r="BA25" i="20"/>
  <c r="BB25" i="20" s="1"/>
  <c r="AU25" i="20"/>
  <c r="AV25" i="20" s="1"/>
  <c r="AN25" i="20"/>
  <c r="AO25" i="20" s="1"/>
  <c r="AC25" i="20"/>
  <c r="AD25" i="20" s="1"/>
  <c r="W25" i="20"/>
  <c r="X25" i="20" s="1"/>
  <c r="Q25" i="20"/>
  <c r="R25" i="20" s="1"/>
  <c r="J25" i="20"/>
  <c r="K25" i="20" s="1"/>
  <c r="NY24" i="20"/>
  <c r="NZ24" i="20" s="1"/>
  <c r="NS24" i="20"/>
  <c r="NT24" i="20" s="1"/>
  <c r="NM24" i="20"/>
  <c r="NN24" i="20" s="1"/>
  <c r="NG24" i="20"/>
  <c r="NF24" i="20"/>
  <c r="MU24" i="20"/>
  <c r="MV24" i="20" s="1"/>
  <c r="MO24" i="20"/>
  <c r="MP24" i="20" s="1"/>
  <c r="MI24" i="20"/>
  <c r="MJ24" i="20" s="1"/>
  <c r="MB24" i="20"/>
  <c r="MC24" i="20" s="1"/>
  <c r="LQ24" i="20"/>
  <c r="LR24" i="20" s="1"/>
  <c r="LK24" i="20"/>
  <c r="LL24" i="20" s="1"/>
  <c r="LE24" i="20"/>
  <c r="LF24" i="20" s="1"/>
  <c r="KX24" i="20"/>
  <c r="KY24" i="20" s="1"/>
  <c r="KM24" i="20"/>
  <c r="KN24" i="20" s="1"/>
  <c r="KG24" i="20"/>
  <c r="KH24" i="20" s="1"/>
  <c r="KA24" i="20"/>
  <c r="KB24" i="20" s="1"/>
  <c r="JT24" i="20"/>
  <c r="JU24" i="20" s="1"/>
  <c r="JI24" i="20"/>
  <c r="JJ24" i="20" s="1"/>
  <c r="JC24" i="20"/>
  <c r="JD24" i="20" s="1"/>
  <c r="IW24" i="20"/>
  <c r="IX24" i="20" s="1"/>
  <c r="IQ24" i="20"/>
  <c r="IP24" i="20"/>
  <c r="IE24" i="20"/>
  <c r="IF24" i="20" s="1"/>
  <c r="HY24" i="20"/>
  <c r="HZ24" i="20" s="1"/>
  <c r="HS24" i="20"/>
  <c r="HT24" i="20" s="1"/>
  <c r="HL24" i="20"/>
  <c r="HM24" i="20" s="1"/>
  <c r="HA24" i="20"/>
  <c r="HB24" i="20" s="1"/>
  <c r="GU24" i="20"/>
  <c r="GV24" i="20" s="1"/>
  <c r="GO24" i="20"/>
  <c r="GP24" i="20" s="1"/>
  <c r="GH24" i="20"/>
  <c r="GI24" i="20" s="1"/>
  <c r="FW24" i="20"/>
  <c r="FX24" i="20" s="1"/>
  <c r="FQ24" i="20"/>
  <c r="FR24" i="20" s="1"/>
  <c r="FK24" i="20"/>
  <c r="FL24" i="20" s="1"/>
  <c r="FD24" i="20"/>
  <c r="FE24" i="20" s="1"/>
  <c r="ES24" i="20"/>
  <c r="ET24" i="20" s="1"/>
  <c r="EM24" i="20"/>
  <c r="EN24" i="20" s="1"/>
  <c r="EG24" i="20"/>
  <c r="EH24" i="20" s="1"/>
  <c r="EA24" i="20"/>
  <c r="DZ24" i="20"/>
  <c r="DO24" i="20"/>
  <c r="DP24" i="20" s="1"/>
  <c r="DI24" i="20"/>
  <c r="DJ24" i="20" s="1"/>
  <c r="DC24" i="20"/>
  <c r="DD24" i="20" s="1"/>
  <c r="CV24" i="20"/>
  <c r="CW24" i="20" s="1"/>
  <c r="CK24" i="20"/>
  <c r="CL24" i="20" s="1"/>
  <c r="CE24" i="20"/>
  <c r="CF24" i="20" s="1"/>
  <c r="BY24" i="20"/>
  <c r="BZ24" i="20" s="1"/>
  <c r="BR24" i="20"/>
  <c r="BS24" i="20" s="1"/>
  <c r="BG24" i="20"/>
  <c r="BH24" i="20" s="1"/>
  <c r="BA24" i="20"/>
  <c r="BB24" i="20" s="1"/>
  <c r="AU24" i="20"/>
  <c r="AV24" i="20" s="1"/>
  <c r="AN24" i="20"/>
  <c r="AO24" i="20" s="1"/>
  <c r="AC24" i="20"/>
  <c r="AD24" i="20" s="1"/>
  <c r="W24" i="20"/>
  <c r="X24" i="20" s="1"/>
  <c r="Q24" i="20"/>
  <c r="R24" i="20" s="1"/>
  <c r="K24" i="20"/>
  <c r="J24" i="20"/>
  <c r="NY23" i="20"/>
  <c r="NZ23" i="20" s="1"/>
  <c r="NS23" i="20"/>
  <c r="NT23" i="20" s="1"/>
  <c r="NM23" i="20"/>
  <c r="NN23" i="20" s="1"/>
  <c r="NF23" i="20"/>
  <c r="NG23" i="20" s="1"/>
  <c r="MU23" i="20"/>
  <c r="MV23" i="20" s="1"/>
  <c r="MO23" i="20"/>
  <c r="MP23" i="20" s="1"/>
  <c r="MI23" i="20"/>
  <c r="MJ23" i="20" s="1"/>
  <c r="MB23" i="20"/>
  <c r="MC23" i="20" s="1"/>
  <c r="LQ23" i="20"/>
  <c r="LR23" i="20" s="1"/>
  <c r="LK23" i="20"/>
  <c r="LL23" i="20" s="1"/>
  <c r="LE23" i="20"/>
  <c r="LF23" i="20" s="1"/>
  <c r="KX23" i="20"/>
  <c r="KY23" i="20" s="1"/>
  <c r="KM23" i="20"/>
  <c r="KN23" i="20" s="1"/>
  <c r="KG23" i="20"/>
  <c r="KH23" i="20" s="1"/>
  <c r="KA23" i="20"/>
  <c r="KB23" i="20" s="1"/>
  <c r="JU23" i="20"/>
  <c r="JT23" i="20"/>
  <c r="JI23" i="20"/>
  <c r="JJ23" i="20" s="1"/>
  <c r="JC23" i="20"/>
  <c r="JD23" i="20" s="1"/>
  <c r="IW23" i="20"/>
  <c r="IX23" i="20" s="1"/>
  <c r="IP23" i="20"/>
  <c r="IQ23" i="20" s="1"/>
  <c r="IE23" i="20"/>
  <c r="IF23" i="20" s="1"/>
  <c r="HY23" i="20"/>
  <c r="HZ23" i="20" s="1"/>
  <c r="HS23" i="20"/>
  <c r="HT23" i="20" s="1"/>
  <c r="HL23" i="20"/>
  <c r="HM23" i="20" s="1"/>
  <c r="HA23" i="20"/>
  <c r="HB23" i="20" s="1"/>
  <c r="GU23" i="20"/>
  <c r="GV23" i="20" s="1"/>
  <c r="GO23" i="20"/>
  <c r="GP23" i="20" s="1"/>
  <c r="GH23" i="20"/>
  <c r="GI23" i="20" s="1"/>
  <c r="FW23" i="20"/>
  <c r="FX23" i="20" s="1"/>
  <c r="FQ23" i="20"/>
  <c r="FR23" i="20" s="1"/>
  <c r="FK23" i="20"/>
  <c r="FL23" i="20" s="1"/>
  <c r="FE23" i="20"/>
  <c r="FD23" i="20"/>
  <c r="ES23" i="20"/>
  <c r="ET23" i="20" s="1"/>
  <c r="EM23" i="20"/>
  <c r="EN23" i="20" s="1"/>
  <c r="EG23" i="20"/>
  <c r="EH23" i="20" s="1"/>
  <c r="DZ23" i="20"/>
  <c r="EA23" i="20" s="1"/>
  <c r="DO23" i="20"/>
  <c r="DP23" i="20" s="1"/>
  <c r="DI23" i="20"/>
  <c r="DJ23" i="20" s="1"/>
  <c r="DC23" i="20"/>
  <c r="DD23" i="20" s="1"/>
  <c r="CV23" i="20"/>
  <c r="CW23" i="20" s="1"/>
  <c r="CK23" i="20"/>
  <c r="CL23" i="20" s="1"/>
  <c r="CE23" i="20"/>
  <c r="CF23" i="20" s="1"/>
  <c r="BY23" i="20"/>
  <c r="BZ23" i="20" s="1"/>
  <c r="BR23" i="20"/>
  <c r="BS23" i="20" s="1"/>
  <c r="BG23" i="20"/>
  <c r="BH23" i="20" s="1"/>
  <c r="BA23" i="20"/>
  <c r="BB23" i="20" s="1"/>
  <c r="AU23" i="20"/>
  <c r="AV23" i="20" s="1"/>
  <c r="AO23" i="20"/>
  <c r="AN23" i="20"/>
  <c r="AC23" i="20"/>
  <c r="AD23" i="20" s="1"/>
  <c r="W23" i="20"/>
  <c r="X23" i="20" s="1"/>
  <c r="Q23" i="20"/>
  <c r="R23" i="20" s="1"/>
  <c r="J23" i="20"/>
  <c r="K23" i="20" s="1"/>
  <c r="NY22" i="20"/>
  <c r="NZ22" i="20" s="1"/>
  <c r="NS22" i="20"/>
  <c r="NT22" i="20" s="1"/>
  <c r="NM22" i="20"/>
  <c r="NN22" i="20" s="1"/>
  <c r="NF22" i="20"/>
  <c r="NG22" i="20" s="1"/>
  <c r="MU22" i="20"/>
  <c r="MV22" i="20" s="1"/>
  <c r="MO22" i="20"/>
  <c r="MP22" i="20" s="1"/>
  <c r="MI22" i="20"/>
  <c r="MJ22" i="20" s="1"/>
  <c r="MB22" i="20"/>
  <c r="MC22" i="20" s="1"/>
  <c r="LQ22" i="20"/>
  <c r="LR22" i="20" s="1"/>
  <c r="LK22" i="20"/>
  <c r="LL22" i="20" s="1"/>
  <c r="LE22" i="20"/>
  <c r="LF22" i="20" s="1"/>
  <c r="KY22" i="20"/>
  <c r="KX22" i="20"/>
  <c r="KM22" i="20"/>
  <c r="KN22" i="20" s="1"/>
  <c r="KG22" i="20"/>
  <c r="KH22" i="20" s="1"/>
  <c r="KA22" i="20"/>
  <c r="KB22" i="20" s="1"/>
  <c r="JT22" i="20"/>
  <c r="JU22" i="20" s="1"/>
  <c r="JI22" i="20"/>
  <c r="JJ22" i="20" s="1"/>
  <c r="JC22" i="20"/>
  <c r="JD22" i="20" s="1"/>
  <c r="IW22" i="20"/>
  <c r="IX22" i="20" s="1"/>
  <c r="IP22" i="20"/>
  <c r="IQ22" i="20" s="1"/>
  <c r="IE22" i="20"/>
  <c r="IF22" i="20" s="1"/>
  <c r="HY22" i="20"/>
  <c r="HZ22" i="20" s="1"/>
  <c r="HS22" i="20"/>
  <c r="HT22" i="20" s="1"/>
  <c r="HL22" i="20"/>
  <c r="HM22" i="20" s="1"/>
  <c r="HA22" i="20"/>
  <c r="HB22" i="20" s="1"/>
  <c r="GU22" i="20"/>
  <c r="GV22" i="20" s="1"/>
  <c r="GO22" i="20"/>
  <c r="GP22" i="20" s="1"/>
  <c r="GI22" i="20"/>
  <c r="GH22" i="20"/>
  <c r="FW22" i="20"/>
  <c r="FX22" i="20" s="1"/>
  <c r="FQ22" i="20"/>
  <c r="FR22" i="20" s="1"/>
  <c r="FK22" i="20"/>
  <c r="FL22" i="20" s="1"/>
  <c r="FD22" i="20"/>
  <c r="FE22" i="20" s="1"/>
  <c r="ES22" i="20"/>
  <c r="ET22" i="20" s="1"/>
  <c r="EM22" i="20"/>
  <c r="EN22" i="20" s="1"/>
  <c r="EG22" i="20"/>
  <c r="EH22" i="20" s="1"/>
  <c r="DZ22" i="20"/>
  <c r="EA22" i="20" s="1"/>
  <c r="DO22" i="20"/>
  <c r="DP22" i="20" s="1"/>
  <c r="DI22" i="20"/>
  <c r="DJ22" i="20" s="1"/>
  <c r="DC22" i="20"/>
  <c r="DD22" i="20" s="1"/>
  <c r="CV22" i="20"/>
  <c r="CW22" i="20" s="1"/>
  <c r="CK22" i="20"/>
  <c r="CL22" i="20" s="1"/>
  <c r="CE22" i="20"/>
  <c r="CF22" i="20" s="1"/>
  <c r="BY22" i="20"/>
  <c r="BZ22" i="20" s="1"/>
  <c r="BS22" i="20"/>
  <c r="BR22" i="20"/>
  <c r="BG22" i="20"/>
  <c r="BH22" i="20" s="1"/>
  <c r="BA22" i="20"/>
  <c r="BB22" i="20" s="1"/>
  <c r="AU22" i="20"/>
  <c r="AV22" i="20" s="1"/>
  <c r="AN22" i="20"/>
  <c r="AO22" i="20" s="1"/>
  <c r="AC22" i="20"/>
  <c r="AD22" i="20" s="1"/>
  <c r="W22" i="20"/>
  <c r="X22" i="20" s="1"/>
  <c r="Q22" i="20"/>
  <c r="R22" i="20" s="1"/>
  <c r="J22" i="20"/>
  <c r="K22" i="20" s="1"/>
  <c r="NY20" i="20"/>
  <c r="NZ20" i="20" s="1"/>
  <c r="NS20" i="20"/>
  <c r="NT20" i="20" s="1"/>
  <c r="NM20" i="20"/>
  <c r="NN20" i="20" s="1"/>
  <c r="NF20" i="20"/>
  <c r="NG20" i="20" s="1"/>
  <c r="MU20" i="20"/>
  <c r="MV20" i="20" s="1"/>
  <c r="MO20" i="20"/>
  <c r="MP20" i="20" s="1"/>
  <c r="MI20" i="20"/>
  <c r="MJ20" i="20" s="1"/>
  <c r="MC20" i="20"/>
  <c r="MB20" i="20"/>
  <c r="LQ20" i="20"/>
  <c r="LR20" i="20" s="1"/>
  <c r="LK20" i="20"/>
  <c r="LL20" i="20" s="1"/>
  <c r="LE20" i="20"/>
  <c r="LF20" i="20" s="1"/>
  <c r="KX20" i="20"/>
  <c r="KY20" i="20" s="1"/>
  <c r="KM20" i="20"/>
  <c r="KN20" i="20" s="1"/>
  <c r="KG20" i="20"/>
  <c r="KH20" i="20" s="1"/>
  <c r="KA20" i="20"/>
  <c r="KB20" i="20" s="1"/>
  <c r="JT20" i="20"/>
  <c r="JU20" i="20" s="1"/>
  <c r="JI20" i="20"/>
  <c r="JJ20" i="20" s="1"/>
  <c r="JC20" i="20"/>
  <c r="JD20" i="20" s="1"/>
  <c r="IW20" i="20"/>
  <c r="IX20" i="20" s="1"/>
  <c r="IP20" i="20"/>
  <c r="IQ20" i="20" s="1"/>
  <c r="IE20" i="20"/>
  <c r="IF20" i="20" s="1"/>
  <c r="HY20" i="20"/>
  <c r="HZ20" i="20" s="1"/>
  <c r="HS20" i="20"/>
  <c r="HT20" i="20" s="1"/>
  <c r="HM20" i="20"/>
  <c r="HL20" i="20"/>
  <c r="HA20" i="20"/>
  <c r="HB20" i="20" s="1"/>
  <c r="GU20" i="20"/>
  <c r="GV20" i="20" s="1"/>
  <c r="GO20" i="20"/>
  <c r="GP20" i="20" s="1"/>
  <c r="GH20" i="20"/>
  <c r="GI20" i="20" s="1"/>
  <c r="FW20" i="20"/>
  <c r="FX20" i="20" s="1"/>
  <c r="FQ20" i="20"/>
  <c r="FR20" i="20" s="1"/>
  <c r="FK20" i="20"/>
  <c r="FL20" i="20" s="1"/>
  <c r="FD20" i="20"/>
  <c r="FE20" i="20" s="1"/>
  <c r="ES20" i="20"/>
  <c r="ET20" i="20" s="1"/>
  <c r="EM20" i="20"/>
  <c r="EN20" i="20" s="1"/>
  <c r="EG20" i="20"/>
  <c r="EH20" i="20" s="1"/>
  <c r="DZ20" i="20"/>
  <c r="EA20" i="20" s="1"/>
  <c r="DO20" i="20"/>
  <c r="DP20" i="20" s="1"/>
  <c r="DI20" i="20"/>
  <c r="DJ20" i="20" s="1"/>
  <c r="DC20" i="20"/>
  <c r="DD20" i="20" s="1"/>
  <c r="CW20" i="20"/>
  <c r="CV20" i="20"/>
  <c r="CK20" i="20"/>
  <c r="CL20" i="20" s="1"/>
  <c r="CE20" i="20"/>
  <c r="CF20" i="20" s="1"/>
  <c r="BY20" i="20"/>
  <c r="BZ20" i="20" s="1"/>
  <c r="BR20" i="20"/>
  <c r="BS20" i="20" s="1"/>
  <c r="BG20" i="20"/>
  <c r="BH20" i="20" s="1"/>
  <c r="BA20" i="20"/>
  <c r="BB20" i="20" s="1"/>
  <c r="AU20" i="20"/>
  <c r="AV20" i="20" s="1"/>
  <c r="AN20" i="20"/>
  <c r="AO20" i="20" s="1"/>
  <c r="AC20" i="20"/>
  <c r="AD20" i="20" s="1"/>
  <c r="W20" i="20"/>
  <c r="X20" i="20" s="1"/>
  <c r="Q20" i="20"/>
  <c r="R20" i="20" s="1"/>
  <c r="J20" i="20"/>
  <c r="K20" i="20" s="1"/>
  <c r="NY19" i="20"/>
  <c r="NZ19" i="20" s="1"/>
  <c r="NS19" i="20"/>
  <c r="NT19" i="20" s="1"/>
  <c r="NM19" i="20"/>
  <c r="NN19" i="20" s="1"/>
  <c r="NG19" i="20"/>
  <c r="NF19" i="20"/>
  <c r="MU19" i="20"/>
  <c r="MV19" i="20" s="1"/>
  <c r="MO19" i="20"/>
  <c r="MP19" i="20" s="1"/>
  <c r="MI19" i="20"/>
  <c r="MJ19" i="20" s="1"/>
  <c r="MB19" i="20"/>
  <c r="MC19" i="20" s="1"/>
  <c r="LQ19" i="20"/>
  <c r="LR19" i="20" s="1"/>
  <c r="LK19" i="20"/>
  <c r="LL19" i="20" s="1"/>
  <c r="LE19" i="20"/>
  <c r="LF19" i="20" s="1"/>
  <c r="KX19" i="20"/>
  <c r="KY19" i="20" s="1"/>
  <c r="KM19" i="20"/>
  <c r="KN19" i="20" s="1"/>
  <c r="KG19" i="20"/>
  <c r="KH19" i="20" s="1"/>
  <c r="KA19" i="20"/>
  <c r="KB19" i="20" s="1"/>
  <c r="JT19" i="20"/>
  <c r="JU19" i="20" s="1"/>
  <c r="JI19" i="20"/>
  <c r="JJ19" i="20" s="1"/>
  <c r="JC19" i="20"/>
  <c r="JD19" i="20" s="1"/>
  <c r="IW19" i="20"/>
  <c r="IX19" i="20" s="1"/>
  <c r="IQ19" i="20"/>
  <c r="IP19" i="20"/>
  <c r="IE19" i="20"/>
  <c r="IF19" i="20" s="1"/>
  <c r="HY19" i="20"/>
  <c r="HZ19" i="20" s="1"/>
  <c r="HS19" i="20"/>
  <c r="HT19" i="20" s="1"/>
  <c r="HL19" i="20"/>
  <c r="HM19" i="20" s="1"/>
  <c r="HA19" i="20"/>
  <c r="HB19" i="20" s="1"/>
  <c r="GU19" i="20"/>
  <c r="GV19" i="20" s="1"/>
  <c r="GO19" i="20"/>
  <c r="GP19" i="20" s="1"/>
  <c r="GH19" i="20"/>
  <c r="GI19" i="20" s="1"/>
  <c r="FW19" i="20"/>
  <c r="FX19" i="20" s="1"/>
  <c r="FQ19" i="20"/>
  <c r="FR19" i="20" s="1"/>
  <c r="FK19" i="20"/>
  <c r="FL19" i="20" s="1"/>
  <c r="FD19" i="20"/>
  <c r="FE19" i="20" s="1"/>
  <c r="ES19" i="20"/>
  <c r="ET19" i="20" s="1"/>
  <c r="EM19" i="20"/>
  <c r="EN19" i="20" s="1"/>
  <c r="EG19" i="20"/>
  <c r="EH19" i="20" s="1"/>
  <c r="EA19" i="20"/>
  <c r="DZ19" i="20"/>
  <c r="DO19" i="20"/>
  <c r="DP19" i="20" s="1"/>
  <c r="DI19" i="20"/>
  <c r="DJ19" i="20" s="1"/>
  <c r="DC19" i="20"/>
  <c r="DD19" i="20" s="1"/>
  <c r="CV19" i="20"/>
  <c r="CW19" i="20" s="1"/>
  <c r="CK19" i="20"/>
  <c r="CL19" i="20" s="1"/>
  <c r="CE19" i="20"/>
  <c r="CF19" i="20" s="1"/>
  <c r="BY19" i="20"/>
  <c r="BZ19" i="20" s="1"/>
  <c r="BR19" i="20"/>
  <c r="BS19" i="20" s="1"/>
  <c r="BG19" i="20"/>
  <c r="BH19" i="20" s="1"/>
  <c r="BA19" i="20"/>
  <c r="BB19" i="20" s="1"/>
  <c r="AU19" i="20"/>
  <c r="AV19" i="20" s="1"/>
  <c r="AN19" i="20"/>
  <c r="AO19" i="20" s="1"/>
  <c r="AC19" i="20"/>
  <c r="AD19" i="20" s="1"/>
  <c r="W19" i="20"/>
  <c r="X19" i="20" s="1"/>
  <c r="Q19" i="20"/>
  <c r="R19" i="20" s="1"/>
  <c r="K19" i="20"/>
  <c r="J19" i="20"/>
  <c r="NY17" i="20"/>
  <c r="NZ17" i="20" s="1"/>
  <c r="NS17" i="20"/>
  <c r="NT17" i="20" s="1"/>
  <c r="NM17" i="20"/>
  <c r="NN17" i="20" s="1"/>
  <c r="NF17" i="20"/>
  <c r="NG17" i="20" s="1"/>
  <c r="MU17" i="20"/>
  <c r="MV17" i="20" s="1"/>
  <c r="MO17" i="20"/>
  <c r="MP17" i="20" s="1"/>
  <c r="MI17" i="20"/>
  <c r="MJ17" i="20" s="1"/>
  <c r="MB17" i="20"/>
  <c r="MC17" i="20" s="1"/>
  <c r="LQ17" i="20"/>
  <c r="LR17" i="20" s="1"/>
  <c r="LK17" i="20"/>
  <c r="LL17" i="20" s="1"/>
  <c r="LE17" i="20"/>
  <c r="LF17" i="20" s="1"/>
  <c r="KX17" i="20"/>
  <c r="KY17" i="20" s="1"/>
  <c r="KM17" i="20"/>
  <c r="KN17" i="20" s="1"/>
  <c r="KG17" i="20"/>
  <c r="KH17" i="20" s="1"/>
  <c r="KA17" i="20"/>
  <c r="KB17" i="20" s="1"/>
  <c r="JU17" i="20"/>
  <c r="JT17" i="20"/>
  <c r="JI17" i="20"/>
  <c r="JJ17" i="20" s="1"/>
  <c r="JC17" i="20"/>
  <c r="JD17" i="20" s="1"/>
  <c r="IW17" i="20"/>
  <c r="IX17" i="20" s="1"/>
  <c r="IP17" i="20"/>
  <c r="IQ17" i="20" s="1"/>
  <c r="IE17" i="20"/>
  <c r="IF17" i="20" s="1"/>
  <c r="HY17" i="20"/>
  <c r="HZ17" i="20" s="1"/>
  <c r="HS17" i="20"/>
  <c r="HT17" i="20" s="1"/>
  <c r="HL17" i="20"/>
  <c r="HM17" i="20" s="1"/>
  <c r="HA17" i="20"/>
  <c r="HB17" i="20" s="1"/>
  <c r="GU17" i="20"/>
  <c r="GV17" i="20" s="1"/>
  <c r="GO17" i="20"/>
  <c r="GP17" i="20" s="1"/>
  <c r="GH17" i="20"/>
  <c r="GI17" i="20" s="1"/>
  <c r="FW17" i="20"/>
  <c r="FX17" i="20" s="1"/>
  <c r="FQ17" i="20"/>
  <c r="FR17" i="20" s="1"/>
  <c r="FK17" i="20"/>
  <c r="FL17" i="20" s="1"/>
  <c r="FE17" i="20"/>
  <c r="FD17" i="20"/>
  <c r="ES17" i="20"/>
  <c r="ET17" i="20" s="1"/>
  <c r="EM17" i="20"/>
  <c r="EN17" i="20" s="1"/>
  <c r="EG17" i="20"/>
  <c r="EH17" i="20" s="1"/>
  <c r="DZ17" i="20"/>
  <c r="EA17" i="20" s="1"/>
  <c r="DO17" i="20"/>
  <c r="DP17" i="20" s="1"/>
  <c r="DI17" i="20"/>
  <c r="DJ17" i="20" s="1"/>
  <c r="DC17" i="20"/>
  <c r="DD17" i="20" s="1"/>
  <c r="CV17" i="20"/>
  <c r="CW17" i="20" s="1"/>
  <c r="CK17" i="20"/>
  <c r="CL17" i="20" s="1"/>
  <c r="CE17" i="20"/>
  <c r="CF17" i="20" s="1"/>
  <c r="BY17" i="20"/>
  <c r="BZ17" i="20" s="1"/>
  <c r="BR17" i="20"/>
  <c r="BS17" i="20" s="1"/>
  <c r="BG17" i="20"/>
  <c r="BH17" i="20" s="1"/>
  <c r="BA17" i="20"/>
  <c r="BB17" i="20" s="1"/>
  <c r="AU17" i="20"/>
  <c r="AV17" i="20" s="1"/>
  <c r="AO17" i="20"/>
  <c r="AN17" i="20"/>
  <c r="AC17" i="20"/>
  <c r="AD17" i="20" s="1"/>
  <c r="W17" i="20"/>
  <c r="X17" i="20" s="1"/>
  <c r="Q17" i="20"/>
  <c r="R17" i="20" s="1"/>
  <c r="J17" i="20"/>
  <c r="K17" i="20" s="1"/>
  <c r="NY16" i="20"/>
  <c r="NZ16" i="20" s="1"/>
  <c r="NS16" i="20"/>
  <c r="NT16" i="20" s="1"/>
  <c r="NM16" i="20"/>
  <c r="NN16" i="20" s="1"/>
  <c r="NF16" i="20"/>
  <c r="NG16" i="20" s="1"/>
  <c r="MU16" i="20"/>
  <c r="MV16" i="20" s="1"/>
  <c r="MO16" i="20"/>
  <c r="MP16" i="20" s="1"/>
  <c r="MI16" i="20"/>
  <c r="MJ16" i="20" s="1"/>
  <c r="MB16" i="20"/>
  <c r="MC16" i="20" s="1"/>
  <c r="LQ16" i="20"/>
  <c r="LR16" i="20" s="1"/>
  <c r="LK16" i="20"/>
  <c r="LL16" i="20" s="1"/>
  <c r="LE16" i="20"/>
  <c r="LF16" i="20" s="1"/>
  <c r="KY16" i="20"/>
  <c r="KX16" i="20"/>
  <c r="KM16" i="20"/>
  <c r="KN16" i="20" s="1"/>
  <c r="KG16" i="20"/>
  <c r="KH16" i="20" s="1"/>
  <c r="KA16" i="20"/>
  <c r="KB16" i="20" s="1"/>
  <c r="JT16" i="20"/>
  <c r="JU16" i="20" s="1"/>
  <c r="JI16" i="20"/>
  <c r="JJ16" i="20" s="1"/>
  <c r="JC16" i="20"/>
  <c r="JD16" i="20" s="1"/>
  <c r="IW16" i="20"/>
  <c r="IX16" i="20" s="1"/>
  <c r="IP16" i="20"/>
  <c r="IQ16" i="20" s="1"/>
  <c r="IE16" i="20"/>
  <c r="IF16" i="20" s="1"/>
  <c r="HY16" i="20"/>
  <c r="HZ16" i="20" s="1"/>
  <c r="HS16" i="20"/>
  <c r="HT16" i="20" s="1"/>
  <c r="HL16" i="20"/>
  <c r="HM16" i="20" s="1"/>
  <c r="HA16" i="20"/>
  <c r="HB16" i="20" s="1"/>
  <c r="GU16" i="20"/>
  <c r="GV16" i="20" s="1"/>
  <c r="GO16" i="20"/>
  <c r="GP16" i="20" s="1"/>
  <c r="GI16" i="20"/>
  <c r="GH16" i="20"/>
  <c r="FW16" i="20"/>
  <c r="FX16" i="20" s="1"/>
  <c r="FQ16" i="20"/>
  <c r="FR16" i="20" s="1"/>
  <c r="FK16" i="20"/>
  <c r="FL16" i="20" s="1"/>
  <c r="FD16" i="20"/>
  <c r="FE16" i="20" s="1"/>
  <c r="ES16" i="20"/>
  <c r="ET16" i="20" s="1"/>
  <c r="EM16" i="20"/>
  <c r="EN16" i="20" s="1"/>
  <c r="EG16" i="20"/>
  <c r="EH16" i="20" s="1"/>
  <c r="DZ16" i="20"/>
  <c r="EA16" i="20" s="1"/>
  <c r="DO16" i="20"/>
  <c r="DP16" i="20" s="1"/>
  <c r="DI16" i="20"/>
  <c r="DJ16" i="20" s="1"/>
  <c r="DC16" i="20"/>
  <c r="DD16" i="20" s="1"/>
  <c r="CV16" i="20"/>
  <c r="CW16" i="20" s="1"/>
  <c r="CK16" i="20"/>
  <c r="CL16" i="20" s="1"/>
  <c r="CE16" i="20"/>
  <c r="CF16" i="20" s="1"/>
  <c r="BY16" i="20"/>
  <c r="BZ16" i="20" s="1"/>
  <c r="BS16" i="20"/>
  <c r="BR16" i="20"/>
  <c r="BG16" i="20"/>
  <c r="BH16" i="20" s="1"/>
  <c r="BA16" i="20"/>
  <c r="BB16" i="20" s="1"/>
  <c r="AU16" i="20"/>
  <c r="AV16" i="20" s="1"/>
  <c r="AN16" i="20"/>
  <c r="AO16" i="20" s="1"/>
  <c r="AC16" i="20"/>
  <c r="AD16" i="20" s="1"/>
  <c r="W16" i="20"/>
  <c r="X16" i="20" s="1"/>
  <c r="Q16" i="20"/>
  <c r="R16" i="20" s="1"/>
  <c r="J16" i="20"/>
  <c r="K16" i="20" s="1"/>
  <c r="NY15" i="20"/>
  <c r="NZ15" i="20" s="1"/>
  <c r="NT15" i="20"/>
  <c r="NS15" i="20"/>
  <c r="NM15" i="20"/>
  <c r="NN15" i="20" s="1"/>
  <c r="NF15" i="20"/>
  <c r="NG15" i="20" s="1"/>
  <c r="MU15" i="20"/>
  <c r="MV15" i="20" s="1"/>
  <c r="MO15" i="20"/>
  <c r="MP15" i="20" s="1"/>
  <c r="MI15" i="20"/>
  <c r="MJ15" i="20" s="1"/>
  <c r="MB15" i="20"/>
  <c r="MC15" i="20" s="1"/>
  <c r="LQ15" i="20"/>
  <c r="LR15" i="20" s="1"/>
  <c r="LK15" i="20"/>
  <c r="LL15" i="20" s="1"/>
  <c r="LE15" i="20"/>
  <c r="LF15" i="20" s="1"/>
  <c r="KX15" i="20"/>
  <c r="KY15" i="20" s="1"/>
  <c r="KM15" i="20"/>
  <c r="KN15" i="20" s="1"/>
  <c r="KG15" i="20"/>
  <c r="KH15" i="20" s="1"/>
  <c r="KA15" i="20"/>
  <c r="KB15" i="20" s="1"/>
  <c r="JT15" i="20"/>
  <c r="JU15" i="20" s="1"/>
  <c r="JI15" i="20"/>
  <c r="JJ15" i="20" s="1"/>
  <c r="JD15" i="20"/>
  <c r="JC15" i="20"/>
  <c r="IW15" i="20"/>
  <c r="IX15" i="20" s="1"/>
  <c r="IP15" i="20"/>
  <c r="IQ15" i="20" s="1"/>
  <c r="IE15" i="20"/>
  <c r="IF15" i="20" s="1"/>
  <c r="HY15" i="20"/>
  <c r="HZ15" i="20" s="1"/>
  <c r="HS15" i="20"/>
  <c r="HT15" i="20" s="1"/>
  <c r="HL15" i="20"/>
  <c r="HM15" i="20" s="1"/>
  <c r="HA15" i="20"/>
  <c r="HB15" i="20" s="1"/>
  <c r="GU15" i="20"/>
  <c r="GV15" i="20" s="1"/>
  <c r="GO15" i="20"/>
  <c r="GP15" i="20" s="1"/>
  <c r="GH15" i="20"/>
  <c r="GI15" i="20" s="1"/>
  <c r="FW15" i="20"/>
  <c r="FX15" i="20" s="1"/>
  <c r="FQ15" i="20"/>
  <c r="FR15" i="20" s="1"/>
  <c r="FK15" i="20"/>
  <c r="FL15" i="20" s="1"/>
  <c r="FD15" i="20"/>
  <c r="FE15" i="20" s="1"/>
  <c r="ES15" i="20"/>
  <c r="ET15" i="20" s="1"/>
  <c r="EN15" i="20"/>
  <c r="EM15" i="20"/>
  <c r="EG15" i="20"/>
  <c r="EH15" i="20" s="1"/>
  <c r="DZ15" i="20"/>
  <c r="EA15" i="20" s="1"/>
  <c r="DO15" i="20"/>
  <c r="DP15" i="20" s="1"/>
  <c r="DI15" i="20"/>
  <c r="DJ15" i="20" s="1"/>
  <c r="DC15" i="20"/>
  <c r="DD15" i="20" s="1"/>
  <c r="CV15" i="20"/>
  <c r="CW15" i="20" s="1"/>
  <c r="CK15" i="20"/>
  <c r="CL15" i="20" s="1"/>
  <c r="CE15" i="20"/>
  <c r="CF15" i="20" s="1"/>
  <c r="BY15" i="20"/>
  <c r="BZ15" i="20" s="1"/>
  <c r="BR15" i="20"/>
  <c r="BS15" i="20" s="1"/>
  <c r="BG15" i="20"/>
  <c r="BH15" i="20" s="1"/>
  <c r="BA15" i="20"/>
  <c r="BB15" i="20" s="1"/>
  <c r="AU15" i="20"/>
  <c r="AV15" i="20" s="1"/>
  <c r="AN15" i="20"/>
  <c r="AO15" i="20" s="1"/>
  <c r="AC15" i="20"/>
  <c r="AD15" i="20" s="1"/>
  <c r="X15" i="20"/>
  <c r="W15" i="20"/>
  <c r="Q15" i="20"/>
  <c r="R15" i="20" s="1"/>
  <c r="J15" i="20"/>
  <c r="K15" i="20" s="1"/>
  <c r="NY13" i="20"/>
  <c r="NZ13" i="20" s="1"/>
  <c r="NS13" i="20"/>
  <c r="NT13" i="20" s="1"/>
  <c r="NM13" i="20"/>
  <c r="NN13" i="20" s="1"/>
  <c r="NF13" i="20"/>
  <c r="NG13" i="20" s="1"/>
  <c r="MU13" i="20"/>
  <c r="MV13" i="20" s="1"/>
  <c r="MO13" i="20"/>
  <c r="MP13" i="20" s="1"/>
  <c r="MI13" i="20"/>
  <c r="MJ13" i="20" s="1"/>
  <c r="MB13" i="20"/>
  <c r="MC13" i="20" s="1"/>
  <c r="LQ13" i="20"/>
  <c r="LR13" i="20" s="1"/>
  <c r="LK13" i="20"/>
  <c r="LL13" i="20" s="1"/>
  <c r="LE13" i="20"/>
  <c r="LF13" i="20" s="1"/>
  <c r="KX13" i="20"/>
  <c r="KY13" i="20" s="1"/>
  <c r="KM13" i="20"/>
  <c r="KN13" i="20" s="1"/>
  <c r="KG13" i="20"/>
  <c r="KH13" i="20" s="1"/>
  <c r="KA13" i="20"/>
  <c r="KB13" i="20" s="1"/>
  <c r="JT13" i="20"/>
  <c r="JU13" i="20" s="1"/>
  <c r="JI13" i="20"/>
  <c r="JJ13" i="20" s="1"/>
  <c r="JC13" i="20"/>
  <c r="JD13" i="20" s="1"/>
  <c r="IW13" i="20"/>
  <c r="IX13" i="20" s="1"/>
  <c r="IP13" i="20"/>
  <c r="IQ13" i="20" s="1"/>
  <c r="IE13" i="20"/>
  <c r="IF13" i="20" s="1"/>
  <c r="HY13" i="20"/>
  <c r="HZ13" i="20" s="1"/>
  <c r="HS13" i="20"/>
  <c r="HT13" i="20" s="1"/>
  <c r="HL13" i="20"/>
  <c r="HM13" i="20" s="1"/>
  <c r="HA13" i="20"/>
  <c r="HB13" i="20" s="1"/>
  <c r="GU13" i="20"/>
  <c r="GV13" i="20" s="1"/>
  <c r="GO13" i="20"/>
  <c r="GP13" i="20" s="1"/>
  <c r="GH13" i="20"/>
  <c r="GI13" i="20" s="1"/>
  <c r="FW13" i="20"/>
  <c r="FX13" i="20" s="1"/>
  <c r="FR13" i="20"/>
  <c r="FQ13" i="20"/>
  <c r="FK13" i="20"/>
  <c r="FL13" i="20" s="1"/>
  <c r="FD13" i="20"/>
  <c r="FE13" i="20" s="1"/>
  <c r="ES13" i="20"/>
  <c r="ET13" i="20" s="1"/>
  <c r="EM13" i="20"/>
  <c r="EN13" i="20" s="1"/>
  <c r="EG13" i="20"/>
  <c r="EH13" i="20" s="1"/>
  <c r="DZ13" i="20"/>
  <c r="EA13" i="20" s="1"/>
  <c r="DO13" i="20"/>
  <c r="DP13" i="20" s="1"/>
  <c r="DI13" i="20"/>
  <c r="DJ13" i="20" s="1"/>
  <c r="DC13" i="20"/>
  <c r="DD13" i="20" s="1"/>
  <c r="CV13" i="20"/>
  <c r="CW13" i="20" s="1"/>
  <c r="CK13" i="20"/>
  <c r="CL13" i="20" s="1"/>
  <c r="CE13" i="20"/>
  <c r="CF13" i="20" s="1"/>
  <c r="BY13" i="20"/>
  <c r="BZ13" i="20" s="1"/>
  <c r="BR13" i="20"/>
  <c r="BS13" i="20" s="1"/>
  <c r="BG13" i="20"/>
  <c r="BH13" i="20" s="1"/>
  <c r="BA13" i="20"/>
  <c r="BB13" i="20" s="1"/>
  <c r="AU13" i="20"/>
  <c r="AV13" i="20" s="1"/>
  <c r="AN13" i="20"/>
  <c r="AO13" i="20" s="1"/>
  <c r="AC13" i="20"/>
  <c r="AD13" i="20" s="1"/>
  <c r="W13" i="20"/>
  <c r="X13" i="20" s="1"/>
  <c r="Q13" i="20"/>
  <c r="R13" i="20" s="1"/>
  <c r="J13" i="20"/>
  <c r="K13" i="20" s="1"/>
  <c r="NY12" i="20"/>
  <c r="NZ12" i="20" s="1"/>
  <c r="NS12" i="20"/>
  <c r="NT12" i="20" s="1"/>
  <c r="NM12" i="20"/>
  <c r="NN12" i="20" s="1"/>
  <c r="NF12" i="20"/>
  <c r="NG12" i="20" s="1"/>
  <c r="MU12" i="20"/>
  <c r="MV12" i="20" s="1"/>
  <c r="MO12" i="20"/>
  <c r="MP12" i="20" s="1"/>
  <c r="MI12" i="20"/>
  <c r="MJ12" i="20" s="1"/>
  <c r="MB12" i="20"/>
  <c r="MC12" i="20" s="1"/>
  <c r="LQ12" i="20"/>
  <c r="LR12" i="20" s="1"/>
  <c r="LL12" i="20"/>
  <c r="LK12" i="20"/>
  <c r="LE12" i="20"/>
  <c r="LF12" i="20" s="1"/>
  <c r="KX12" i="20"/>
  <c r="KY12" i="20" s="1"/>
  <c r="KM12" i="20"/>
  <c r="KN12" i="20" s="1"/>
  <c r="KG12" i="20"/>
  <c r="KH12" i="20" s="1"/>
  <c r="KA12" i="20"/>
  <c r="KB12" i="20" s="1"/>
  <c r="JT12" i="20"/>
  <c r="JU12" i="20" s="1"/>
  <c r="JI12" i="20"/>
  <c r="JJ12" i="20" s="1"/>
  <c r="JC12" i="20"/>
  <c r="JD12" i="20" s="1"/>
  <c r="IW12" i="20"/>
  <c r="IX12" i="20" s="1"/>
  <c r="IP12" i="20"/>
  <c r="IQ12" i="20" s="1"/>
  <c r="IE12" i="20"/>
  <c r="IF12" i="20" s="1"/>
  <c r="HY12" i="20"/>
  <c r="HZ12" i="20" s="1"/>
  <c r="HS12" i="20"/>
  <c r="HT12" i="20" s="1"/>
  <c r="HL12" i="20"/>
  <c r="HM12" i="20" s="1"/>
  <c r="HA12" i="20"/>
  <c r="HB12" i="20" s="1"/>
  <c r="GU12" i="20"/>
  <c r="GV12" i="20" s="1"/>
  <c r="GO12" i="20"/>
  <c r="GP12" i="20" s="1"/>
  <c r="GH12" i="20"/>
  <c r="GI12" i="20" s="1"/>
  <c r="FW12" i="20"/>
  <c r="FX12" i="20" s="1"/>
  <c r="FQ12" i="20"/>
  <c r="FR12" i="20" s="1"/>
  <c r="FK12" i="20"/>
  <c r="FL12" i="20" s="1"/>
  <c r="FD12" i="20"/>
  <c r="FE12" i="20" s="1"/>
  <c r="ES12" i="20"/>
  <c r="ET12" i="20" s="1"/>
  <c r="EM12" i="20"/>
  <c r="EN12" i="20" s="1"/>
  <c r="EG12" i="20"/>
  <c r="EH12" i="20" s="1"/>
  <c r="DZ12" i="20"/>
  <c r="EA12" i="20" s="1"/>
  <c r="DO12" i="20"/>
  <c r="DP12" i="20" s="1"/>
  <c r="DI12" i="20"/>
  <c r="DJ12" i="20" s="1"/>
  <c r="DC12" i="20"/>
  <c r="DD12" i="20" s="1"/>
  <c r="CV12" i="20"/>
  <c r="CW12" i="20" s="1"/>
  <c r="CK12" i="20"/>
  <c r="CL12" i="20" s="1"/>
  <c r="CF12" i="20"/>
  <c r="CE12" i="20"/>
  <c r="BY12" i="20"/>
  <c r="BZ12" i="20" s="1"/>
  <c r="BR12" i="20"/>
  <c r="BS12" i="20" s="1"/>
  <c r="BG12" i="20"/>
  <c r="BH12" i="20" s="1"/>
  <c r="BA12" i="20"/>
  <c r="BB12" i="20" s="1"/>
  <c r="AU12" i="20"/>
  <c r="AV12" i="20" s="1"/>
  <c r="AN12" i="20"/>
  <c r="AO12" i="20" s="1"/>
  <c r="AC12" i="20"/>
  <c r="AD12" i="20" s="1"/>
  <c r="W12" i="20"/>
  <c r="X12" i="20" s="1"/>
  <c r="Q12" i="20"/>
  <c r="R12" i="20" s="1"/>
  <c r="J12" i="20"/>
  <c r="K12" i="20" s="1"/>
  <c r="NY11" i="20"/>
  <c r="NZ11" i="20" s="1"/>
  <c r="NS11" i="20"/>
  <c r="NT11" i="20" s="1"/>
  <c r="NM11" i="20"/>
  <c r="NN11" i="20" s="1"/>
  <c r="NF11" i="20"/>
  <c r="NG11" i="20" s="1"/>
  <c r="MU11" i="20"/>
  <c r="MV11" i="20" s="1"/>
  <c r="MO11" i="20"/>
  <c r="MP11" i="20" s="1"/>
  <c r="MI11" i="20"/>
  <c r="MJ11" i="20" s="1"/>
  <c r="MB11" i="20"/>
  <c r="MC11" i="20" s="1"/>
  <c r="LQ11" i="20"/>
  <c r="LR11" i="20" s="1"/>
  <c r="LK11" i="20"/>
  <c r="LL11" i="20" s="1"/>
  <c r="LE11" i="20"/>
  <c r="LF11" i="20" s="1"/>
  <c r="KX11" i="20"/>
  <c r="KY11" i="20" s="1"/>
  <c r="KM11" i="20"/>
  <c r="KN11" i="20" s="1"/>
  <c r="KG11" i="20"/>
  <c r="KH11" i="20" s="1"/>
  <c r="KA11" i="20"/>
  <c r="KB11" i="20" s="1"/>
  <c r="JT11" i="20"/>
  <c r="JU11" i="20" s="1"/>
  <c r="JI11" i="20"/>
  <c r="JJ11" i="20" s="1"/>
  <c r="JC11" i="20"/>
  <c r="JD11" i="20" s="1"/>
  <c r="IW11" i="20"/>
  <c r="IX11" i="20" s="1"/>
  <c r="IP11" i="20"/>
  <c r="IQ11" i="20" s="1"/>
  <c r="IE11" i="20"/>
  <c r="IF11" i="20" s="1"/>
  <c r="HZ11" i="20"/>
  <c r="HY11" i="20"/>
  <c r="HS11" i="20"/>
  <c r="HT11" i="20" s="1"/>
  <c r="HL11" i="20"/>
  <c r="HM11" i="20" s="1"/>
  <c r="HA11" i="20"/>
  <c r="HB11" i="20" s="1"/>
  <c r="GU11" i="20"/>
  <c r="GV11" i="20" s="1"/>
  <c r="GO11" i="20"/>
  <c r="GP11" i="20" s="1"/>
  <c r="GH11" i="20"/>
  <c r="GI11" i="20" s="1"/>
  <c r="FW11" i="20"/>
  <c r="FX11" i="20" s="1"/>
  <c r="FQ11" i="20"/>
  <c r="FR11" i="20" s="1"/>
  <c r="FK11" i="20"/>
  <c r="FL11" i="20" s="1"/>
  <c r="FD11" i="20"/>
  <c r="FE11" i="20" s="1"/>
  <c r="ES11" i="20"/>
  <c r="ET11" i="20" s="1"/>
  <c r="EM11" i="20"/>
  <c r="EN11" i="20" s="1"/>
  <c r="EG11" i="20"/>
  <c r="EH11" i="20" s="1"/>
  <c r="DZ11" i="20"/>
  <c r="EA11" i="20" s="1"/>
  <c r="DO11" i="20"/>
  <c r="DP11" i="20" s="1"/>
  <c r="DI11" i="20"/>
  <c r="DJ11" i="20" s="1"/>
  <c r="DC11" i="20"/>
  <c r="DD11" i="20" s="1"/>
  <c r="CV11" i="20"/>
  <c r="CW11" i="20" s="1"/>
  <c r="CK11" i="20"/>
  <c r="CL11" i="20" s="1"/>
  <c r="CE11" i="20"/>
  <c r="CF11" i="20" s="1"/>
  <c r="BY11" i="20"/>
  <c r="BZ11" i="20" s="1"/>
  <c r="BR11" i="20"/>
  <c r="BS11" i="20" s="1"/>
  <c r="BG11" i="20"/>
  <c r="BH11" i="20" s="1"/>
  <c r="BA11" i="20"/>
  <c r="BB11" i="20" s="1"/>
  <c r="AU11" i="20"/>
  <c r="AV11" i="20" s="1"/>
  <c r="AN11" i="20"/>
  <c r="AO11" i="20" s="1"/>
  <c r="AC11" i="20"/>
  <c r="AD11" i="20" s="1"/>
  <c r="W11" i="20"/>
  <c r="X11" i="20" s="1"/>
  <c r="Q11" i="20"/>
  <c r="R11" i="20" s="1"/>
  <c r="J11" i="20"/>
  <c r="K11" i="20" s="1"/>
  <c r="NY10" i="20"/>
  <c r="NZ10" i="20" s="1"/>
  <c r="NT10" i="20"/>
  <c r="NS10" i="20"/>
  <c r="NM10" i="20"/>
  <c r="NN10" i="20" s="1"/>
  <c r="NF10" i="20"/>
  <c r="NG10" i="20" s="1"/>
  <c r="MU10" i="20"/>
  <c r="MV10" i="20" s="1"/>
  <c r="MO10" i="20"/>
  <c r="MP10" i="20" s="1"/>
  <c r="MI10" i="20"/>
  <c r="MJ10" i="20" s="1"/>
  <c r="MB10" i="20"/>
  <c r="MC10" i="20" s="1"/>
  <c r="LQ10" i="20"/>
  <c r="LR10" i="20" s="1"/>
  <c r="LK10" i="20"/>
  <c r="LL10" i="20" s="1"/>
  <c r="LE10" i="20"/>
  <c r="LF10" i="20" s="1"/>
  <c r="KX10" i="20"/>
  <c r="KY10" i="20" s="1"/>
  <c r="KM10" i="20"/>
  <c r="KN10" i="20" s="1"/>
  <c r="KG10" i="20"/>
  <c r="KH10" i="20" s="1"/>
  <c r="KA10" i="20"/>
  <c r="KB10" i="20" s="1"/>
  <c r="JT10" i="20"/>
  <c r="JU10" i="20" s="1"/>
  <c r="JI10" i="20"/>
  <c r="JJ10" i="20" s="1"/>
  <c r="JC10" i="20"/>
  <c r="JD10" i="20" s="1"/>
  <c r="IW10" i="20"/>
  <c r="IX10" i="20" s="1"/>
  <c r="IP10" i="20"/>
  <c r="IQ10" i="20" s="1"/>
  <c r="IE10" i="20"/>
  <c r="IF10" i="20" s="1"/>
  <c r="HY10" i="20"/>
  <c r="HZ10" i="20" s="1"/>
  <c r="HS10" i="20"/>
  <c r="HT10" i="20" s="1"/>
  <c r="HL10" i="20"/>
  <c r="HM10" i="20" s="1"/>
  <c r="HA10" i="20"/>
  <c r="HB10" i="20" s="1"/>
  <c r="GU10" i="20"/>
  <c r="GV10" i="20" s="1"/>
  <c r="GO10" i="20"/>
  <c r="GP10" i="20" s="1"/>
  <c r="GH10" i="20"/>
  <c r="GI10" i="20" s="1"/>
  <c r="FW10" i="20"/>
  <c r="FX10" i="20" s="1"/>
  <c r="FQ10" i="20"/>
  <c r="FR10" i="20" s="1"/>
  <c r="FK10" i="20"/>
  <c r="FL10" i="20" s="1"/>
  <c r="FD10" i="20"/>
  <c r="FE10" i="20" s="1"/>
  <c r="ES10" i="20"/>
  <c r="ET10" i="20" s="1"/>
  <c r="EN10" i="20"/>
  <c r="EM10" i="20"/>
  <c r="EG10" i="20"/>
  <c r="EH10" i="20" s="1"/>
  <c r="DZ10" i="20"/>
  <c r="EA10" i="20" s="1"/>
  <c r="DO10" i="20"/>
  <c r="DP10" i="20" s="1"/>
  <c r="DI10" i="20"/>
  <c r="DJ10" i="20" s="1"/>
  <c r="DC10" i="20"/>
  <c r="DD10" i="20" s="1"/>
  <c r="CV10" i="20"/>
  <c r="CW10" i="20" s="1"/>
  <c r="CK10" i="20"/>
  <c r="CL10" i="20" s="1"/>
  <c r="CE10" i="20"/>
  <c r="CF10" i="20" s="1"/>
  <c r="BY10" i="20"/>
  <c r="BZ10" i="20" s="1"/>
  <c r="BR10" i="20"/>
  <c r="BS10" i="20" s="1"/>
  <c r="BG10" i="20"/>
  <c r="BH10" i="20" s="1"/>
  <c r="BA10" i="20"/>
  <c r="BB10" i="20" s="1"/>
  <c r="AU10" i="20"/>
  <c r="AV10" i="20" s="1"/>
  <c r="AN10" i="20"/>
  <c r="AO10" i="20" s="1"/>
  <c r="AC10" i="20"/>
  <c r="AD10" i="20" s="1"/>
  <c r="W10" i="20"/>
  <c r="X10" i="20" s="1"/>
  <c r="Q10" i="20"/>
  <c r="R10" i="20" s="1"/>
  <c r="J10" i="20"/>
  <c r="K10" i="20" s="1"/>
  <c r="NY8" i="20"/>
  <c r="NZ8" i="20" s="1"/>
  <c r="NS8" i="20"/>
  <c r="NT8" i="20" s="1"/>
  <c r="NM8" i="20"/>
  <c r="NN8" i="20" s="1"/>
  <c r="NF8" i="20"/>
  <c r="NG8" i="20" s="1"/>
  <c r="MU8" i="20"/>
  <c r="MV8" i="20" s="1"/>
  <c r="MO8" i="20"/>
  <c r="MP8" i="20" s="1"/>
  <c r="MI8" i="20"/>
  <c r="MJ8" i="20" s="1"/>
  <c r="MB8" i="20"/>
  <c r="MC8" i="20" s="1"/>
  <c r="LQ8" i="20"/>
  <c r="LR8" i="20" s="1"/>
  <c r="LK8" i="20"/>
  <c r="LL8" i="20" s="1"/>
  <c r="LE8" i="20"/>
  <c r="LF8" i="20" s="1"/>
  <c r="KX8" i="20"/>
  <c r="KY8" i="20" s="1"/>
  <c r="KM8" i="20"/>
  <c r="KN8" i="20" s="1"/>
  <c r="KH8" i="20"/>
  <c r="KG8" i="20"/>
  <c r="KA8" i="20"/>
  <c r="KB8" i="20" s="1"/>
  <c r="JT8" i="20"/>
  <c r="JU8" i="20" s="1"/>
  <c r="JI8" i="20"/>
  <c r="JJ8" i="20" s="1"/>
  <c r="JC8" i="20"/>
  <c r="JD8" i="20" s="1"/>
  <c r="IW8" i="20"/>
  <c r="IX8" i="20" s="1"/>
  <c r="IP8" i="20"/>
  <c r="IQ8" i="20" s="1"/>
  <c r="IE8" i="20"/>
  <c r="IF8" i="20" s="1"/>
  <c r="HY8" i="20"/>
  <c r="HZ8" i="20" s="1"/>
  <c r="HS8" i="20"/>
  <c r="HT8" i="20" s="1"/>
  <c r="HL8" i="20"/>
  <c r="HM8" i="20" s="1"/>
  <c r="HA8" i="20"/>
  <c r="HB8" i="20" s="1"/>
  <c r="GU8" i="20"/>
  <c r="GV8" i="20" s="1"/>
  <c r="GO8" i="20"/>
  <c r="GP8" i="20" s="1"/>
  <c r="GH8" i="20"/>
  <c r="GI8" i="20" s="1"/>
  <c r="FW8" i="20"/>
  <c r="FX8" i="20" s="1"/>
  <c r="FQ8" i="20"/>
  <c r="FR8" i="20" s="1"/>
  <c r="FK8" i="20"/>
  <c r="FL8" i="20" s="1"/>
  <c r="FD8" i="20"/>
  <c r="FE8" i="20" s="1"/>
  <c r="ES8" i="20"/>
  <c r="ET8" i="20" s="1"/>
  <c r="EM8" i="20"/>
  <c r="EN8" i="20" s="1"/>
  <c r="EG8" i="20"/>
  <c r="EH8" i="20" s="1"/>
  <c r="DZ8" i="20"/>
  <c r="EA8" i="20" s="1"/>
  <c r="DO8" i="20"/>
  <c r="DP8" i="20" s="1"/>
  <c r="DI8" i="20"/>
  <c r="DJ8" i="20" s="1"/>
  <c r="DC8" i="20"/>
  <c r="DD8" i="20" s="1"/>
  <c r="CV8" i="20"/>
  <c r="CW8" i="20" s="1"/>
  <c r="CK8" i="20"/>
  <c r="CL8" i="20" s="1"/>
  <c r="CE8" i="20"/>
  <c r="CF8" i="20" s="1"/>
  <c r="BY8" i="20"/>
  <c r="BZ8" i="20" s="1"/>
  <c r="BR8" i="20"/>
  <c r="BS8" i="20" s="1"/>
  <c r="BG8" i="20"/>
  <c r="BH8" i="20" s="1"/>
  <c r="BB8" i="20"/>
  <c r="BA8" i="20"/>
  <c r="AU8" i="20"/>
  <c r="AV8" i="20" s="1"/>
  <c r="AN8" i="20"/>
  <c r="AO8" i="20" s="1"/>
  <c r="AC8" i="20"/>
  <c r="AD8" i="20" s="1"/>
  <c r="W8" i="20"/>
  <c r="X8" i="20" s="1"/>
  <c r="Q8" i="20"/>
  <c r="R8" i="20" s="1"/>
  <c r="J8" i="20"/>
  <c r="K8" i="20" s="1"/>
  <c r="NY7" i="20"/>
  <c r="NZ7" i="20" s="1"/>
  <c r="NS7" i="20"/>
  <c r="NT7" i="20" s="1"/>
  <c r="NM7" i="20"/>
  <c r="NN7" i="20" s="1"/>
  <c r="NF7" i="20"/>
  <c r="NG7" i="20" s="1"/>
  <c r="MU7" i="20"/>
  <c r="MV7" i="20" s="1"/>
  <c r="MO7" i="20"/>
  <c r="MP7" i="20" s="1"/>
  <c r="MI7" i="20"/>
  <c r="MJ7" i="20" s="1"/>
  <c r="MB7" i="20"/>
  <c r="MC7" i="20" s="1"/>
  <c r="LQ7" i="20"/>
  <c r="LR7" i="20" s="1"/>
  <c r="LK7" i="20"/>
  <c r="LL7" i="20" s="1"/>
  <c r="LE7" i="20"/>
  <c r="LF7" i="20" s="1"/>
  <c r="KX7" i="20"/>
  <c r="KY7" i="20" s="1"/>
  <c r="KM7" i="20"/>
  <c r="KN7" i="20" s="1"/>
  <c r="KG7" i="20"/>
  <c r="KH7" i="20" s="1"/>
  <c r="KA7" i="20"/>
  <c r="KB7" i="20" s="1"/>
  <c r="JT7" i="20"/>
  <c r="JU7" i="20" s="1"/>
  <c r="JI7" i="20"/>
  <c r="JJ7" i="20" s="1"/>
  <c r="JC7" i="20"/>
  <c r="JD7" i="20" s="1"/>
  <c r="IW7" i="20"/>
  <c r="IX7" i="20" s="1"/>
  <c r="IP7" i="20"/>
  <c r="IQ7" i="20" s="1"/>
  <c r="IE7" i="20"/>
  <c r="IF7" i="20" s="1"/>
  <c r="HY7" i="20"/>
  <c r="HZ7" i="20" s="1"/>
  <c r="HS7" i="20"/>
  <c r="HT7" i="20" s="1"/>
  <c r="HL7" i="20"/>
  <c r="HM7" i="20" s="1"/>
  <c r="HA7" i="20"/>
  <c r="HB7" i="20" s="1"/>
  <c r="GV7" i="20"/>
  <c r="GU7" i="20"/>
  <c r="GO7" i="20"/>
  <c r="GP7" i="20" s="1"/>
  <c r="GH7" i="20"/>
  <c r="GI7" i="20" s="1"/>
  <c r="FW7" i="20"/>
  <c r="FX7" i="20" s="1"/>
  <c r="FQ7" i="20"/>
  <c r="FR7" i="20" s="1"/>
  <c r="FK7" i="20"/>
  <c r="FL7" i="20" s="1"/>
  <c r="FD7" i="20"/>
  <c r="FE7" i="20" s="1"/>
  <c r="ES7" i="20"/>
  <c r="ET7" i="20" s="1"/>
  <c r="EM7" i="20"/>
  <c r="EN7" i="20" s="1"/>
  <c r="EG7" i="20"/>
  <c r="EH7" i="20" s="1"/>
  <c r="DZ7" i="20"/>
  <c r="EA7" i="20" s="1"/>
  <c r="DO7" i="20"/>
  <c r="DP7" i="20" s="1"/>
  <c r="DI7" i="20"/>
  <c r="DJ7" i="20" s="1"/>
  <c r="DC7" i="20"/>
  <c r="DD7" i="20" s="1"/>
  <c r="CV7" i="20"/>
  <c r="CW7" i="20" s="1"/>
  <c r="CK7" i="20"/>
  <c r="CL7" i="20" s="1"/>
  <c r="CE7" i="20"/>
  <c r="CF7" i="20" s="1"/>
  <c r="BY7" i="20"/>
  <c r="BZ7" i="20" s="1"/>
  <c r="BR7" i="20"/>
  <c r="BS7" i="20" s="1"/>
  <c r="BG7" i="20"/>
  <c r="BH7" i="20" s="1"/>
  <c r="BA7" i="20"/>
  <c r="BB7" i="20" s="1"/>
  <c r="AU7" i="20"/>
  <c r="AV7" i="20" s="1"/>
  <c r="AN7" i="20"/>
  <c r="AO7" i="20" s="1"/>
  <c r="AC7" i="20"/>
  <c r="AD7" i="20" s="1"/>
  <c r="W7" i="20"/>
  <c r="X7" i="20" s="1"/>
  <c r="Q7" i="20"/>
  <c r="R7" i="20" s="1"/>
  <c r="J7" i="20"/>
  <c r="K7" i="20" s="1"/>
  <c r="NY6" i="20"/>
  <c r="NZ6" i="20" s="1"/>
  <c r="NS6" i="20"/>
  <c r="NT6" i="20" s="1"/>
  <c r="NM6" i="20"/>
  <c r="NN6" i="20" s="1"/>
  <c r="NF6" i="20"/>
  <c r="NG6" i="20" s="1"/>
  <c r="MU6" i="20"/>
  <c r="MV6" i="20" s="1"/>
  <c r="MP6" i="20"/>
  <c r="MO6" i="20"/>
  <c r="MI6" i="20"/>
  <c r="MJ6" i="20" s="1"/>
  <c r="MB6" i="20"/>
  <c r="MC6" i="20" s="1"/>
  <c r="LQ6" i="20"/>
  <c r="LR6" i="20" s="1"/>
  <c r="LK6" i="20"/>
  <c r="LL6" i="20" s="1"/>
  <c r="LE6" i="20"/>
  <c r="LF6" i="20" s="1"/>
  <c r="KX6" i="20"/>
  <c r="KY6" i="20" s="1"/>
  <c r="KM6" i="20"/>
  <c r="KN6" i="20" s="1"/>
  <c r="KG6" i="20"/>
  <c r="KH6" i="20" s="1"/>
  <c r="KA6" i="20"/>
  <c r="KB6" i="20" s="1"/>
  <c r="JT6" i="20"/>
  <c r="JU6" i="20" s="1"/>
  <c r="JI6" i="20"/>
  <c r="JJ6" i="20" s="1"/>
  <c r="JC6" i="20"/>
  <c r="JD6" i="20" s="1"/>
  <c r="IW6" i="20"/>
  <c r="IX6" i="20" s="1"/>
  <c r="IP6" i="20"/>
  <c r="IQ6" i="20" s="1"/>
  <c r="IE6" i="20"/>
  <c r="IF6" i="20" s="1"/>
  <c r="HY6" i="20"/>
  <c r="HZ6" i="20" s="1"/>
  <c r="HS6" i="20"/>
  <c r="HT6" i="20" s="1"/>
  <c r="HL6" i="20"/>
  <c r="HM6" i="20" s="1"/>
  <c r="HA6" i="20"/>
  <c r="HB6" i="20" s="1"/>
  <c r="GU6" i="20"/>
  <c r="GV6" i="20" s="1"/>
  <c r="GO6" i="20"/>
  <c r="GP6" i="20" s="1"/>
  <c r="GH6" i="20"/>
  <c r="GI6" i="20" s="1"/>
  <c r="FW6" i="20"/>
  <c r="FX6" i="20" s="1"/>
  <c r="FQ6" i="20"/>
  <c r="FR6" i="20" s="1"/>
  <c r="FK6" i="20"/>
  <c r="FL6" i="20" s="1"/>
  <c r="FD6" i="20"/>
  <c r="FE6" i="20" s="1"/>
  <c r="ES6" i="20"/>
  <c r="ET6" i="20" s="1"/>
  <c r="EM6" i="20"/>
  <c r="EN6" i="20" s="1"/>
  <c r="EG6" i="20"/>
  <c r="EH6" i="20" s="1"/>
  <c r="DZ6" i="20"/>
  <c r="EA6" i="20" s="1"/>
  <c r="DO6" i="20"/>
  <c r="DP6" i="20" s="1"/>
  <c r="DJ6" i="20"/>
  <c r="DI6" i="20"/>
  <c r="DC6" i="20"/>
  <c r="DD6" i="20" s="1"/>
  <c r="CV6" i="20"/>
  <c r="CW6" i="20" s="1"/>
  <c r="CK6" i="20"/>
  <c r="CL6" i="20" s="1"/>
  <c r="CE6" i="20"/>
  <c r="CF6" i="20" s="1"/>
  <c r="BY6" i="20"/>
  <c r="BZ6" i="20" s="1"/>
  <c r="BR6" i="20"/>
  <c r="BS6" i="20" s="1"/>
  <c r="BG6" i="20"/>
  <c r="BH6" i="20" s="1"/>
  <c r="BA6" i="20"/>
  <c r="BB6" i="20" s="1"/>
  <c r="AU6" i="20"/>
  <c r="AV6" i="20" s="1"/>
  <c r="AN6" i="20"/>
  <c r="AO6" i="20" s="1"/>
  <c r="AC6" i="20"/>
  <c r="AD6" i="20" s="1"/>
  <c r="W6" i="20"/>
  <c r="X6" i="20" s="1"/>
  <c r="Q6" i="20"/>
  <c r="R6" i="20" s="1"/>
  <c r="J6" i="20"/>
  <c r="K6" i="20" s="1"/>
  <c r="NY5" i="20"/>
  <c r="NZ5" i="20" s="1"/>
  <c r="NS5" i="20"/>
  <c r="NT5" i="20" s="1"/>
  <c r="NM5" i="20"/>
  <c r="NN5" i="20" s="1"/>
  <c r="NF5" i="20"/>
  <c r="NG5" i="20" s="1"/>
  <c r="MU5" i="20"/>
  <c r="MV5" i="20" s="1"/>
  <c r="MO5" i="20"/>
  <c r="MP5" i="20" s="1"/>
  <c r="MI5" i="20"/>
  <c r="MJ5" i="20" s="1"/>
  <c r="MB5" i="20"/>
  <c r="MC5" i="20" s="1"/>
  <c r="LQ5" i="20"/>
  <c r="LR5" i="20" s="1"/>
  <c r="LK5" i="20"/>
  <c r="LL5" i="20" s="1"/>
  <c r="LE5" i="20"/>
  <c r="LF5" i="20" s="1"/>
  <c r="KX5" i="20"/>
  <c r="KY5" i="20" s="1"/>
  <c r="KM5" i="20"/>
  <c r="KN5" i="20" s="1"/>
  <c r="KG5" i="20"/>
  <c r="KH5" i="20" s="1"/>
  <c r="KA5" i="20"/>
  <c r="KB5" i="20" s="1"/>
  <c r="JT5" i="20"/>
  <c r="JU5" i="20" s="1"/>
  <c r="JI5" i="20"/>
  <c r="JJ5" i="20" s="1"/>
  <c r="JD5" i="20"/>
  <c r="JC5" i="20"/>
  <c r="IW5" i="20"/>
  <c r="IX5" i="20" s="1"/>
  <c r="IP5" i="20"/>
  <c r="IQ5" i="20" s="1"/>
  <c r="IE5" i="20"/>
  <c r="IF5" i="20" s="1"/>
  <c r="HY5" i="20"/>
  <c r="HZ5" i="20" s="1"/>
  <c r="HS5" i="20"/>
  <c r="HT5" i="20" s="1"/>
  <c r="HL5" i="20"/>
  <c r="HM5" i="20" s="1"/>
  <c r="HA5" i="20"/>
  <c r="HB5" i="20" s="1"/>
  <c r="GU5" i="20"/>
  <c r="GV5" i="20" s="1"/>
  <c r="GO5" i="20"/>
  <c r="GP5" i="20" s="1"/>
  <c r="GH5" i="20"/>
  <c r="GI5" i="20" s="1"/>
  <c r="FW5" i="20"/>
  <c r="FX5" i="20" s="1"/>
  <c r="FQ5" i="20"/>
  <c r="FR5" i="20" s="1"/>
  <c r="FK5" i="20"/>
  <c r="FL5" i="20" s="1"/>
  <c r="FD5" i="20"/>
  <c r="FE5" i="20" s="1"/>
  <c r="ES5" i="20"/>
  <c r="ET5" i="20" s="1"/>
  <c r="EM5" i="20"/>
  <c r="EN5" i="20" s="1"/>
  <c r="EG5" i="20"/>
  <c r="EH5" i="20" s="1"/>
  <c r="DZ5" i="20"/>
  <c r="EA5" i="20" s="1"/>
  <c r="DO5" i="20"/>
  <c r="DP5" i="20" s="1"/>
  <c r="DI5" i="20"/>
  <c r="DJ5" i="20" s="1"/>
  <c r="DC5" i="20"/>
  <c r="DD5" i="20" s="1"/>
  <c r="CV5" i="20"/>
  <c r="CW5" i="20" s="1"/>
  <c r="CK5" i="20"/>
  <c r="CL5" i="20" s="1"/>
  <c r="CE5" i="20"/>
  <c r="CF5" i="20" s="1"/>
  <c r="BY5" i="20"/>
  <c r="BZ5" i="20" s="1"/>
  <c r="BR5" i="20"/>
  <c r="BS5" i="20" s="1"/>
  <c r="BG5" i="20"/>
  <c r="BH5" i="20" s="1"/>
  <c r="BA5" i="20"/>
  <c r="BB5" i="20" s="1"/>
  <c r="AU5" i="20"/>
  <c r="AV5" i="20" s="1"/>
  <c r="AN5" i="20"/>
  <c r="AO5" i="20" s="1"/>
  <c r="AC5" i="20"/>
  <c r="AD5" i="20" s="1"/>
  <c r="X5" i="20"/>
  <c r="W5" i="20"/>
  <c r="Q5" i="20"/>
  <c r="R5" i="20" s="1"/>
  <c r="J5" i="20"/>
  <c r="K5" i="20" s="1"/>
  <c r="NY4" i="20"/>
  <c r="NZ4" i="20" s="1"/>
  <c r="NS4" i="20"/>
  <c r="NT4" i="20" s="1"/>
  <c r="NM4" i="20"/>
  <c r="NN4" i="20" s="1"/>
  <c r="NF4" i="20"/>
  <c r="NG4" i="20" s="1"/>
  <c r="MU4" i="20"/>
  <c r="MV4" i="20" s="1"/>
  <c r="MO4" i="20"/>
  <c r="MP4" i="20" s="1"/>
  <c r="MI4" i="20"/>
  <c r="MJ4" i="20" s="1"/>
  <c r="MB4" i="20"/>
  <c r="MC4" i="20" s="1"/>
  <c r="LQ4" i="20"/>
  <c r="LR4" i="20" s="1"/>
  <c r="LK4" i="20"/>
  <c r="LL4" i="20" s="1"/>
  <c r="LE4" i="20"/>
  <c r="LF4" i="20" s="1"/>
  <c r="KX4" i="20"/>
  <c r="KY4" i="20" s="1"/>
  <c r="KM4" i="20"/>
  <c r="KN4" i="20" s="1"/>
  <c r="KG4" i="20"/>
  <c r="KH4" i="20" s="1"/>
  <c r="KA4" i="20"/>
  <c r="KB4" i="20" s="1"/>
  <c r="JT4" i="20"/>
  <c r="JU4" i="20" s="1"/>
  <c r="JI4" i="20"/>
  <c r="JJ4" i="20" s="1"/>
  <c r="JC4" i="20"/>
  <c r="JD4" i="20" s="1"/>
  <c r="IW4" i="20"/>
  <c r="IX4" i="20" s="1"/>
  <c r="IP4" i="20"/>
  <c r="IQ4" i="20" s="1"/>
  <c r="IE4" i="20"/>
  <c r="IF4" i="20" s="1"/>
  <c r="HY4" i="20"/>
  <c r="HZ4" i="20" s="1"/>
  <c r="HS4" i="20"/>
  <c r="HT4" i="20" s="1"/>
  <c r="HL4" i="20"/>
  <c r="HM4" i="20" s="1"/>
  <c r="HA4" i="20"/>
  <c r="HB4" i="20" s="1"/>
  <c r="GU4" i="20"/>
  <c r="GV4" i="20" s="1"/>
  <c r="GO4" i="20"/>
  <c r="GP4" i="20" s="1"/>
  <c r="GH4" i="20"/>
  <c r="GI4" i="20" s="1"/>
  <c r="FW4" i="20"/>
  <c r="FX4" i="20" s="1"/>
  <c r="FR4" i="20"/>
  <c r="FQ4" i="20"/>
  <c r="FK4" i="20"/>
  <c r="FL4" i="20" s="1"/>
  <c r="FD4" i="20"/>
  <c r="FE4" i="20" s="1"/>
  <c r="ES4" i="20"/>
  <c r="ET4" i="20" s="1"/>
  <c r="EM4" i="20"/>
  <c r="EN4" i="20" s="1"/>
  <c r="EG4" i="20"/>
  <c r="EH4" i="20" s="1"/>
  <c r="DZ4" i="20"/>
  <c r="EA4" i="20" s="1"/>
  <c r="DO4" i="20"/>
  <c r="DP4" i="20" s="1"/>
  <c r="DI4" i="20"/>
  <c r="DJ4" i="20" s="1"/>
  <c r="DC4" i="20"/>
  <c r="DD4" i="20" s="1"/>
  <c r="CV4" i="20"/>
  <c r="CW4" i="20" s="1"/>
  <c r="CK4" i="20"/>
  <c r="CL4" i="20" s="1"/>
  <c r="CE4" i="20"/>
  <c r="CF4" i="20" s="1"/>
  <c r="BY4" i="20"/>
  <c r="BZ4" i="20" s="1"/>
  <c r="BR4" i="20"/>
  <c r="BS4" i="20" s="1"/>
  <c r="BG4" i="20"/>
  <c r="BH4" i="20" s="1"/>
  <c r="BA4" i="20"/>
  <c r="BB4" i="20" s="1"/>
  <c r="AU4" i="20"/>
  <c r="AV4" i="20" s="1"/>
  <c r="AN4" i="20"/>
  <c r="AO4" i="20" s="1"/>
  <c r="AC4" i="20"/>
  <c r="AD4" i="20" s="1"/>
  <c r="W4" i="20"/>
  <c r="X4" i="20" s="1"/>
  <c r="Q4" i="20"/>
  <c r="R4" i="20" s="1"/>
  <c r="J4" i="20"/>
  <c r="K4" i="20" s="1"/>
  <c r="AG48" i="19" l="1"/>
  <c r="W48" i="19"/>
  <c r="T48" i="19"/>
  <c r="M48" i="19"/>
  <c r="K48" i="19"/>
  <c r="C48" i="19"/>
  <c r="AG47" i="19"/>
  <c r="AD47" i="19"/>
  <c r="W47" i="19"/>
  <c r="T47" i="19"/>
  <c r="M47" i="19"/>
  <c r="K47" i="19"/>
  <c r="C47" i="19"/>
  <c r="AG46" i="19"/>
  <c r="W46" i="19"/>
  <c r="T46" i="19"/>
  <c r="M46" i="19"/>
  <c r="K46" i="19"/>
  <c r="C46" i="19"/>
  <c r="AG44" i="19"/>
  <c r="AD44" i="19"/>
  <c r="W44" i="19"/>
  <c r="T44" i="19"/>
  <c r="M44" i="19"/>
  <c r="K44" i="19"/>
  <c r="C44" i="19"/>
  <c r="AG43" i="19"/>
  <c r="AD43" i="19"/>
  <c r="W43" i="19"/>
  <c r="T43" i="19"/>
  <c r="M43" i="19"/>
  <c r="K43" i="19"/>
  <c r="C43" i="19"/>
  <c r="AG41" i="19"/>
  <c r="AD41" i="19"/>
  <c r="W41" i="19"/>
  <c r="T41" i="19"/>
  <c r="M41" i="19"/>
  <c r="K41" i="19"/>
  <c r="C41" i="19"/>
  <c r="AG40" i="19"/>
  <c r="AD40" i="19"/>
  <c r="W40" i="19"/>
  <c r="T40" i="19"/>
  <c r="M40" i="19"/>
  <c r="K40" i="19"/>
  <c r="C40" i="19"/>
  <c r="AG39" i="19"/>
  <c r="AD39" i="19"/>
  <c r="W39" i="19"/>
  <c r="T39" i="19"/>
  <c r="M39" i="19"/>
  <c r="K39" i="19"/>
  <c r="C39" i="19"/>
  <c r="AG38" i="19"/>
  <c r="AD38" i="19"/>
  <c r="W38" i="19"/>
  <c r="T38" i="19"/>
  <c r="M38" i="19"/>
  <c r="K38" i="19"/>
  <c r="C38" i="19"/>
  <c r="AG37" i="19"/>
  <c r="AD37" i="19"/>
  <c r="W37" i="19"/>
  <c r="T37" i="19"/>
  <c r="M37" i="19"/>
  <c r="K37" i="19"/>
  <c r="C37" i="19"/>
  <c r="AG36" i="19"/>
  <c r="AD36" i="19"/>
  <c r="W36" i="19"/>
  <c r="T36" i="19"/>
  <c r="M36" i="19"/>
  <c r="K36" i="19"/>
  <c r="C36" i="19"/>
  <c r="AG35" i="19"/>
  <c r="AD35" i="19"/>
  <c r="W35" i="19"/>
  <c r="T35" i="19"/>
  <c r="M35" i="19"/>
  <c r="K35" i="19"/>
  <c r="C35" i="19"/>
  <c r="AG34" i="19"/>
  <c r="AD34" i="19"/>
  <c r="W34" i="19"/>
  <c r="T34" i="19"/>
  <c r="M34" i="19"/>
  <c r="K34" i="19"/>
  <c r="C34" i="19"/>
  <c r="AG33" i="19"/>
  <c r="AD33" i="19"/>
  <c r="W33" i="19"/>
  <c r="T33" i="19"/>
  <c r="M33" i="19"/>
  <c r="K33" i="19"/>
  <c r="C33" i="19"/>
  <c r="AG32" i="19"/>
  <c r="AD32" i="19"/>
  <c r="W32" i="19"/>
  <c r="T32" i="19"/>
  <c r="M32" i="19"/>
  <c r="K32" i="19"/>
  <c r="C32" i="19"/>
  <c r="AG31" i="19"/>
  <c r="AD31" i="19"/>
  <c r="W31" i="19"/>
  <c r="T31" i="19"/>
  <c r="M31" i="19"/>
  <c r="K31" i="19"/>
  <c r="C31" i="19"/>
  <c r="AG29" i="19"/>
  <c r="AD29" i="19"/>
  <c r="W29" i="19"/>
  <c r="T29" i="19"/>
  <c r="M29" i="19"/>
  <c r="K29" i="19"/>
  <c r="C29" i="19"/>
  <c r="AG28" i="19"/>
  <c r="AD28" i="19"/>
  <c r="W28" i="19"/>
  <c r="T28" i="19"/>
  <c r="M28" i="19"/>
  <c r="K28" i="19"/>
  <c r="C28" i="19"/>
  <c r="AG27" i="19"/>
  <c r="AD27" i="19"/>
  <c r="W27" i="19"/>
  <c r="T27" i="19"/>
  <c r="M27" i="19"/>
  <c r="K27" i="19"/>
  <c r="C27" i="19"/>
  <c r="AG26" i="19"/>
  <c r="AD26" i="19"/>
  <c r="W26" i="19"/>
  <c r="T26" i="19"/>
  <c r="M26" i="19"/>
  <c r="K26" i="19"/>
  <c r="C26" i="19"/>
  <c r="AG24" i="19"/>
  <c r="AD24" i="19"/>
  <c r="W24" i="19"/>
  <c r="T24" i="19"/>
  <c r="M24" i="19"/>
  <c r="K24" i="19"/>
  <c r="C24" i="19"/>
  <c r="AG23" i="19"/>
  <c r="AD23" i="19"/>
  <c r="W23" i="19"/>
  <c r="T23" i="19"/>
  <c r="M23" i="19"/>
  <c r="K23" i="19"/>
  <c r="C23" i="19"/>
  <c r="AG22" i="19"/>
  <c r="AD22" i="19"/>
  <c r="W22" i="19"/>
  <c r="T22" i="19"/>
  <c r="M22" i="19"/>
  <c r="K22" i="19"/>
  <c r="C22" i="19"/>
  <c r="AG21" i="19"/>
  <c r="AD21" i="19"/>
  <c r="W21" i="19"/>
  <c r="T21" i="19"/>
  <c r="M21" i="19"/>
  <c r="K21" i="19"/>
  <c r="C21" i="19"/>
  <c r="AG19" i="19"/>
  <c r="AD19" i="19"/>
  <c r="W19" i="19"/>
  <c r="T19" i="19"/>
  <c r="M19" i="19"/>
  <c r="K19" i="19"/>
  <c r="C19" i="19"/>
  <c r="AG18" i="19"/>
  <c r="AD18" i="19"/>
  <c r="W18" i="19"/>
  <c r="T18" i="19"/>
  <c r="M18" i="19"/>
  <c r="K18" i="19"/>
  <c r="C18" i="19"/>
  <c r="AG16" i="19"/>
  <c r="AD16" i="19"/>
  <c r="W16" i="19"/>
  <c r="T16" i="19"/>
  <c r="M16" i="19"/>
  <c r="K16" i="19"/>
  <c r="C16" i="19"/>
  <c r="AG15" i="19"/>
  <c r="AD15" i="19"/>
  <c r="W15" i="19"/>
  <c r="T15" i="19"/>
  <c r="M15" i="19"/>
  <c r="K15" i="19"/>
  <c r="C15" i="19"/>
  <c r="AG14" i="19"/>
  <c r="AD14" i="19"/>
  <c r="W14" i="19"/>
  <c r="T14" i="19"/>
  <c r="M14" i="19"/>
  <c r="K14" i="19"/>
  <c r="C14" i="19"/>
  <c r="AG12" i="19"/>
  <c r="AD12" i="19"/>
  <c r="W12" i="19"/>
  <c r="T12" i="19"/>
  <c r="M12" i="19"/>
  <c r="K12" i="19"/>
  <c r="C12" i="19"/>
  <c r="AG11" i="19"/>
  <c r="AD11" i="19"/>
  <c r="W11" i="19"/>
  <c r="T11" i="19"/>
  <c r="M11" i="19"/>
  <c r="K11" i="19"/>
  <c r="C11" i="19"/>
  <c r="AG10" i="19"/>
  <c r="AD10" i="19"/>
  <c r="W10" i="19"/>
  <c r="T10" i="19"/>
  <c r="M10" i="19"/>
  <c r="K10" i="19"/>
  <c r="C10" i="19"/>
  <c r="AG9" i="19"/>
  <c r="AD9" i="19"/>
  <c r="W9" i="19"/>
  <c r="T9" i="19"/>
  <c r="M9" i="19"/>
  <c r="K9" i="19"/>
  <c r="C9" i="19"/>
  <c r="AG7" i="19"/>
  <c r="AD7" i="19"/>
  <c r="W7" i="19"/>
  <c r="T7" i="19"/>
  <c r="M7" i="19"/>
  <c r="K7" i="19"/>
  <c r="C7" i="19"/>
  <c r="AG6" i="19"/>
  <c r="AD6" i="19"/>
  <c r="W6" i="19"/>
  <c r="T6" i="19"/>
  <c r="M6" i="19"/>
  <c r="K6" i="19"/>
  <c r="C6" i="19"/>
  <c r="AG5" i="19"/>
  <c r="AD5" i="19"/>
  <c r="W5" i="19"/>
  <c r="T5" i="19"/>
  <c r="M5" i="19"/>
  <c r="K5" i="19"/>
  <c r="C5" i="19"/>
  <c r="AG4" i="19"/>
  <c r="AD4" i="19"/>
  <c r="W4" i="19"/>
  <c r="T4" i="19"/>
  <c r="M4" i="19"/>
  <c r="K4" i="19"/>
  <c r="C4" i="19"/>
  <c r="AG3" i="19"/>
  <c r="AD3" i="19"/>
  <c r="W3" i="19"/>
  <c r="T3" i="19"/>
  <c r="M3" i="19"/>
  <c r="K3" i="19"/>
  <c r="C3" i="19"/>
  <c r="AD40" i="14"/>
  <c r="AD39" i="14"/>
  <c r="AD38" i="14"/>
  <c r="AD37" i="14"/>
  <c r="AD36" i="14"/>
  <c r="AD35" i="14"/>
  <c r="AD34" i="14"/>
  <c r="AD33" i="14"/>
  <c r="AD32" i="14"/>
  <c r="AD31" i="14"/>
  <c r="AD30" i="14"/>
  <c r="AD29" i="14"/>
  <c r="AD28" i="14"/>
  <c r="AD27" i="14"/>
  <c r="AD26" i="14"/>
  <c r="AD25" i="14"/>
  <c r="AD24" i="14"/>
  <c r="AD23" i="14"/>
  <c r="AD22" i="14"/>
  <c r="AD21" i="14"/>
  <c r="AD20" i="14"/>
  <c r="AD19" i="14"/>
  <c r="AD18" i="14"/>
  <c r="AD17" i="14"/>
  <c r="AD16" i="14"/>
  <c r="AD15" i="14"/>
  <c r="AD14" i="14"/>
  <c r="AD13" i="14"/>
  <c r="AD12" i="14"/>
  <c r="AD11" i="14"/>
  <c r="AD10" i="14"/>
  <c r="AD9" i="14"/>
  <c r="AD8" i="14"/>
  <c r="AD7" i="14"/>
  <c r="AD6" i="14"/>
  <c r="AD5" i="14"/>
  <c r="AD4" i="14"/>
  <c r="AD3" i="14"/>
  <c r="T40" i="14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4" i="14"/>
  <c r="T3" i="14"/>
  <c r="K40" i="14"/>
  <c r="K39" i="14"/>
  <c r="K38" i="14"/>
  <c r="K37" i="14"/>
  <c r="K36" i="14"/>
  <c r="K35" i="14"/>
  <c r="K34" i="14"/>
  <c r="K33" i="14"/>
  <c r="K32" i="14"/>
  <c r="K31" i="14"/>
  <c r="K30" i="14"/>
  <c r="K29" i="14"/>
  <c r="K28" i="14"/>
  <c r="K27" i="14"/>
  <c r="K26" i="14"/>
  <c r="K25" i="14"/>
  <c r="K24" i="14"/>
  <c r="K23" i="14"/>
  <c r="K22" i="14"/>
  <c r="K21" i="14"/>
  <c r="K20" i="14"/>
  <c r="K19" i="14"/>
  <c r="K18" i="14"/>
  <c r="K17" i="14"/>
  <c r="K16" i="14"/>
  <c r="K15" i="14"/>
  <c r="K14" i="14"/>
  <c r="K13" i="14"/>
  <c r="K12" i="14"/>
  <c r="K11" i="14"/>
  <c r="K10" i="14"/>
  <c r="K9" i="14"/>
  <c r="K8" i="14"/>
  <c r="K7" i="14"/>
  <c r="K6" i="14"/>
  <c r="K5" i="14"/>
  <c r="K4" i="14"/>
  <c r="K3" i="14"/>
  <c r="JH48" i="17"/>
  <c r="JI48" i="17" s="1"/>
  <c r="JA48" i="17"/>
  <c r="JB48" i="17" s="1"/>
  <c r="IT48" i="17"/>
  <c r="IU48" i="17" s="1"/>
  <c r="IM48" i="17"/>
  <c r="IN48" i="17" s="1"/>
  <c r="IF48" i="17"/>
  <c r="IG48" i="17" s="1"/>
  <c r="HY48" i="17"/>
  <c r="HZ48" i="17" s="1"/>
  <c r="HR48" i="17"/>
  <c r="HS48" i="17" s="1"/>
  <c r="HK48" i="17"/>
  <c r="HL48" i="17" s="1"/>
  <c r="HD48" i="17"/>
  <c r="HE48" i="17" s="1"/>
  <c r="GW48" i="17"/>
  <c r="GX48" i="17" s="1"/>
  <c r="GK48" i="17"/>
  <c r="GL48" i="17" s="1"/>
  <c r="GD48" i="17"/>
  <c r="GE48" i="17" s="1"/>
  <c r="FW48" i="17"/>
  <c r="FX48" i="17" s="1"/>
  <c r="FP48" i="17"/>
  <c r="FQ48" i="17" s="1"/>
  <c r="FI48" i="17"/>
  <c r="FJ48" i="17" s="1"/>
  <c r="FB48" i="17"/>
  <c r="FC48" i="17" s="1"/>
  <c r="EU48" i="17"/>
  <c r="EV48" i="17" s="1"/>
  <c r="EN48" i="17"/>
  <c r="EO48" i="17" s="1"/>
  <c r="EG48" i="17"/>
  <c r="EH48" i="17" s="1"/>
  <c r="DZ48" i="17"/>
  <c r="EA48" i="17" s="1"/>
  <c r="DN48" i="17"/>
  <c r="DO48" i="17" s="1"/>
  <c r="DG48" i="17"/>
  <c r="DH48" i="17" s="1"/>
  <c r="CZ48" i="17"/>
  <c r="DA48" i="17" s="1"/>
  <c r="CS48" i="17"/>
  <c r="CT48" i="17" s="1"/>
  <c r="CL48" i="17"/>
  <c r="CM48" i="17" s="1"/>
  <c r="CE48" i="17"/>
  <c r="CF48" i="17" s="1"/>
  <c r="BX48" i="17"/>
  <c r="BY48" i="17" s="1"/>
  <c r="BQ48" i="17"/>
  <c r="BR48" i="17" s="1"/>
  <c r="BK48" i="17"/>
  <c r="BL48" i="17" s="1"/>
  <c r="BE48" i="17"/>
  <c r="BF48" i="17" s="1"/>
  <c r="AY48" i="17"/>
  <c r="AZ48" i="17" s="1"/>
  <c r="AS48" i="17"/>
  <c r="AT48" i="17" s="1"/>
  <c r="AM48" i="17"/>
  <c r="AN48" i="17" s="1"/>
  <c r="AG48" i="17"/>
  <c r="AH48" i="17" s="1"/>
  <c r="Z48" i="17"/>
  <c r="AA48" i="17" s="1"/>
  <c r="S48" i="17"/>
  <c r="T48" i="17" s="1"/>
  <c r="L48" i="17"/>
  <c r="M48" i="17" s="1"/>
  <c r="JH47" i="17"/>
  <c r="JI47" i="17" s="1"/>
  <c r="JA47" i="17"/>
  <c r="JB47" i="17" s="1"/>
  <c r="IT47" i="17"/>
  <c r="IU47" i="17" s="1"/>
  <c r="IM47" i="17"/>
  <c r="IN47" i="17" s="1"/>
  <c r="IF47" i="17"/>
  <c r="IG47" i="17" s="1"/>
  <c r="HY47" i="17"/>
  <c r="HZ47" i="17" s="1"/>
  <c r="HR47" i="17"/>
  <c r="HS47" i="17" s="1"/>
  <c r="HK47" i="17"/>
  <c r="HL47" i="17" s="1"/>
  <c r="HD47" i="17"/>
  <c r="HE47" i="17" s="1"/>
  <c r="GW47" i="17"/>
  <c r="GX47" i="17" s="1"/>
  <c r="GK47" i="17"/>
  <c r="GL47" i="17" s="1"/>
  <c r="GD47" i="17"/>
  <c r="GE47" i="17" s="1"/>
  <c r="FW47" i="17"/>
  <c r="FX47" i="17" s="1"/>
  <c r="FP47" i="17"/>
  <c r="FQ47" i="17" s="1"/>
  <c r="FI47" i="17"/>
  <c r="FJ47" i="17" s="1"/>
  <c r="FB47" i="17"/>
  <c r="FC47" i="17" s="1"/>
  <c r="EU47" i="17"/>
  <c r="EV47" i="17" s="1"/>
  <c r="EN47" i="17"/>
  <c r="EO47" i="17" s="1"/>
  <c r="EG47" i="17"/>
  <c r="EH47" i="17" s="1"/>
  <c r="DZ47" i="17"/>
  <c r="EA47" i="17" s="1"/>
  <c r="DN47" i="17"/>
  <c r="DO47" i="17" s="1"/>
  <c r="DG47" i="17"/>
  <c r="DH47" i="17" s="1"/>
  <c r="CZ47" i="17"/>
  <c r="DA47" i="17" s="1"/>
  <c r="CS47" i="17"/>
  <c r="CT47" i="17" s="1"/>
  <c r="CL47" i="17"/>
  <c r="CM47" i="17" s="1"/>
  <c r="CE47" i="17"/>
  <c r="CF47" i="17" s="1"/>
  <c r="BX47" i="17"/>
  <c r="BY47" i="17" s="1"/>
  <c r="BQ47" i="17"/>
  <c r="BR47" i="17" s="1"/>
  <c r="BK47" i="17"/>
  <c r="BL47" i="17" s="1"/>
  <c r="BE47" i="17"/>
  <c r="BF47" i="17" s="1"/>
  <c r="AY47" i="17"/>
  <c r="AZ47" i="17" s="1"/>
  <c r="AS47" i="17"/>
  <c r="AT47" i="17" s="1"/>
  <c r="AM47" i="17"/>
  <c r="AN47" i="17" s="1"/>
  <c r="AG47" i="17"/>
  <c r="AH47" i="17" s="1"/>
  <c r="Z47" i="17"/>
  <c r="AA47" i="17" s="1"/>
  <c r="S47" i="17"/>
  <c r="T47" i="17" s="1"/>
  <c r="L47" i="17"/>
  <c r="M47" i="17" s="1"/>
  <c r="JH46" i="17"/>
  <c r="JI46" i="17" s="1"/>
  <c r="JA46" i="17"/>
  <c r="JB46" i="17" s="1"/>
  <c r="IT46" i="17"/>
  <c r="IU46" i="17" s="1"/>
  <c r="IM46" i="17"/>
  <c r="IN46" i="17" s="1"/>
  <c r="IF46" i="17"/>
  <c r="IG46" i="17" s="1"/>
  <c r="HY46" i="17"/>
  <c r="HZ46" i="17" s="1"/>
  <c r="HR46" i="17"/>
  <c r="HS46" i="17" s="1"/>
  <c r="HK46" i="17"/>
  <c r="HL46" i="17" s="1"/>
  <c r="HD46" i="17"/>
  <c r="HE46" i="17" s="1"/>
  <c r="GW46" i="17"/>
  <c r="GX46" i="17" s="1"/>
  <c r="GK46" i="17"/>
  <c r="GL46" i="17" s="1"/>
  <c r="GD46" i="17"/>
  <c r="GE46" i="17" s="1"/>
  <c r="FW46" i="17"/>
  <c r="FX46" i="17" s="1"/>
  <c r="FP46" i="17"/>
  <c r="FQ46" i="17" s="1"/>
  <c r="FI46" i="17"/>
  <c r="FJ46" i="17" s="1"/>
  <c r="FB46" i="17"/>
  <c r="FC46" i="17" s="1"/>
  <c r="EU46" i="17"/>
  <c r="EV46" i="17" s="1"/>
  <c r="EN46" i="17"/>
  <c r="EO46" i="17" s="1"/>
  <c r="EG46" i="17"/>
  <c r="EH46" i="17" s="1"/>
  <c r="DZ46" i="17"/>
  <c r="EA46" i="17" s="1"/>
  <c r="DN46" i="17"/>
  <c r="DO46" i="17" s="1"/>
  <c r="DG46" i="17"/>
  <c r="DH46" i="17" s="1"/>
  <c r="CZ46" i="17"/>
  <c r="DA46" i="17" s="1"/>
  <c r="CS46" i="17"/>
  <c r="CT46" i="17" s="1"/>
  <c r="CL46" i="17"/>
  <c r="CM46" i="17" s="1"/>
  <c r="CE46" i="17"/>
  <c r="CF46" i="17" s="1"/>
  <c r="BX46" i="17"/>
  <c r="BY46" i="17" s="1"/>
  <c r="BQ46" i="17"/>
  <c r="BR46" i="17" s="1"/>
  <c r="BK46" i="17"/>
  <c r="BL46" i="17" s="1"/>
  <c r="BE46" i="17"/>
  <c r="BF46" i="17" s="1"/>
  <c r="AY46" i="17"/>
  <c r="AZ46" i="17" s="1"/>
  <c r="AS46" i="17"/>
  <c r="AT46" i="17" s="1"/>
  <c r="AM46" i="17"/>
  <c r="AN46" i="17" s="1"/>
  <c r="AG46" i="17"/>
  <c r="AH46" i="17" s="1"/>
  <c r="Z46" i="17"/>
  <c r="AA46" i="17" s="1"/>
  <c r="S46" i="17"/>
  <c r="T46" i="17" s="1"/>
  <c r="L46" i="17"/>
  <c r="M46" i="17" s="1"/>
  <c r="JH44" i="17"/>
  <c r="JI44" i="17" s="1"/>
  <c r="JA44" i="17"/>
  <c r="JB44" i="17" s="1"/>
  <c r="IT44" i="17"/>
  <c r="IU44" i="17" s="1"/>
  <c r="IM44" i="17"/>
  <c r="IN44" i="17" s="1"/>
  <c r="IF44" i="17"/>
  <c r="IG44" i="17" s="1"/>
  <c r="HY44" i="17"/>
  <c r="HZ44" i="17" s="1"/>
  <c r="HR44" i="17"/>
  <c r="HS44" i="17" s="1"/>
  <c r="HK44" i="17"/>
  <c r="HL44" i="17" s="1"/>
  <c r="HD44" i="17"/>
  <c r="HE44" i="17" s="1"/>
  <c r="GW44" i="17"/>
  <c r="GX44" i="17" s="1"/>
  <c r="GK44" i="17"/>
  <c r="GL44" i="17" s="1"/>
  <c r="GD44" i="17"/>
  <c r="GE44" i="17" s="1"/>
  <c r="FW44" i="17"/>
  <c r="FX44" i="17" s="1"/>
  <c r="FP44" i="17"/>
  <c r="FQ44" i="17" s="1"/>
  <c r="FI44" i="17"/>
  <c r="FJ44" i="17" s="1"/>
  <c r="FB44" i="17"/>
  <c r="FC44" i="17" s="1"/>
  <c r="EU44" i="17"/>
  <c r="EV44" i="17" s="1"/>
  <c r="EN44" i="17"/>
  <c r="EO44" i="17" s="1"/>
  <c r="EG44" i="17"/>
  <c r="EH44" i="17" s="1"/>
  <c r="DZ44" i="17"/>
  <c r="EA44" i="17" s="1"/>
  <c r="DN44" i="17"/>
  <c r="DO44" i="17" s="1"/>
  <c r="DG44" i="17"/>
  <c r="DH44" i="17" s="1"/>
  <c r="CZ44" i="17"/>
  <c r="DA44" i="17" s="1"/>
  <c r="CS44" i="17"/>
  <c r="CT44" i="17" s="1"/>
  <c r="CL44" i="17"/>
  <c r="CM44" i="17" s="1"/>
  <c r="CE44" i="17"/>
  <c r="CF44" i="17" s="1"/>
  <c r="BX44" i="17"/>
  <c r="BY44" i="17" s="1"/>
  <c r="BQ44" i="17"/>
  <c r="BR44" i="17" s="1"/>
  <c r="BK44" i="17"/>
  <c r="BL44" i="17" s="1"/>
  <c r="BE44" i="17"/>
  <c r="BF44" i="17" s="1"/>
  <c r="AY44" i="17"/>
  <c r="AZ44" i="17" s="1"/>
  <c r="AS44" i="17"/>
  <c r="AT44" i="17" s="1"/>
  <c r="AM44" i="17"/>
  <c r="AN44" i="17" s="1"/>
  <c r="AG44" i="17"/>
  <c r="AH44" i="17" s="1"/>
  <c r="Z44" i="17"/>
  <c r="AA44" i="17" s="1"/>
  <c r="S44" i="17"/>
  <c r="T44" i="17" s="1"/>
  <c r="L44" i="17"/>
  <c r="M44" i="17" s="1"/>
  <c r="JH43" i="17"/>
  <c r="JI43" i="17" s="1"/>
  <c r="JA43" i="17"/>
  <c r="JB43" i="17" s="1"/>
  <c r="IT43" i="17"/>
  <c r="IU43" i="17" s="1"/>
  <c r="IM43" i="17"/>
  <c r="IN43" i="17" s="1"/>
  <c r="IF43" i="17"/>
  <c r="IG43" i="17" s="1"/>
  <c r="HY43" i="17"/>
  <c r="HZ43" i="17" s="1"/>
  <c r="HR43" i="17"/>
  <c r="HS43" i="17" s="1"/>
  <c r="HK43" i="17"/>
  <c r="HL43" i="17" s="1"/>
  <c r="HD43" i="17"/>
  <c r="HE43" i="17" s="1"/>
  <c r="GW43" i="17"/>
  <c r="GX43" i="17" s="1"/>
  <c r="GK43" i="17"/>
  <c r="GL43" i="17" s="1"/>
  <c r="GD43" i="17"/>
  <c r="GE43" i="17" s="1"/>
  <c r="FW43" i="17"/>
  <c r="FX43" i="17" s="1"/>
  <c r="FP43" i="17"/>
  <c r="FQ43" i="17" s="1"/>
  <c r="FI43" i="17"/>
  <c r="FJ43" i="17" s="1"/>
  <c r="FB43" i="17"/>
  <c r="FC43" i="17" s="1"/>
  <c r="EU43" i="17"/>
  <c r="EV43" i="17" s="1"/>
  <c r="EN43" i="17"/>
  <c r="EO43" i="17" s="1"/>
  <c r="EG43" i="17"/>
  <c r="EH43" i="17" s="1"/>
  <c r="DZ43" i="17"/>
  <c r="EA43" i="17" s="1"/>
  <c r="DN43" i="17"/>
  <c r="DO43" i="17" s="1"/>
  <c r="DG43" i="17"/>
  <c r="DH43" i="17" s="1"/>
  <c r="CZ43" i="17"/>
  <c r="DA43" i="17" s="1"/>
  <c r="CS43" i="17"/>
  <c r="CT43" i="17" s="1"/>
  <c r="CL43" i="17"/>
  <c r="CM43" i="17" s="1"/>
  <c r="CE43" i="17"/>
  <c r="CF43" i="17" s="1"/>
  <c r="BX43" i="17"/>
  <c r="BY43" i="17" s="1"/>
  <c r="BQ43" i="17"/>
  <c r="BR43" i="17" s="1"/>
  <c r="BK43" i="17"/>
  <c r="BL43" i="17" s="1"/>
  <c r="BE43" i="17"/>
  <c r="BF43" i="17" s="1"/>
  <c r="AY43" i="17"/>
  <c r="AZ43" i="17" s="1"/>
  <c r="AS43" i="17"/>
  <c r="AT43" i="17" s="1"/>
  <c r="AM43" i="17"/>
  <c r="AN43" i="17" s="1"/>
  <c r="AG43" i="17"/>
  <c r="AH43" i="17" s="1"/>
  <c r="Z43" i="17"/>
  <c r="AA43" i="17" s="1"/>
  <c r="S43" i="17"/>
  <c r="T43" i="17" s="1"/>
  <c r="L43" i="17"/>
  <c r="M43" i="17" s="1"/>
  <c r="JH41" i="17"/>
  <c r="JI41" i="17" s="1"/>
  <c r="JA41" i="17"/>
  <c r="JB41" i="17" s="1"/>
  <c r="IT41" i="17"/>
  <c r="IU41" i="17" s="1"/>
  <c r="IM41" i="17"/>
  <c r="IN41" i="17" s="1"/>
  <c r="IF41" i="17"/>
  <c r="IG41" i="17" s="1"/>
  <c r="HY41" i="17"/>
  <c r="HZ41" i="17" s="1"/>
  <c r="HR41" i="17"/>
  <c r="HS41" i="17" s="1"/>
  <c r="HK41" i="17"/>
  <c r="HL41" i="17" s="1"/>
  <c r="HD41" i="17"/>
  <c r="HE41" i="17" s="1"/>
  <c r="GW41" i="17"/>
  <c r="GX41" i="17" s="1"/>
  <c r="GK41" i="17"/>
  <c r="GL41" i="17" s="1"/>
  <c r="GD41" i="17"/>
  <c r="GE41" i="17" s="1"/>
  <c r="FW41" i="17"/>
  <c r="FX41" i="17" s="1"/>
  <c r="FP41" i="17"/>
  <c r="FQ41" i="17" s="1"/>
  <c r="FI41" i="17"/>
  <c r="FJ41" i="17" s="1"/>
  <c r="FB41" i="17"/>
  <c r="FC41" i="17" s="1"/>
  <c r="EU41" i="17"/>
  <c r="EV41" i="17" s="1"/>
  <c r="EN41" i="17"/>
  <c r="EO41" i="17" s="1"/>
  <c r="EG41" i="17"/>
  <c r="EH41" i="17" s="1"/>
  <c r="DZ41" i="17"/>
  <c r="EA41" i="17" s="1"/>
  <c r="DN41" i="17"/>
  <c r="DO41" i="17" s="1"/>
  <c r="DG41" i="17"/>
  <c r="DH41" i="17" s="1"/>
  <c r="CZ41" i="17"/>
  <c r="DA41" i="17" s="1"/>
  <c r="CS41" i="17"/>
  <c r="CT41" i="17" s="1"/>
  <c r="CL41" i="17"/>
  <c r="CM41" i="17" s="1"/>
  <c r="CE41" i="17"/>
  <c r="CF41" i="17" s="1"/>
  <c r="BX41" i="17"/>
  <c r="BY41" i="17" s="1"/>
  <c r="BQ41" i="17"/>
  <c r="BR41" i="17" s="1"/>
  <c r="BK41" i="17"/>
  <c r="BL41" i="17" s="1"/>
  <c r="BE41" i="17"/>
  <c r="BF41" i="17" s="1"/>
  <c r="AY41" i="17"/>
  <c r="AZ41" i="17" s="1"/>
  <c r="AS41" i="17"/>
  <c r="AT41" i="17" s="1"/>
  <c r="AM41" i="17"/>
  <c r="AN41" i="17" s="1"/>
  <c r="AG41" i="17"/>
  <c r="AH41" i="17" s="1"/>
  <c r="Z41" i="17"/>
  <c r="AA41" i="17" s="1"/>
  <c r="S41" i="17"/>
  <c r="T41" i="17" s="1"/>
  <c r="L41" i="17"/>
  <c r="M41" i="17" s="1"/>
  <c r="JH40" i="17"/>
  <c r="JI40" i="17" s="1"/>
  <c r="JA40" i="17"/>
  <c r="JB40" i="17" s="1"/>
  <c r="IT40" i="17"/>
  <c r="IU40" i="17" s="1"/>
  <c r="IM40" i="17"/>
  <c r="IN40" i="17" s="1"/>
  <c r="IF40" i="17"/>
  <c r="IG40" i="17" s="1"/>
  <c r="HY40" i="17"/>
  <c r="HZ40" i="17" s="1"/>
  <c r="HR40" i="17"/>
  <c r="HS40" i="17" s="1"/>
  <c r="HK40" i="17"/>
  <c r="HL40" i="17" s="1"/>
  <c r="HD40" i="17"/>
  <c r="HE40" i="17" s="1"/>
  <c r="GW40" i="17"/>
  <c r="GX40" i="17" s="1"/>
  <c r="GK40" i="17"/>
  <c r="GL40" i="17" s="1"/>
  <c r="GD40" i="17"/>
  <c r="GE40" i="17" s="1"/>
  <c r="FW40" i="17"/>
  <c r="FX40" i="17" s="1"/>
  <c r="FP40" i="17"/>
  <c r="FQ40" i="17" s="1"/>
  <c r="FI40" i="17"/>
  <c r="FJ40" i="17" s="1"/>
  <c r="FB40" i="17"/>
  <c r="FC40" i="17" s="1"/>
  <c r="EU40" i="17"/>
  <c r="EV40" i="17" s="1"/>
  <c r="EN40" i="17"/>
  <c r="EO40" i="17" s="1"/>
  <c r="EG40" i="17"/>
  <c r="EH40" i="17" s="1"/>
  <c r="DZ40" i="17"/>
  <c r="EA40" i="17" s="1"/>
  <c r="DN40" i="17"/>
  <c r="DO40" i="17" s="1"/>
  <c r="DG40" i="17"/>
  <c r="DH40" i="17" s="1"/>
  <c r="CZ40" i="17"/>
  <c r="DA40" i="17" s="1"/>
  <c r="CS40" i="17"/>
  <c r="CT40" i="17" s="1"/>
  <c r="CL40" i="17"/>
  <c r="CM40" i="17" s="1"/>
  <c r="CE40" i="17"/>
  <c r="CF40" i="17" s="1"/>
  <c r="BX40" i="17"/>
  <c r="BY40" i="17" s="1"/>
  <c r="BQ40" i="17"/>
  <c r="BR40" i="17" s="1"/>
  <c r="BK40" i="17"/>
  <c r="BL40" i="17" s="1"/>
  <c r="BE40" i="17"/>
  <c r="BF40" i="17" s="1"/>
  <c r="AY40" i="17"/>
  <c r="AZ40" i="17" s="1"/>
  <c r="AS40" i="17"/>
  <c r="AT40" i="17" s="1"/>
  <c r="AM40" i="17"/>
  <c r="AN40" i="17" s="1"/>
  <c r="AG40" i="17"/>
  <c r="AH40" i="17" s="1"/>
  <c r="Z40" i="17"/>
  <c r="AA40" i="17" s="1"/>
  <c r="S40" i="17"/>
  <c r="T40" i="17" s="1"/>
  <c r="L40" i="17"/>
  <c r="M40" i="17" s="1"/>
  <c r="JH39" i="17"/>
  <c r="JI39" i="17" s="1"/>
  <c r="JA39" i="17"/>
  <c r="JB39" i="17" s="1"/>
  <c r="IT39" i="17"/>
  <c r="IU39" i="17" s="1"/>
  <c r="IM39" i="17"/>
  <c r="IN39" i="17" s="1"/>
  <c r="IF39" i="17"/>
  <c r="IG39" i="17" s="1"/>
  <c r="HY39" i="17"/>
  <c r="HZ39" i="17" s="1"/>
  <c r="HR39" i="17"/>
  <c r="HS39" i="17" s="1"/>
  <c r="HK39" i="17"/>
  <c r="HL39" i="17" s="1"/>
  <c r="HD39" i="17"/>
  <c r="HE39" i="17" s="1"/>
  <c r="GW39" i="17"/>
  <c r="GX39" i="17" s="1"/>
  <c r="GK39" i="17"/>
  <c r="GL39" i="17" s="1"/>
  <c r="GD39" i="17"/>
  <c r="GE39" i="17" s="1"/>
  <c r="FW39" i="17"/>
  <c r="FX39" i="17" s="1"/>
  <c r="FP39" i="17"/>
  <c r="FQ39" i="17" s="1"/>
  <c r="FI39" i="17"/>
  <c r="FJ39" i="17" s="1"/>
  <c r="FB39" i="17"/>
  <c r="FC39" i="17" s="1"/>
  <c r="EU39" i="17"/>
  <c r="EV39" i="17" s="1"/>
  <c r="EN39" i="17"/>
  <c r="EO39" i="17" s="1"/>
  <c r="EG39" i="17"/>
  <c r="EH39" i="17" s="1"/>
  <c r="DZ39" i="17"/>
  <c r="EA39" i="17" s="1"/>
  <c r="DN39" i="17"/>
  <c r="DO39" i="17" s="1"/>
  <c r="DG39" i="17"/>
  <c r="DH39" i="17" s="1"/>
  <c r="CZ39" i="17"/>
  <c r="DA39" i="17" s="1"/>
  <c r="CS39" i="17"/>
  <c r="CT39" i="17" s="1"/>
  <c r="CL39" i="17"/>
  <c r="CM39" i="17" s="1"/>
  <c r="CE39" i="17"/>
  <c r="CF39" i="17" s="1"/>
  <c r="BX39" i="17"/>
  <c r="BY39" i="17" s="1"/>
  <c r="BQ39" i="17"/>
  <c r="BR39" i="17" s="1"/>
  <c r="BK39" i="17"/>
  <c r="BL39" i="17" s="1"/>
  <c r="BE39" i="17"/>
  <c r="BF39" i="17" s="1"/>
  <c r="AY39" i="17"/>
  <c r="AZ39" i="17" s="1"/>
  <c r="AS39" i="17"/>
  <c r="AT39" i="17" s="1"/>
  <c r="AM39" i="17"/>
  <c r="AN39" i="17" s="1"/>
  <c r="AG39" i="17"/>
  <c r="AH39" i="17" s="1"/>
  <c r="Z39" i="17"/>
  <c r="AA39" i="17" s="1"/>
  <c r="S39" i="17"/>
  <c r="T39" i="17" s="1"/>
  <c r="L39" i="17"/>
  <c r="M39" i="17" s="1"/>
  <c r="JH38" i="17"/>
  <c r="JI38" i="17" s="1"/>
  <c r="JA38" i="17"/>
  <c r="JB38" i="17" s="1"/>
  <c r="IT38" i="17"/>
  <c r="IU38" i="17" s="1"/>
  <c r="IM38" i="17"/>
  <c r="IN38" i="17" s="1"/>
  <c r="IF38" i="17"/>
  <c r="IG38" i="17" s="1"/>
  <c r="HY38" i="17"/>
  <c r="HZ38" i="17" s="1"/>
  <c r="HR38" i="17"/>
  <c r="HS38" i="17" s="1"/>
  <c r="HK38" i="17"/>
  <c r="HL38" i="17" s="1"/>
  <c r="HD38" i="17"/>
  <c r="HE38" i="17" s="1"/>
  <c r="GW38" i="17"/>
  <c r="GX38" i="17" s="1"/>
  <c r="GK38" i="17"/>
  <c r="GL38" i="17" s="1"/>
  <c r="GD38" i="17"/>
  <c r="GE38" i="17" s="1"/>
  <c r="FW38" i="17"/>
  <c r="FX38" i="17" s="1"/>
  <c r="FP38" i="17"/>
  <c r="FQ38" i="17" s="1"/>
  <c r="FI38" i="17"/>
  <c r="FJ38" i="17" s="1"/>
  <c r="FB38" i="17"/>
  <c r="FC38" i="17" s="1"/>
  <c r="EU38" i="17"/>
  <c r="EV38" i="17" s="1"/>
  <c r="EN38" i="17"/>
  <c r="EO38" i="17" s="1"/>
  <c r="EG38" i="17"/>
  <c r="EH38" i="17" s="1"/>
  <c r="DZ38" i="17"/>
  <c r="EA38" i="17" s="1"/>
  <c r="DN38" i="17"/>
  <c r="DO38" i="17" s="1"/>
  <c r="DG38" i="17"/>
  <c r="DH38" i="17" s="1"/>
  <c r="CZ38" i="17"/>
  <c r="DA38" i="17" s="1"/>
  <c r="CS38" i="17"/>
  <c r="CT38" i="17" s="1"/>
  <c r="CL38" i="17"/>
  <c r="CM38" i="17" s="1"/>
  <c r="CE38" i="17"/>
  <c r="CF38" i="17" s="1"/>
  <c r="BX38" i="17"/>
  <c r="BY38" i="17" s="1"/>
  <c r="BQ38" i="17"/>
  <c r="BR38" i="17" s="1"/>
  <c r="BK38" i="17"/>
  <c r="BL38" i="17" s="1"/>
  <c r="BE38" i="17"/>
  <c r="BF38" i="17" s="1"/>
  <c r="AY38" i="17"/>
  <c r="AZ38" i="17" s="1"/>
  <c r="AS38" i="17"/>
  <c r="AT38" i="17" s="1"/>
  <c r="AM38" i="17"/>
  <c r="AN38" i="17" s="1"/>
  <c r="AG38" i="17"/>
  <c r="AH38" i="17" s="1"/>
  <c r="Z38" i="17"/>
  <c r="AA38" i="17" s="1"/>
  <c r="S38" i="17"/>
  <c r="T38" i="17" s="1"/>
  <c r="L38" i="17"/>
  <c r="M38" i="17" s="1"/>
  <c r="JH37" i="17"/>
  <c r="JI37" i="17" s="1"/>
  <c r="JA37" i="17"/>
  <c r="JB37" i="17" s="1"/>
  <c r="IT37" i="17"/>
  <c r="IU37" i="17" s="1"/>
  <c r="IM37" i="17"/>
  <c r="IN37" i="17" s="1"/>
  <c r="IF37" i="17"/>
  <c r="IG37" i="17" s="1"/>
  <c r="HY37" i="17"/>
  <c r="HZ37" i="17" s="1"/>
  <c r="HR37" i="17"/>
  <c r="HS37" i="17" s="1"/>
  <c r="HL37" i="17"/>
  <c r="HK37" i="17"/>
  <c r="HD37" i="17"/>
  <c r="HE37" i="17" s="1"/>
  <c r="GX37" i="17"/>
  <c r="GW37" i="17"/>
  <c r="GK37" i="17"/>
  <c r="GL37" i="17" s="1"/>
  <c r="GD37" i="17"/>
  <c r="GE37" i="17" s="1"/>
  <c r="FW37" i="17"/>
  <c r="FX37" i="17" s="1"/>
  <c r="FQ37" i="17"/>
  <c r="FP37" i="17"/>
  <c r="FI37" i="17"/>
  <c r="FJ37" i="17" s="1"/>
  <c r="FC37" i="17"/>
  <c r="FB37" i="17"/>
  <c r="EU37" i="17"/>
  <c r="EV37" i="17" s="1"/>
  <c r="EO37" i="17"/>
  <c r="EN37" i="17"/>
  <c r="EG37" i="17"/>
  <c r="EH37" i="17" s="1"/>
  <c r="DZ37" i="17"/>
  <c r="EA37" i="17" s="1"/>
  <c r="DN37" i="17"/>
  <c r="DO37" i="17" s="1"/>
  <c r="DH37" i="17"/>
  <c r="DG37" i="17"/>
  <c r="CZ37" i="17"/>
  <c r="DA37" i="17" s="1"/>
  <c r="CT37" i="17"/>
  <c r="CS37" i="17"/>
  <c r="CL37" i="17"/>
  <c r="CM37" i="17" s="1"/>
  <c r="CF37" i="17"/>
  <c r="CE37" i="17"/>
  <c r="BX37" i="17"/>
  <c r="BY37" i="17" s="1"/>
  <c r="BQ37" i="17"/>
  <c r="BR37" i="17" s="1"/>
  <c r="BK37" i="17"/>
  <c r="BL37" i="17" s="1"/>
  <c r="BF37" i="17"/>
  <c r="BE37" i="17"/>
  <c r="AY37" i="17"/>
  <c r="AZ37" i="17" s="1"/>
  <c r="AT37" i="17"/>
  <c r="AS37" i="17"/>
  <c r="AM37" i="17"/>
  <c r="AN37" i="17" s="1"/>
  <c r="AH37" i="17"/>
  <c r="AG37" i="17"/>
  <c r="Z37" i="17"/>
  <c r="AA37" i="17" s="1"/>
  <c r="S37" i="17"/>
  <c r="T37" i="17" s="1"/>
  <c r="L37" i="17"/>
  <c r="M37" i="17" s="1"/>
  <c r="JI36" i="17"/>
  <c r="JH36" i="17"/>
  <c r="JA36" i="17"/>
  <c r="JB36" i="17" s="1"/>
  <c r="IU36" i="17"/>
  <c r="IT36" i="17"/>
  <c r="IM36" i="17"/>
  <c r="IN36" i="17" s="1"/>
  <c r="IG36" i="17"/>
  <c r="IF36" i="17"/>
  <c r="HY36" i="17"/>
  <c r="HZ36" i="17" s="1"/>
  <c r="HR36" i="17"/>
  <c r="HS36" i="17" s="1"/>
  <c r="HK36" i="17"/>
  <c r="HL36" i="17" s="1"/>
  <c r="HE36" i="17"/>
  <c r="HD36" i="17"/>
  <c r="GW36" i="17"/>
  <c r="GX36" i="17" s="1"/>
  <c r="GL36" i="17"/>
  <c r="GK36" i="17"/>
  <c r="GD36" i="17"/>
  <c r="GE36" i="17" s="1"/>
  <c r="FX36" i="17"/>
  <c r="FW36" i="17"/>
  <c r="FP36" i="17"/>
  <c r="FQ36" i="17" s="1"/>
  <c r="FI36" i="17"/>
  <c r="FJ36" i="17" s="1"/>
  <c r="FB36" i="17"/>
  <c r="FC36" i="17" s="1"/>
  <c r="EV36" i="17"/>
  <c r="EU36" i="17"/>
  <c r="EN36" i="17"/>
  <c r="EO36" i="17" s="1"/>
  <c r="EH36" i="17"/>
  <c r="EG36" i="17"/>
  <c r="DZ36" i="17"/>
  <c r="EA36" i="17" s="1"/>
  <c r="DO36" i="17"/>
  <c r="DN36" i="17"/>
  <c r="DG36" i="17"/>
  <c r="DH36" i="17" s="1"/>
  <c r="CZ36" i="17"/>
  <c r="DA36" i="17" s="1"/>
  <c r="CS36" i="17"/>
  <c r="CT36" i="17" s="1"/>
  <c r="CM36" i="17"/>
  <c r="CL36" i="17"/>
  <c r="CE36" i="17"/>
  <c r="CF36" i="17" s="1"/>
  <c r="BY36" i="17"/>
  <c r="BX36" i="17"/>
  <c r="BQ36" i="17"/>
  <c r="BR36" i="17" s="1"/>
  <c r="BL36" i="17"/>
  <c r="BK36" i="17"/>
  <c r="BE36" i="17"/>
  <c r="BF36" i="17" s="1"/>
  <c r="AY36" i="17"/>
  <c r="AZ36" i="17" s="1"/>
  <c r="AS36" i="17"/>
  <c r="AT36" i="17" s="1"/>
  <c r="AN36" i="17"/>
  <c r="AM36" i="17"/>
  <c r="AG36" i="17"/>
  <c r="AH36" i="17" s="1"/>
  <c r="AA36" i="17"/>
  <c r="Z36" i="17"/>
  <c r="S36" i="17"/>
  <c r="T36" i="17" s="1"/>
  <c r="M36" i="17"/>
  <c r="L36" i="17"/>
  <c r="JH35" i="17"/>
  <c r="JI35" i="17" s="1"/>
  <c r="JA35" i="17"/>
  <c r="JB35" i="17" s="1"/>
  <c r="IT35" i="17"/>
  <c r="IU35" i="17" s="1"/>
  <c r="IN35" i="17"/>
  <c r="IM35" i="17"/>
  <c r="IF35" i="17"/>
  <c r="IG35" i="17" s="1"/>
  <c r="HZ35" i="17"/>
  <c r="HY35" i="17"/>
  <c r="HR35" i="17"/>
  <c r="HS35" i="17" s="1"/>
  <c r="HL35" i="17"/>
  <c r="HK35" i="17"/>
  <c r="HD35" i="17"/>
  <c r="HE35" i="17" s="1"/>
  <c r="GW35" i="17"/>
  <c r="GX35" i="17" s="1"/>
  <c r="GK35" i="17"/>
  <c r="GL35" i="17" s="1"/>
  <c r="GE35" i="17"/>
  <c r="GD35" i="17"/>
  <c r="FW35" i="17"/>
  <c r="FX35" i="17" s="1"/>
  <c r="FQ35" i="17"/>
  <c r="FP35" i="17"/>
  <c r="FI35" i="17"/>
  <c r="FJ35" i="17" s="1"/>
  <c r="FC35" i="17"/>
  <c r="FB35" i="17"/>
  <c r="EU35" i="17"/>
  <c r="EV35" i="17" s="1"/>
  <c r="EN35" i="17"/>
  <c r="EO35" i="17" s="1"/>
  <c r="EG35" i="17"/>
  <c r="EH35" i="17" s="1"/>
  <c r="EA35" i="17"/>
  <c r="DZ35" i="17"/>
  <c r="DN35" i="17"/>
  <c r="DO35" i="17" s="1"/>
  <c r="DH35" i="17"/>
  <c r="DG35" i="17"/>
  <c r="CZ35" i="17"/>
  <c r="DA35" i="17" s="1"/>
  <c r="CT35" i="17"/>
  <c r="CS35" i="17"/>
  <c r="CL35" i="17"/>
  <c r="CM35" i="17" s="1"/>
  <c r="CE35" i="17"/>
  <c r="CF35" i="17" s="1"/>
  <c r="BX35" i="17"/>
  <c r="BY35" i="17" s="1"/>
  <c r="BR35" i="17"/>
  <c r="BQ35" i="17"/>
  <c r="BK35" i="17"/>
  <c r="BL35" i="17" s="1"/>
  <c r="BF35" i="17"/>
  <c r="BE35" i="17"/>
  <c r="AY35" i="17"/>
  <c r="AZ35" i="17" s="1"/>
  <c r="AT35" i="17"/>
  <c r="AS35" i="17"/>
  <c r="AM35" i="17"/>
  <c r="AN35" i="17" s="1"/>
  <c r="AG35" i="17"/>
  <c r="AH35" i="17" s="1"/>
  <c r="Z35" i="17"/>
  <c r="AA35" i="17" s="1"/>
  <c r="T35" i="17"/>
  <c r="S35" i="17"/>
  <c r="L35" i="17"/>
  <c r="M35" i="17" s="1"/>
  <c r="JI34" i="17"/>
  <c r="JH34" i="17"/>
  <c r="JA34" i="17"/>
  <c r="JB34" i="17" s="1"/>
  <c r="IU34" i="17"/>
  <c r="IT34" i="17"/>
  <c r="IM34" i="17"/>
  <c r="IN34" i="17" s="1"/>
  <c r="IF34" i="17"/>
  <c r="IG34" i="17" s="1"/>
  <c r="HY34" i="17"/>
  <c r="HZ34" i="17" s="1"/>
  <c r="HS34" i="17"/>
  <c r="HR34" i="17"/>
  <c r="HK34" i="17"/>
  <c r="HL34" i="17" s="1"/>
  <c r="HE34" i="17"/>
  <c r="HD34" i="17"/>
  <c r="GW34" i="17"/>
  <c r="GX34" i="17" s="1"/>
  <c r="GL34" i="17"/>
  <c r="GK34" i="17"/>
  <c r="GD34" i="17"/>
  <c r="GE34" i="17" s="1"/>
  <c r="FW34" i="17"/>
  <c r="FX34" i="17" s="1"/>
  <c r="FP34" i="17"/>
  <c r="FQ34" i="17" s="1"/>
  <c r="FJ34" i="17"/>
  <c r="FI34" i="17"/>
  <c r="FB34" i="17"/>
  <c r="FC34" i="17" s="1"/>
  <c r="EV34" i="17"/>
  <c r="EU34" i="17"/>
  <c r="EN34" i="17"/>
  <c r="EO34" i="17" s="1"/>
  <c r="EH34" i="17"/>
  <c r="EG34" i="17"/>
  <c r="DZ34" i="17"/>
  <c r="EA34" i="17" s="1"/>
  <c r="DN34" i="17"/>
  <c r="DO34" i="17" s="1"/>
  <c r="DG34" i="17"/>
  <c r="DH34" i="17" s="1"/>
  <c r="DA34" i="17"/>
  <c r="CZ34" i="17"/>
  <c r="CS34" i="17"/>
  <c r="CT34" i="17" s="1"/>
  <c r="CM34" i="17"/>
  <c r="CL34" i="17"/>
  <c r="CE34" i="17"/>
  <c r="CF34" i="17" s="1"/>
  <c r="BY34" i="17"/>
  <c r="BX34" i="17"/>
  <c r="BQ34" i="17"/>
  <c r="BR34" i="17" s="1"/>
  <c r="BK34" i="17"/>
  <c r="BL34" i="17" s="1"/>
  <c r="BE34" i="17"/>
  <c r="BF34" i="17" s="1"/>
  <c r="AZ34" i="17"/>
  <c r="AY34" i="17"/>
  <c r="AS34" i="17"/>
  <c r="AT34" i="17" s="1"/>
  <c r="AN34" i="17"/>
  <c r="AM34" i="17"/>
  <c r="AG34" i="17"/>
  <c r="AH34" i="17" s="1"/>
  <c r="Z34" i="17"/>
  <c r="AA34" i="17" s="1"/>
  <c r="S34" i="17"/>
  <c r="T34" i="17" s="1"/>
  <c r="L34" i="17"/>
  <c r="M34" i="17" s="1"/>
  <c r="JH33" i="17"/>
  <c r="JI33" i="17" s="1"/>
  <c r="JB33" i="17"/>
  <c r="JA33" i="17"/>
  <c r="IT33" i="17"/>
  <c r="IU33" i="17" s="1"/>
  <c r="IM33" i="17"/>
  <c r="IN33" i="17" s="1"/>
  <c r="IF33" i="17"/>
  <c r="IG33" i="17" s="1"/>
  <c r="HY33" i="17"/>
  <c r="HZ33" i="17" s="1"/>
  <c r="HR33" i="17"/>
  <c r="HS33" i="17" s="1"/>
  <c r="HK33" i="17"/>
  <c r="HL33" i="17" s="1"/>
  <c r="HD33" i="17"/>
  <c r="HE33" i="17" s="1"/>
  <c r="GW33" i="17"/>
  <c r="GX33" i="17" s="1"/>
  <c r="GL33" i="17"/>
  <c r="GK33" i="17"/>
  <c r="GD33" i="17"/>
  <c r="GE33" i="17" s="1"/>
  <c r="FX33" i="17"/>
  <c r="FW33" i="17"/>
  <c r="FP33" i="17"/>
  <c r="FQ33" i="17" s="1"/>
  <c r="FI33" i="17"/>
  <c r="FJ33" i="17" s="1"/>
  <c r="FB33" i="17"/>
  <c r="FC33" i="17" s="1"/>
  <c r="EU33" i="17"/>
  <c r="EV33" i="17" s="1"/>
  <c r="EN33" i="17"/>
  <c r="EO33" i="17" s="1"/>
  <c r="EH33" i="17"/>
  <c r="EG33" i="17"/>
  <c r="DZ33" i="17"/>
  <c r="EA33" i="17" s="1"/>
  <c r="DO33" i="17"/>
  <c r="DN33" i="17"/>
  <c r="DG33" i="17"/>
  <c r="DH33" i="17" s="1"/>
  <c r="CZ33" i="17"/>
  <c r="DA33" i="17" s="1"/>
  <c r="CS33" i="17"/>
  <c r="CT33" i="17" s="1"/>
  <c r="CL33" i="17"/>
  <c r="CM33" i="17" s="1"/>
  <c r="CE33" i="17"/>
  <c r="CF33" i="17" s="1"/>
  <c r="BY33" i="17"/>
  <c r="BX33" i="17"/>
  <c r="BQ33" i="17"/>
  <c r="BR33" i="17" s="1"/>
  <c r="BL33" i="17"/>
  <c r="BK33" i="17"/>
  <c r="BE33" i="17"/>
  <c r="BF33" i="17" s="1"/>
  <c r="AY33" i="17"/>
  <c r="AZ33" i="17" s="1"/>
  <c r="AS33" i="17"/>
  <c r="AT33" i="17" s="1"/>
  <c r="AM33" i="17"/>
  <c r="AN33" i="17" s="1"/>
  <c r="AG33" i="17"/>
  <c r="AH33" i="17" s="1"/>
  <c r="AA33" i="17"/>
  <c r="Z33" i="17"/>
  <c r="S33" i="17"/>
  <c r="T33" i="17" s="1"/>
  <c r="M33" i="17"/>
  <c r="L33" i="17"/>
  <c r="JH32" i="17"/>
  <c r="JI32" i="17" s="1"/>
  <c r="JA32" i="17"/>
  <c r="JB32" i="17" s="1"/>
  <c r="IT32" i="17"/>
  <c r="IU32" i="17" s="1"/>
  <c r="IM32" i="17"/>
  <c r="IN32" i="17" s="1"/>
  <c r="IF32" i="17"/>
  <c r="IG32" i="17" s="1"/>
  <c r="HZ32" i="17"/>
  <c r="HY32" i="17"/>
  <c r="HR32" i="17"/>
  <c r="HS32" i="17" s="1"/>
  <c r="HL32" i="17"/>
  <c r="HK32" i="17"/>
  <c r="HD32" i="17"/>
  <c r="HE32" i="17" s="1"/>
  <c r="GW32" i="17"/>
  <c r="GX32" i="17" s="1"/>
  <c r="GK32" i="17"/>
  <c r="GL32" i="17" s="1"/>
  <c r="GD32" i="17"/>
  <c r="GE32" i="17" s="1"/>
  <c r="FW32" i="17"/>
  <c r="FX32" i="17" s="1"/>
  <c r="FQ32" i="17"/>
  <c r="FP32" i="17"/>
  <c r="FI32" i="17"/>
  <c r="FJ32" i="17" s="1"/>
  <c r="FC32" i="17"/>
  <c r="FB32" i="17"/>
  <c r="EU32" i="17"/>
  <c r="EV32" i="17" s="1"/>
  <c r="EN32" i="17"/>
  <c r="EO32" i="17" s="1"/>
  <c r="EG32" i="17"/>
  <c r="EH32" i="17" s="1"/>
  <c r="DZ32" i="17"/>
  <c r="EA32" i="17" s="1"/>
  <c r="DN32" i="17"/>
  <c r="DO32" i="17" s="1"/>
  <c r="DH32" i="17"/>
  <c r="DG32" i="17"/>
  <c r="CZ32" i="17"/>
  <c r="DA32" i="17" s="1"/>
  <c r="CT32" i="17"/>
  <c r="CS32" i="17"/>
  <c r="CL32" i="17"/>
  <c r="CM32" i="17" s="1"/>
  <c r="CE32" i="17"/>
  <c r="CF32" i="17" s="1"/>
  <c r="BX32" i="17"/>
  <c r="BY32" i="17" s="1"/>
  <c r="BQ32" i="17"/>
  <c r="BR32" i="17" s="1"/>
  <c r="BK32" i="17"/>
  <c r="BL32" i="17" s="1"/>
  <c r="BF32" i="17"/>
  <c r="BE32" i="17"/>
  <c r="AY32" i="17"/>
  <c r="AZ32" i="17" s="1"/>
  <c r="AT32" i="17"/>
  <c r="AS32" i="17"/>
  <c r="AM32" i="17"/>
  <c r="AN32" i="17" s="1"/>
  <c r="AG32" i="17"/>
  <c r="AH32" i="17" s="1"/>
  <c r="Z32" i="17"/>
  <c r="AA32" i="17" s="1"/>
  <c r="S32" i="17"/>
  <c r="T32" i="17" s="1"/>
  <c r="L32" i="17"/>
  <c r="M32" i="17" s="1"/>
  <c r="JI31" i="17"/>
  <c r="JH31" i="17"/>
  <c r="JA31" i="17"/>
  <c r="JB31" i="17" s="1"/>
  <c r="IU31" i="17"/>
  <c r="IT31" i="17"/>
  <c r="IM31" i="17"/>
  <c r="IN31" i="17" s="1"/>
  <c r="IF31" i="17"/>
  <c r="IG31" i="17" s="1"/>
  <c r="HY31" i="17"/>
  <c r="HZ31" i="17" s="1"/>
  <c r="HR31" i="17"/>
  <c r="HS31" i="17" s="1"/>
  <c r="HK31" i="17"/>
  <c r="HL31" i="17" s="1"/>
  <c r="HE31" i="17"/>
  <c r="HD31" i="17"/>
  <c r="GW31" i="17"/>
  <c r="GX31" i="17" s="1"/>
  <c r="GL31" i="17"/>
  <c r="GK31" i="17"/>
  <c r="GD31" i="17"/>
  <c r="GE31" i="17" s="1"/>
  <c r="FW31" i="17"/>
  <c r="FX31" i="17" s="1"/>
  <c r="FP31" i="17"/>
  <c r="FQ31" i="17" s="1"/>
  <c r="FI31" i="17"/>
  <c r="FJ31" i="17" s="1"/>
  <c r="FB31" i="17"/>
  <c r="FC31" i="17" s="1"/>
  <c r="EV31" i="17"/>
  <c r="EU31" i="17"/>
  <c r="EN31" i="17"/>
  <c r="EO31" i="17" s="1"/>
  <c r="EH31" i="17"/>
  <c r="EG31" i="17"/>
  <c r="DZ31" i="17"/>
  <c r="EA31" i="17" s="1"/>
  <c r="DN31" i="17"/>
  <c r="DO31" i="17" s="1"/>
  <c r="DG31" i="17"/>
  <c r="DH31" i="17" s="1"/>
  <c r="CZ31" i="17"/>
  <c r="DA31" i="17" s="1"/>
  <c r="CS31" i="17"/>
  <c r="CT31" i="17" s="1"/>
  <c r="CM31" i="17"/>
  <c r="CL31" i="17"/>
  <c r="CE31" i="17"/>
  <c r="CF31" i="17" s="1"/>
  <c r="BY31" i="17"/>
  <c r="BX31" i="17"/>
  <c r="BQ31" i="17"/>
  <c r="BR31" i="17" s="1"/>
  <c r="BK31" i="17"/>
  <c r="BL31" i="17" s="1"/>
  <c r="BE31" i="17"/>
  <c r="BF31" i="17" s="1"/>
  <c r="AY31" i="17"/>
  <c r="AZ31" i="17" s="1"/>
  <c r="AS31" i="17"/>
  <c r="AT31" i="17" s="1"/>
  <c r="AN31" i="17"/>
  <c r="AM31" i="17"/>
  <c r="AG31" i="17"/>
  <c r="AH31" i="17" s="1"/>
  <c r="AA31" i="17"/>
  <c r="Z31" i="17"/>
  <c r="S31" i="17"/>
  <c r="T31" i="17" s="1"/>
  <c r="L31" i="17"/>
  <c r="M31" i="17" s="1"/>
  <c r="JH29" i="17"/>
  <c r="JI29" i="17" s="1"/>
  <c r="JA29" i="17"/>
  <c r="JB29" i="17" s="1"/>
  <c r="IT29" i="17"/>
  <c r="IU29" i="17" s="1"/>
  <c r="IN29" i="17"/>
  <c r="IM29" i="17"/>
  <c r="IF29" i="17"/>
  <c r="IG29" i="17" s="1"/>
  <c r="HZ29" i="17"/>
  <c r="HY29" i="17"/>
  <c r="HR29" i="17"/>
  <c r="HS29" i="17" s="1"/>
  <c r="HK29" i="17"/>
  <c r="HL29" i="17" s="1"/>
  <c r="HD29" i="17"/>
  <c r="HE29" i="17" s="1"/>
  <c r="GW29" i="17"/>
  <c r="GX29" i="17" s="1"/>
  <c r="GK29" i="17"/>
  <c r="GL29" i="17" s="1"/>
  <c r="GE29" i="17"/>
  <c r="GD29" i="17"/>
  <c r="FW29" i="17"/>
  <c r="FX29" i="17" s="1"/>
  <c r="FQ29" i="17"/>
  <c r="FP29" i="17"/>
  <c r="FI29" i="17"/>
  <c r="FJ29" i="17" s="1"/>
  <c r="FB29" i="17"/>
  <c r="FC29" i="17" s="1"/>
  <c r="EU29" i="17"/>
  <c r="EV29" i="17" s="1"/>
  <c r="EN29" i="17"/>
  <c r="EO29" i="17" s="1"/>
  <c r="EG29" i="17"/>
  <c r="EH29" i="17" s="1"/>
  <c r="EA29" i="17"/>
  <c r="DZ29" i="17"/>
  <c r="DN29" i="17"/>
  <c r="DO29" i="17" s="1"/>
  <c r="DH29" i="17"/>
  <c r="DG29" i="17"/>
  <c r="CZ29" i="17"/>
  <c r="DA29" i="17" s="1"/>
  <c r="CS29" i="17"/>
  <c r="CT29" i="17" s="1"/>
  <c r="CL29" i="17"/>
  <c r="CM29" i="17" s="1"/>
  <c r="CE29" i="17"/>
  <c r="CF29" i="17" s="1"/>
  <c r="BX29" i="17"/>
  <c r="BY29" i="17" s="1"/>
  <c r="BR29" i="17"/>
  <c r="BQ29" i="17"/>
  <c r="BK29" i="17"/>
  <c r="BL29" i="17" s="1"/>
  <c r="BF29" i="17"/>
  <c r="BE29" i="17"/>
  <c r="AY29" i="17"/>
  <c r="AZ29" i="17" s="1"/>
  <c r="AS29" i="17"/>
  <c r="AT29" i="17" s="1"/>
  <c r="AM29" i="17"/>
  <c r="AN29" i="17" s="1"/>
  <c r="AG29" i="17"/>
  <c r="AH29" i="17" s="1"/>
  <c r="Z29" i="17"/>
  <c r="AA29" i="17" s="1"/>
  <c r="T29" i="17"/>
  <c r="S29" i="17"/>
  <c r="L29" i="17"/>
  <c r="M29" i="17" s="1"/>
  <c r="JI28" i="17"/>
  <c r="JH28" i="17"/>
  <c r="JA28" i="17"/>
  <c r="JB28" i="17" s="1"/>
  <c r="IT28" i="17"/>
  <c r="IU28" i="17" s="1"/>
  <c r="IM28" i="17"/>
  <c r="IN28" i="17" s="1"/>
  <c r="IF28" i="17"/>
  <c r="IG28" i="17" s="1"/>
  <c r="HY28" i="17"/>
  <c r="HZ28" i="17" s="1"/>
  <c r="HS28" i="17"/>
  <c r="HR28" i="17"/>
  <c r="HK28" i="17"/>
  <c r="HL28" i="17" s="1"/>
  <c r="HE28" i="17"/>
  <c r="HD28" i="17"/>
  <c r="GW28" i="17"/>
  <c r="GX28" i="17" s="1"/>
  <c r="GK28" i="17"/>
  <c r="GL28" i="17" s="1"/>
  <c r="GD28" i="17"/>
  <c r="GE28" i="17" s="1"/>
  <c r="FW28" i="17"/>
  <c r="FX28" i="17" s="1"/>
  <c r="FP28" i="17"/>
  <c r="FQ28" i="17" s="1"/>
  <c r="FJ28" i="17"/>
  <c r="FI28" i="17"/>
  <c r="FB28" i="17"/>
  <c r="FC28" i="17" s="1"/>
  <c r="EV28" i="17"/>
  <c r="EU28" i="17"/>
  <c r="EN28" i="17"/>
  <c r="EO28" i="17" s="1"/>
  <c r="EG28" i="17"/>
  <c r="EH28" i="17" s="1"/>
  <c r="DZ28" i="17"/>
  <c r="EA28" i="17" s="1"/>
  <c r="DN28" i="17"/>
  <c r="DO28" i="17" s="1"/>
  <c r="DG28" i="17"/>
  <c r="DH28" i="17" s="1"/>
  <c r="DA28" i="17"/>
  <c r="CZ28" i="17"/>
  <c r="CS28" i="17"/>
  <c r="CT28" i="17" s="1"/>
  <c r="CM28" i="17"/>
  <c r="CL28" i="17"/>
  <c r="CE28" i="17"/>
  <c r="CF28" i="17" s="1"/>
  <c r="BX28" i="17"/>
  <c r="BY28" i="17" s="1"/>
  <c r="BQ28" i="17"/>
  <c r="BR28" i="17" s="1"/>
  <c r="BK28" i="17"/>
  <c r="BL28" i="17" s="1"/>
  <c r="BE28" i="17"/>
  <c r="BF28" i="17" s="1"/>
  <c r="AZ28" i="17"/>
  <c r="AY28" i="17"/>
  <c r="AS28" i="17"/>
  <c r="AT28" i="17" s="1"/>
  <c r="AN28" i="17"/>
  <c r="AM28" i="17"/>
  <c r="AG28" i="17"/>
  <c r="AH28" i="17" s="1"/>
  <c r="Z28" i="17"/>
  <c r="AA28" i="17" s="1"/>
  <c r="S28" i="17"/>
  <c r="T28" i="17" s="1"/>
  <c r="L28" i="17"/>
  <c r="M28" i="17" s="1"/>
  <c r="JH27" i="17"/>
  <c r="JI27" i="17" s="1"/>
  <c r="JB27" i="17"/>
  <c r="JA27" i="17"/>
  <c r="IT27" i="17"/>
  <c r="IU27" i="17" s="1"/>
  <c r="IN27" i="17"/>
  <c r="IM27" i="17"/>
  <c r="IF27" i="17"/>
  <c r="IG27" i="17" s="1"/>
  <c r="HY27" i="17"/>
  <c r="HZ27" i="17" s="1"/>
  <c r="HR27" i="17"/>
  <c r="HS27" i="17" s="1"/>
  <c r="HK27" i="17"/>
  <c r="HL27" i="17" s="1"/>
  <c r="HD27" i="17"/>
  <c r="HE27" i="17" s="1"/>
  <c r="GX27" i="17"/>
  <c r="GW27" i="17"/>
  <c r="GK27" i="17"/>
  <c r="GL27" i="17" s="1"/>
  <c r="GE27" i="17"/>
  <c r="GD27" i="17"/>
  <c r="FW27" i="17"/>
  <c r="FX27" i="17" s="1"/>
  <c r="FP27" i="17"/>
  <c r="FQ27" i="17" s="1"/>
  <c r="FI27" i="17"/>
  <c r="FJ27" i="17" s="1"/>
  <c r="FB27" i="17"/>
  <c r="FC27" i="17" s="1"/>
  <c r="EU27" i="17"/>
  <c r="EV27" i="17" s="1"/>
  <c r="EO27" i="17"/>
  <c r="EN27" i="17"/>
  <c r="EG27" i="17"/>
  <c r="EH27" i="17" s="1"/>
  <c r="EA27" i="17"/>
  <c r="DZ27" i="17"/>
  <c r="DN27" i="17"/>
  <c r="DO27" i="17" s="1"/>
  <c r="DG27" i="17"/>
  <c r="DH27" i="17" s="1"/>
  <c r="CZ27" i="17"/>
  <c r="DA27" i="17" s="1"/>
  <c r="CS27" i="17"/>
  <c r="CT27" i="17" s="1"/>
  <c r="CL27" i="17"/>
  <c r="CM27" i="17" s="1"/>
  <c r="CF27" i="17"/>
  <c r="CE27" i="17"/>
  <c r="BX27" i="17"/>
  <c r="BY27" i="17" s="1"/>
  <c r="BR27" i="17"/>
  <c r="BQ27" i="17"/>
  <c r="BK27" i="17"/>
  <c r="BL27" i="17" s="1"/>
  <c r="BE27" i="17"/>
  <c r="BF27" i="17" s="1"/>
  <c r="AY27" i="17"/>
  <c r="AZ27" i="17" s="1"/>
  <c r="AS27" i="17"/>
  <c r="AT27" i="17" s="1"/>
  <c r="AM27" i="17"/>
  <c r="AN27" i="17" s="1"/>
  <c r="AH27" i="17"/>
  <c r="AG27" i="17"/>
  <c r="Z27" i="17"/>
  <c r="AA27" i="17" s="1"/>
  <c r="T27" i="17"/>
  <c r="S27" i="17"/>
  <c r="L27" i="17"/>
  <c r="M27" i="17" s="1"/>
  <c r="JH26" i="17"/>
  <c r="JI26" i="17" s="1"/>
  <c r="JA26" i="17"/>
  <c r="JB26" i="17" s="1"/>
  <c r="IT26" i="17"/>
  <c r="IU26" i="17" s="1"/>
  <c r="IM26" i="17"/>
  <c r="IN26" i="17" s="1"/>
  <c r="IG26" i="17"/>
  <c r="IF26" i="17"/>
  <c r="HY26" i="17"/>
  <c r="HZ26" i="17" s="1"/>
  <c r="HS26" i="17"/>
  <c r="HR26" i="17"/>
  <c r="HK26" i="17"/>
  <c r="HL26" i="17" s="1"/>
  <c r="HD26" i="17"/>
  <c r="HE26" i="17" s="1"/>
  <c r="GW26" i="17"/>
  <c r="GX26" i="17" s="1"/>
  <c r="GK26" i="17"/>
  <c r="GL26" i="17" s="1"/>
  <c r="GD26" i="17"/>
  <c r="GE26" i="17" s="1"/>
  <c r="FX26" i="17"/>
  <c r="FW26" i="17"/>
  <c r="FP26" i="17"/>
  <c r="FQ26" i="17" s="1"/>
  <c r="FJ26" i="17"/>
  <c r="FI26" i="17"/>
  <c r="FB26" i="17"/>
  <c r="FC26" i="17" s="1"/>
  <c r="EU26" i="17"/>
  <c r="EV26" i="17" s="1"/>
  <c r="EN26" i="17"/>
  <c r="EO26" i="17" s="1"/>
  <c r="EG26" i="17"/>
  <c r="EH26" i="17" s="1"/>
  <c r="DZ26" i="17"/>
  <c r="EA26" i="17" s="1"/>
  <c r="DO26" i="17"/>
  <c r="DN26" i="17"/>
  <c r="DG26" i="17"/>
  <c r="DH26" i="17" s="1"/>
  <c r="DA26" i="17"/>
  <c r="CZ26" i="17"/>
  <c r="CS26" i="17"/>
  <c r="CT26" i="17" s="1"/>
  <c r="CL26" i="17"/>
  <c r="CM26" i="17" s="1"/>
  <c r="CE26" i="17"/>
  <c r="CF26" i="17" s="1"/>
  <c r="BX26" i="17"/>
  <c r="BY26" i="17" s="1"/>
  <c r="BQ26" i="17"/>
  <c r="BR26" i="17" s="1"/>
  <c r="BL26" i="17"/>
  <c r="BK26" i="17"/>
  <c r="BE26" i="17"/>
  <c r="BF26" i="17" s="1"/>
  <c r="AZ26" i="17"/>
  <c r="AY26" i="17"/>
  <c r="AS26" i="17"/>
  <c r="AT26" i="17" s="1"/>
  <c r="AM26" i="17"/>
  <c r="AN26" i="17" s="1"/>
  <c r="AG26" i="17"/>
  <c r="AH26" i="17" s="1"/>
  <c r="Z26" i="17"/>
  <c r="AA26" i="17" s="1"/>
  <c r="S26" i="17"/>
  <c r="T26" i="17" s="1"/>
  <c r="M26" i="17"/>
  <c r="L26" i="17"/>
  <c r="JH24" i="17"/>
  <c r="JI24" i="17" s="1"/>
  <c r="JB24" i="17"/>
  <c r="JA24" i="17"/>
  <c r="IT24" i="17"/>
  <c r="IU24" i="17" s="1"/>
  <c r="IM24" i="17"/>
  <c r="IN24" i="17" s="1"/>
  <c r="IF24" i="17"/>
  <c r="IG24" i="17" s="1"/>
  <c r="HY24" i="17"/>
  <c r="HZ24" i="17" s="1"/>
  <c r="HR24" i="17"/>
  <c r="HS24" i="17" s="1"/>
  <c r="HL24" i="17"/>
  <c r="HK24" i="17"/>
  <c r="HD24" i="17"/>
  <c r="HE24" i="17" s="1"/>
  <c r="GX24" i="17"/>
  <c r="GW24" i="17"/>
  <c r="GK24" i="17"/>
  <c r="GL24" i="17" s="1"/>
  <c r="GD24" i="17"/>
  <c r="GE24" i="17" s="1"/>
  <c r="FW24" i="17"/>
  <c r="FX24" i="17" s="1"/>
  <c r="FP24" i="17"/>
  <c r="FQ24" i="17" s="1"/>
  <c r="FI24" i="17"/>
  <c r="FJ24" i="17" s="1"/>
  <c r="FC24" i="17"/>
  <c r="FB24" i="17"/>
  <c r="EU24" i="17"/>
  <c r="EV24" i="17" s="1"/>
  <c r="EO24" i="17"/>
  <c r="EN24" i="17"/>
  <c r="EG24" i="17"/>
  <c r="EH24" i="17" s="1"/>
  <c r="DZ24" i="17"/>
  <c r="EA24" i="17" s="1"/>
  <c r="DN24" i="17"/>
  <c r="DO24" i="17" s="1"/>
  <c r="DG24" i="17"/>
  <c r="DH24" i="17" s="1"/>
  <c r="CZ24" i="17"/>
  <c r="DA24" i="17" s="1"/>
  <c r="CT24" i="17"/>
  <c r="CS24" i="17"/>
  <c r="CL24" i="17"/>
  <c r="CM24" i="17" s="1"/>
  <c r="CF24" i="17"/>
  <c r="CE24" i="17"/>
  <c r="BX24" i="17"/>
  <c r="BY24" i="17" s="1"/>
  <c r="BQ24" i="17"/>
  <c r="BR24" i="17" s="1"/>
  <c r="BK24" i="17"/>
  <c r="BL24" i="17" s="1"/>
  <c r="BE24" i="17"/>
  <c r="BF24" i="17" s="1"/>
  <c r="AY24" i="17"/>
  <c r="AZ24" i="17" s="1"/>
  <c r="AT24" i="17"/>
  <c r="AS24" i="17"/>
  <c r="AM24" i="17"/>
  <c r="AN24" i="17" s="1"/>
  <c r="AH24" i="17"/>
  <c r="AG24" i="17"/>
  <c r="Z24" i="17"/>
  <c r="AA24" i="17" s="1"/>
  <c r="S24" i="17"/>
  <c r="T24" i="17" s="1"/>
  <c r="L24" i="17"/>
  <c r="M24" i="17" s="1"/>
  <c r="JH23" i="17"/>
  <c r="JI23" i="17" s="1"/>
  <c r="JA23" i="17"/>
  <c r="JB23" i="17" s="1"/>
  <c r="IU23" i="17"/>
  <c r="IT23" i="17"/>
  <c r="IM23" i="17"/>
  <c r="IN23" i="17" s="1"/>
  <c r="IG23" i="17"/>
  <c r="IF23" i="17"/>
  <c r="HY23" i="17"/>
  <c r="HZ23" i="17" s="1"/>
  <c r="HR23" i="17"/>
  <c r="HS23" i="17" s="1"/>
  <c r="HK23" i="17"/>
  <c r="HL23" i="17" s="1"/>
  <c r="HD23" i="17"/>
  <c r="HE23" i="17" s="1"/>
  <c r="GW23" i="17"/>
  <c r="GX23" i="17" s="1"/>
  <c r="GL23" i="17"/>
  <c r="GK23" i="17"/>
  <c r="GD23" i="17"/>
  <c r="GE23" i="17" s="1"/>
  <c r="FX23" i="17"/>
  <c r="FW23" i="17"/>
  <c r="FP23" i="17"/>
  <c r="FQ23" i="17" s="1"/>
  <c r="FI23" i="17"/>
  <c r="FJ23" i="17" s="1"/>
  <c r="FC23" i="17"/>
  <c r="FB23" i="17"/>
  <c r="EU23" i="17"/>
  <c r="EV23" i="17" s="1"/>
  <c r="EO23" i="17"/>
  <c r="EN23" i="17"/>
  <c r="EG23" i="17"/>
  <c r="EH23" i="17" s="1"/>
  <c r="EA23" i="17"/>
  <c r="DZ23" i="17"/>
  <c r="DN23" i="17"/>
  <c r="DO23" i="17" s="1"/>
  <c r="DH23" i="17"/>
  <c r="DG23" i="17"/>
  <c r="CZ23" i="17"/>
  <c r="DA23" i="17" s="1"/>
  <c r="CT23" i="17"/>
  <c r="CS23" i="17"/>
  <c r="CL23" i="17"/>
  <c r="CM23" i="17" s="1"/>
  <c r="CF23" i="17"/>
  <c r="CE23" i="17"/>
  <c r="BX23" i="17"/>
  <c r="BY23" i="17" s="1"/>
  <c r="BR23" i="17"/>
  <c r="BQ23" i="17"/>
  <c r="BK23" i="17"/>
  <c r="BL23" i="17" s="1"/>
  <c r="BF23" i="17"/>
  <c r="BE23" i="17"/>
  <c r="AY23" i="17"/>
  <c r="AZ23" i="17" s="1"/>
  <c r="AT23" i="17"/>
  <c r="AS23" i="17"/>
  <c r="AM23" i="17"/>
  <c r="AN23" i="17" s="1"/>
  <c r="AH23" i="17"/>
  <c r="AG23" i="17"/>
  <c r="Z23" i="17"/>
  <c r="AA23" i="17" s="1"/>
  <c r="T23" i="17"/>
  <c r="S23" i="17"/>
  <c r="L23" i="17"/>
  <c r="M23" i="17" s="1"/>
  <c r="JI22" i="17"/>
  <c r="JH22" i="17"/>
  <c r="JA22" i="17"/>
  <c r="JB22" i="17" s="1"/>
  <c r="IU22" i="17"/>
  <c r="IT22" i="17"/>
  <c r="IM22" i="17"/>
  <c r="IN22" i="17" s="1"/>
  <c r="IG22" i="17"/>
  <c r="IF22" i="17"/>
  <c r="HY22" i="17"/>
  <c r="HZ22" i="17" s="1"/>
  <c r="HS22" i="17"/>
  <c r="HR22" i="17"/>
  <c r="HK22" i="17"/>
  <c r="HL22" i="17" s="1"/>
  <c r="HE22" i="17"/>
  <c r="HD22" i="17"/>
  <c r="GW22" i="17"/>
  <c r="GX22" i="17" s="1"/>
  <c r="GL22" i="17"/>
  <c r="GK22" i="17"/>
  <c r="GD22" i="17"/>
  <c r="GE22" i="17" s="1"/>
  <c r="FX22" i="17"/>
  <c r="FW22" i="17"/>
  <c r="FP22" i="17"/>
  <c r="FQ22" i="17" s="1"/>
  <c r="FJ22" i="17"/>
  <c r="FI22" i="17"/>
  <c r="FB22" i="17"/>
  <c r="FC22" i="17" s="1"/>
  <c r="EV22" i="17"/>
  <c r="EU22" i="17"/>
  <c r="EN22" i="17"/>
  <c r="EO22" i="17" s="1"/>
  <c r="EH22" i="17"/>
  <c r="EG22" i="17"/>
  <c r="DZ22" i="17"/>
  <c r="EA22" i="17" s="1"/>
  <c r="DO22" i="17"/>
  <c r="DN22" i="17"/>
  <c r="DG22" i="17"/>
  <c r="DH22" i="17" s="1"/>
  <c r="DA22" i="17"/>
  <c r="CZ22" i="17"/>
  <c r="CS22" i="17"/>
  <c r="CT22" i="17" s="1"/>
  <c r="CM22" i="17"/>
  <c r="CL22" i="17"/>
  <c r="CE22" i="17"/>
  <c r="CF22" i="17" s="1"/>
  <c r="BY22" i="17"/>
  <c r="BX22" i="17"/>
  <c r="BQ22" i="17"/>
  <c r="BR22" i="17" s="1"/>
  <c r="BL22" i="17"/>
  <c r="BK22" i="17"/>
  <c r="BE22" i="17"/>
  <c r="BF22" i="17" s="1"/>
  <c r="AZ22" i="17"/>
  <c r="AY22" i="17"/>
  <c r="AS22" i="17"/>
  <c r="AT22" i="17" s="1"/>
  <c r="AN22" i="17"/>
  <c r="AM22" i="17"/>
  <c r="AG22" i="17"/>
  <c r="AH22" i="17" s="1"/>
  <c r="AA22" i="17"/>
  <c r="Z22" i="17"/>
  <c r="S22" i="17"/>
  <c r="T22" i="17" s="1"/>
  <c r="M22" i="17"/>
  <c r="L22" i="17"/>
  <c r="JH21" i="17"/>
  <c r="JI21" i="17" s="1"/>
  <c r="JB21" i="17"/>
  <c r="JA21" i="17"/>
  <c r="IT21" i="17"/>
  <c r="IU21" i="17" s="1"/>
  <c r="IN21" i="17"/>
  <c r="IM21" i="17"/>
  <c r="IF21" i="17"/>
  <c r="IG21" i="17" s="1"/>
  <c r="HZ21" i="17"/>
  <c r="HY21" i="17"/>
  <c r="HR21" i="17"/>
  <c r="HS21" i="17" s="1"/>
  <c r="HL21" i="17"/>
  <c r="HK21" i="17"/>
  <c r="HD21" i="17"/>
  <c r="HE21" i="17" s="1"/>
  <c r="GX21" i="17"/>
  <c r="GW21" i="17"/>
  <c r="GK21" i="17"/>
  <c r="GL21" i="17" s="1"/>
  <c r="GE21" i="17"/>
  <c r="GD21" i="17"/>
  <c r="FW21" i="17"/>
  <c r="FX21" i="17" s="1"/>
  <c r="FQ21" i="17"/>
  <c r="FP21" i="17"/>
  <c r="FI21" i="17"/>
  <c r="FJ21" i="17" s="1"/>
  <c r="FC21" i="17"/>
  <c r="FB21" i="17"/>
  <c r="EU21" i="17"/>
  <c r="EV21" i="17" s="1"/>
  <c r="EO21" i="17"/>
  <c r="EN21" i="17"/>
  <c r="EG21" i="17"/>
  <c r="EH21" i="17" s="1"/>
  <c r="EA21" i="17"/>
  <c r="DZ21" i="17"/>
  <c r="DN21" i="17"/>
  <c r="DO21" i="17" s="1"/>
  <c r="DH21" i="17"/>
  <c r="DG21" i="17"/>
  <c r="CZ21" i="17"/>
  <c r="DA21" i="17" s="1"/>
  <c r="CT21" i="17"/>
  <c r="CS21" i="17"/>
  <c r="CL21" i="17"/>
  <c r="CM21" i="17" s="1"/>
  <c r="CF21" i="17"/>
  <c r="CE21" i="17"/>
  <c r="BX21" i="17"/>
  <c r="BY21" i="17" s="1"/>
  <c r="BR21" i="17"/>
  <c r="BQ21" i="17"/>
  <c r="BK21" i="17"/>
  <c r="BL21" i="17" s="1"/>
  <c r="BF21" i="17"/>
  <c r="BE21" i="17"/>
  <c r="AY21" i="17"/>
  <c r="AZ21" i="17" s="1"/>
  <c r="AT21" i="17"/>
  <c r="AS21" i="17"/>
  <c r="AM21" i="17"/>
  <c r="AN21" i="17" s="1"/>
  <c r="AH21" i="17"/>
  <c r="AG21" i="17"/>
  <c r="Z21" i="17"/>
  <c r="AA21" i="17" s="1"/>
  <c r="T21" i="17"/>
  <c r="S21" i="17"/>
  <c r="L21" i="17"/>
  <c r="M21" i="17" s="1"/>
  <c r="JI19" i="17"/>
  <c r="JH19" i="17"/>
  <c r="JA19" i="17"/>
  <c r="IU19" i="17"/>
  <c r="IT19" i="17"/>
  <c r="IN19" i="17"/>
  <c r="IM19" i="17"/>
  <c r="IG19" i="17"/>
  <c r="IF19" i="17"/>
  <c r="HZ19" i="17"/>
  <c r="HY19" i="17"/>
  <c r="HS19" i="17"/>
  <c r="HR19" i="17"/>
  <c r="HL19" i="17"/>
  <c r="HK19" i="17"/>
  <c r="HE19" i="17"/>
  <c r="HD19" i="17"/>
  <c r="GX19" i="17"/>
  <c r="GW19" i="17"/>
  <c r="GL19" i="17"/>
  <c r="GK19" i="17"/>
  <c r="GE19" i="17"/>
  <c r="GD19" i="17"/>
  <c r="FX19" i="17"/>
  <c r="FW19" i="17"/>
  <c r="FP19" i="17"/>
  <c r="FI19" i="17"/>
  <c r="FJ19" i="17" s="1"/>
  <c r="FC19" i="17"/>
  <c r="FB19" i="17"/>
  <c r="EU19" i="17"/>
  <c r="EV19" i="17" s="1"/>
  <c r="EO19" i="17"/>
  <c r="EN19" i="17"/>
  <c r="EG19" i="17"/>
  <c r="EH19" i="17" s="1"/>
  <c r="EA19" i="17"/>
  <c r="DZ19" i="17"/>
  <c r="DN19" i="17"/>
  <c r="DO19" i="17" s="1"/>
  <c r="DH19" i="17"/>
  <c r="DG19" i="17"/>
  <c r="CZ19" i="17"/>
  <c r="DA19" i="17" s="1"/>
  <c r="CT19" i="17"/>
  <c r="CS19" i="17"/>
  <c r="CL19" i="17"/>
  <c r="CM19" i="17" s="1"/>
  <c r="CF19" i="17"/>
  <c r="CE19" i="17"/>
  <c r="BX19" i="17"/>
  <c r="BY19" i="17" s="1"/>
  <c r="BR19" i="17"/>
  <c r="BQ19" i="17"/>
  <c r="BK19" i="17"/>
  <c r="BL19" i="17" s="1"/>
  <c r="BF19" i="17"/>
  <c r="BE19" i="17"/>
  <c r="AY19" i="17"/>
  <c r="AZ19" i="17" s="1"/>
  <c r="AT19" i="17"/>
  <c r="AS19" i="17"/>
  <c r="AM19" i="17"/>
  <c r="AN19" i="17" s="1"/>
  <c r="AH19" i="17"/>
  <c r="AG19" i="17"/>
  <c r="Z19" i="17"/>
  <c r="AA19" i="17" s="1"/>
  <c r="T19" i="17"/>
  <c r="S19" i="17"/>
  <c r="L19" i="17"/>
  <c r="M19" i="17" s="1"/>
  <c r="JI18" i="17"/>
  <c r="JH18" i="17"/>
  <c r="JA18" i="17"/>
  <c r="IU18" i="17"/>
  <c r="IT18" i="17"/>
  <c r="IN18" i="17"/>
  <c r="IM18" i="17"/>
  <c r="IG18" i="17"/>
  <c r="IF18" i="17"/>
  <c r="HZ18" i="17"/>
  <c r="HY18" i="17"/>
  <c r="HS18" i="17"/>
  <c r="HR18" i="17"/>
  <c r="HL18" i="17"/>
  <c r="HK18" i="17"/>
  <c r="HE18" i="17"/>
  <c r="HD18" i="17"/>
  <c r="GX18" i="17"/>
  <c r="GW18" i="17"/>
  <c r="GL18" i="17"/>
  <c r="GK18" i="17"/>
  <c r="GE18" i="17"/>
  <c r="GD18" i="17"/>
  <c r="FX18" i="17"/>
  <c r="FW18" i="17"/>
  <c r="FP18" i="17"/>
  <c r="FI18" i="17"/>
  <c r="FJ18" i="17" s="1"/>
  <c r="FC18" i="17"/>
  <c r="FB18" i="17"/>
  <c r="EU18" i="17"/>
  <c r="EV18" i="17" s="1"/>
  <c r="EO18" i="17"/>
  <c r="EN18" i="17"/>
  <c r="EG18" i="17"/>
  <c r="EH18" i="17" s="1"/>
  <c r="EA18" i="17"/>
  <c r="DZ18" i="17"/>
  <c r="DN18" i="17"/>
  <c r="DO18" i="17" s="1"/>
  <c r="DH18" i="17"/>
  <c r="DG18" i="17"/>
  <c r="CZ18" i="17"/>
  <c r="DA18" i="17" s="1"/>
  <c r="CT18" i="17"/>
  <c r="CS18" i="17"/>
  <c r="CL18" i="17"/>
  <c r="CM18" i="17" s="1"/>
  <c r="CF18" i="17"/>
  <c r="CE18" i="17"/>
  <c r="BX18" i="17"/>
  <c r="BY18" i="17" s="1"/>
  <c r="BR18" i="17"/>
  <c r="BQ18" i="17"/>
  <c r="BK18" i="17"/>
  <c r="BL18" i="17" s="1"/>
  <c r="BF18" i="17"/>
  <c r="BE18" i="17"/>
  <c r="AY18" i="17"/>
  <c r="AZ18" i="17" s="1"/>
  <c r="AT18" i="17"/>
  <c r="AS18" i="17"/>
  <c r="AM18" i="17"/>
  <c r="AN18" i="17" s="1"/>
  <c r="AH18" i="17"/>
  <c r="AG18" i="17"/>
  <c r="Z18" i="17"/>
  <c r="AA18" i="17" s="1"/>
  <c r="T18" i="17"/>
  <c r="S18" i="17"/>
  <c r="L18" i="17"/>
  <c r="M18" i="17" s="1"/>
  <c r="JI16" i="17"/>
  <c r="JH16" i="17"/>
  <c r="JA16" i="17"/>
  <c r="JB16" i="17" s="1"/>
  <c r="IU16" i="17"/>
  <c r="IT16" i="17"/>
  <c r="IM16" i="17"/>
  <c r="IN16" i="17" s="1"/>
  <c r="IG16" i="17"/>
  <c r="IF16" i="17"/>
  <c r="HY16" i="17"/>
  <c r="HZ16" i="17" s="1"/>
  <c r="HS16" i="17"/>
  <c r="HR16" i="17"/>
  <c r="HK16" i="17"/>
  <c r="HL16" i="17" s="1"/>
  <c r="HE16" i="17"/>
  <c r="HD16" i="17"/>
  <c r="GW16" i="17"/>
  <c r="GX16" i="17" s="1"/>
  <c r="GL16" i="17"/>
  <c r="GK16" i="17"/>
  <c r="GD16" i="17"/>
  <c r="GE16" i="17" s="1"/>
  <c r="FX16" i="17"/>
  <c r="FW16" i="17"/>
  <c r="FP16" i="17"/>
  <c r="FQ16" i="17" s="1"/>
  <c r="FJ16" i="17"/>
  <c r="FI16" i="17"/>
  <c r="FB16" i="17"/>
  <c r="FC16" i="17" s="1"/>
  <c r="EV16" i="17"/>
  <c r="EU16" i="17"/>
  <c r="EN16" i="17"/>
  <c r="EO16" i="17" s="1"/>
  <c r="EH16" i="17"/>
  <c r="EG16" i="17"/>
  <c r="DZ16" i="17"/>
  <c r="EA16" i="17" s="1"/>
  <c r="DO16" i="17"/>
  <c r="DN16" i="17"/>
  <c r="DG16" i="17"/>
  <c r="DH16" i="17" s="1"/>
  <c r="DA16" i="17"/>
  <c r="CZ16" i="17"/>
  <c r="CS16" i="17"/>
  <c r="CT16" i="17" s="1"/>
  <c r="CM16" i="17"/>
  <c r="CL16" i="17"/>
  <c r="CE16" i="17"/>
  <c r="CF16" i="17" s="1"/>
  <c r="BY16" i="17"/>
  <c r="BX16" i="17"/>
  <c r="BQ16" i="17"/>
  <c r="BR16" i="17" s="1"/>
  <c r="BL16" i="17"/>
  <c r="BK16" i="17"/>
  <c r="BE16" i="17"/>
  <c r="BF16" i="17" s="1"/>
  <c r="AZ16" i="17"/>
  <c r="AY16" i="17"/>
  <c r="AS16" i="17"/>
  <c r="AT16" i="17" s="1"/>
  <c r="AN16" i="17"/>
  <c r="AM16" i="17"/>
  <c r="AG16" i="17"/>
  <c r="AH16" i="17" s="1"/>
  <c r="AA16" i="17"/>
  <c r="Z16" i="17"/>
  <c r="S16" i="17"/>
  <c r="T16" i="17" s="1"/>
  <c r="M16" i="17"/>
  <c r="L16" i="17"/>
  <c r="JH15" i="17"/>
  <c r="JI15" i="17" s="1"/>
  <c r="JB15" i="17"/>
  <c r="JA15" i="17"/>
  <c r="IT15" i="17"/>
  <c r="IU15" i="17" s="1"/>
  <c r="IN15" i="17"/>
  <c r="IM15" i="17"/>
  <c r="IF15" i="17"/>
  <c r="IG15" i="17" s="1"/>
  <c r="HZ15" i="17"/>
  <c r="HY15" i="17"/>
  <c r="HR15" i="17"/>
  <c r="HS15" i="17" s="1"/>
  <c r="HL15" i="17"/>
  <c r="HK15" i="17"/>
  <c r="HD15" i="17"/>
  <c r="HE15" i="17" s="1"/>
  <c r="GX15" i="17"/>
  <c r="GW15" i="17"/>
  <c r="GK15" i="17"/>
  <c r="GL15" i="17" s="1"/>
  <c r="GE15" i="17"/>
  <c r="GD15" i="17"/>
  <c r="FW15" i="17"/>
  <c r="FX15" i="17" s="1"/>
  <c r="FQ15" i="17"/>
  <c r="FP15" i="17"/>
  <c r="FI15" i="17"/>
  <c r="FJ15" i="17" s="1"/>
  <c r="FC15" i="17"/>
  <c r="FB15" i="17"/>
  <c r="EU15" i="17"/>
  <c r="EV15" i="17" s="1"/>
  <c r="EO15" i="17"/>
  <c r="EN15" i="17"/>
  <c r="EG15" i="17"/>
  <c r="EH15" i="17" s="1"/>
  <c r="EA15" i="17"/>
  <c r="DZ15" i="17"/>
  <c r="DN15" i="17"/>
  <c r="DO15" i="17" s="1"/>
  <c r="DH15" i="17"/>
  <c r="DG15" i="17"/>
  <c r="CZ15" i="17"/>
  <c r="DA15" i="17" s="1"/>
  <c r="CT15" i="17"/>
  <c r="CS15" i="17"/>
  <c r="CL15" i="17"/>
  <c r="CM15" i="17" s="1"/>
  <c r="CF15" i="17"/>
  <c r="CE15" i="17"/>
  <c r="BX15" i="17"/>
  <c r="BY15" i="17" s="1"/>
  <c r="BR15" i="17"/>
  <c r="BQ15" i="17"/>
  <c r="BK15" i="17"/>
  <c r="BL15" i="17" s="1"/>
  <c r="BF15" i="17"/>
  <c r="BE15" i="17"/>
  <c r="AY15" i="17"/>
  <c r="AZ15" i="17" s="1"/>
  <c r="AT15" i="17"/>
  <c r="AS15" i="17"/>
  <c r="AM15" i="17"/>
  <c r="AN15" i="17" s="1"/>
  <c r="AH15" i="17"/>
  <c r="AG15" i="17"/>
  <c r="Z15" i="17"/>
  <c r="AA15" i="17" s="1"/>
  <c r="T15" i="17"/>
  <c r="S15" i="17"/>
  <c r="L15" i="17"/>
  <c r="M15" i="17" s="1"/>
  <c r="JI14" i="17"/>
  <c r="JH14" i="17"/>
  <c r="JA14" i="17"/>
  <c r="JB14" i="17" s="1"/>
  <c r="IU14" i="17"/>
  <c r="IT14" i="17"/>
  <c r="IM14" i="17"/>
  <c r="IN14" i="17" s="1"/>
  <c r="IG14" i="17"/>
  <c r="IF14" i="17"/>
  <c r="HY14" i="17"/>
  <c r="HZ14" i="17" s="1"/>
  <c r="HS14" i="17"/>
  <c r="HR14" i="17"/>
  <c r="HK14" i="17"/>
  <c r="HL14" i="17" s="1"/>
  <c r="HE14" i="17"/>
  <c r="HD14" i="17"/>
  <c r="GW14" i="17"/>
  <c r="GX14" i="17" s="1"/>
  <c r="GL14" i="17"/>
  <c r="GK14" i="17"/>
  <c r="GD14" i="17"/>
  <c r="GE14" i="17" s="1"/>
  <c r="FX14" i="17"/>
  <c r="FW14" i="17"/>
  <c r="FP14" i="17"/>
  <c r="FQ14" i="17" s="1"/>
  <c r="FJ14" i="17"/>
  <c r="FI14" i="17"/>
  <c r="FB14" i="17"/>
  <c r="FC14" i="17" s="1"/>
  <c r="EV14" i="17"/>
  <c r="EU14" i="17"/>
  <c r="EN14" i="17"/>
  <c r="EO14" i="17" s="1"/>
  <c r="EH14" i="17"/>
  <c r="EG14" i="17"/>
  <c r="DZ14" i="17"/>
  <c r="EA14" i="17" s="1"/>
  <c r="DO14" i="17"/>
  <c r="DN14" i="17"/>
  <c r="DG14" i="17"/>
  <c r="DH14" i="17" s="1"/>
  <c r="DA14" i="17"/>
  <c r="CZ14" i="17"/>
  <c r="CS14" i="17"/>
  <c r="CT14" i="17" s="1"/>
  <c r="CM14" i="17"/>
  <c r="CL14" i="17"/>
  <c r="CE14" i="17"/>
  <c r="CF14" i="17" s="1"/>
  <c r="BY14" i="17"/>
  <c r="BX14" i="17"/>
  <c r="BQ14" i="17"/>
  <c r="BR14" i="17" s="1"/>
  <c r="BL14" i="17"/>
  <c r="BK14" i="17"/>
  <c r="BE14" i="17"/>
  <c r="BF14" i="17" s="1"/>
  <c r="AZ14" i="17"/>
  <c r="AY14" i="17"/>
  <c r="AS14" i="17"/>
  <c r="AT14" i="17" s="1"/>
  <c r="AN14" i="17"/>
  <c r="AM14" i="17"/>
  <c r="AG14" i="17"/>
  <c r="AH14" i="17" s="1"/>
  <c r="AA14" i="17"/>
  <c r="Z14" i="17"/>
  <c r="S14" i="17"/>
  <c r="T14" i="17" s="1"/>
  <c r="M14" i="17"/>
  <c r="L14" i="17"/>
  <c r="JH12" i="17"/>
  <c r="JI12" i="17" s="1"/>
  <c r="JB12" i="17"/>
  <c r="JA12" i="17"/>
  <c r="IT12" i="17"/>
  <c r="IU12" i="17" s="1"/>
  <c r="IN12" i="17"/>
  <c r="IM12" i="17"/>
  <c r="IF12" i="17"/>
  <c r="IG12" i="17" s="1"/>
  <c r="HZ12" i="17"/>
  <c r="HY12" i="17"/>
  <c r="HR12" i="17"/>
  <c r="HS12" i="17" s="1"/>
  <c r="HL12" i="17"/>
  <c r="HK12" i="17"/>
  <c r="HD12" i="17"/>
  <c r="HE12" i="17" s="1"/>
  <c r="GX12" i="17"/>
  <c r="GW12" i="17"/>
  <c r="GK12" i="17"/>
  <c r="GL12" i="17" s="1"/>
  <c r="GE12" i="17"/>
  <c r="GD12" i="17"/>
  <c r="FW12" i="17"/>
  <c r="FX12" i="17" s="1"/>
  <c r="FQ12" i="17"/>
  <c r="FP12" i="17"/>
  <c r="FI12" i="17"/>
  <c r="FJ12" i="17" s="1"/>
  <c r="FC12" i="17"/>
  <c r="FB12" i="17"/>
  <c r="EU12" i="17"/>
  <c r="EV12" i="17" s="1"/>
  <c r="EO12" i="17"/>
  <c r="EN12" i="17"/>
  <c r="EG12" i="17"/>
  <c r="EH12" i="17" s="1"/>
  <c r="EA12" i="17"/>
  <c r="DZ12" i="17"/>
  <c r="DN12" i="17"/>
  <c r="DO12" i="17" s="1"/>
  <c r="DH12" i="17"/>
  <c r="DG12" i="17"/>
  <c r="CZ12" i="17"/>
  <c r="DA12" i="17" s="1"/>
  <c r="CT12" i="17"/>
  <c r="CS12" i="17"/>
  <c r="CL12" i="17"/>
  <c r="CM12" i="17" s="1"/>
  <c r="CF12" i="17"/>
  <c r="CE12" i="17"/>
  <c r="BX12" i="17"/>
  <c r="BY12" i="17" s="1"/>
  <c r="BR12" i="17"/>
  <c r="BQ12" i="17"/>
  <c r="BK12" i="17"/>
  <c r="BL12" i="17" s="1"/>
  <c r="BF12" i="17"/>
  <c r="BE12" i="17"/>
  <c r="AY12" i="17"/>
  <c r="AZ12" i="17" s="1"/>
  <c r="AT12" i="17"/>
  <c r="AS12" i="17"/>
  <c r="AM12" i="17"/>
  <c r="AN12" i="17" s="1"/>
  <c r="AH12" i="17"/>
  <c r="AG12" i="17"/>
  <c r="Z12" i="17"/>
  <c r="AA12" i="17" s="1"/>
  <c r="T12" i="17"/>
  <c r="S12" i="17"/>
  <c r="L12" i="17"/>
  <c r="M12" i="17" s="1"/>
  <c r="JI11" i="17"/>
  <c r="JH11" i="17"/>
  <c r="JA11" i="17"/>
  <c r="JB11" i="17" s="1"/>
  <c r="IU11" i="17"/>
  <c r="IT11" i="17"/>
  <c r="IM11" i="17"/>
  <c r="IN11" i="17" s="1"/>
  <c r="IG11" i="17"/>
  <c r="IF11" i="17"/>
  <c r="HY11" i="17"/>
  <c r="HZ11" i="17" s="1"/>
  <c r="HS11" i="17"/>
  <c r="HR11" i="17"/>
  <c r="HK11" i="17"/>
  <c r="HL11" i="17" s="1"/>
  <c r="HE11" i="17"/>
  <c r="HD11" i="17"/>
  <c r="GW11" i="17"/>
  <c r="GX11" i="17" s="1"/>
  <c r="GL11" i="17"/>
  <c r="GK11" i="17"/>
  <c r="GD11" i="17"/>
  <c r="GE11" i="17" s="1"/>
  <c r="FX11" i="17"/>
  <c r="FW11" i="17"/>
  <c r="FP11" i="17"/>
  <c r="FQ11" i="17" s="1"/>
  <c r="FJ11" i="17"/>
  <c r="FI11" i="17"/>
  <c r="FB11" i="17"/>
  <c r="FC11" i="17" s="1"/>
  <c r="EV11" i="17"/>
  <c r="EU11" i="17"/>
  <c r="EN11" i="17"/>
  <c r="EO11" i="17" s="1"/>
  <c r="EH11" i="17"/>
  <c r="EG11" i="17"/>
  <c r="DZ11" i="17"/>
  <c r="EA11" i="17" s="1"/>
  <c r="DO11" i="17"/>
  <c r="DN11" i="17"/>
  <c r="DG11" i="17"/>
  <c r="DH11" i="17" s="1"/>
  <c r="DA11" i="17"/>
  <c r="CZ11" i="17"/>
  <c r="CS11" i="17"/>
  <c r="CT11" i="17" s="1"/>
  <c r="CM11" i="17"/>
  <c r="CL11" i="17"/>
  <c r="CE11" i="17"/>
  <c r="CF11" i="17" s="1"/>
  <c r="BY11" i="17"/>
  <c r="BX11" i="17"/>
  <c r="BQ11" i="17"/>
  <c r="BR11" i="17" s="1"/>
  <c r="BL11" i="17"/>
  <c r="BK11" i="17"/>
  <c r="BE11" i="17"/>
  <c r="BF11" i="17" s="1"/>
  <c r="AZ11" i="17"/>
  <c r="AY11" i="17"/>
  <c r="AS11" i="17"/>
  <c r="AT11" i="17" s="1"/>
  <c r="AN11" i="17"/>
  <c r="AM11" i="17"/>
  <c r="AG11" i="17"/>
  <c r="AH11" i="17" s="1"/>
  <c r="AA11" i="17"/>
  <c r="Z11" i="17"/>
  <c r="S11" i="17"/>
  <c r="T11" i="17" s="1"/>
  <c r="M11" i="17"/>
  <c r="L11" i="17"/>
  <c r="JH10" i="17"/>
  <c r="JI10" i="17" s="1"/>
  <c r="JB10" i="17"/>
  <c r="JA10" i="17"/>
  <c r="IT10" i="17"/>
  <c r="IU10" i="17" s="1"/>
  <c r="IN10" i="17"/>
  <c r="IM10" i="17"/>
  <c r="IF10" i="17"/>
  <c r="IG10" i="17" s="1"/>
  <c r="HZ10" i="17"/>
  <c r="HY10" i="17"/>
  <c r="HR10" i="17"/>
  <c r="HS10" i="17" s="1"/>
  <c r="HL10" i="17"/>
  <c r="HK10" i="17"/>
  <c r="HD10" i="17"/>
  <c r="HE10" i="17" s="1"/>
  <c r="GX10" i="17"/>
  <c r="GW10" i="17"/>
  <c r="GK10" i="17"/>
  <c r="GL10" i="17" s="1"/>
  <c r="GE10" i="17"/>
  <c r="GD10" i="17"/>
  <c r="FW10" i="17"/>
  <c r="FX10" i="17" s="1"/>
  <c r="FQ10" i="17"/>
  <c r="FP10" i="17"/>
  <c r="FI10" i="17"/>
  <c r="FJ10" i="17" s="1"/>
  <c r="FC10" i="17"/>
  <c r="FB10" i="17"/>
  <c r="EU10" i="17"/>
  <c r="EV10" i="17" s="1"/>
  <c r="EO10" i="17"/>
  <c r="EN10" i="17"/>
  <c r="EG10" i="17"/>
  <c r="EH10" i="17" s="1"/>
  <c r="EA10" i="17"/>
  <c r="DZ10" i="17"/>
  <c r="DN10" i="17"/>
  <c r="DO10" i="17" s="1"/>
  <c r="DH10" i="17"/>
  <c r="DG10" i="17"/>
  <c r="CZ10" i="17"/>
  <c r="DA10" i="17" s="1"/>
  <c r="CT10" i="17"/>
  <c r="CS10" i="17"/>
  <c r="CL10" i="17"/>
  <c r="CM10" i="17" s="1"/>
  <c r="CF10" i="17"/>
  <c r="CE10" i="17"/>
  <c r="BX10" i="17"/>
  <c r="BY10" i="17" s="1"/>
  <c r="BR10" i="17"/>
  <c r="BQ10" i="17"/>
  <c r="BK10" i="17"/>
  <c r="BL10" i="17" s="1"/>
  <c r="BF10" i="17"/>
  <c r="BE10" i="17"/>
  <c r="AY10" i="17"/>
  <c r="AZ10" i="17" s="1"/>
  <c r="AT10" i="17"/>
  <c r="AS10" i="17"/>
  <c r="AM10" i="17"/>
  <c r="AN10" i="17" s="1"/>
  <c r="AH10" i="17"/>
  <c r="AG10" i="17"/>
  <c r="Z10" i="17"/>
  <c r="AA10" i="17" s="1"/>
  <c r="T10" i="17"/>
  <c r="S10" i="17"/>
  <c r="L10" i="17"/>
  <c r="M10" i="17" s="1"/>
  <c r="JI9" i="17"/>
  <c r="JH9" i="17"/>
  <c r="JA9" i="17"/>
  <c r="JB9" i="17" s="1"/>
  <c r="IU9" i="17"/>
  <c r="IT9" i="17"/>
  <c r="IM9" i="17"/>
  <c r="IN9" i="17" s="1"/>
  <c r="IG9" i="17"/>
  <c r="IF9" i="17"/>
  <c r="HY9" i="17"/>
  <c r="HZ9" i="17" s="1"/>
  <c r="HS9" i="17"/>
  <c r="HR9" i="17"/>
  <c r="HK9" i="17"/>
  <c r="HL9" i="17" s="1"/>
  <c r="HE9" i="17"/>
  <c r="HD9" i="17"/>
  <c r="GW9" i="17"/>
  <c r="GX9" i="17" s="1"/>
  <c r="GL9" i="17"/>
  <c r="GK9" i="17"/>
  <c r="GD9" i="17"/>
  <c r="GE9" i="17" s="1"/>
  <c r="FX9" i="17"/>
  <c r="FW9" i="17"/>
  <c r="FP9" i="17"/>
  <c r="FQ9" i="17" s="1"/>
  <c r="FJ9" i="17"/>
  <c r="FI9" i="17"/>
  <c r="FB9" i="17"/>
  <c r="FC9" i="17" s="1"/>
  <c r="EV9" i="17"/>
  <c r="EU9" i="17"/>
  <c r="EN9" i="17"/>
  <c r="EO9" i="17" s="1"/>
  <c r="EH9" i="17"/>
  <c r="EG9" i="17"/>
  <c r="DZ9" i="17"/>
  <c r="EA9" i="17" s="1"/>
  <c r="DO9" i="17"/>
  <c r="DN9" i="17"/>
  <c r="DG9" i="17"/>
  <c r="DH9" i="17" s="1"/>
  <c r="DA9" i="17"/>
  <c r="CZ9" i="17"/>
  <c r="CS9" i="17"/>
  <c r="CT9" i="17" s="1"/>
  <c r="CM9" i="17"/>
  <c r="CL9" i="17"/>
  <c r="CE9" i="17"/>
  <c r="CF9" i="17" s="1"/>
  <c r="BY9" i="17"/>
  <c r="BX9" i="17"/>
  <c r="BQ9" i="17"/>
  <c r="BR9" i="17" s="1"/>
  <c r="BL9" i="17"/>
  <c r="BK9" i="17"/>
  <c r="BE9" i="17"/>
  <c r="BF9" i="17" s="1"/>
  <c r="AZ9" i="17"/>
  <c r="AY9" i="17"/>
  <c r="AS9" i="17"/>
  <c r="AT9" i="17" s="1"/>
  <c r="AN9" i="17"/>
  <c r="AM9" i="17"/>
  <c r="AG9" i="17"/>
  <c r="AH9" i="17" s="1"/>
  <c r="AA9" i="17"/>
  <c r="Z9" i="17"/>
  <c r="S9" i="17"/>
  <c r="T9" i="17" s="1"/>
  <c r="M9" i="17"/>
  <c r="L9" i="17"/>
  <c r="JH7" i="17"/>
  <c r="JI7" i="17" s="1"/>
  <c r="JB7" i="17"/>
  <c r="JA7" i="17"/>
  <c r="IT7" i="17"/>
  <c r="IU7" i="17" s="1"/>
  <c r="IN7" i="17"/>
  <c r="IM7" i="17"/>
  <c r="IF7" i="17"/>
  <c r="IG7" i="17" s="1"/>
  <c r="HZ7" i="17"/>
  <c r="HY7" i="17"/>
  <c r="HR7" i="17"/>
  <c r="HS7" i="17" s="1"/>
  <c r="HL7" i="17"/>
  <c r="HK7" i="17"/>
  <c r="HD7" i="17"/>
  <c r="HE7" i="17" s="1"/>
  <c r="GX7" i="17"/>
  <c r="GW7" i="17"/>
  <c r="GK7" i="17"/>
  <c r="GL7" i="17" s="1"/>
  <c r="GE7" i="17"/>
  <c r="GD7" i="17"/>
  <c r="FW7" i="17"/>
  <c r="FX7" i="17" s="1"/>
  <c r="FQ7" i="17"/>
  <c r="FP7" i="17"/>
  <c r="FI7" i="17"/>
  <c r="FJ7" i="17" s="1"/>
  <c r="FC7" i="17"/>
  <c r="FB7" i="17"/>
  <c r="EU7" i="17"/>
  <c r="EV7" i="17" s="1"/>
  <c r="EO7" i="17"/>
  <c r="EN7" i="17"/>
  <c r="EG7" i="17"/>
  <c r="EH7" i="17" s="1"/>
  <c r="EA7" i="17"/>
  <c r="DZ7" i="17"/>
  <c r="DN7" i="17"/>
  <c r="DO7" i="17" s="1"/>
  <c r="DH7" i="17"/>
  <c r="DG7" i="17"/>
  <c r="CZ7" i="17"/>
  <c r="DA7" i="17" s="1"/>
  <c r="CT7" i="17"/>
  <c r="CS7" i="17"/>
  <c r="CL7" i="17"/>
  <c r="CM7" i="17" s="1"/>
  <c r="CF7" i="17"/>
  <c r="CE7" i="17"/>
  <c r="BX7" i="17"/>
  <c r="BY7" i="17" s="1"/>
  <c r="BR7" i="17"/>
  <c r="BQ7" i="17"/>
  <c r="BK7" i="17"/>
  <c r="BL7" i="17" s="1"/>
  <c r="BF7" i="17"/>
  <c r="BE7" i="17"/>
  <c r="AY7" i="17"/>
  <c r="AZ7" i="17" s="1"/>
  <c r="AT7" i="17"/>
  <c r="AS7" i="17"/>
  <c r="AM7" i="17"/>
  <c r="AN7" i="17" s="1"/>
  <c r="AH7" i="17"/>
  <c r="AG7" i="17"/>
  <c r="Z7" i="17"/>
  <c r="AA7" i="17" s="1"/>
  <c r="T7" i="17"/>
  <c r="S7" i="17"/>
  <c r="L7" i="17"/>
  <c r="M7" i="17" s="1"/>
  <c r="JI6" i="17"/>
  <c r="JH6" i="17"/>
  <c r="JA6" i="17"/>
  <c r="JB6" i="17" s="1"/>
  <c r="IU6" i="17"/>
  <c r="IT6" i="17"/>
  <c r="IM6" i="17"/>
  <c r="IN6" i="17" s="1"/>
  <c r="IG6" i="17"/>
  <c r="IF6" i="17"/>
  <c r="HY6" i="17"/>
  <c r="HZ6" i="17" s="1"/>
  <c r="HS6" i="17"/>
  <c r="HR6" i="17"/>
  <c r="HK6" i="17"/>
  <c r="HL6" i="17" s="1"/>
  <c r="HE6" i="17"/>
  <c r="HD6" i="17"/>
  <c r="GW6" i="17"/>
  <c r="GX6" i="17" s="1"/>
  <c r="GL6" i="17"/>
  <c r="GK6" i="17"/>
  <c r="GD6" i="17"/>
  <c r="GE6" i="17" s="1"/>
  <c r="FX6" i="17"/>
  <c r="FW6" i="17"/>
  <c r="FP6" i="17"/>
  <c r="FQ6" i="17" s="1"/>
  <c r="FJ6" i="17"/>
  <c r="FI6" i="17"/>
  <c r="FB6" i="17"/>
  <c r="FC6" i="17" s="1"/>
  <c r="EV6" i="17"/>
  <c r="EU6" i="17"/>
  <c r="EN6" i="17"/>
  <c r="EO6" i="17" s="1"/>
  <c r="EH6" i="17"/>
  <c r="EG6" i="17"/>
  <c r="DZ6" i="17"/>
  <c r="EA6" i="17" s="1"/>
  <c r="DO6" i="17"/>
  <c r="DN6" i="17"/>
  <c r="DG6" i="17"/>
  <c r="DH6" i="17" s="1"/>
  <c r="DA6" i="17"/>
  <c r="CZ6" i="17"/>
  <c r="CS6" i="17"/>
  <c r="CT6" i="17" s="1"/>
  <c r="CM6" i="17"/>
  <c r="CL6" i="17"/>
  <c r="CE6" i="17"/>
  <c r="CF6" i="17" s="1"/>
  <c r="BY6" i="17"/>
  <c r="BX6" i="17"/>
  <c r="BQ6" i="17"/>
  <c r="BR6" i="17" s="1"/>
  <c r="BL6" i="17"/>
  <c r="BK6" i="17"/>
  <c r="BE6" i="17"/>
  <c r="BF6" i="17" s="1"/>
  <c r="AZ6" i="17"/>
  <c r="AY6" i="17"/>
  <c r="AS6" i="17"/>
  <c r="AT6" i="17" s="1"/>
  <c r="AN6" i="17"/>
  <c r="AM6" i="17"/>
  <c r="AG6" i="17"/>
  <c r="AH6" i="17" s="1"/>
  <c r="AA6" i="17"/>
  <c r="Z6" i="17"/>
  <c r="S6" i="17"/>
  <c r="T6" i="17" s="1"/>
  <c r="M6" i="17"/>
  <c r="L6" i="17"/>
  <c r="JH5" i="17"/>
  <c r="JI5" i="17" s="1"/>
  <c r="JB5" i="17"/>
  <c r="JA5" i="17"/>
  <c r="JB4" i="17" s="1"/>
  <c r="IT5" i="17"/>
  <c r="IU5" i="17" s="1"/>
  <c r="IN5" i="17"/>
  <c r="IM5" i="17"/>
  <c r="IF5" i="17"/>
  <c r="IG5" i="17" s="1"/>
  <c r="HZ5" i="17"/>
  <c r="HY5" i="17"/>
  <c r="HR5" i="17"/>
  <c r="HS5" i="17" s="1"/>
  <c r="HL5" i="17"/>
  <c r="HK5" i="17"/>
  <c r="HD5" i="17"/>
  <c r="HE5" i="17" s="1"/>
  <c r="GX5" i="17"/>
  <c r="GW5" i="17"/>
  <c r="GK5" i="17"/>
  <c r="GL5" i="17" s="1"/>
  <c r="GE5" i="17"/>
  <c r="GD5" i="17"/>
  <c r="FW5" i="17"/>
  <c r="FX5" i="17" s="1"/>
  <c r="FQ5" i="17"/>
  <c r="FP5" i="17"/>
  <c r="FI5" i="17"/>
  <c r="FJ5" i="17" s="1"/>
  <c r="FC5" i="17"/>
  <c r="FB5" i="17"/>
  <c r="EU5" i="17"/>
  <c r="EV5" i="17" s="1"/>
  <c r="EO5" i="17"/>
  <c r="EN5" i="17"/>
  <c r="EG5" i="17"/>
  <c r="EH5" i="17" s="1"/>
  <c r="EA5" i="17"/>
  <c r="DZ5" i="17"/>
  <c r="DN5" i="17"/>
  <c r="DO5" i="17" s="1"/>
  <c r="DH5" i="17"/>
  <c r="DG5" i="17"/>
  <c r="CZ5" i="17"/>
  <c r="DA5" i="17" s="1"/>
  <c r="CT5" i="17"/>
  <c r="CS5" i="17"/>
  <c r="CL5" i="17"/>
  <c r="CM5" i="17" s="1"/>
  <c r="CF5" i="17"/>
  <c r="CE5" i="17"/>
  <c r="BX5" i="17"/>
  <c r="BY5" i="17" s="1"/>
  <c r="BR5" i="17"/>
  <c r="BQ5" i="17"/>
  <c r="BK5" i="17"/>
  <c r="BL5" i="17" s="1"/>
  <c r="BF5" i="17"/>
  <c r="BE5" i="17"/>
  <c r="AY5" i="17"/>
  <c r="AZ5" i="17" s="1"/>
  <c r="AT5" i="17"/>
  <c r="AS5" i="17"/>
  <c r="AM5" i="17"/>
  <c r="AN5" i="17" s="1"/>
  <c r="AH5" i="17"/>
  <c r="AG5" i="17"/>
  <c r="Z5" i="17"/>
  <c r="AA5" i="17" s="1"/>
  <c r="T5" i="17"/>
  <c r="S5" i="17"/>
  <c r="L5" i="17"/>
  <c r="M5" i="17" s="1"/>
  <c r="JI4" i="17"/>
  <c r="JH4" i="17"/>
  <c r="JA4" i="17"/>
  <c r="IU4" i="17"/>
  <c r="IT4" i="17"/>
  <c r="IM4" i="17"/>
  <c r="IN4" i="17" s="1"/>
  <c r="IG4" i="17"/>
  <c r="IF4" i="17"/>
  <c r="HY4" i="17"/>
  <c r="HZ4" i="17" s="1"/>
  <c r="HS4" i="17"/>
  <c r="HR4" i="17"/>
  <c r="HK4" i="17"/>
  <c r="HL4" i="17" s="1"/>
  <c r="HE4" i="17"/>
  <c r="HD4" i="17"/>
  <c r="GW4" i="17"/>
  <c r="GX4" i="17" s="1"/>
  <c r="GL4" i="17"/>
  <c r="GK4" i="17"/>
  <c r="GD4" i="17"/>
  <c r="GE4" i="17" s="1"/>
  <c r="FX4" i="17"/>
  <c r="FW4" i="17"/>
  <c r="FP4" i="17"/>
  <c r="FQ4" i="17" s="1"/>
  <c r="FJ4" i="17"/>
  <c r="FI4" i="17"/>
  <c r="FB4" i="17"/>
  <c r="FC4" i="17" s="1"/>
  <c r="EV4" i="17"/>
  <c r="EU4" i="17"/>
  <c r="EN4" i="17"/>
  <c r="EO4" i="17" s="1"/>
  <c r="EH4" i="17"/>
  <c r="EG4" i="17"/>
  <c r="DZ4" i="17"/>
  <c r="EA4" i="17" s="1"/>
  <c r="DO4" i="17"/>
  <c r="DN4" i="17"/>
  <c r="DG4" i="17"/>
  <c r="DH4" i="17" s="1"/>
  <c r="DA4" i="17"/>
  <c r="CZ4" i="17"/>
  <c r="CS4" i="17"/>
  <c r="CT4" i="17" s="1"/>
  <c r="CM4" i="17"/>
  <c r="CL4" i="17"/>
  <c r="CE4" i="17"/>
  <c r="CF4" i="17" s="1"/>
  <c r="BY4" i="17"/>
  <c r="BX4" i="17"/>
  <c r="BQ4" i="17"/>
  <c r="BR4" i="17" s="1"/>
  <c r="BL4" i="17"/>
  <c r="BK4" i="17"/>
  <c r="BE4" i="17"/>
  <c r="BF4" i="17" s="1"/>
  <c r="AZ4" i="17"/>
  <c r="AY4" i="17"/>
  <c r="AS4" i="17"/>
  <c r="AT4" i="17" s="1"/>
  <c r="AN4" i="17"/>
  <c r="AM4" i="17"/>
  <c r="AG4" i="17"/>
  <c r="AH4" i="17" s="1"/>
  <c r="AA4" i="17"/>
  <c r="Z4" i="17"/>
  <c r="S4" i="17"/>
  <c r="T4" i="17" s="1"/>
  <c r="M4" i="17"/>
  <c r="L4" i="17"/>
  <c r="JH3" i="17"/>
  <c r="JI3" i="17" s="1"/>
  <c r="JB3" i="17"/>
  <c r="JA3" i="17"/>
  <c r="IT3" i="17"/>
  <c r="IU3" i="17" s="1"/>
  <c r="IN3" i="17"/>
  <c r="IM3" i="17"/>
  <c r="IF3" i="17"/>
  <c r="IG3" i="17" s="1"/>
  <c r="HZ3" i="17"/>
  <c r="HY3" i="17"/>
  <c r="HR3" i="17"/>
  <c r="HS3" i="17" s="1"/>
  <c r="HL3" i="17"/>
  <c r="HK3" i="17"/>
  <c r="HD3" i="17"/>
  <c r="HE3" i="17" s="1"/>
  <c r="GX3" i="17"/>
  <c r="GW3" i="17"/>
  <c r="GK3" i="17"/>
  <c r="GL3" i="17" s="1"/>
  <c r="GE3" i="17"/>
  <c r="GD3" i="17"/>
  <c r="FW3" i="17"/>
  <c r="FX3" i="17" s="1"/>
  <c r="FQ3" i="17"/>
  <c r="FP3" i="17"/>
  <c r="FI3" i="17"/>
  <c r="FJ3" i="17" s="1"/>
  <c r="FC3" i="17"/>
  <c r="FB3" i="17"/>
  <c r="EU3" i="17"/>
  <c r="EV3" i="17" s="1"/>
  <c r="EO3" i="17"/>
  <c r="EN3" i="17"/>
  <c r="EG3" i="17"/>
  <c r="EH3" i="17" s="1"/>
  <c r="EA3" i="17"/>
  <c r="DZ3" i="17"/>
  <c r="DN3" i="17"/>
  <c r="DO3" i="17" s="1"/>
  <c r="DH3" i="17"/>
  <c r="DG3" i="17"/>
  <c r="CZ3" i="17"/>
  <c r="DA3" i="17" s="1"/>
  <c r="CS3" i="17"/>
  <c r="CT3" i="17" s="1"/>
  <c r="CL3" i="17"/>
  <c r="CM3" i="17" s="1"/>
  <c r="CE3" i="17"/>
  <c r="CF3" i="17" s="1"/>
  <c r="BX3" i="17"/>
  <c r="BY3" i="17" s="1"/>
  <c r="BR3" i="17"/>
  <c r="BQ3" i="17"/>
  <c r="BK3" i="17"/>
  <c r="BL3" i="17" s="1"/>
  <c r="BF3" i="17"/>
  <c r="BE3" i="17"/>
  <c r="AY3" i="17"/>
  <c r="AZ3" i="17" s="1"/>
  <c r="AT3" i="17"/>
  <c r="AS3" i="17"/>
  <c r="AM3" i="17"/>
  <c r="AN3" i="17" s="1"/>
  <c r="AH3" i="17"/>
  <c r="AG3" i="17"/>
  <c r="Z3" i="17"/>
  <c r="AA3" i="17" s="1"/>
  <c r="T3" i="17"/>
  <c r="S3" i="17"/>
  <c r="L3" i="17"/>
  <c r="M3" i="17" s="1"/>
  <c r="MH41" i="6" l="1"/>
  <c r="MI41" i="6" s="1"/>
  <c r="MH40" i="6"/>
  <c r="MI40" i="6" s="1"/>
  <c r="MH39" i="6"/>
  <c r="MI39" i="6" s="1"/>
  <c r="MH38" i="6"/>
  <c r="MI38" i="6" s="1"/>
  <c r="MH37" i="6"/>
  <c r="MI37" i="6" s="1"/>
  <c r="MH36" i="6"/>
  <c r="MI36" i="6" s="1"/>
  <c r="MH35" i="6"/>
  <c r="MI35" i="6" s="1"/>
  <c r="MH34" i="6"/>
  <c r="MI34" i="6" s="1"/>
  <c r="MH33" i="6"/>
  <c r="MI33" i="6" s="1"/>
  <c r="MH32" i="6"/>
  <c r="MI32" i="6" s="1"/>
  <c r="MH31" i="6"/>
  <c r="MI31" i="6" s="1"/>
  <c r="MH30" i="6"/>
  <c r="MI30" i="6" s="1"/>
  <c r="MH29" i="6"/>
  <c r="MI29" i="6" s="1"/>
  <c r="MH28" i="6"/>
  <c r="MI28" i="6" s="1"/>
  <c r="MH27" i="6"/>
  <c r="MI27" i="6" s="1"/>
  <c r="MH26" i="6"/>
  <c r="MI26" i="6" s="1"/>
  <c r="MH25" i="6"/>
  <c r="MI25" i="6" s="1"/>
  <c r="MH24" i="6"/>
  <c r="MI24" i="6" s="1"/>
  <c r="MH23" i="6"/>
  <c r="MI23" i="6" s="1"/>
  <c r="MH22" i="6"/>
  <c r="MI22" i="6" s="1"/>
  <c r="MH21" i="6"/>
  <c r="MI21" i="6" s="1"/>
  <c r="MH20" i="6"/>
  <c r="MI20" i="6" s="1"/>
  <c r="MH19" i="6"/>
  <c r="MI19" i="6" s="1"/>
  <c r="MH18" i="6"/>
  <c r="MI18" i="6" s="1"/>
  <c r="MH17" i="6"/>
  <c r="MI17" i="6" s="1"/>
  <c r="MH16" i="6"/>
  <c r="MI16" i="6" s="1"/>
  <c r="MH15" i="6"/>
  <c r="MI15" i="6" s="1"/>
  <c r="MH14" i="6"/>
  <c r="MI14" i="6" s="1"/>
  <c r="MH13" i="6"/>
  <c r="MI13" i="6" s="1"/>
  <c r="MH12" i="6"/>
  <c r="MI12" i="6" s="1"/>
  <c r="MH11" i="6"/>
  <c r="MI11" i="6" s="1"/>
  <c r="MH10" i="6"/>
  <c r="MI10" i="6" s="1"/>
  <c r="MH9" i="6"/>
  <c r="MI9" i="6" s="1"/>
  <c r="MH8" i="6"/>
  <c r="MI8" i="6" s="1"/>
  <c r="MH7" i="6"/>
  <c r="MI7" i="6" s="1"/>
  <c r="MH6" i="6"/>
  <c r="MI6" i="6" s="1"/>
  <c r="MH5" i="6"/>
  <c r="MI5" i="6" s="1"/>
  <c r="MH4" i="6"/>
  <c r="MI4" i="6" s="1"/>
  <c r="LF41" i="6"/>
  <c r="LG41" i="6" s="1"/>
  <c r="LF40" i="6"/>
  <c r="LG40" i="6" s="1"/>
  <c r="LF39" i="6"/>
  <c r="LG39" i="6" s="1"/>
  <c r="LF38" i="6"/>
  <c r="LG38" i="6" s="1"/>
  <c r="LF37" i="6"/>
  <c r="LG37" i="6" s="1"/>
  <c r="LF36" i="6"/>
  <c r="LG36" i="6" s="1"/>
  <c r="LF35" i="6"/>
  <c r="LG35" i="6" s="1"/>
  <c r="LF34" i="6"/>
  <c r="LG34" i="6" s="1"/>
  <c r="LF33" i="6"/>
  <c r="LG33" i="6" s="1"/>
  <c r="LF32" i="6"/>
  <c r="LG32" i="6" s="1"/>
  <c r="LF31" i="6"/>
  <c r="LG31" i="6" s="1"/>
  <c r="LF30" i="6"/>
  <c r="LG30" i="6" s="1"/>
  <c r="LF29" i="6"/>
  <c r="LG29" i="6" s="1"/>
  <c r="LF28" i="6"/>
  <c r="LG28" i="6" s="1"/>
  <c r="LF27" i="6"/>
  <c r="LG27" i="6" s="1"/>
  <c r="LF26" i="6"/>
  <c r="LG26" i="6" s="1"/>
  <c r="LF25" i="6"/>
  <c r="LG25" i="6" s="1"/>
  <c r="LF24" i="6"/>
  <c r="LG24" i="6" s="1"/>
  <c r="LF23" i="6"/>
  <c r="LG23" i="6" s="1"/>
  <c r="LF22" i="6"/>
  <c r="LG22" i="6" s="1"/>
  <c r="LF21" i="6"/>
  <c r="LG21" i="6" s="1"/>
  <c r="LF20" i="6"/>
  <c r="LG20" i="6" s="1"/>
  <c r="LF19" i="6"/>
  <c r="LG19" i="6" s="1"/>
  <c r="LF18" i="6"/>
  <c r="LG18" i="6" s="1"/>
  <c r="LF17" i="6"/>
  <c r="LG17" i="6" s="1"/>
  <c r="LF16" i="6"/>
  <c r="LG16" i="6" s="1"/>
  <c r="LF15" i="6"/>
  <c r="LG15" i="6" s="1"/>
  <c r="LF14" i="6"/>
  <c r="LG14" i="6" s="1"/>
  <c r="LF13" i="6"/>
  <c r="LG13" i="6" s="1"/>
  <c r="LF12" i="6"/>
  <c r="LG12" i="6" s="1"/>
  <c r="LF11" i="6"/>
  <c r="LG11" i="6" s="1"/>
  <c r="LF10" i="6"/>
  <c r="LG10" i="6" s="1"/>
  <c r="LF9" i="6"/>
  <c r="LG9" i="6" s="1"/>
  <c r="LF8" i="6"/>
  <c r="LG8" i="6" s="1"/>
  <c r="LF7" i="6"/>
  <c r="LG7" i="6" s="1"/>
  <c r="LF6" i="6"/>
  <c r="LG6" i="6" s="1"/>
  <c r="LF5" i="6"/>
  <c r="LG5" i="6" s="1"/>
  <c r="LF4" i="6"/>
  <c r="LG4" i="6" s="1"/>
  <c r="KD41" i="6"/>
  <c r="KE41" i="6" s="1"/>
  <c r="KD40" i="6"/>
  <c r="KE40" i="6" s="1"/>
  <c r="KD39" i="6"/>
  <c r="KE39" i="6" s="1"/>
  <c r="KD38" i="6"/>
  <c r="KE38" i="6" s="1"/>
  <c r="KD37" i="6"/>
  <c r="KE37" i="6" s="1"/>
  <c r="KD36" i="6"/>
  <c r="KE36" i="6" s="1"/>
  <c r="KD35" i="6"/>
  <c r="KE35" i="6" s="1"/>
  <c r="KD34" i="6"/>
  <c r="KE34" i="6" s="1"/>
  <c r="KD33" i="6"/>
  <c r="KE33" i="6" s="1"/>
  <c r="KD32" i="6"/>
  <c r="KE32" i="6" s="1"/>
  <c r="KD31" i="6"/>
  <c r="KE31" i="6" s="1"/>
  <c r="KD30" i="6"/>
  <c r="KE30" i="6" s="1"/>
  <c r="KD29" i="6"/>
  <c r="KE29" i="6" s="1"/>
  <c r="KD28" i="6"/>
  <c r="KE28" i="6" s="1"/>
  <c r="KD27" i="6"/>
  <c r="KE27" i="6" s="1"/>
  <c r="KD26" i="6"/>
  <c r="KE26" i="6" s="1"/>
  <c r="KD25" i="6"/>
  <c r="KE25" i="6" s="1"/>
  <c r="KD24" i="6"/>
  <c r="KE24" i="6" s="1"/>
  <c r="KD23" i="6"/>
  <c r="KE23" i="6" s="1"/>
  <c r="KD22" i="6"/>
  <c r="KE22" i="6" s="1"/>
  <c r="KD21" i="6"/>
  <c r="KE21" i="6" s="1"/>
  <c r="KD20" i="6"/>
  <c r="KE20" i="6" s="1"/>
  <c r="KD19" i="6"/>
  <c r="KE19" i="6" s="1"/>
  <c r="KD18" i="6"/>
  <c r="KE18" i="6" s="1"/>
  <c r="KD17" i="6"/>
  <c r="KE17" i="6" s="1"/>
  <c r="KD16" i="6"/>
  <c r="KE16" i="6" s="1"/>
  <c r="KD15" i="6"/>
  <c r="KE15" i="6" s="1"/>
  <c r="KD14" i="6"/>
  <c r="KE14" i="6" s="1"/>
  <c r="KD13" i="6"/>
  <c r="KE13" i="6" s="1"/>
  <c r="KD12" i="6"/>
  <c r="KE12" i="6" s="1"/>
  <c r="KD11" i="6"/>
  <c r="KE11" i="6" s="1"/>
  <c r="KD10" i="6"/>
  <c r="KE10" i="6" s="1"/>
  <c r="KD9" i="6"/>
  <c r="KE9" i="6" s="1"/>
  <c r="KD8" i="6"/>
  <c r="KE8" i="6" s="1"/>
  <c r="KD7" i="6"/>
  <c r="KE7" i="6" s="1"/>
  <c r="KD6" i="6"/>
  <c r="KE6" i="6" s="1"/>
  <c r="KD5" i="6"/>
  <c r="KE5" i="6" s="1"/>
  <c r="KD4" i="6"/>
  <c r="KE4" i="6" s="1"/>
  <c r="JB41" i="6"/>
  <c r="JC41" i="6" s="1"/>
  <c r="JB40" i="6"/>
  <c r="JC40" i="6" s="1"/>
  <c r="JB39" i="6"/>
  <c r="JC39" i="6" s="1"/>
  <c r="JB38" i="6"/>
  <c r="JC38" i="6" s="1"/>
  <c r="JB37" i="6"/>
  <c r="JC37" i="6" s="1"/>
  <c r="JB36" i="6"/>
  <c r="JC36" i="6" s="1"/>
  <c r="JB35" i="6"/>
  <c r="JC35" i="6" s="1"/>
  <c r="JB34" i="6"/>
  <c r="JC34" i="6" s="1"/>
  <c r="JB33" i="6"/>
  <c r="JC33" i="6" s="1"/>
  <c r="JB32" i="6"/>
  <c r="JC32" i="6" s="1"/>
  <c r="JB31" i="6"/>
  <c r="JC31" i="6" s="1"/>
  <c r="JB30" i="6"/>
  <c r="JC30" i="6" s="1"/>
  <c r="JB29" i="6"/>
  <c r="JC29" i="6" s="1"/>
  <c r="JB28" i="6"/>
  <c r="JC28" i="6" s="1"/>
  <c r="JB27" i="6"/>
  <c r="JC27" i="6" s="1"/>
  <c r="JB26" i="6"/>
  <c r="JC26" i="6" s="1"/>
  <c r="JB25" i="6"/>
  <c r="JC25" i="6" s="1"/>
  <c r="JB24" i="6"/>
  <c r="JC24" i="6" s="1"/>
  <c r="JB23" i="6"/>
  <c r="JC23" i="6" s="1"/>
  <c r="JB22" i="6"/>
  <c r="JC22" i="6" s="1"/>
  <c r="JB21" i="6"/>
  <c r="JC21" i="6" s="1"/>
  <c r="JB20" i="6"/>
  <c r="JC20" i="6" s="1"/>
  <c r="JB19" i="6"/>
  <c r="JC19" i="6" s="1"/>
  <c r="JB18" i="6"/>
  <c r="JC18" i="6" s="1"/>
  <c r="JB17" i="6"/>
  <c r="JC17" i="6" s="1"/>
  <c r="JB16" i="6"/>
  <c r="JC16" i="6" s="1"/>
  <c r="JB15" i="6"/>
  <c r="JC15" i="6" s="1"/>
  <c r="JB14" i="6"/>
  <c r="JC14" i="6" s="1"/>
  <c r="JB13" i="6"/>
  <c r="JC13" i="6" s="1"/>
  <c r="JB12" i="6"/>
  <c r="JC12" i="6" s="1"/>
  <c r="JB11" i="6"/>
  <c r="JC11" i="6" s="1"/>
  <c r="JB10" i="6"/>
  <c r="JC10" i="6" s="1"/>
  <c r="JB9" i="6"/>
  <c r="JC9" i="6" s="1"/>
  <c r="JB8" i="6"/>
  <c r="JC8" i="6" s="1"/>
  <c r="JB7" i="6"/>
  <c r="JC7" i="6" s="1"/>
  <c r="JB6" i="6"/>
  <c r="JC6" i="6" s="1"/>
  <c r="JB5" i="6"/>
  <c r="JC5" i="6" s="1"/>
  <c r="JB4" i="6"/>
  <c r="JC4" i="6" s="1"/>
  <c r="HZ41" i="6"/>
  <c r="IA41" i="6" s="1"/>
  <c r="HZ40" i="6"/>
  <c r="IA40" i="6" s="1"/>
  <c r="HZ39" i="6"/>
  <c r="IA39" i="6" s="1"/>
  <c r="HZ38" i="6"/>
  <c r="IA38" i="6" s="1"/>
  <c r="HZ37" i="6"/>
  <c r="IA37" i="6" s="1"/>
  <c r="HZ36" i="6"/>
  <c r="IA36" i="6" s="1"/>
  <c r="HZ35" i="6"/>
  <c r="IA35" i="6" s="1"/>
  <c r="HZ34" i="6"/>
  <c r="IA34" i="6" s="1"/>
  <c r="HZ33" i="6"/>
  <c r="IA33" i="6" s="1"/>
  <c r="HZ32" i="6"/>
  <c r="IA32" i="6" s="1"/>
  <c r="HZ31" i="6"/>
  <c r="IA31" i="6" s="1"/>
  <c r="HZ30" i="6"/>
  <c r="IA30" i="6" s="1"/>
  <c r="HZ29" i="6"/>
  <c r="IA29" i="6" s="1"/>
  <c r="HZ28" i="6"/>
  <c r="IA28" i="6" s="1"/>
  <c r="HZ27" i="6"/>
  <c r="IA27" i="6" s="1"/>
  <c r="HZ26" i="6"/>
  <c r="IA26" i="6" s="1"/>
  <c r="HZ25" i="6"/>
  <c r="IA25" i="6" s="1"/>
  <c r="HZ24" i="6"/>
  <c r="IA24" i="6" s="1"/>
  <c r="HZ23" i="6"/>
  <c r="IA23" i="6" s="1"/>
  <c r="HZ22" i="6"/>
  <c r="IA22" i="6" s="1"/>
  <c r="HZ21" i="6"/>
  <c r="IA21" i="6" s="1"/>
  <c r="HZ20" i="6"/>
  <c r="IA20" i="6" s="1"/>
  <c r="HZ19" i="6"/>
  <c r="IA19" i="6" s="1"/>
  <c r="HZ18" i="6"/>
  <c r="IA18" i="6" s="1"/>
  <c r="HZ17" i="6"/>
  <c r="IA17" i="6" s="1"/>
  <c r="HZ16" i="6"/>
  <c r="IA16" i="6" s="1"/>
  <c r="HZ15" i="6"/>
  <c r="IA15" i="6" s="1"/>
  <c r="HZ14" i="6"/>
  <c r="IA14" i="6" s="1"/>
  <c r="HZ13" i="6"/>
  <c r="IA13" i="6" s="1"/>
  <c r="HZ12" i="6"/>
  <c r="IA12" i="6" s="1"/>
  <c r="HZ11" i="6"/>
  <c r="IA11" i="6" s="1"/>
  <c r="HZ10" i="6"/>
  <c r="IA10" i="6" s="1"/>
  <c r="HZ9" i="6"/>
  <c r="IA9" i="6" s="1"/>
  <c r="HZ8" i="6"/>
  <c r="IA8" i="6" s="1"/>
  <c r="HZ7" i="6"/>
  <c r="IA7" i="6" s="1"/>
  <c r="HZ6" i="6"/>
  <c r="IA6" i="6" s="1"/>
  <c r="HZ5" i="6"/>
  <c r="IA5" i="6" s="1"/>
  <c r="HZ4" i="6"/>
  <c r="IA4" i="6" s="1"/>
  <c r="GX41" i="6"/>
  <c r="GY41" i="6" s="1"/>
  <c r="GX40" i="6"/>
  <c r="GY40" i="6" s="1"/>
  <c r="GX39" i="6"/>
  <c r="GY39" i="6" s="1"/>
  <c r="GX38" i="6"/>
  <c r="GY38" i="6" s="1"/>
  <c r="GX37" i="6"/>
  <c r="GY37" i="6" s="1"/>
  <c r="GX36" i="6"/>
  <c r="GY36" i="6" s="1"/>
  <c r="GX35" i="6"/>
  <c r="GY35" i="6" s="1"/>
  <c r="GX34" i="6"/>
  <c r="GY34" i="6" s="1"/>
  <c r="GX33" i="6"/>
  <c r="GY33" i="6" s="1"/>
  <c r="GX32" i="6"/>
  <c r="GY32" i="6" s="1"/>
  <c r="GX31" i="6"/>
  <c r="GY31" i="6" s="1"/>
  <c r="GX30" i="6"/>
  <c r="GY30" i="6" s="1"/>
  <c r="GX29" i="6"/>
  <c r="GY29" i="6" s="1"/>
  <c r="GX28" i="6"/>
  <c r="GY28" i="6" s="1"/>
  <c r="GX27" i="6"/>
  <c r="GY27" i="6" s="1"/>
  <c r="GX26" i="6"/>
  <c r="GY26" i="6" s="1"/>
  <c r="GX25" i="6"/>
  <c r="GY25" i="6" s="1"/>
  <c r="GX24" i="6"/>
  <c r="GY24" i="6" s="1"/>
  <c r="GX23" i="6"/>
  <c r="GY23" i="6" s="1"/>
  <c r="GX22" i="6"/>
  <c r="GY22" i="6" s="1"/>
  <c r="GX21" i="6"/>
  <c r="GY21" i="6" s="1"/>
  <c r="GX20" i="6"/>
  <c r="GY20" i="6" s="1"/>
  <c r="GX19" i="6"/>
  <c r="GY19" i="6" s="1"/>
  <c r="GX18" i="6"/>
  <c r="GY18" i="6" s="1"/>
  <c r="GX17" i="6"/>
  <c r="GY17" i="6" s="1"/>
  <c r="GX16" i="6"/>
  <c r="GY16" i="6" s="1"/>
  <c r="GX15" i="6"/>
  <c r="GY15" i="6" s="1"/>
  <c r="GX14" i="6"/>
  <c r="GY14" i="6" s="1"/>
  <c r="GX13" i="6"/>
  <c r="GY13" i="6" s="1"/>
  <c r="GX12" i="6"/>
  <c r="GY12" i="6" s="1"/>
  <c r="GX11" i="6"/>
  <c r="GY11" i="6" s="1"/>
  <c r="GX10" i="6"/>
  <c r="GY10" i="6" s="1"/>
  <c r="GX9" i="6"/>
  <c r="GY9" i="6" s="1"/>
  <c r="GX8" i="6"/>
  <c r="GY8" i="6" s="1"/>
  <c r="GX7" i="6"/>
  <c r="GY7" i="6" s="1"/>
  <c r="GX6" i="6"/>
  <c r="GY6" i="6" s="1"/>
  <c r="GX5" i="6"/>
  <c r="GY5" i="6" s="1"/>
  <c r="GX4" i="6"/>
  <c r="GY4" i="6" s="1"/>
  <c r="FV41" i="6"/>
  <c r="FW41" i="6" s="1"/>
  <c r="FV40" i="6"/>
  <c r="FW40" i="6" s="1"/>
  <c r="FV39" i="6"/>
  <c r="FW39" i="6" s="1"/>
  <c r="FV38" i="6"/>
  <c r="FW38" i="6" s="1"/>
  <c r="FV37" i="6"/>
  <c r="FW37" i="6" s="1"/>
  <c r="FV36" i="6"/>
  <c r="FW36" i="6" s="1"/>
  <c r="FV35" i="6"/>
  <c r="FW35" i="6" s="1"/>
  <c r="FV34" i="6"/>
  <c r="FW34" i="6" s="1"/>
  <c r="FV33" i="6"/>
  <c r="FW33" i="6" s="1"/>
  <c r="FV32" i="6"/>
  <c r="FW32" i="6" s="1"/>
  <c r="FV31" i="6"/>
  <c r="FW31" i="6" s="1"/>
  <c r="FV30" i="6"/>
  <c r="FW30" i="6" s="1"/>
  <c r="FV29" i="6"/>
  <c r="FW29" i="6" s="1"/>
  <c r="FV28" i="6"/>
  <c r="FW28" i="6" s="1"/>
  <c r="FV27" i="6"/>
  <c r="FW27" i="6" s="1"/>
  <c r="FV26" i="6"/>
  <c r="FW26" i="6" s="1"/>
  <c r="FV25" i="6"/>
  <c r="FW25" i="6" s="1"/>
  <c r="FV24" i="6"/>
  <c r="FW24" i="6" s="1"/>
  <c r="FV23" i="6"/>
  <c r="FW23" i="6" s="1"/>
  <c r="FV22" i="6"/>
  <c r="FW22" i="6" s="1"/>
  <c r="FV21" i="6"/>
  <c r="FW21" i="6" s="1"/>
  <c r="FV20" i="6"/>
  <c r="FW20" i="6" s="1"/>
  <c r="FV19" i="6"/>
  <c r="FW19" i="6" s="1"/>
  <c r="FV18" i="6"/>
  <c r="FW18" i="6" s="1"/>
  <c r="FV17" i="6"/>
  <c r="FW17" i="6" s="1"/>
  <c r="FV16" i="6"/>
  <c r="FW16" i="6" s="1"/>
  <c r="FV15" i="6"/>
  <c r="FW15" i="6" s="1"/>
  <c r="FV14" i="6"/>
  <c r="FW14" i="6" s="1"/>
  <c r="FV13" i="6"/>
  <c r="FW13" i="6" s="1"/>
  <c r="FV12" i="6"/>
  <c r="FW12" i="6" s="1"/>
  <c r="FV11" i="6"/>
  <c r="FW11" i="6" s="1"/>
  <c r="FV10" i="6"/>
  <c r="FW10" i="6" s="1"/>
  <c r="FV9" i="6"/>
  <c r="FW9" i="6" s="1"/>
  <c r="FV8" i="6"/>
  <c r="FW8" i="6" s="1"/>
  <c r="FV7" i="6"/>
  <c r="FW7" i="6" s="1"/>
  <c r="FV6" i="6"/>
  <c r="FW6" i="6" s="1"/>
  <c r="FV5" i="6"/>
  <c r="FW5" i="6" s="1"/>
  <c r="FV4" i="6"/>
  <c r="FW4" i="6" s="1"/>
  <c r="ET41" i="6"/>
  <c r="EU41" i="6" s="1"/>
  <c r="ET40" i="6"/>
  <c r="EU40" i="6" s="1"/>
  <c r="ET39" i="6"/>
  <c r="EU39" i="6" s="1"/>
  <c r="ET38" i="6"/>
  <c r="EU38" i="6" s="1"/>
  <c r="ET37" i="6"/>
  <c r="EU37" i="6" s="1"/>
  <c r="ET36" i="6"/>
  <c r="EU36" i="6" s="1"/>
  <c r="ET35" i="6"/>
  <c r="EU35" i="6" s="1"/>
  <c r="ET34" i="6"/>
  <c r="EU34" i="6" s="1"/>
  <c r="ET33" i="6"/>
  <c r="EU33" i="6" s="1"/>
  <c r="ET32" i="6"/>
  <c r="EU32" i="6" s="1"/>
  <c r="ET31" i="6"/>
  <c r="EU31" i="6" s="1"/>
  <c r="ET30" i="6"/>
  <c r="EU30" i="6" s="1"/>
  <c r="ET29" i="6"/>
  <c r="EU29" i="6" s="1"/>
  <c r="ET28" i="6"/>
  <c r="EU28" i="6" s="1"/>
  <c r="ET27" i="6"/>
  <c r="EU27" i="6" s="1"/>
  <c r="ET26" i="6"/>
  <c r="EU26" i="6" s="1"/>
  <c r="ET25" i="6"/>
  <c r="EU25" i="6" s="1"/>
  <c r="ET24" i="6"/>
  <c r="EU24" i="6" s="1"/>
  <c r="ET23" i="6"/>
  <c r="EU23" i="6" s="1"/>
  <c r="ET22" i="6"/>
  <c r="EU22" i="6" s="1"/>
  <c r="ET21" i="6"/>
  <c r="EU21" i="6" s="1"/>
  <c r="ET20" i="6"/>
  <c r="EU20" i="6" s="1"/>
  <c r="ET19" i="6"/>
  <c r="EU19" i="6" s="1"/>
  <c r="ET18" i="6"/>
  <c r="EU18" i="6" s="1"/>
  <c r="ET17" i="6"/>
  <c r="EU17" i="6" s="1"/>
  <c r="ET16" i="6"/>
  <c r="EU16" i="6" s="1"/>
  <c r="ET15" i="6"/>
  <c r="EU15" i="6" s="1"/>
  <c r="ET14" i="6"/>
  <c r="EU14" i="6" s="1"/>
  <c r="ET13" i="6"/>
  <c r="EU13" i="6" s="1"/>
  <c r="ET12" i="6"/>
  <c r="EU12" i="6" s="1"/>
  <c r="ET11" i="6"/>
  <c r="EU11" i="6" s="1"/>
  <c r="ET10" i="6"/>
  <c r="EU10" i="6" s="1"/>
  <c r="ET9" i="6"/>
  <c r="EU9" i="6" s="1"/>
  <c r="ET8" i="6"/>
  <c r="EU8" i="6" s="1"/>
  <c r="ET7" i="6"/>
  <c r="EU7" i="6" s="1"/>
  <c r="ET6" i="6"/>
  <c r="EU6" i="6" s="1"/>
  <c r="ET5" i="6"/>
  <c r="EU5" i="6" s="1"/>
  <c r="ET4" i="6"/>
  <c r="EU4" i="6" s="1"/>
  <c r="DR41" i="6"/>
  <c r="DS41" i="6" s="1"/>
  <c r="DR40" i="6"/>
  <c r="DS40" i="6" s="1"/>
  <c r="DR39" i="6"/>
  <c r="DS39" i="6" s="1"/>
  <c r="DR38" i="6"/>
  <c r="DS38" i="6" s="1"/>
  <c r="DR37" i="6"/>
  <c r="DS37" i="6" s="1"/>
  <c r="DR36" i="6"/>
  <c r="DS36" i="6" s="1"/>
  <c r="DR35" i="6"/>
  <c r="DS35" i="6" s="1"/>
  <c r="DR34" i="6"/>
  <c r="DS34" i="6" s="1"/>
  <c r="DR33" i="6"/>
  <c r="DS33" i="6" s="1"/>
  <c r="DR32" i="6"/>
  <c r="DS32" i="6" s="1"/>
  <c r="DR31" i="6"/>
  <c r="DS31" i="6" s="1"/>
  <c r="DR30" i="6"/>
  <c r="DS30" i="6" s="1"/>
  <c r="DR29" i="6"/>
  <c r="DS29" i="6" s="1"/>
  <c r="DR28" i="6"/>
  <c r="DS28" i="6" s="1"/>
  <c r="DR27" i="6"/>
  <c r="DS27" i="6" s="1"/>
  <c r="DR26" i="6"/>
  <c r="DS26" i="6" s="1"/>
  <c r="DR25" i="6"/>
  <c r="DS25" i="6" s="1"/>
  <c r="DR24" i="6"/>
  <c r="DS24" i="6" s="1"/>
  <c r="DR23" i="6"/>
  <c r="DS23" i="6" s="1"/>
  <c r="DR22" i="6"/>
  <c r="DS22" i="6" s="1"/>
  <c r="DR21" i="6"/>
  <c r="DS21" i="6" s="1"/>
  <c r="DR20" i="6"/>
  <c r="DS20" i="6" s="1"/>
  <c r="DR19" i="6"/>
  <c r="DS19" i="6" s="1"/>
  <c r="DR18" i="6"/>
  <c r="DS18" i="6" s="1"/>
  <c r="DR17" i="6"/>
  <c r="DS17" i="6" s="1"/>
  <c r="DR16" i="6"/>
  <c r="DS16" i="6" s="1"/>
  <c r="DR15" i="6"/>
  <c r="DS15" i="6" s="1"/>
  <c r="DR14" i="6"/>
  <c r="DS14" i="6" s="1"/>
  <c r="DR13" i="6"/>
  <c r="DS13" i="6" s="1"/>
  <c r="DR12" i="6"/>
  <c r="DS12" i="6" s="1"/>
  <c r="DR11" i="6"/>
  <c r="DS11" i="6" s="1"/>
  <c r="DR10" i="6"/>
  <c r="DS10" i="6" s="1"/>
  <c r="DR9" i="6"/>
  <c r="DS9" i="6" s="1"/>
  <c r="DR8" i="6"/>
  <c r="DS8" i="6" s="1"/>
  <c r="DR7" i="6"/>
  <c r="DS7" i="6" s="1"/>
  <c r="DR6" i="6"/>
  <c r="DS6" i="6" s="1"/>
  <c r="DR5" i="6"/>
  <c r="DS5" i="6" s="1"/>
  <c r="DR4" i="6"/>
  <c r="DS4" i="6" s="1"/>
  <c r="CP41" i="6"/>
  <c r="CQ41" i="6" s="1"/>
  <c r="CP40" i="6"/>
  <c r="CQ40" i="6" s="1"/>
  <c r="CP39" i="6"/>
  <c r="CQ39" i="6" s="1"/>
  <c r="CP38" i="6"/>
  <c r="CQ38" i="6" s="1"/>
  <c r="CP37" i="6"/>
  <c r="CQ37" i="6" s="1"/>
  <c r="CP36" i="6"/>
  <c r="CQ36" i="6" s="1"/>
  <c r="CP35" i="6"/>
  <c r="CQ35" i="6" s="1"/>
  <c r="CP34" i="6"/>
  <c r="CQ34" i="6" s="1"/>
  <c r="CP33" i="6"/>
  <c r="CQ33" i="6" s="1"/>
  <c r="CP32" i="6"/>
  <c r="CQ32" i="6" s="1"/>
  <c r="CP31" i="6"/>
  <c r="CQ31" i="6" s="1"/>
  <c r="CP30" i="6"/>
  <c r="CQ30" i="6" s="1"/>
  <c r="CP29" i="6"/>
  <c r="CQ29" i="6" s="1"/>
  <c r="CP28" i="6"/>
  <c r="CQ28" i="6" s="1"/>
  <c r="CP27" i="6"/>
  <c r="CQ27" i="6" s="1"/>
  <c r="CP26" i="6"/>
  <c r="CQ26" i="6" s="1"/>
  <c r="CP25" i="6"/>
  <c r="CQ25" i="6" s="1"/>
  <c r="CP24" i="6"/>
  <c r="CQ24" i="6" s="1"/>
  <c r="CP23" i="6"/>
  <c r="CQ23" i="6" s="1"/>
  <c r="CP22" i="6"/>
  <c r="CQ22" i="6" s="1"/>
  <c r="CP21" i="6"/>
  <c r="CQ21" i="6" s="1"/>
  <c r="CP20" i="6"/>
  <c r="CQ20" i="6" s="1"/>
  <c r="CP19" i="6"/>
  <c r="CQ19" i="6" s="1"/>
  <c r="CP18" i="6"/>
  <c r="CQ18" i="6" s="1"/>
  <c r="CP17" i="6"/>
  <c r="CQ17" i="6" s="1"/>
  <c r="CP16" i="6"/>
  <c r="CQ16" i="6" s="1"/>
  <c r="CP15" i="6"/>
  <c r="CQ15" i="6" s="1"/>
  <c r="CP14" i="6"/>
  <c r="CQ14" i="6" s="1"/>
  <c r="CP13" i="6"/>
  <c r="CQ13" i="6" s="1"/>
  <c r="CP12" i="6"/>
  <c r="CQ12" i="6" s="1"/>
  <c r="CP11" i="6"/>
  <c r="CQ11" i="6" s="1"/>
  <c r="CP10" i="6"/>
  <c r="CQ10" i="6" s="1"/>
  <c r="CP9" i="6"/>
  <c r="CQ9" i="6" s="1"/>
  <c r="CP8" i="6"/>
  <c r="CQ8" i="6" s="1"/>
  <c r="CP7" i="6"/>
  <c r="CQ7" i="6" s="1"/>
  <c r="CP6" i="6"/>
  <c r="CQ6" i="6" s="1"/>
  <c r="CP5" i="6"/>
  <c r="CQ5" i="6" s="1"/>
  <c r="CP4" i="6"/>
  <c r="CQ4" i="6" s="1"/>
  <c r="BN41" i="6"/>
  <c r="BO41" i="6" s="1"/>
  <c r="BN40" i="6"/>
  <c r="BO40" i="6" s="1"/>
  <c r="BN39" i="6"/>
  <c r="BO39" i="6" s="1"/>
  <c r="BN38" i="6"/>
  <c r="BO38" i="6" s="1"/>
  <c r="BN37" i="6"/>
  <c r="BO37" i="6" s="1"/>
  <c r="BN36" i="6"/>
  <c r="BO36" i="6" s="1"/>
  <c r="BN35" i="6"/>
  <c r="BO35" i="6" s="1"/>
  <c r="BN34" i="6"/>
  <c r="BO34" i="6" s="1"/>
  <c r="BN33" i="6"/>
  <c r="BO33" i="6" s="1"/>
  <c r="BN32" i="6"/>
  <c r="BO32" i="6" s="1"/>
  <c r="BN31" i="6"/>
  <c r="BO31" i="6" s="1"/>
  <c r="BN30" i="6"/>
  <c r="BO30" i="6" s="1"/>
  <c r="BN29" i="6"/>
  <c r="BO29" i="6" s="1"/>
  <c r="BN28" i="6"/>
  <c r="BO28" i="6" s="1"/>
  <c r="BN27" i="6"/>
  <c r="BO27" i="6" s="1"/>
  <c r="BN26" i="6"/>
  <c r="BO26" i="6" s="1"/>
  <c r="BN25" i="6"/>
  <c r="BO25" i="6" s="1"/>
  <c r="BN24" i="6"/>
  <c r="BO24" i="6" s="1"/>
  <c r="BN23" i="6"/>
  <c r="BO23" i="6" s="1"/>
  <c r="BN22" i="6"/>
  <c r="BO22" i="6" s="1"/>
  <c r="BN21" i="6"/>
  <c r="BO21" i="6" s="1"/>
  <c r="BN20" i="6"/>
  <c r="BO20" i="6" s="1"/>
  <c r="BN19" i="6"/>
  <c r="BO19" i="6" s="1"/>
  <c r="BN18" i="6"/>
  <c r="BO18" i="6" s="1"/>
  <c r="BN17" i="6"/>
  <c r="BO17" i="6" s="1"/>
  <c r="BN16" i="6"/>
  <c r="BO16" i="6" s="1"/>
  <c r="BN15" i="6"/>
  <c r="BO15" i="6" s="1"/>
  <c r="BN14" i="6"/>
  <c r="BO14" i="6" s="1"/>
  <c r="BN13" i="6"/>
  <c r="BO13" i="6" s="1"/>
  <c r="BN12" i="6"/>
  <c r="BO12" i="6" s="1"/>
  <c r="BN11" i="6"/>
  <c r="BO11" i="6" s="1"/>
  <c r="BN10" i="6"/>
  <c r="BO10" i="6" s="1"/>
  <c r="BN9" i="6"/>
  <c r="BO9" i="6" s="1"/>
  <c r="BN8" i="6"/>
  <c r="BO8" i="6" s="1"/>
  <c r="BN7" i="6"/>
  <c r="BO7" i="6" s="1"/>
  <c r="BN6" i="6"/>
  <c r="BO6" i="6" s="1"/>
  <c r="BN5" i="6"/>
  <c r="BO5" i="6" s="1"/>
  <c r="BN4" i="6"/>
  <c r="BO4" i="6" s="1"/>
  <c r="AL41" i="6"/>
  <c r="AM41" i="6" s="1"/>
  <c r="AL40" i="6"/>
  <c r="AM40" i="6" s="1"/>
  <c r="AL39" i="6"/>
  <c r="AM39" i="6" s="1"/>
  <c r="AL38" i="6"/>
  <c r="AM38" i="6" s="1"/>
  <c r="AL37" i="6"/>
  <c r="AM37" i="6" s="1"/>
  <c r="AL36" i="6"/>
  <c r="AM36" i="6" s="1"/>
  <c r="AL35" i="6"/>
  <c r="AM35" i="6" s="1"/>
  <c r="AL34" i="6"/>
  <c r="AM34" i="6" s="1"/>
  <c r="AL33" i="6"/>
  <c r="AM33" i="6" s="1"/>
  <c r="AL32" i="6"/>
  <c r="AM32" i="6" s="1"/>
  <c r="AL31" i="6"/>
  <c r="AM31" i="6" s="1"/>
  <c r="AL30" i="6"/>
  <c r="AM30" i="6" s="1"/>
  <c r="AL29" i="6"/>
  <c r="AM29" i="6" s="1"/>
  <c r="AL28" i="6"/>
  <c r="AM28" i="6" s="1"/>
  <c r="AL27" i="6"/>
  <c r="AM27" i="6" s="1"/>
  <c r="AL26" i="6"/>
  <c r="AM26" i="6" s="1"/>
  <c r="AL25" i="6"/>
  <c r="AM25" i="6" s="1"/>
  <c r="AL24" i="6"/>
  <c r="AM24" i="6" s="1"/>
  <c r="AL23" i="6"/>
  <c r="AM23" i="6" s="1"/>
  <c r="AL22" i="6"/>
  <c r="AM22" i="6" s="1"/>
  <c r="AL21" i="6"/>
  <c r="AM21" i="6" s="1"/>
  <c r="AL20" i="6"/>
  <c r="AM20" i="6" s="1"/>
  <c r="AL19" i="6"/>
  <c r="AM19" i="6" s="1"/>
  <c r="AL18" i="6"/>
  <c r="AM18" i="6" s="1"/>
  <c r="AL17" i="6"/>
  <c r="AM17" i="6" s="1"/>
  <c r="AL16" i="6"/>
  <c r="AM16" i="6" s="1"/>
  <c r="AL15" i="6"/>
  <c r="AM15" i="6" s="1"/>
  <c r="AL14" i="6"/>
  <c r="AM14" i="6" s="1"/>
  <c r="AL13" i="6"/>
  <c r="AM13" i="6" s="1"/>
  <c r="AL12" i="6"/>
  <c r="AM12" i="6" s="1"/>
  <c r="AL11" i="6"/>
  <c r="AM11" i="6" s="1"/>
  <c r="AL10" i="6"/>
  <c r="AM10" i="6" s="1"/>
  <c r="AL9" i="6"/>
  <c r="AM9" i="6" s="1"/>
  <c r="AL8" i="6"/>
  <c r="AM8" i="6" s="1"/>
  <c r="AL7" i="6"/>
  <c r="AM7" i="6" s="1"/>
  <c r="AL6" i="6"/>
  <c r="AM6" i="6" s="1"/>
  <c r="AL5" i="6"/>
  <c r="AM5" i="6" s="1"/>
  <c r="AL4" i="6"/>
  <c r="AM4" i="6" s="1"/>
  <c r="J41" i="6"/>
  <c r="K41" i="6" s="1"/>
  <c r="J40" i="6"/>
  <c r="K40" i="6" s="1"/>
  <c r="J39" i="6"/>
  <c r="K39" i="6" s="1"/>
  <c r="J38" i="6"/>
  <c r="K38" i="6" s="1"/>
  <c r="J37" i="6"/>
  <c r="K37" i="6" s="1"/>
  <c r="J36" i="6"/>
  <c r="K36" i="6" s="1"/>
  <c r="J35" i="6"/>
  <c r="K35" i="6" s="1"/>
  <c r="J34" i="6"/>
  <c r="K34" i="6" s="1"/>
  <c r="J33" i="6"/>
  <c r="K33" i="6" s="1"/>
  <c r="J32" i="6"/>
  <c r="K32" i="6" s="1"/>
  <c r="J31" i="6"/>
  <c r="K31" i="6" s="1"/>
  <c r="J30" i="6"/>
  <c r="K30" i="6" s="1"/>
  <c r="J29" i="6"/>
  <c r="K29" i="6" s="1"/>
  <c r="J28" i="6"/>
  <c r="K28" i="6" s="1"/>
  <c r="J27" i="6"/>
  <c r="K27" i="6" s="1"/>
  <c r="J26" i="6"/>
  <c r="K26" i="6" s="1"/>
  <c r="J25" i="6"/>
  <c r="K25" i="6" s="1"/>
  <c r="J24" i="6"/>
  <c r="K24" i="6" s="1"/>
  <c r="J23" i="6"/>
  <c r="K23" i="6" s="1"/>
  <c r="J22" i="6"/>
  <c r="K22" i="6" s="1"/>
  <c r="J21" i="6"/>
  <c r="K21" i="6" s="1"/>
  <c r="J20" i="6"/>
  <c r="K20" i="6" s="1"/>
  <c r="J19" i="6"/>
  <c r="K19" i="6" s="1"/>
  <c r="J18" i="6"/>
  <c r="K18" i="6" s="1"/>
  <c r="J17" i="6"/>
  <c r="K17" i="6" s="1"/>
  <c r="J16" i="6"/>
  <c r="K16" i="6" s="1"/>
  <c r="J15" i="6"/>
  <c r="K15" i="6" s="1"/>
  <c r="J14" i="6"/>
  <c r="K14" i="6" s="1"/>
  <c r="J13" i="6"/>
  <c r="K13" i="6" s="1"/>
  <c r="J12" i="6"/>
  <c r="K12" i="6" s="1"/>
  <c r="J11" i="6"/>
  <c r="K11" i="6" s="1"/>
  <c r="J10" i="6"/>
  <c r="K10" i="6" s="1"/>
  <c r="J9" i="6"/>
  <c r="K9" i="6" s="1"/>
  <c r="J8" i="6"/>
  <c r="K8" i="6" s="1"/>
  <c r="J7" i="6"/>
  <c r="K7" i="6" s="1"/>
  <c r="J6" i="6"/>
  <c r="K6" i="6" s="1"/>
  <c r="J5" i="6"/>
  <c r="K5" i="6" s="1"/>
  <c r="J4" i="6"/>
  <c r="K4" i="6" s="1"/>
  <c r="GW40" i="21"/>
  <c r="GX40" i="21" s="1"/>
  <c r="GW39" i="21"/>
  <c r="GX39" i="21" s="1"/>
  <c r="GW38" i="21"/>
  <c r="GX38" i="21" s="1"/>
  <c r="GW37" i="21"/>
  <c r="GX37" i="21" s="1"/>
  <c r="GW36" i="21"/>
  <c r="GX36" i="21" s="1"/>
  <c r="GW35" i="21"/>
  <c r="GX35" i="21" s="1"/>
  <c r="GW34" i="21"/>
  <c r="GX34" i="21" s="1"/>
  <c r="GW33" i="21"/>
  <c r="GX33" i="21" s="1"/>
  <c r="GW32" i="21"/>
  <c r="GX32" i="21" s="1"/>
  <c r="GW31" i="21"/>
  <c r="GX31" i="21" s="1"/>
  <c r="GW30" i="21"/>
  <c r="GX30" i="21" s="1"/>
  <c r="GW29" i="21"/>
  <c r="GX29" i="21" s="1"/>
  <c r="GW28" i="21"/>
  <c r="GX28" i="21" s="1"/>
  <c r="GW27" i="21"/>
  <c r="GX27" i="21" s="1"/>
  <c r="GW26" i="21"/>
  <c r="GX26" i="21" s="1"/>
  <c r="GW25" i="21"/>
  <c r="GX25" i="21" s="1"/>
  <c r="GW24" i="21"/>
  <c r="GX24" i="21" s="1"/>
  <c r="GW23" i="21"/>
  <c r="GX23" i="21" s="1"/>
  <c r="GW22" i="21"/>
  <c r="GX22" i="21" s="1"/>
  <c r="GW21" i="21"/>
  <c r="GX21" i="21" s="1"/>
  <c r="GW20" i="21"/>
  <c r="GX20" i="21" s="1"/>
  <c r="GW19" i="21"/>
  <c r="GX19" i="21" s="1"/>
  <c r="GW18" i="21"/>
  <c r="GX18" i="21" s="1"/>
  <c r="GW17" i="21"/>
  <c r="GX17" i="21" s="1"/>
  <c r="GW16" i="21"/>
  <c r="GX16" i="21" s="1"/>
  <c r="GW15" i="21"/>
  <c r="GX15" i="21" s="1"/>
  <c r="GW14" i="21"/>
  <c r="GX14" i="21" s="1"/>
  <c r="GW13" i="21"/>
  <c r="GX13" i="21" s="1"/>
  <c r="GW12" i="21"/>
  <c r="GX12" i="21" s="1"/>
  <c r="GW11" i="21"/>
  <c r="GX11" i="21" s="1"/>
  <c r="GW10" i="21"/>
  <c r="GX10" i="21" s="1"/>
  <c r="GW9" i="21"/>
  <c r="GX9" i="21" s="1"/>
  <c r="GW8" i="21"/>
  <c r="GX8" i="21" s="1"/>
  <c r="GW7" i="21"/>
  <c r="GX7" i="21" s="1"/>
  <c r="GW6" i="21"/>
  <c r="GX6" i="21" s="1"/>
  <c r="GW5" i="21"/>
  <c r="GX5" i="21" s="1"/>
  <c r="GW4" i="21"/>
  <c r="GX4" i="21" s="1"/>
  <c r="GW3" i="21"/>
  <c r="GX3" i="21" s="1"/>
  <c r="DZ40" i="21"/>
  <c r="EA40" i="21" s="1"/>
  <c r="DZ39" i="21"/>
  <c r="EA39" i="21" s="1"/>
  <c r="DZ38" i="21"/>
  <c r="EA38" i="21" s="1"/>
  <c r="EA37" i="21"/>
  <c r="DZ37" i="21"/>
  <c r="DZ36" i="21"/>
  <c r="EA36" i="21" s="1"/>
  <c r="DZ35" i="21"/>
  <c r="EA35" i="21" s="1"/>
  <c r="DZ34" i="21"/>
  <c r="EA34" i="21" s="1"/>
  <c r="DZ33" i="21"/>
  <c r="EA33" i="21" s="1"/>
  <c r="DZ32" i="21"/>
  <c r="EA32" i="21" s="1"/>
  <c r="DZ31" i="21"/>
  <c r="EA31" i="21" s="1"/>
  <c r="DZ30" i="21"/>
  <c r="EA30" i="21" s="1"/>
  <c r="EA29" i="21"/>
  <c r="DZ29" i="21"/>
  <c r="DZ28" i="21"/>
  <c r="EA28" i="21" s="1"/>
  <c r="DZ27" i="21"/>
  <c r="EA27" i="21" s="1"/>
  <c r="DZ26" i="21"/>
  <c r="EA26" i="21" s="1"/>
  <c r="DZ25" i="21"/>
  <c r="EA25" i="21" s="1"/>
  <c r="DZ24" i="21"/>
  <c r="EA24" i="21" s="1"/>
  <c r="DZ23" i="21"/>
  <c r="EA23" i="21" s="1"/>
  <c r="DZ22" i="21"/>
  <c r="EA22" i="21" s="1"/>
  <c r="EA21" i="21"/>
  <c r="DZ21" i="21"/>
  <c r="DZ20" i="21"/>
  <c r="EA20" i="21" s="1"/>
  <c r="DZ19" i="21"/>
  <c r="EA19" i="21" s="1"/>
  <c r="DZ18" i="21"/>
  <c r="EA18" i="21" s="1"/>
  <c r="DZ17" i="21"/>
  <c r="EA17" i="21" s="1"/>
  <c r="DZ16" i="21"/>
  <c r="EA16" i="21" s="1"/>
  <c r="DZ15" i="21"/>
  <c r="EA15" i="21" s="1"/>
  <c r="DZ14" i="21"/>
  <c r="EA14" i="21" s="1"/>
  <c r="EA13" i="21"/>
  <c r="DZ13" i="21"/>
  <c r="DZ12" i="21"/>
  <c r="EA12" i="21" s="1"/>
  <c r="DZ11" i="21"/>
  <c r="EA11" i="21" s="1"/>
  <c r="DZ10" i="21"/>
  <c r="EA10" i="21" s="1"/>
  <c r="DZ9" i="21"/>
  <c r="EA9" i="21" s="1"/>
  <c r="DZ8" i="21"/>
  <c r="EA8" i="21" s="1"/>
  <c r="DZ7" i="21"/>
  <c r="EA7" i="21" s="1"/>
  <c r="DZ6" i="21"/>
  <c r="EA6" i="21" s="1"/>
  <c r="EA5" i="21"/>
  <c r="DZ5" i="21"/>
  <c r="DZ4" i="21"/>
  <c r="EA4" i="21" s="1"/>
  <c r="DZ3" i="21"/>
  <c r="EA3" i="21" s="1"/>
  <c r="L40" i="21"/>
  <c r="M40" i="21" s="1"/>
  <c r="L39" i="21"/>
  <c r="M39" i="21" s="1"/>
  <c r="L38" i="21"/>
  <c r="M38" i="21" s="1"/>
  <c r="L37" i="21"/>
  <c r="M37" i="21" s="1"/>
  <c r="M36" i="21"/>
  <c r="L36" i="21"/>
  <c r="L35" i="21"/>
  <c r="M35" i="21" s="1"/>
  <c r="L34" i="21"/>
  <c r="M34" i="21" s="1"/>
  <c r="L33" i="21"/>
  <c r="M33" i="21" s="1"/>
  <c r="L32" i="21"/>
  <c r="M32" i="21" s="1"/>
  <c r="L31" i="21"/>
  <c r="M31" i="21" s="1"/>
  <c r="L30" i="21"/>
  <c r="M30" i="21" s="1"/>
  <c r="L29" i="21"/>
  <c r="M29" i="21" s="1"/>
  <c r="M28" i="21"/>
  <c r="L28" i="21"/>
  <c r="L27" i="21"/>
  <c r="M27" i="21" s="1"/>
  <c r="L26" i="21"/>
  <c r="M26" i="21" s="1"/>
  <c r="L25" i="21"/>
  <c r="M25" i="21" s="1"/>
  <c r="L24" i="21"/>
  <c r="M24" i="21" s="1"/>
  <c r="L23" i="21"/>
  <c r="M23" i="21" s="1"/>
  <c r="L22" i="21"/>
  <c r="M22" i="21" s="1"/>
  <c r="L21" i="21"/>
  <c r="M21" i="21" s="1"/>
  <c r="M20" i="21"/>
  <c r="L20" i="21"/>
  <c r="L19" i="21"/>
  <c r="M19" i="21" s="1"/>
  <c r="L18" i="21"/>
  <c r="M18" i="21" s="1"/>
  <c r="L17" i="21"/>
  <c r="M17" i="21" s="1"/>
  <c r="L16" i="21"/>
  <c r="M16" i="21" s="1"/>
  <c r="L15" i="21"/>
  <c r="M15" i="21" s="1"/>
  <c r="L14" i="21"/>
  <c r="M14" i="21" s="1"/>
  <c r="L13" i="21"/>
  <c r="M13" i="21" s="1"/>
  <c r="M12" i="21"/>
  <c r="L12" i="21"/>
  <c r="L11" i="21"/>
  <c r="M11" i="21" s="1"/>
  <c r="L10" i="21"/>
  <c r="M10" i="21" s="1"/>
  <c r="L9" i="21"/>
  <c r="M9" i="21" s="1"/>
  <c r="L8" i="21"/>
  <c r="M8" i="21" s="1"/>
  <c r="L7" i="21"/>
  <c r="M7" i="21" s="1"/>
  <c r="L6" i="21"/>
  <c r="M6" i="21" s="1"/>
  <c r="L5" i="21"/>
  <c r="M5" i="21" s="1"/>
  <c r="M4" i="21"/>
  <c r="L4" i="21"/>
  <c r="L3" i="21"/>
  <c r="M3" i="21" s="1"/>
  <c r="AG40" i="14" l="1"/>
  <c r="AG39" i="14"/>
  <c r="AG38" i="14"/>
  <c r="AG37" i="14"/>
  <c r="AG36" i="14"/>
  <c r="AG35" i="14"/>
  <c r="AG34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AG3" i="14"/>
  <c r="AM40" i="21"/>
  <c r="AN40" i="21" s="1"/>
  <c r="AM39" i="21"/>
  <c r="AN39" i="21" s="1"/>
  <c r="AM38" i="21"/>
  <c r="AN38" i="21" s="1"/>
  <c r="AM37" i="21"/>
  <c r="AN37" i="21" s="1"/>
  <c r="AM36" i="21"/>
  <c r="AN36" i="21" s="1"/>
  <c r="AM35" i="21"/>
  <c r="AN35" i="21" s="1"/>
  <c r="AM34" i="21"/>
  <c r="AN34" i="21" s="1"/>
  <c r="AM33" i="21"/>
  <c r="AN33" i="21" s="1"/>
  <c r="AN32" i="21"/>
  <c r="AM32" i="21"/>
  <c r="AM31" i="21"/>
  <c r="AN31" i="21" s="1"/>
  <c r="AM30" i="21"/>
  <c r="AN30" i="21" s="1"/>
  <c r="AM29" i="21"/>
  <c r="AN29" i="21" s="1"/>
  <c r="AM28" i="21"/>
  <c r="AN28" i="21" s="1"/>
  <c r="AM27" i="21"/>
  <c r="AN27" i="21" s="1"/>
  <c r="AM26" i="21"/>
  <c r="AN26" i="21" s="1"/>
  <c r="AM25" i="21"/>
  <c r="AN25" i="21" s="1"/>
  <c r="AM24" i="21"/>
  <c r="AN24" i="21" s="1"/>
  <c r="AM23" i="21"/>
  <c r="AN23" i="21" s="1"/>
  <c r="AM22" i="21"/>
  <c r="AN22" i="21" s="1"/>
  <c r="AM21" i="21"/>
  <c r="AN21" i="21" s="1"/>
  <c r="AM20" i="21"/>
  <c r="AN20" i="21" s="1"/>
  <c r="AM19" i="21"/>
  <c r="AN19" i="21" s="1"/>
  <c r="AM18" i="21"/>
  <c r="AN18" i="21" s="1"/>
  <c r="AM17" i="21"/>
  <c r="AN17" i="21" s="1"/>
  <c r="AM16" i="21"/>
  <c r="AN16" i="21" s="1"/>
  <c r="AM15" i="21"/>
  <c r="AN15" i="21" s="1"/>
  <c r="AM14" i="21"/>
  <c r="AN14" i="21" s="1"/>
  <c r="AM13" i="21"/>
  <c r="AN13" i="21" s="1"/>
  <c r="AM12" i="21"/>
  <c r="AN12" i="21" s="1"/>
  <c r="AM11" i="21"/>
  <c r="AN11" i="21" s="1"/>
  <c r="AM10" i="21"/>
  <c r="AN10" i="21" s="1"/>
  <c r="AM9" i="21"/>
  <c r="AN9" i="21" s="1"/>
  <c r="AM8" i="21"/>
  <c r="AN8" i="21" s="1"/>
  <c r="AM7" i="21"/>
  <c r="AN7" i="21" s="1"/>
  <c r="AM6" i="21"/>
  <c r="AN6" i="21" s="1"/>
  <c r="AM5" i="21"/>
  <c r="AN5" i="21" s="1"/>
  <c r="AM4" i="21"/>
  <c r="AN4" i="21" s="1"/>
  <c r="AM3" i="21"/>
  <c r="AN3" i="21" s="1"/>
  <c r="BQ40" i="21" l="1"/>
  <c r="BR40" i="21" s="1"/>
  <c r="BQ39" i="21"/>
  <c r="BR39" i="21" s="1"/>
  <c r="BQ38" i="21"/>
  <c r="BR38" i="21" s="1"/>
  <c r="BQ37" i="21"/>
  <c r="BR37" i="21" s="1"/>
  <c r="BQ36" i="21"/>
  <c r="BR36" i="21" s="1"/>
  <c r="BQ35" i="21"/>
  <c r="BR35" i="21" s="1"/>
  <c r="BQ34" i="21"/>
  <c r="BR34" i="21" s="1"/>
  <c r="BQ33" i="21"/>
  <c r="BR33" i="21" s="1"/>
  <c r="BQ32" i="21"/>
  <c r="BR32" i="21" s="1"/>
  <c r="BQ31" i="21"/>
  <c r="BR31" i="21" s="1"/>
  <c r="BQ30" i="21"/>
  <c r="BR30" i="21" s="1"/>
  <c r="BQ29" i="21"/>
  <c r="BR29" i="21" s="1"/>
  <c r="BQ28" i="21"/>
  <c r="BR28" i="21" s="1"/>
  <c r="BQ27" i="21"/>
  <c r="BR27" i="21" s="1"/>
  <c r="BQ26" i="21"/>
  <c r="BR26" i="21" s="1"/>
  <c r="BQ25" i="21"/>
  <c r="BR25" i="21" s="1"/>
  <c r="BQ24" i="21"/>
  <c r="BR24" i="21" s="1"/>
  <c r="BQ23" i="21"/>
  <c r="BR23" i="21" s="1"/>
  <c r="BQ22" i="21"/>
  <c r="BR22" i="21" s="1"/>
  <c r="BQ21" i="21"/>
  <c r="BR21" i="21" s="1"/>
  <c r="BQ20" i="21"/>
  <c r="BR20" i="21" s="1"/>
  <c r="BQ19" i="21"/>
  <c r="BR19" i="21" s="1"/>
  <c r="BQ18" i="21"/>
  <c r="BR18" i="21" s="1"/>
  <c r="BQ17" i="21"/>
  <c r="BR17" i="21" s="1"/>
  <c r="BQ16" i="21"/>
  <c r="BR16" i="21" s="1"/>
  <c r="BQ15" i="21"/>
  <c r="BR15" i="21" s="1"/>
  <c r="BQ14" i="21"/>
  <c r="BR14" i="21" s="1"/>
  <c r="BQ13" i="21"/>
  <c r="BR13" i="21" s="1"/>
  <c r="BQ12" i="21"/>
  <c r="BR12" i="21" s="1"/>
  <c r="BQ11" i="21"/>
  <c r="BR11" i="21" s="1"/>
  <c r="BQ10" i="21"/>
  <c r="BR10" i="21" s="1"/>
  <c r="BQ9" i="21"/>
  <c r="BR9" i="21" s="1"/>
  <c r="BQ8" i="21"/>
  <c r="BR8" i="21" s="1"/>
  <c r="BQ7" i="21"/>
  <c r="BR7" i="21" s="1"/>
  <c r="BQ6" i="21"/>
  <c r="BR6" i="21" s="1"/>
  <c r="BQ5" i="21"/>
  <c r="BR5" i="21" s="1"/>
  <c r="BQ4" i="21"/>
  <c r="BR4" i="21" s="1"/>
  <c r="BQ3" i="21"/>
  <c r="BR3" i="21" s="1"/>
  <c r="BK40" i="21"/>
  <c r="BL40" i="21" s="1"/>
  <c r="BK39" i="21"/>
  <c r="BL39" i="21" s="1"/>
  <c r="BK38" i="21"/>
  <c r="BL38" i="21" s="1"/>
  <c r="BK37" i="21"/>
  <c r="BL37" i="21" s="1"/>
  <c r="BK36" i="21"/>
  <c r="BL36" i="21" s="1"/>
  <c r="BK35" i="21"/>
  <c r="BL35" i="21" s="1"/>
  <c r="BK34" i="21"/>
  <c r="BL34" i="21" s="1"/>
  <c r="BK33" i="21"/>
  <c r="BL33" i="21" s="1"/>
  <c r="BK32" i="21"/>
  <c r="BL32" i="21" s="1"/>
  <c r="BK31" i="21"/>
  <c r="BL31" i="21" s="1"/>
  <c r="BK30" i="21"/>
  <c r="BL30" i="21" s="1"/>
  <c r="BK29" i="21"/>
  <c r="BL29" i="21" s="1"/>
  <c r="BK28" i="21"/>
  <c r="BL28" i="21" s="1"/>
  <c r="BK27" i="21"/>
  <c r="BL27" i="21" s="1"/>
  <c r="BK26" i="21"/>
  <c r="BL26" i="21" s="1"/>
  <c r="BK25" i="21"/>
  <c r="BL25" i="21" s="1"/>
  <c r="BK24" i="21"/>
  <c r="BL24" i="21" s="1"/>
  <c r="BK23" i="21"/>
  <c r="BL23" i="21" s="1"/>
  <c r="BK22" i="21"/>
  <c r="BL22" i="21" s="1"/>
  <c r="BK21" i="21"/>
  <c r="BL21" i="21" s="1"/>
  <c r="BK20" i="21"/>
  <c r="BL20" i="21" s="1"/>
  <c r="BK19" i="21"/>
  <c r="BL19" i="21" s="1"/>
  <c r="BK18" i="21"/>
  <c r="BL18" i="21" s="1"/>
  <c r="BK17" i="21"/>
  <c r="BL17" i="21" s="1"/>
  <c r="BK16" i="21"/>
  <c r="BL16" i="21" s="1"/>
  <c r="BK15" i="21"/>
  <c r="BL15" i="21" s="1"/>
  <c r="BK14" i="21"/>
  <c r="BL14" i="21" s="1"/>
  <c r="BK13" i="21"/>
  <c r="BL13" i="21" s="1"/>
  <c r="BK12" i="21"/>
  <c r="BL12" i="21" s="1"/>
  <c r="BK11" i="21"/>
  <c r="BL11" i="21" s="1"/>
  <c r="BK10" i="21"/>
  <c r="BL10" i="21" s="1"/>
  <c r="BK9" i="21"/>
  <c r="BL9" i="21" s="1"/>
  <c r="BK8" i="21"/>
  <c r="BL8" i="21" s="1"/>
  <c r="BK7" i="21"/>
  <c r="BL7" i="21" s="1"/>
  <c r="BK6" i="21"/>
  <c r="BL6" i="21" s="1"/>
  <c r="BK5" i="21"/>
  <c r="BL5" i="21" s="1"/>
  <c r="BK4" i="21"/>
  <c r="BL4" i="21" s="1"/>
  <c r="BK3" i="21"/>
  <c r="BL3" i="21" s="1"/>
  <c r="BE40" i="21"/>
  <c r="BF40" i="21" s="1"/>
  <c r="BE39" i="21"/>
  <c r="BF39" i="21" s="1"/>
  <c r="BE38" i="21"/>
  <c r="BF38" i="21" s="1"/>
  <c r="BE37" i="21"/>
  <c r="BF37" i="21" s="1"/>
  <c r="BE36" i="21"/>
  <c r="BF36" i="21" s="1"/>
  <c r="BE35" i="21"/>
  <c r="BF35" i="21" s="1"/>
  <c r="BE34" i="21"/>
  <c r="BF34" i="21" s="1"/>
  <c r="BE33" i="21"/>
  <c r="BF33" i="21" s="1"/>
  <c r="BE32" i="21"/>
  <c r="BF32" i="21" s="1"/>
  <c r="BE31" i="21"/>
  <c r="BF31" i="21" s="1"/>
  <c r="BE30" i="21"/>
  <c r="BF30" i="21" s="1"/>
  <c r="BE29" i="21"/>
  <c r="BF29" i="21" s="1"/>
  <c r="BE28" i="21"/>
  <c r="BF28" i="21" s="1"/>
  <c r="BE27" i="21"/>
  <c r="BF27" i="21" s="1"/>
  <c r="BE26" i="21"/>
  <c r="BF26" i="21" s="1"/>
  <c r="BE25" i="21"/>
  <c r="BF25" i="21" s="1"/>
  <c r="BE24" i="21"/>
  <c r="BF24" i="21" s="1"/>
  <c r="BE23" i="21"/>
  <c r="BF23" i="21" s="1"/>
  <c r="BE22" i="21"/>
  <c r="BF22" i="21" s="1"/>
  <c r="BE21" i="21"/>
  <c r="BF21" i="21" s="1"/>
  <c r="BE20" i="21"/>
  <c r="BF20" i="21" s="1"/>
  <c r="BE19" i="21"/>
  <c r="BF19" i="21" s="1"/>
  <c r="BE18" i="21"/>
  <c r="BF18" i="21" s="1"/>
  <c r="BE17" i="21"/>
  <c r="BF17" i="21" s="1"/>
  <c r="BE16" i="21"/>
  <c r="BF16" i="21" s="1"/>
  <c r="BE15" i="21"/>
  <c r="BF15" i="21" s="1"/>
  <c r="BE14" i="21"/>
  <c r="BF14" i="21" s="1"/>
  <c r="BE13" i="21"/>
  <c r="BF13" i="21" s="1"/>
  <c r="BE12" i="21"/>
  <c r="BF12" i="21" s="1"/>
  <c r="BE11" i="21"/>
  <c r="BF11" i="21" s="1"/>
  <c r="BE10" i="21"/>
  <c r="BF10" i="21" s="1"/>
  <c r="BE9" i="21"/>
  <c r="BF9" i="21" s="1"/>
  <c r="BE8" i="21"/>
  <c r="BF8" i="21" s="1"/>
  <c r="BE7" i="21"/>
  <c r="BF7" i="21" s="1"/>
  <c r="BE6" i="21"/>
  <c r="BF6" i="21" s="1"/>
  <c r="BE5" i="21"/>
  <c r="BF5" i="21" s="1"/>
  <c r="BE4" i="21"/>
  <c r="BF4" i="21" s="1"/>
  <c r="BE3" i="21"/>
  <c r="BF3" i="21" s="1"/>
  <c r="AY40" i="21"/>
  <c r="AZ40" i="21" s="1"/>
  <c r="AY39" i="21"/>
  <c r="AZ39" i="21" s="1"/>
  <c r="AY38" i="21"/>
  <c r="AZ38" i="21" s="1"/>
  <c r="AY37" i="21"/>
  <c r="AZ37" i="21" s="1"/>
  <c r="AY36" i="21"/>
  <c r="AZ36" i="21" s="1"/>
  <c r="AY35" i="21"/>
  <c r="AZ35" i="21" s="1"/>
  <c r="AY34" i="21"/>
  <c r="AZ34" i="21" s="1"/>
  <c r="AY33" i="21"/>
  <c r="AZ33" i="21" s="1"/>
  <c r="AY32" i="21"/>
  <c r="AZ32" i="21" s="1"/>
  <c r="AY31" i="21"/>
  <c r="AZ31" i="21" s="1"/>
  <c r="AY30" i="21"/>
  <c r="AZ30" i="21" s="1"/>
  <c r="AY29" i="21"/>
  <c r="AZ29" i="21" s="1"/>
  <c r="AY28" i="21"/>
  <c r="AZ28" i="21" s="1"/>
  <c r="AY27" i="21"/>
  <c r="AZ27" i="21" s="1"/>
  <c r="AY26" i="21"/>
  <c r="AZ26" i="21" s="1"/>
  <c r="AY25" i="21"/>
  <c r="AZ25" i="21" s="1"/>
  <c r="AY24" i="21"/>
  <c r="AZ24" i="21" s="1"/>
  <c r="AY23" i="21"/>
  <c r="AZ23" i="21" s="1"/>
  <c r="AY22" i="21"/>
  <c r="AZ22" i="21" s="1"/>
  <c r="AY21" i="21"/>
  <c r="AZ21" i="21" s="1"/>
  <c r="AY20" i="21"/>
  <c r="AZ20" i="21" s="1"/>
  <c r="AY19" i="21"/>
  <c r="AZ19" i="21" s="1"/>
  <c r="AY18" i="21"/>
  <c r="AZ18" i="21" s="1"/>
  <c r="AY17" i="21"/>
  <c r="AZ17" i="21" s="1"/>
  <c r="AY16" i="21"/>
  <c r="AZ16" i="21" s="1"/>
  <c r="AY15" i="21"/>
  <c r="AZ15" i="21" s="1"/>
  <c r="AY14" i="21"/>
  <c r="AZ14" i="21" s="1"/>
  <c r="AY13" i="21"/>
  <c r="AZ13" i="21" s="1"/>
  <c r="AY12" i="21"/>
  <c r="AZ12" i="21" s="1"/>
  <c r="AY11" i="21"/>
  <c r="AZ11" i="21" s="1"/>
  <c r="AY10" i="21"/>
  <c r="AZ10" i="21" s="1"/>
  <c r="AY9" i="21"/>
  <c r="AZ9" i="21" s="1"/>
  <c r="AY8" i="21"/>
  <c r="AZ8" i="21" s="1"/>
  <c r="AY7" i="21"/>
  <c r="AZ7" i="21" s="1"/>
  <c r="AY6" i="21"/>
  <c r="AZ6" i="21" s="1"/>
  <c r="AY5" i="21"/>
  <c r="AZ5" i="21" s="1"/>
  <c r="AY4" i="21"/>
  <c r="AZ4" i="21" s="1"/>
  <c r="AY3" i="21"/>
  <c r="AZ3" i="21" s="1"/>
  <c r="AS40" i="21"/>
  <c r="AT40" i="21" s="1"/>
  <c r="AS39" i="21"/>
  <c r="AT39" i="21" s="1"/>
  <c r="AS38" i="21"/>
  <c r="AT38" i="21" s="1"/>
  <c r="AS37" i="21"/>
  <c r="AT37" i="21" s="1"/>
  <c r="AS36" i="21"/>
  <c r="AT36" i="21" s="1"/>
  <c r="AS35" i="21"/>
  <c r="AT35" i="21" s="1"/>
  <c r="AS34" i="21"/>
  <c r="AT34" i="21" s="1"/>
  <c r="AS33" i="21"/>
  <c r="AT33" i="21" s="1"/>
  <c r="AS32" i="21"/>
  <c r="AT32" i="21" s="1"/>
  <c r="AS31" i="21"/>
  <c r="AT31" i="21" s="1"/>
  <c r="AS30" i="21"/>
  <c r="AT30" i="21" s="1"/>
  <c r="AS29" i="21"/>
  <c r="AT29" i="21" s="1"/>
  <c r="AS28" i="21"/>
  <c r="AT28" i="21" s="1"/>
  <c r="AS27" i="21"/>
  <c r="AT27" i="21" s="1"/>
  <c r="AS26" i="21"/>
  <c r="AT26" i="21" s="1"/>
  <c r="AS25" i="21"/>
  <c r="AT25" i="21" s="1"/>
  <c r="AS24" i="21"/>
  <c r="AT24" i="21" s="1"/>
  <c r="AS23" i="21"/>
  <c r="AT23" i="21" s="1"/>
  <c r="AS22" i="21"/>
  <c r="AT22" i="21" s="1"/>
  <c r="AS21" i="21"/>
  <c r="AT21" i="21" s="1"/>
  <c r="AS20" i="21"/>
  <c r="AT20" i="21" s="1"/>
  <c r="AS19" i="21"/>
  <c r="AT19" i="21" s="1"/>
  <c r="AS18" i="21"/>
  <c r="AT18" i="21" s="1"/>
  <c r="AS17" i="21"/>
  <c r="AT17" i="21" s="1"/>
  <c r="AS16" i="21"/>
  <c r="AT16" i="21" s="1"/>
  <c r="AS15" i="21"/>
  <c r="AT15" i="21" s="1"/>
  <c r="AS14" i="21"/>
  <c r="AT14" i="21" s="1"/>
  <c r="AS13" i="21"/>
  <c r="AT13" i="21" s="1"/>
  <c r="AS12" i="21"/>
  <c r="AT12" i="21" s="1"/>
  <c r="AS11" i="21"/>
  <c r="AT11" i="21" s="1"/>
  <c r="AS10" i="21"/>
  <c r="AT10" i="21" s="1"/>
  <c r="AS9" i="21"/>
  <c r="AT9" i="21" s="1"/>
  <c r="AS8" i="21"/>
  <c r="AT8" i="21" s="1"/>
  <c r="AS7" i="21"/>
  <c r="AT7" i="21" s="1"/>
  <c r="AS6" i="21"/>
  <c r="AT6" i="21" s="1"/>
  <c r="AS5" i="21"/>
  <c r="AT5" i="21" s="1"/>
  <c r="AS4" i="21"/>
  <c r="AT4" i="21" s="1"/>
  <c r="AS3" i="21"/>
  <c r="AT3" i="21" s="1"/>
  <c r="MN41" i="6" l="1"/>
  <c r="MO41" i="6" s="1"/>
  <c r="MN40" i="6"/>
  <c r="MO40" i="6" s="1"/>
  <c r="MN39" i="6"/>
  <c r="MO39" i="6" s="1"/>
  <c r="MN38" i="6"/>
  <c r="MO38" i="6" s="1"/>
  <c r="MN37" i="6"/>
  <c r="MO37" i="6" s="1"/>
  <c r="MN36" i="6"/>
  <c r="MO36" i="6" s="1"/>
  <c r="MN35" i="6"/>
  <c r="MO35" i="6" s="1"/>
  <c r="MN34" i="6"/>
  <c r="MO34" i="6" s="1"/>
  <c r="MN33" i="6"/>
  <c r="MO33" i="6" s="1"/>
  <c r="MN32" i="6"/>
  <c r="MO32" i="6" s="1"/>
  <c r="MN31" i="6"/>
  <c r="MO31" i="6" s="1"/>
  <c r="MN30" i="6"/>
  <c r="MO30" i="6" s="1"/>
  <c r="MN29" i="6"/>
  <c r="MO29" i="6" s="1"/>
  <c r="MN28" i="6"/>
  <c r="MO28" i="6" s="1"/>
  <c r="MN27" i="6"/>
  <c r="MO27" i="6" s="1"/>
  <c r="MN26" i="6"/>
  <c r="MO26" i="6" s="1"/>
  <c r="MN25" i="6"/>
  <c r="MO25" i="6" s="1"/>
  <c r="MN24" i="6"/>
  <c r="MO24" i="6" s="1"/>
  <c r="MN23" i="6"/>
  <c r="MO23" i="6" s="1"/>
  <c r="MN22" i="6"/>
  <c r="MO22" i="6" s="1"/>
  <c r="MN21" i="6"/>
  <c r="MO21" i="6" s="1"/>
  <c r="MN20" i="6"/>
  <c r="MO20" i="6" s="1"/>
  <c r="MN19" i="6"/>
  <c r="MO19" i="6" s="1"/>
  <c r="MN18" i="6"/>
  <c r="MO18" i="6" s="1"/>
  <c r="MN17" i="6"/>
  <c r="MO17" i="6" s="1"/>
  <c r="MN16" i="6"/>
  <c r="MO16" i="6" s="1"/>
  <c r="MN15" i="6"/>
  <c r="MO15" i="6" s="1"/>
  <c r="MN14" i="6"/>
  <c r="MO14" i="6" s="1"/>
  <c r="MN13" i="6"/>
  <c r="MO13" i="6" s="1"/>
  <c r="MN12" i="6"/>
  <c r="MO12" i="6" s="1"/>
  <c r="MN11" i="6"/>
  <c r="MO11" i="6" s="1"/>
  <c r="MN10" i="6"/>
  <c r="MO10" i="6" s="1"/>
  <c r="MN9" i="6"/>
  <c r="MO9" i="6" s="1"/>
  <c r="MN8" i="6"/>
  <c r="MO8" i="6" s="1"/>
  <c r="MN7" i="6"/>
  <c r="MO7" i="6" s="1"/>
  <c r="MN6" i="6"/>
  <c r="MO6" i="6" s="1"/>
  <c r="MN5" i="6"/>
  <c r="MO5" i="6" s="1"/>
  <c r="MN4" i="6"/>
  <c r="MO4" i="6" s="1"/>
  <c r="MZ41" i="6"/>
  <c r="MZ40" i="6"/>
  <c r="MZ39" i="6"/>
  <c r="MZ38" i="6"/>
  <c r="MZ37" i="6"/>
  <c r="MZ36" i="6"/>
  <c r="MZ35" i="6"/>
  <c r="MZ34" i="6"/>
  <c r="MZ33" i="6"/>
  <c r="MZ32" i="6"/>
  <c r="MZ31" i="6"/>
  <c r="MZ30" i="6"/>
  <c r="MZ29" i="6"/>
  <c r="MZ28" i="6"/>
  <c r="MZ27" i="6"/>
  <c r="MZ26" i="6"/>
  <c r="MZ25" i="6"/>
  <c r="MZ24" i="6"/>
  <c r="MZ23" i="6"/>
  <c r="MZ22" i="6"/>
  <c r="MZ21" i="6"/>
  <c r="MZ20" i="6"/>
  <c r="MZ19" i="6"/>
  <c r="MZ18" i="6"/>
  <c r="MZ17" i="6"/>
  <c r="MZ16" i="6"/>
  <c r="MZ15" i="6"/>
  <c r="MZ14" i="6"/>
  <c r="MZ13" i="6"/>
  <c r="MZ12" i="6"/>
  <c r="MZ11" i="6"/>
  <c r="MZ10" i="6"/>
  <c r="MZ9" i="6"/>
  <c r="MZ8" i="6"/>
  <c r="MZ7" i="6"/>
  <c r="MZ6" i="6"/>
  <c r="MZ5" i="6"/>
  <c r="MZ4" i="6"/>
  <c r="MT41" i="6"/>
  <c r="MT40" i="6"/>
  <c r="MT39" i="6"/>
  <c r="MT38" i="6"/>
  <c r="MT37" i="6"/>
  <c r="MT36" i="6"/>
  <c r="MT35" i="6"/>
  <c r="MT34" i="6"/>
  <c r="MT33" i="6"/>
  <c r="MT32" i="6"/>
  <c r="MT31" i="6"/>
  <c r="MT30" i="6"/>
  <c r="MT29" i="6"/>
  <c r="MT28" i="6"/>
  <c r="MT27" i="6"/>
  <c r="MT26" i="6"/>
  <c r="MT25" i="6"/>
  <c r="MT24" i="6"/>
  <c r="MT23" i="6"/>
  <c r="MT22" i="6"/>
  <c r="MT21" i="6"/>
  <c r="MT20" i="6"/>
  <c r="MT19" i="6"/>
  <c r="MT18" i="6"/>
  <c r="MT17" i="6"/>
  <c r="MT16" i="6"/>
  <c r="MT15" i="6"/>
  <c r="MT14" i="6"/>
  <c r="MT13" i="6"/>
  <c r="MT12" i="6"/>
  <c r="MT11" i="6"/>
  <c r="MT10" i="6"/>
  <c r="MT9" i="6"/>
  <c r="MT8" i="6"/>
  <c r="MT7" i="6"/>
  <c r="MT6" i="6"/>
  <c r="MT5" i="6"/>
  <c r="MT4" i="6"/>
  <c r="LL41" i="6"/>
  <c r="LM41" i="6" s="1"/>
  <c r="LL40" i="6"/>
  <c r="LM40" i="6" s="1"/>
  <c r="LL39" i="6"/>
  <c r="LM39" i="6" s="1"/>
  <c r="LL38" i="6"/>
  <c r="LM38" i="6" s="1"/>
  <c r="LL37" i="6"/>
  <c r="LM37" i="6" s="1"/>
  <c r="LL36" i="6"/>
  <c r="LM36" i="6" s="1"/>
  <c r="LL35" i="6"/>
  <c r="LM35" i="6" s="1"/>
  <c r="LL34" i="6"/>
  <c r="LM34" i="6" s="1"/>
  <c r="LL33" i="6"/>
  <c r="LM33" i="6" s="1"/>
  <c r="LL32" i="6"/>
  <c r="LM32" i="6" s="1"/>
  <c r="LL31" i="6"/>
  <c r="LM31" i="6" s="1"/>
  <c r="LL30" i="6"/>
  <c r="LM30" i="6" s="1"/>
  <c r="LL29" i="6"/>
  <c r="LM29" i="6" s="1"/>
  <c r="LL28" i="6"/>
  <c r="LM28" i="6" s="1"/>
  <c r="LL27" i="6"/>
  <c r="LM27" i="6" s="1"/>
  <c r="LL26" i="6"/>
  <c r="LM26" i="6" s="1"/>
  <c r="LL25" i="6"/>
  <c r="LM25" i="6" s="1"/>
  <c r="LL24" i="6"/>
  <c r="LM24" i="6" s="1"/>
  <c r="LL23" i="6"/>
  <c r="LM23" i="6" s="1"/>
  <c r="LL22" i="6"/>
  <c r="LM22" i="6" s="1"/>
  <c r="LL21" i="6"/>
  <c r="LM21" i="6" s="1"/>
  <c r="LL20" i="6"/>
  <c r="LM20" i="6" s="1"/>
  <c r="LL19" i="6"/>
  <c r="LM19" i="6" s="1"/>
  <c r="LL18" i="6"/>
  <c r="LM18" i="6" s="1"/>
  <c r="LL17" i="6"/>
  <c r="LM17" i="6" s="1"/>
  <c r="LL16" i="6"/>
  <c r="LM16" i="6" s="1"/>
  <c r="LL15" i="6"/>
  <c r="LM15" i="6" s="1"/>
  <c r="LL14" i="6"/>
  <c r="LM14" i="6" s="1"/>
  <c r="LL13" i="6"/>
  <c r="LM13" i="6" s="1"/>
  <c r="LL12" i="6"/>
  <c r="LM12" i="6" s="1"/>
  <c r="LL11" i="6"/>
  <c r="LM11" i="6" s="1"/>
  <c r="LL10" i="6"/>
  <c r="LM10" i="6" s="1"/>
  <c r="LL9" i="6"/>
  <c r="LM9" i="6" s="1"/>
  <c r="LL8" i="6"/>
  <c r="LM8" i="6" s="1"/>
  <c r="LL7" i="6"/>
  <c r="LM7" i="6" s="1"/>
  <c r="LL6" i="6"/>
  <c r="LM6" i="6" s="1"/>
  <c r="LL5" i="6"/>
  <c r="LM5" i="6" s="1"/>
  <c r="LL4" i="6"/>
  <c r="LM4" i="6" s="1"/>
  <c r="LX41" i="6"/>
  <c r="LY41" i="6" s="1"/>
  <c r="LX40" i="6"/>
  <c r="LY40" i="6" s="1"/>
  <c r="LX39" i="6"/>
  <c r="LY39" i="6" s="1"/>
  <c r="LX38" i="6"/>
  <c r="LY38" i="6" s="1"/>
  <c r="LX37" i="6"/>
  <c r="LY37" i="6" s="1"/>
  <c r="LX36" i="6"/>
  <c r="LY36" i="6" s="1"/>
  <c r="LX35" i="6"/>
  <c r="LY35" i="6" s="1"/>
  <c r="LX34" i="6"/>
  <c r="LY34" i="6" s="1"/>
  <c r="LX33" i="6"/>
  <c r="LY33" i="6" s="1"/>
  <c r="LX32" i="6"/>
  <c r="LY32" i="6" s="1"/>
  <c r="LX31" i="6"/>
  <c r="LY31" i="6" s="1"/>
  <c r="LX30" i="6"/>
  <c r="LY30" i="6" s="1"/>
  <c r="LX29" i="6"/>
  <c r="LY29" i="6" s="1"/>
  <c r="LX28" i="6"/>
  <c r="LY28" i="6" s="1"/>
  <c r="LX27" i="6"/>
  <c r="LY27" i="6" s="1"/>
  <c r="LX26" i="6"/>
  <c r="LY26" i="6" s="1"/>
  <c r="LX25" i="6"/>
  <c r="LY25" i="6" s="1"/>
  <c r="LX24" i="6"/>
  <c r="LY24" i="6" s="1"/>
  <c r="LX23" i="6"/>
  <c r="LY23" i="6" s="1"/>
  <c r="LX22" i="6"/>
  <c r="LY22" i="6" s="1"/>
  <c r="LX21" i="6"/>
  <c r="LY21" i="6" s="1"/>
  <c r="LX20" i="6"/>
  <c r="LY20" i="6" s="1"/>
  <c r="LX19" i="6"/>
  <c r="LY19" i="6" s="1"/>
  <c r="LX18" i="6"/>
  <c r="LY18" i="6" s="1"/>
  <c r="LX17" i="6"/>
  <c r="LY17" i="6" s="1"/>
  <c r="LX16" i="6"/>
  <c r="LY16" i="6" s="1"/>
  <c r="LX15" i="6"/>
  <c r="LY15" i="6" s="1"/>
  <c r="LX14" i="6"/>
  <c r="LY14" i="6" s="1"/>
  <c r="LX13" i="6"/>
  <c r="LY13" i="6" s="1"/>
  <c r="LX12" i="6"/>
  <c r="LY12" i="6" s="1"/>
  <c r="LX11" i="6"/>
  <c r="LY11" i="6" s="1"/>
  <c r="LX10" i="6"/>
  <c r="LY10" i="6" s="1"/>
  <c r="LX9" i="6"/>
  <c r="LY9" i="6" s="1"/>
  <c r="LX8" i="6"/>
  <c r="LY8" i="6" s="1"/>
  <c r="LX7" i="6"/>
  <c r="LY7" i="6" s="1"/>
  <c r="LX6" i="6"/>
  <c r="LY6" i="6" s="1"/>
  <c r="LX5" i="6"/>
  <c r="LY5" i="6" s="1"/>
  <c r="LX4" i="6"/>
  <c r="LY4" i="6" s="1"/>
  <c r="LR41" i="6"/>
  <c r="LR40" i="6"/>
  <c r="LR39" i="6"/>
  <c r="LR38" i="6"/>
  <c r="LR37" i="6"/>
  <c r="LR36" i="6"/>
  <c r="LR35" i="6"/>
  <c r="LR34" i="6"/>
  <c r="LR33" i="6"/>
  <c r="LR32" i="6"/>
  <c r="LR31" i="6"/>
  <c r="LR30" i="6"/>
  <c r="LR29" i="6"/>
  <c r="LR28" i="6"/>
  <c r="LR27" i="6"/>
  <c r="LR26" i="6"/>
  <c r="LR25" i="6"/>
  <c r="LR24" i="6"/>
  <c r="LR23" i="6"/>
  <c r="LR22" i="6"/>
  <c r="LR21" i="6"/>
  <c r="LR20" i="6"/>
  <c r="LR19" i="6"/>
  <c r="LR18" i="6"/>
  <c r="LR17" i="6"/>
  <c r="LR16" i="6"/>
  <c r="LR15" i="6"/>
  <c r="LR14" i="6"/>
  <c r="LR13" i="6"/>
  <c r="LR12" i="6"/>
  <c r="LR11" i="6"/>
  <c r="LR10" i="6"/>
  <c r="LR9" i="6"/>
  <c r="LR8" i="6"/>
  <c r="LR7" i="6"/>
  <c r="LR6" i="6"/>
  <c r="LR5" i="6"/>
  <c r="LR4" i="6"/>
  <c r="KJ41" i="6"/>
  <c r="KK41" i="6" s="1"/>
  <c r="KJ40" i="6"/>
  <c r="KK40" i="6" s="1"/>
  <c r="KJ39" i="6"/>
  <c r="KK39" i="6" s="1"/>
  <c r="KJ38" i="6"/>
  <c r="KK38" i="6" s="1"/>
  <c r="KJ37" i="6"/>
  <c r="KK37" i="6" s="1"/>
  <c r="KJ36" i="6"/>
  <c r="KK36" i="6" s="1"/>
  <c r="KJ35" i="6"/>
  <c r="KK35" i="6" s="1"/>
  <c r="KJ34" i="6"/>
  <c r="KK34" i="6" s="1"/>
  <c r="KJ33" i="6"/>
  <c r="KK33" i="6" s="1"/>
  <c r="KJ32" i="6"/>
  <c r="KK32" i="6" s="1"/>
  <c r="KJ31" i="6"/>
  <c r="KK31" i="6" s="1"/>
  <c r="KJ30" i="6"/>
  <c r="KK30" i="6" s="1"/>
  <c r="KJ29" i="6"/>
  <c r="KK29" i="6" s="1"/>
  <c r="KJ28" i="6"/>
  <c r="KK28" i="6" s="1"/>
  <c r="KJ27" i="6"/>
  <c r="KK27" i="6" s="1"/>
  <c r="KJ26" i="6"/>
  <c r="KK26" i="6" s="1"/>
  <c r="KJ25" i="6"/>
  <c r="KK25" i="6" s="1"/>
  <c r="KJ24" i="6"/>
  <c r="KK24" i="6" s="1"/>
  <c r="KJ23" i="6"/>
  <c r="KK23" i="6" s="1"/>
  <c r="KJ22" i="6"/>
  <c r="KK22" i="6" s="1"/>
  <c r="KJ21" i="6"/>
  <c r="KK21" i="6" s="1"/>
  <c r="KJ20" i="6"/>
  <c r="KK20" i="6" s="1"/>
  <c r="KJ19" i="6"/>
  <c r="KK19" i="6" s="1"/>
  <c r="KJ18" i="6"/>
  <c r="KK18" i="6" s="1"/>
  <c r="KJ17" i="6"/>
  <c r="KK17" i="6" s="1"/>
  <c r="KJ16" i="6"/>
  <c r="KK16" i="6" s="1"/>
  <c r="KJ15" i="6"/>
  <c r="KK15" i="6" s="1"/>
  <c r="KJ14" i="6"/>
  <c r="KK14" i="6" s="1"/>
  <c r="KJ13" i="6"/>
  <c r="KK13" i="6" s="1"/>
  <c r="KJ12" i="6"/>
  <c r="KK12" i="6" s="1"/>
  <c r="KJ11" i="6"/>
  <c r="KK11" i="6" s="1"/>
  <c r="KJ10" i="6"/>
  <c r="KK10" i="6" s="1"/>
  <c r="KJ9" i="6"/>
  <c r="KK9" i="6" s="1"/>
  <c r="KJ8" i="6"/>
  <c r="KK8" i="6" s="1"/>
  <c r="KJ7" i="6"/>
  <c r="KK7" i="6" s="1"/>
  <c r="KJ6" i="6"/>
  <c r="KK6" i="6" s="1"/>
  <c r="KJ5" i="6"/>
  <c r="KK5" i="6" s="1"/>
  <c r="KJ4" i="6"/>
  <c r="KK4" i="6" s="1"/>
  <c r="KV41" i="6"/>
  <c r="KV40" i="6"/>
  <c r="KV39" i="6"/>
  <c r="KV38" i="6"/>
  <c r="KV37" i="6"/>
  <c r="KV36" i="6"/>
  <c r="KV35" i="6"/>
  <c r="KV34" i="6"/>
  <c r="KV33" i="6"/>
  <c r="KV32" i="6"/>
  <c r="KV31" i="6"/>
  <c r="KV30" i="6"/>
  <c r="KV29" i="6"/>
  <c r="KV28" i="6"/>
  <c r="KV27" i="6"/>
  <c r="KV26" i="6"/>
  <c r="KV25" i="6"/>
  <c r="KV24" i="6"/>
  <c r="KV23" i="6"/>
  <c r="KV22" i="6"/>
  <c r="KV21" i="6"/>
  <c r="KV20" i="6"/>
  <c r="KV19" i="6"/>
  <c r="KV18" i="6"/>
  <c r="KV17" i="6"/>
  <c r="KV16" i="6"/>
  <c r="KV15" i="6"/>
  <c r="KV14" i="6"/>
  <c r="KV13" i="6"/>
  <c r="KV12" i="6"/>
  <c r="KV11" i="6"/>
  <c r="KV10" i="6"/>
  <c r="KV9" i="6"/>
  <c r="KV8" i="6"/>
  <c r="KV7" i="6"/>
  <c r="KV6" i="6"/>
  <c r="KV5" i="6"/>
  <c r="KV4" i="6"/>
  <c r="KP41" i="6"/>
  <c r="KQ41" i="6" s="1"/>
  <c r="KP40" i="6"/>
  <c r="KQ40" i="6" s="1"/>
  <c r="KP39" i="6"/>
  <c r="KQ39" i="6" s="1"/>
  <c r="KP38" i="6"/>
  <c r="KQ38" i="6" s="1"/>
  <c r="KP37" i="6"/>
  <c r="KQ37" i="6" s="1"/>
  <c r="KP36" i="6"/>
  <c r="KQ36" i="6" s="1"/>
  <c r="KP35" i="6"/>
  <c r="KQ35" i="6" s="1"/>
  <c r="KP34" i="6"/>
  <c r="KQ34" i="6" s="1"/>
  <c r="KP33" i="6"/>
  <c r="KQ33" i="6" s="1"/>
  <c r="KP32" i="6"/>
  <c r="KQ32" i="6" s="1"/>
  <c r="KP31" i="6"/>
  <c r="KQ31" i="6" s="1"/>
  <c r="KP30" i="6"/>
  <c r="KQ30" i="6" s="1"/>
  <c r="KP29" i="6"/>
  <c r="KQ29" i="6" s="1"/>
  <c r="KP28" i="6"/>
  <c r="KQ28" i="6" s="1"/>
  <c r="KP27" i="6"/>
  <c r="KQ27" i="6" s="1"/>
  <c r="KP26" i="6"/>
  <c r="KQ26" i="6" s="1"/>
  <c r="KP25" i="6"/>
  <c r="KQ25" i="6" s="1"/>
  <c r="KP24" i="6"/>
  <c r="KQ24" i="6" s="1"/>
  <c r="KP23" i="6"/>
  <c r="KQ23" i="6" s="1"/>
  <c r="KP22" i="6"/>
  <c r="KQ22" i="6" s="1"/>
  <c r="KP21" i="6"/>
  <c r="KQ21" i="6" s="1"/>
  <c r="KP20" i="6"/>
  <c r="KQ20" i="6" s="1"/>
  <c r="KP19" i="6"/>
  <c r="KQ19" i="6" s="1"/>
  <c r="KP18" i="6"/>
  <c r="KQ18" i="6" s="1"/>
  <c r="KP17" i="6"/>
  <c r="KQ17" i="6" s="1"/>
  <c r="KP16" i="6"/>
  <c r="KQ16" i="6" s="1"/>
  <c r="KP15" i="6"/>
  <c r="KQ15" i="6" s="1"/>
  <c r="KP14" i="6"/>
  <c r="KQ14" i="6" s="1"/>
  <c r="KP13" i="6"/>
  <c r="KQ13" i="6" s="1"/>
  <c r="KP12" i="6"/>
  <c r="KQ12" i="6" s="1"/>
  <c r="KP11" i="6"/>
  <c r="KQ11" i="6" s="1"/>
  <c r="KP10" i="6"/>
  <c r="KQ10" i="6" s="1"/>
  <c r="KP9" i="6"/>
  <c r="KQ9" i="6" s="1"/>
  <c r="KP8" i="6"/>
  <c r="KQ8" i="6" s="1"/>
  <c r="KP7" i="6"/>
  <c r="KQ7" i="6" s="1"/>
  <c r="KP6" i="6"/>
  <c r="KQ6" i="6" s="1"/>
  <c r="KP5" i="6"/>
  <c r="KQ5" i="6" s="1"/>
  <c r="KP4" i="6"/>
  <c r="JH41" i="6"/>
  <c r="JI41" i="6" s="1"/>
  <c r="JH40" i="6"/>
  <c r="JI40" i="6" s="1"/>
  <c r="JH39" i="6"/>
  <c r="JI39" i="6" s="1"/>
  <c r="JH38" i="6"/>
  <c r="JI38" i="6" s="1"/>
  <c r="JH37" i="6"/>
  <c r="JI37" i="6" s="1"/>
  <c r="JH36" i="6"/>
  <c r="JI36" i="6" s="1"/>
  <c r="JH35" i="6"/>
  <c r="JI35" i="6" s="1"/>
  <c r="JH34" i="6"/>
  <c r="JI34" i="6" s="1"/>
  <c r="JH33" i="6"/>
  <c r="JI33" i="6" s="1"/>
  <c r="JH32" i="6"/>
  <c r="JI32" i="6" s="1"/>
  <c r="JH31" i="6"/>
  <c r="JI31" i="6" s="1"/>
  <c r="JH30" i="6"/>
  <c r="JI30" i="6" s="1"/>
  <c r="JH29" i="6"/>
  <c r="JI29" i="6" s="1"/>
  <c r="JH28" i="6"/>
  <c r="JI28" i="6" s="1"/>
  <c r="JH27" i="6"/>
  <c r="JI27" i="6" s="1"/>
  <c r="JH26" i="6"/>
  <c r="JI26" i="6" s="1"/>
  <c r="JH25" i="6"/>
  <c r="JI25" i="6" s="1"/>
  <c r="JH24" i="6"/>
  <c r="JI24" i="6" s="1"/>
  <c r="JH23" i="6"/>
  <c r="JI23" i="6" s="1"/>
  <c r="JH22" i="6"/>
  <c r="JI22" i="6" s="1"/>
  <c r="JH21" i="6"/>
  <c r="JI21" i="6" s="1"/>
  <c r="JH20" i="6"/>
  <c r="JI20" i="6" s="1"/>
  <c r="JH19" i="6"/>
  <c r="JI19" i="6" s="1"/>
  <c r="JH18" i="6"/>
  <c r="JI18" i="6" s="1"/>
  <c r="JH17" i="6"/>
  <c r="JI17" i="6" s="1"/>
  <c r="JH16" i="6"/>
  <c r="JI16" i="6" s="1"/>
  <c r="JH15" i="6"/>
  <c r="JI15" i="6" s="1"/>
  <c r="JH14" i="6"/>
  <c r="JI14" i="6" s="1"/>
  <c r="JH13" i="6"/>
  <c r="JI13" i="6" s="1"/>
  <c r="JH12" i="6"/>
  <c r="JI12" i="6" s="1"/>
  <c r="JH11" i="6"/>
  <c r="JI11" i="6" s="1"/>
  <c r="JH10" i="6"/>
  <c r="JI10" i="6" s="1"/>
  <c r="JH9" i="6"/>
  <c r="JI9" i="6" s="1"/>
  <c r="JH8" i="6"/>
  <c r="JI8" i="6" s="1"/>
  <c r="JH7" i="6"/>
  <c r="JI7" i="6" s="1"/>
  <c r="JH6" i="6"/>
  <c r="JI6" i="6" s="1"/>
  <c r="JH5" i="6"/>
  <c r="JI5" i="6" s="1"/>
  <c r="JH4" i="6"/>
  <c r="JI4" i="6" s="1"/>
  <c r="JT41" i="6"/>
  <c r="JU41" i="6" s="1"/>
  <c r="JT40" i="6"/>
  <c r="JU40" i="6" s="1"/>
  <c r="JT39" i="6"/>
  <c r="JU39" i="6" s="1"/>
  <c r="JT38" i="6"/>
  <c r="JU38" i="6" s="1"/>
  <c r="JT37" i="6"/>
  <c r="JU37" i="6" s="1"/>
  <c r="JT36" i="6"/>
  <c r="JU36" i="6" s="1"/>
  <c r="JT35" i="6"/>
  <c r="JU35" i="6" s="1"/>
  <c r="JT34" i="6"/>
  <c r="JU34" i="6" s="1"/>
  <c r="JT33" i="6"/>
  <c r="JU33" i="6" s="1"/>
  <c r="JT32" i="6"/>
  <c r="JU32" i="6" s="1"/>
  <c r="JT31" i="6"/>
  <c r="JU31" i="6" s="1"/>
  <c r="JT30" i="6"/>
  <c r="JU30" i="6" s="1"/>
  <c r="JT29" i="6"/>
  <c r="JU29" i="6" s="1"/>
  <c r="JT28" i="6"/>
  <c r="JU28" i="6" s="1"/>
  <c r="JT27" i="6"/>
  <c r="JU27" i="6" s="1"/>
  <c r="JT26" i="6"/>
  <c r="JU26" i="6" s="1"/>
  <c r="JT25" i="6"/>
  <c r="JU25" i="6" s="1"/>
  <c r="JT24" i="6"/>
  <c r="JU24" i="6" s="1"/>
  <c r="JT23" i="6"/>
  <c r="JU23" i="6" s="1"/>
  <c r="JT22" i="6"/>
  <c r="JU22" i="6" s="1"/>
  <c r="JT21" i="6"/>
  <c r="JU21" i="6" s="1"/>
  <c r="JT20" i="6"/>
  <c r="JU20" i="6" s="1"/>
  <c r="JT19" i="6"/>
  <c r="JU19" i="6" s="1"/>
  <c r="JT18" i="6"/>
  <c r="JU18" i="6" s="1"/>
  <c r="JT17" i="6"/>
  <c r="JU17" i="6" s="1"/>
  <c r="JT16" i="6"/>
  <c r="JU16" i="6" s="1"/>
  <c r="JT15" i="6"/>
  <c r="JU15" i="6" s="1"/>
  <c r="JT14" i="6"/>
  <c r="JU14" i="6" s="1"/>
  <c r="JT13" i="6"/>
  <c r="JU13" i="6" s="1"/>
  <c r="JT12" i="6"/>
  <c r="JU12" i="6" s="1"/>
  <c r="JT11" i="6"/>
  <c r="JU11" i="6" s="1"/>
  <c r="JT10" i="6"/>
  <c r="JU10" i="6" s="1"/>
  <c r="JT9" i="6"/>
  <c r="JU9" i="6" s="1"/>
  <c r="JT8" i="6"/>
  <c r="JU8" i="6" s="1"/>
  <c r="JT7" i="6"/>
  <c r="JU7" i="6" s="1"/>
  <c r="JT6" i="6"/>
  <c r="JU6" i="6" s="1"/>
  <c r="JT5" i="6"/>
  <c r="JU5" i="6" s="1"/>
  <c r="JT4" i="6"/>
  <c r="JU4" i="6" s="1"/>
  <c r="JN41" i="6"/>
  <c r="JN40" i="6"/>
  <c r="JN39" i="6"/>
  <c r="JN38" i="6"/>
  <c r="JN37" i="6"/>
  <c r="JN36" i="6"/>
  <c r="JN35" i="6"/>
  <c r="JN34" i="6"/>
  <c r="JN33" i="6"/>
  <c r="JN32" i="6"/>
  <c r="JN31" i="6"/>
  <c r="JN30" i="6"/>
  <c r="JN29" i="6"/>
  <c r="JN28" i="6"/>
  <c r="JN27" i="6"/>
  <c r="JN26" i="6"/>
  <c r="JN25" i="6"/>
  <c r="JN24" i="6"/>
  <c r="JN23" i="6"/>
  <c r="JN22" i="6"/>
  <c r="JN21" i="6"/>
  <c r="JN20" i="6"/>
  <c r="JN19" i="6"/>
  <c r="JN18" i="6"/>
  <c r="JN17" i="6"/>
  <c r="JN16" i="6"/>
  <c r="JN15" i="6"/>
  <c r="JN14" i="6"/>
  <c r="JN13" i="6"/>
  <c r="JN12" i="6"/>
  <c r="JN11" i="6"/>
  <c r="JN10" i="6"/>
  <c r="JN9" i="6"/>
  <c r="JN8" i="6"/>
  <c r="JN7" i="6"/>
  <c r="JN6" i="6"/>
  <c r="JN5" i="6"/>
  <c r="JN4" i="6"/>
  <c r="IF41" i="6"/>
  <c r="IG41" i="6" s="1"/>
  <c r="IF40" i="6"/>
  <c r="IG40" i="6" s="1"/>
  <c r="IF39" i="6"/>
  <c r="IG39" i="6" s="1"/>
  <c r="IF38" i="6"/>
  <c r="IG38" i="6" s="1"/>
  <c r="IF37" i="6"/>
  <c r="IG37" i="6" s="1"/>
  <c r="IF36" i="6"/>
  <c r="IG36" i="6" s="1"/>
  <c r="IF35" i="6"/>
  <c r="IG35" i="6" s="1"/>
  <c r="IF34" i="6"/>
  <c r="IG34" i="6" s="1"/>
  <c r="IF33" i="6"/>
  <c r="IG33" i="6" s="1"/>
  <c r="IF32" i="6"/>
  <c r="IG32" i="6" s="1"/>
  <c r="IF31" i="6"/>
  <c r="IG31" i="6" s="1"/>
  <c r="IF30" i="6"/>
  <c r="IG30" i="6" s="1"/>
  <c r="IF29" i="6"/>
  <c r="IG29" i="6" s="1"/>
  <c r="IF28" i="6"/>
  <c r="IG28" i="6" s="1"/>
  <c r="IF27" i="6"/>
  <c r="IG27" i="6" s="1"/>
  <c r="IF26" i="6"/>
  <c r="IG26" i="6" s="1"/>
  <c r="IF25" i="6"/>
  <c r="IG25" i="6" s="1"/>
  <c r="IF24" i="6"/>
  <c r="IG24" i="6" s="1"/>
  <c r="IF23" i="6"/>
  <c r="IG23" i="6" s="1"/>
  <c r="IF22" i="6"/>
  <c r="IG22" i="6" s="1"/>
  <c r="IF21" i="6"/>
  <c r="IG21" i="6" s="1"/>
  <c r="IF20" i="6"/>
  <c r="IG20" i="6" s="1"/>
  <c r="IF19" i="6"/>
  <c r="IG19" i="6" s="1"/>
  <c r="IF18" i="6"/>
  <c r="IG18" i="6" s="1"/>
  <c r="IF17" i="6"/>
  <c r="IG17" i="6" s="1"/>
  <c r="IF16" i="6"/>
  <c r="IG16" i="6" s="1"/>
  <c r="IF15" i="6"/>
  <c r="IG15" i="6" s="1"/>
  <c r="IF14" i="6"/>
  <c r="IG14" i="6" s="1"/>
  <c r="IF13" i="6"/>
  <c r="IG13" i="6" s="1"/>
  <c r="IF12" i="6"/>
  <c r="IG12" i="6" s="1"/>
  <c r="IF11" i="6"/>
  <c r="IG11" i="6" s="1"/>
  <c r="IF10" i="6"/>
  <c r="IG10" i="6" s="1"/>
  <c r="IF9" i="6"/>
  <c r="IG9" i="6" s="1"/>
  <c r="IF8" i="6"/>
  <c r="IG8" i="6" s="1"/>
  <c r="IF7" i="6"/>
  <c r="IG7" i="6" s="1"/>
  <c r="IF6" i="6"/>
  <c r="IG6" i="6" s="1"/>
  <c r="IF5" i="6"/>
  <c r="IG5" i="6" s="1"/>
  <c r="IF4" i="6"/>
  <c r="IG4" i="6" s="1"/>
  <c r="IR41" i="6"/>
  <c r="IS41" i="6" s="1"/>
  <c r="IR40" i="6"/>
  <c r="IS40" i="6" s="1"/>
  <c r="IR39" i="6"/>
  <c r="IS39" i="6" s="1"/>
  <c r="IR38" i="6"/>
  <c r="IS38" i="6" s="1"/>
  <c r="IR37" i="6"/>
  <c r="IS37" i="6" s="1"/>
  <c r="IR36" i="6"/>
  <c r="IS36" i="6" s="1"/>
  <c r="IR35" i="6"/>
  <c r="IS35" i="6" s="1"/>
  <c r="IR34" i="6"/>
  <c r="IS34" i="6" s="1"/>
  <c r="IR33" i="6"/>
  <c r="IS33" i="6" s="1"/>
  <c r="IR32" i="6"/>
  <c r="IS32" i="6" s="1"/>
  <c r="IR31" i="6"/>
  <c r="IS31" i="6" s="1"/>
  <c r="IR30" i="6"/>
  <c r="IS30" i="6" s="1"/>
  <c r="IR29" i="6"/>
  <c r="IS29" i="6" s="1"/>
  <c r="IR28" i="6"/>
  <c r="IS28" i="6" s="1"/>
  <c r="IR27" i="6"/>
  <c r="IS27" i="6" s="1"/>
  <c r="IR26" i="6"/>
  <c r="IS26" i="6" s="1"/>
  <c r="IR25" i="6"/>
  <c r="IS25" i="6" s="1"/>
  <c r="IR24" i="6"/>
  <c r="IS24" i="6" s="1"/>
  <c r="IR23" i="6"/>
  <c r="IS23" i="6" s="1"/>
  <c r="IR22" i="6"/>
  <c r="IS22" i="6" s="1"/>
  <c r="IR21" i="6"/>
  <c r="IS21" i="6" s="1"/>
  <c r="IR20" i="6"/>
  <c r="IS20" i="6" s="1"/>
  <c r="IR19" i="6"/>
  <c r="IS19" i="6" s="1"/>
  <c r="IR18" i="6"/>
  <c r="IS18" i="6" s="1"/>
  <c r="IR17" i="6"/>
  <c r="IS17" i="6" s="1"/>
  <c r="IR16" i="6"/>
  <c r="IS16" i="6" s="1"/>
  <c r="IR15" i="6"/>
  <c r="IS15" i="6" s="1"/>
  <c r="IR14" i="6"/>
  <c r="IS14" i="6" s="1"/>
  <c r="IR13" i="6"/>
  <c r="IS13" i="6" s="1"/>
  <c r="IR12" i="6"/>
  <c r="IS12" i="6" s="1"/>
  <c r="IR11" i="6"/>
  <c r="IS11" i="6" s="1"/>
  <c r="IR10" i="6"/>
  <c r="IS10" i="6" s="1"/>
  <c r="IR9" i="6"/>
  <c r="IS9" i="6" s="1"/>
  <c r="IR8" i="6"/>
  <c r="IS8" i="6" s="1"/>
  <c r="IR7" i="6"/>
  <c r="IS7" i="6" s="1"/>
  <c r="IR6" i="6"/>
  <c r="IS6" i="6" s="1"/>
  <c r="IR5" i="6"/>
  <c r="IS5" i="6" s="1"/>
  <c r="IR4" i="6"/>
  <c r="IS4" i="6" s="1"/>
  <c r="IL41" i="6"/>
  <c r="IL40" i="6"/>
  <c r="IL39" i="6"/>
  <c r="IL38" i="6"/>
  <c r="IL37" i="6"/>
  <c r="IL36" i="6"/>
  <c r="IL35" i="6"/>
  <c r="IL34" i="6"/>
  <c r="IL33" i="6"/>
  <c r="IL32" i="6"/>
  <c r="IL31" i="6"/>
  <c r="IL30" i="6"/>
  <c r="IL29" i="6"/>
  <c r="IL28" i="6"/>
  <c r="IL27" i="6"/>
  <c r="IL26" i="6"/>
  <c r="IL25" i="6"/>
  <c r="IL24" i="6"/>
  <c r="IL23" i="6"/>
  <c r="IL22" i="6"/>
  <c r="IL21" i="6"/>
  <c r="IL20" i="6"/>
  <c r="IL19" i="6"/>
  <c r="IL18" i="6"/>
  <c r="IL17" i="6"/>
  <c r="IL16" i="6"/>
  <c r="IL15" i="6"/>
  <c r="IL14" i="6"/>
  <c r="IL13" i="6"/>
  <c r="IL12" i="6"/>
  <c r="IL11" i="6"/>
  <c r="IL10" i="6"/>
  <c r="IL9" i="6"/>
  <c r="IL8" i="6"/>
  <c r="IL7" i="6"/>
  <c r="IL6" i="6"/>
  <c r="IL5" i="6"/>
  <c r="IL4" i="6"/>
  <c r="HD41" i="6"/>
  <c r="HE41" i="6" s="1"/>
  <c r="HD40" i="6"/>
  <c r="HE40" i="6" s="1"/>
  <c r="HD39" i="6"/>
  <c r="HE39" i="6" s="1"/>
  <c r="HD38" i="6"/>
  <c r="HE38" i="6" s="1"/>
  <c r="HD37" i="6"/>
  <c r="HE37" i="6" s="1"/>
  <c r="HD36" i="6"/>
  <c r="HE36" i="6" s="1"/>
  <c r="HD35" i="6"/>
  <c r="HE35" i="6" s="1"/>
  <c r="HD34" i="6"/>
  <c r="HE34" i="6" s="1"/>
  <c r="HD33" i="6"/>
  <c r="HE33" i="6" s="1"/>
  <c r="HD32" i="6"/>
  <c r="HE32" i="6" s="1"/>
  <c r="HD31" i="6"/>
  <c r="HE31" i="6" s="1"/>
  <c r="HD30" i="6"/>
  <c r="HE30" i="6" s="1"/>
  <c r="HD29" i="6"/>
  <c r="HE29" i="6" s="1"/>
  <c r="HD28" i="6"/>
  <c r="HE28" i="6" s="1"/>
  <c r="HD27" i="6"/>
  <c r="HE27" i="6" s="1"/>
  <c r="HD26" i="6"/>
  <c r="HE26" i="6" s="1"/>
  <c r="HD25" i="6"/>
  <c r="HE25" i="6" s="1"/>
  <c r="HD24" i="6"/>
  <c r="HE24" i="6" s="1"/>
  <c r="HD23" i="6"/>
  <c r="HE23" i="6" s="1"/>
  <c r="HD22" i="6"/>
  <c r="HE22" i="6" s="1"/>
  <c r="HD21" i="6"/>
  <c r="HE21" i="6" s="1"/>
  <c r="HD20" i="6"/>
  <c r="HE20" i="6" s="1"/>
  <c r="HD19" i="6"/>
  <c r="HE19" i="6" s="1"/>
  <c r="HD18" i="6"/>
  <c r="HE18" i="6" s="1"/>
  <c r="HD17" i="6"/>
  <c r="HE17" i="6" s="1"/>
  <c r="HD16" i="6"/>
  <c r="HE16" i="6" s="1"/>
  <c r="HD15" i="6"/>
  <c r="HE15" i="6" s="1"/>
  <c r="HD14" i="6"/>
  <c r="HE14" i="6" s="1"/>
  <c r="HD13" i="6"/>
  <c r="HE13" i="6" s="1"/>
  <c r="HD12" i="6"/>
  <c r="HE12" i="6" s="1"/>
  <c r="HD11" i="6"/>
  <c r="HE11" i="6" s="1"/>
  <c r="HD10" i="6"/>
  <c r="HE10" i="6" s="1"/>
  <c r="HD9" i="6"/>
  <c r="HE9" i="6" s="1"/>
  <c r="HD8" i="6"/>
  <c r="HE8" i="6" s="1"/>
  <c r="HD7" i="6"/>
  <c r="HE7" i="6" s="1"/>
  <c r="HD6" i="6"/>
  <c r="HE6" i="6" s="1"/>
  <c r="HD5" i="6"/>
  <c r="HE5" i="6" s="1"/>
  <c r="HD4" i="6"/>
  <c r="HE4" i="6" s="1"/>
  <c r="HP41" i="6"/>
  <c r="HP40" i="6"/>
  <c r="HP39" i="6"/>
  <c r="HP38" i="6"/>
  <c r="HP37" i="6"/>
  <c r="HP36" i="6"/>
  <c r="HP35" i="6"/>
  <c r="HP34" i="6"/>
  <c r="HP33" i="6"/>
  <c r="HP32" i="6"/>
  <c r="HP31" i="6"/>
  <c r="HP30" i="6"/>
  <c r="HP29" i="6"/>
  <c r="HP28" i="6"/>
  <c r="HP27" i="6"/>
  <c r="HP26" i="6"/>
  <c r="HP25" i="6"/>
  <c r="HP24" i="6"/>
  <c r="HP23" i="6"/>
  <c r="HP22" i="6"/>
  <c r="HP21" i="6"/>
  <c r="HP20" i="6"/>
  <c r="HP19" i="6"/>
  <c r="HP18" i="6"/>
  <c r="HP17" i="6"/>
  <c r="HP16" i="6"/>
  <c r="HP15" i="6"/>
  <c r="HP14" i="6"/>
  <c r="HP13" i="6"/>
  <c r="HP12" i="6"/>
  <c r="HP11" i="6"/>
  <c r="HP10" i="6"/>
  <c r="HP9" i="6"/>
  <c r="HP8" i="6"/>
  <c r="HP7" i="6"/>
  <c r="HP6" i="6"/>
  <c r="HP5" i="6"/>
  <c r="HP4" i="6"/>
  <c r="HJ41" i="6"/>
  <c r="HK41" i="6" s="1"/>
  <c r="HJ40" i="6"/>
  <c r="HK40" i="6" s="1"/>
  <c r="HJ39" i="6"/>
  <c r="HK39" i="6" s="1"/>
  <c r="HJ38" i="6"/>
  <c r="HK38" i="6" s="1"/>
  <c r="HJ37" i="6"/>
  <c r="HK37" i="6" s="1"/>
  <c r="HJ36" i="6"/>
  <c r="HK36" i="6" s="1"/>
  <c r="HJ35" i="6"/>
  <c r="HK35" i="6" s="1"/>
  <c r="HJ34" i="6"/>
  <c r="HK34" i="6" s="1"/>
  <c r="HJ33" i="6"/>
  <c r="HK33" i="6" s="1"/>
  <c r="HJ32" i="6"/>
  <c r="HK32" i="6" s="1"/>
  <c r="HJ31" i="6"/>
  <c r="HK31" i="6" s="1"/>
  <c r="HJ30" i="6"/>
  <c r="HK30" i="6" s="1"/>
  <c r="HJ29" i="6"/>
  <c r="HK29" i="6" s="1"/>
  <c r="HJ28" i="6"/>
  <c r="HK28" i="6" s="1"/>
  <c r="HJ27" i="6"/>
  <c r="HK27" i="6" s="1"/>
  <c r="HJ26" i="6"/>
  <c r="HK26" i="6" s="1"/>
  <c r="HJ25" i="6"/>
  <c r="HK25" i="6" s="1"/>
  <c r="HJ24" i="6"/>
  <c r="HK24" i="6" s="1"/>
  <c r="HJ23" i="6"/>
  <c r="HK23" i="6" s="1"/>
  <c r="HJ22" i="6"/>
  <c r="HK22" i="6" s="1"/>
  <c r="HJ21" i="6"/>
  <c r="HK21" i="6" s="1"/>
  <c r="HJ20" i="6"/>
  <c r="HK20" i="6" s="1"/>
  <c r="HJ19" i="6"/>
  <c r="HK19" i="6" s="1"/>
  <c r="HJ18" i="6"/>
  <c r="HK18" i="6" s="1"/>
  <c r="HJ17" i="6"/>
  <c r="HK17" i="6" s="1"/>
  <c r="HJ16" i="6"/>
  <c r="HK16" i="6" s="1"/>
  <c r="HJ15" i="6"/>
  <c r="HK15" i="6" s="1"/>
  <c r="HJ14" i="6"/>
  <c r="HK14" i="6" s="1"/>
  <c r="HJ13" i="6"/>
  <c r="HK13" i="6" s="1"/>
  <c r="HJ12" i="6"/>
  <c r="HK12" i="6" s="1"/>
  <c r="HJ11" i="6"/>
  <c r="HK11" i="6" s="1"/>
  <c r="HJ10" i="6"/>
  <c r="HK10" i="6" s="1"/>
  <c r="HJ9" i="6"/>
  <c r="HK9" i="6" s="1"/>
  <c r="HJ8" i="6"/>
  <c r="HK8" i="6" s="1"/>
  <c r="HJ7" i="6"/>
  <c r="HK7" i="6" s="1"/>
  <c r="HJ6" i="6"/>
  <c r="HK6" i="6" s="1"/>
  <c r="HJ5" i="6"/>
  <c r="HK5" i="6" s="1"/>
  <c r="HJ4" i="6"/>
  <c r="GB41" i="6"/>
  <c r="GC41" i="6" s="1"/>
  <c r="GB40" i="6"/>
  <c r="GC40" i="6" s="1"/>
  <c r="GB39" i="6"/>
  <c r="GC39" i="6" s="1"/>
  <c r="GB38" i="6"/>
  <c r="GC38" i="6" s="1"/>
  <c r="GB37" i="6"/>
  <c r="GC37" i="6" s="1"/>
  <c r="GB36" i="6"/>
  <c r="GC36" i="6" s="1"/>
  <c r="GB35" i="6"/>
  <c r="GC35" i="6" s="1"/>
  <c r="GB34" i="6"/>
  <c r="GC34" i="6" s="1"/>
  <c r="GB33" i="6"/>
  <c r="GC33" i="6" s="1"/>
  <c r="GB32" i="6"/>
  <c r="GC32" i="6" s="1"/>
  <c r="GB31" i="6"/>
  <c r="GC31" i="6" s="1"/>
  <c r="GB30" i="6"/>
  <c r="GC30" i="6" s="1"/>
  <c r="GB29" i="6"/>
  <c r="GC29" i="6" s="1"/>
  <c r="GB28" i="6"/>
  <c r="GC28" i="6" s="1"/>
  <c r="GB27" i="6"/>
  <c r="GC27" i="6" s="1"/>
  <c r="GB26" i="6"/>
  <c r="GC26" i="6" s="1"/>
  <c r="GB25" i="6"/>
  <c r="GC25" i="6" s="1"/>
  <c r="GB24" i="6"/>
  <c r="GC24" i="6" s="1"/>
  <c r="GB23" i="6"/>
  <c r="GC23" i="6" s="1"/>
  <c r="GB22" i="6"/>
  <c r="GC22" i="6" s="1"/>
  <c r="GB21" i="6"/>
  <c r="GC21" i="6" s="1"/>
  <c r="GB20" i="6"/>
  <c r="GC20" i="6" s="1"/>
  <c r="GB19" i="6"/>
  <c r="GC19" i="6" s="1"/>
  <c r="GB18" i="6"/>
  <c r="GC18" i="6" s="1"/>
  <c r="GB17" i="6"/>
  <c r="GC17" i="6" s="1"/>
  <c r="GB16" i="6"/>
  <c r="GC16" i="6" s="1"/>
  <c r="GB15" i="6"/>
  <c r="GC15" i="6" s="1"/>
  <c r="GB14" i="6"/>
  <c r="GC14" i="6" s="1"/>
  <c r="GB13" i="6"/>
  <c r="GC13" i="6" s="1"/>
  <c r="GB12" i="6"/>
  <c r="GC12" i="6" s="1"/>
  <c r="GB11" i="6"/>
  <c r="GC11" i="6" s="1"/>
  <c r="GB10" i="6"/>
  <c r="GC10" i="6" s="1"/>
  <c r="GB9" i="6"/>
  <c r="GC9" i="6" s="1"/>
  <c r="GB8" i="6"/>
  <c r="GC8" i="6" s="1"/>
  <c r="GB7" i="6"/>
  <c r="GC7" i="6" s="1"/>
  <c r="GB6" i="6"/>
  <c r="GC6" i="6" s="1"/>
  <c r="GB5" i="6"/>
  <c r="GC5" i="6" s="1"/>
  <c r="GB4" i="6"/>
  <c r="GC4" i="6" s="1"/>
  <c r="GN41" i="6"/>
  <c r="GN40" i="6"/>
  <c r="GN39" i="6"/>
  <c r="GN38" i="6"/>
  <c r="GN37" i="6"/>
  <c r="GN36" i="6"/>
  <c r="GN35" i="6"/>
  <c r="GN34" i="6"/>
  <c r="GN33" i="6"/>
  <c r="GN32" i="6"/>
  <c r="GN31" i="6"/>
  <c r="GN30" i="6"/>
  <c r="GN29" i="6"/>
  <c r="GN28" i="6"/>
  <c r="GN27" i="6"/>
  <c r="GN26" i="6"/>
  <c r="GN25" i="6"/>
  <c r="GN24" i="6"/>
  <c r="GN23" i="6"/>
  <c r="GN22" i="6"/>
  <c r="GN21" i="6"/>
  <c r="GN20" i="6"/>
  <c r="GN19" i="6"/>
  <c r="GN18" i="6"/>
  <c r="GN17" i="6"/>
  <c r="GN16" i="6"/>
  <c r="GN15" i="6"/>
  <c r="GN14" i="6"/>
  <c r="GN13" i="6"/>
  <c r="GN12" i="6"/>
  <c r="GN11" i="6"/>
  <c r="GN10" i="6"/>
  <c r="GN9" i="6"/>
  <c r="GN8" i="6"/>
  <c r="GN7" i="6"/>
  <c r="GN6" i="6"/>
  <c r="GN5" i="6"/>
  <c r="GN4" i="6"/>
  <c r="GH41" i="6"/>
  <c r="GI41" i="6" s="1"/>
  <c r="GH40" i="6"/>
  <c r="GI40" i="6" s="1"/>
  <c r="GH39" i="6"/>
  <c r="GI39" i="6" s="1"/>
  <c r="GH38" i="6"/>
  <c r="GI38" i="6" s="1"/>
  <c r="GH37" i="6"/>
  <c r="GI37" i="6" s="1"/>
  <c r="GH36" i="6"/>
  <c r="GI36" i="6" s="1"/>
  <c r="GH35" i="6"/>
  <c r="GI35" i="6" s="1"/>
  <c r="GH34" i="6"/>
  <c r="GI34" i="6" s="1"/>
  <c r="GH33" i="6"/>
  <c r="GI33" i="6" s="1"/>
  <c r="GH32" i="6"/>
  <c r="GI32" i="6" s="1"/>
  <c r="GH31" i="6"/>
  <c r="GI31" i="6" s="1"/>
  <c r="GH30" i="6"/>
  <c r="GI30" i="6" s="1"/>
  <c r="GH29" i="6"/>
  <c r="GI29" i="6" s="1"/>
  <c r="GH28" i="6"/>
  <c r="GI28" i="6" s="1"/>
  <c r="GH27" i="6"/>
  <c r="GI27" i="6" s="1"/>
  <c r="GH26" i="6"/>
  <c r="GI26" i="6" s="1"/>
  <c r="GH25" i="6"/>
  <c r="GI25" i="6" s="1"/>
  <c r="GH24" i="6"/>
  <c r="GI24" i="6" s="1"/>
  <c r="GH23" i="6"/>
  <c r="GI23" i="6" s="1"/>
  <c r="GH22" i="6"/>
  <c r="GI22" i="6" s="1"/>
  <c r="GH21" i="6"/>
  <c r="GI21" i="6" s="1"/>
  <c r="GH20" i="6"/>
  <c r="GI20" i="6" s="1"/>
  <c r="GH19" i="6"/>
  <c r="GI19" i="6" s="1"/>
  <c r="GH18" i="6"/>
  <c r="GI18" i="6" s="1"/>
  <c r="GH17" i="6"/>
  <c r="GI17" i="6" s="1"/>
  <c r="GH16" i="6"/>
  <c r="GI16" i="6" s="1"/>
  <c r="GH15" i="6"/>
  <c r="GI15" i="6" s="1"/>
  <c r="GH14" i="6"/>
  <c r="GI14" i="6" s="1"/>
  <c r="GH13" i="6"/>
  <c r="GI13" i="6" s="1"/>
  <c r="GH12" i="6"/>
  <c r="GI12" i="6" s="1"/>
  <c r="GH11" i="6"/>
  <c r="GI11" i="6" s="1"/>
  <c r="GH10" i="6"/>
  <c r="GI10" i="6" s="1"/>
  <c r="GH9" i="6"/>
  <c r="GI9" i="6" s="1"/>
  <c r="GH8" i="6"/>
  <c r="GI8" i="6" s="1"/>
  <c r="GH7" i="6"/>
  <c r="GI7" i="6" s="1"/>
  <c r="GH6" i="6"/>
  <c r="GI6" i="6" s="1"/>
  <c r="GH5" i="6"/>
  <c r="GI5" i="6" s="1"/>
  <c r="GH4" i="6"/>
  <c r="FL41" i="6"/>
  <c r="FL40" i="6"/>
  <c r="FL39" i="6"/>
  <c r="FL38" i="6"/>
  <c r="FL37" i="6"/>
  <c r="FL36" i="6"/>
  <c r="FL35" i="6"/>
  <c r="FL34" i="6"/>
  <c r="FL33" i="6"/>
  <c r="FL32" i="6"/>
  <c r="FL31" i="6"/>
  <c r="FL30" i="6"/>
  <c r="FL29" i="6"/>
  <c r="FL28" i="6"/>
  <c r="FL27" i="6"/>
  <c r="FL26" i="6"/>
  <c r="FL25" i="6"/>
  <c r="FL24" i="6"/>
  <c r="FL23" i="6"/>
  <c r="FL22" i="6"/>
  <c r="FL21" i="6"/>
  <c r="FL20" i="6"/>
  <c r="FL19" i="6"/>
  <c r="FL18" i="6"/>
  <c r="FL17" i="6"/>
  <c r="FL16" i="6"/>
  <c r="FL15" i="6"/>
  <c r="FL14" i="6"/>
  <c r="FL13" i="6"/>
  <c r="FL12" i="6"/>
  <c r="FL11" i="6"/>
  <c r="FL10" i="6"/>
  <c r="FL9" i="6"/>
  <c r="FL8" i="6"/>
  <c r="FL7" i="6"/>
  <c r="FL6" i="6"/>
  <c r="FL5" i="6"/>
  <c r="FL4" i="6"/>
  <c r="FF41" i="6"/>
  <c r="FF40" i="6"/>
  <c r="FF39" i="6"/>
  <c r="FF38" i="6"/>
  <c r="FF37" i="6"/>
  <c r="FF36" i="6"/>
  <c r="FF35" i="6"/>
  <c r="FF34" i="6"/>
  <c r="FF33" i="6"/>
  <c r="FF32" i="6"/>
  <c r="FF31" i="6"/>
  <c r="FF30" i="6"/>
  <c r="FF29" i="6"/>
  <c r="FF28" i="6"/>
  <c r="FF27" i="6"/>
  <c r="FF26" i="6"/>
  <c r="FF25" i="6"/>
  <c r="FF24" i="6"/>
  <c r="FF23" i="6"/>
  <c r="FF22" i="6"/>
  <c r="FF21" i="6"/>
  <c r="FF20" i="6"/>
  <c r="FF19" i="6"/>
  <c r="FF18" i="6"/>
  <c r="FF17" i="6"/>
  <c r="FF16" i="6"/>
  <c r="FF15" i="6"/>
  <c r="FF14" i="6"/>
  <c r="FF13" i="6"/>
  <c r="FF12" i="6"/>
  <c r="FF11" i="6"/>
  <c r="FF10" i="6"/>
  <c r="FF9" i="6"/>
  <c r="FF8" i="6"/>
  <c r="FF7" i="6"/>
  <c r="FF6" i="6"/>
  <c r="FF5" i="6"/>
  <c r="FF4" i="6"/>
  <c r="EZ41" i="6"/>
  <c r="FA41" i="6" s="1"/>
  <c r="EZ40" i="6"/>
  <c r="FA40" i="6" s="1"/>
  <c r="EZ39" i="6"/>
  <c r="FA39" i="6" s="1"/>
  <c r="EZ38" i="6"/>
  <c r="FA38" i="6" s="1"/>
  <c r="EZ37" i="6"/>
  <c r="FA37" i="6" s="1"/>
  <c r="EZ36" i="6"/>
  <c r="FA36" i="6" s="1"/>
  <c r="EZ35" i="6"/>
  <c r="FA35" i="6" s="1"/>
  <c r="EZ34" i="6"/>
  <c r="FA34" i="6" s="1"/>
  <c r="EZ33" i="6"/>
  <c r="FA33" i="6" s="1"/>
  <c r="EZ32" i="6"/>
  <c r="FA32" i="6" s="1"/>
  <c r="EZ31" i="6"/>
  <c r="FA31" i="6" s="1"/>
  <c r="EZ30" i="6"/>
  <c r="FA30" i="6" s="1"/>
  <c r="EZ29" i="6"/>
  <c r="FA29" i="6" s="1"/>
  <c r="EZ28" i="6"/>
  <c r="FA28" i="6" s="1"/>
  <c r="EZ27" i="6"/>
  <c r="FA27" i="6" s="1"/>
  <c r="EZ26" i="6"/>
  <c r="FA26" i="6" s="1"/>
  <c r="EZ25" i="6"/>
  <c r="FA25" i="6" s="1"/>
  <c r="EZ24" i="6"/>
  <c r="FA24" i="6" s="1"/>
  <c r="EZ23" i="6"/>
  <c r="FA23" i="6" s="1"/>
  <c r="EZ22" i="6"/>
  <c r="FA22" i="6" s="1"/>
  <c r="EZ21" i="6"/>
  <c r="FA21" i="6" s="1"/>
  <c r="EZ20" i="6"/>
  <c r="FA20" i="6" s="1"/>
  <c r="EZ19" i="6"/>
  <c r="FA19" i="6" s="1"/>
  <c r="EZ18" i="6"/>
  <c r="FA18" i="6" s="1"/>
  <c r="EZ17" i="6"/>
  <c r="FA17" i="6" s="1"/>
  <c r="EZ16" i="6"/>
  <c r="FA16" i="6" s="1"/>
  <c r="EZ15" i="6"/>
  <c r="FA15" i="6" s="1"/>
  <c r="EZ14" i="6"/>
  <c r="FA14" i="6" s="1"/>
  <c r="EZ13" i="6"/>
  <c r="FA13" i="6" s="1"/>
  <c r="EZ12" i="6"/>
  <c r="FA12" i="6" s="1"/>
  <c r="EZ11" i="6"/>
  <c r="FA11" i="6" s="1"/>
  <c r="EZ10" i="6"/>
  <c r="FA10" i="6" s="1"/>
  <c r="EZ9" i="6"/>
  <c r="FA9" i="6" s="1"/>
  <c r="EZ8" i="6"/>
  <c r="FA8" i="6" s="1"/>
  <c r="EZ7" i="6"/>
  <c r="FA7" i="6" s="1"/>
  <c r="EZ6" i="6"/>
  <c r="FA6" i="6" s="1"/>
  <c r="EZ5" i="6"/>
  <c r="FA5" i="6" s="1"/>
  <c r="EZ4" i="6"/>
  <c r="FA4" i="6" s="1"/>
  <c r="EJ41" i="6"/>
  <c r="EK41" i="6" s="1"/>
  <c r="EJ40" i="6"/>
  <c r="EK40" i="6" s="1"/>
  <c r="EJ39" i="6"/>
  <c r="EK39" i="6" s="1"/>
  <c r="EJ38" i="6"/>
  <c r="EK38" i="6" s="1"/>
  <c r="EJ37" i="6"/>
  <c r="EK37" i="6" s="1"/>
  <c r="EJ36" i="6"/>
  <c r="EK36" i="6" s="1"/>
  <c r="EJ35" i="6"/>
  <c r="EJ34" i="6"/>
  <c r="EK34" i="6" s="1"/>
  <c r="EJ33" i="6"/>
  <c r="EK33" i="6" s="1"/>
  <c r="EJ32" i="6"/>
  <c r="EK32" i="6" s="1"/>
  <c r="EJ31" i="6"/>
  <c r="EK31" i="6" s="1"/>
  <c r="EJ30" i="6"/>
  <c r="EK30" i="6" s="1"/>
  <c r="EJ29" i="6"/>
  <c r="EK29" i="6" s="1"/>
  <c r="EJ28" i="6"/>
  <c r="EK28" i="6" s="1"/>
  <c r="EJ27" i="6"/>
  <c r="EK27" i="6" s="1"/>
  <c r="EJ26" i="6"/>
  <c r="EK26" i="6" s="1"/>
  <c r="EJ25" i="6"/>
  <c r="EK25" i="6" s="1"/>
  <c r="EJ24" i="6"/>
  <c r="EK24" i="6" s="1"/>
  <c r="EJ23" i="6"/>
  <c r="EK23" i="6" s="1"/>
  <c r="EJ22" i="6"/>
  <c r="EK22" i="6" s="1"/>
  <c r="EJ21" i="6"/>
  <c r="EK21" i="6" s="1"/>
  <c r="EJ20" i="6"/>
  <c r="EK20" i="6" s="1"/>
  <c r="EJ19" i="6"/>
  <c r="EK19" i="6" s="1"/>
  <c r="EJ18" i="6"/>
  <c r="EK18" i="6" s="1"/>
  <c r="EJ17" i="6"/>
  <c r="EK17" i="6" s="1"/>
  <c r="EJ16" i="6"/>
  <c r="EK16" i="6" s="1"/>
  <c r="EJ15" i="6"/>
  <c r="EK15" i="6" s="1"/>
  <c r="EJ14" i="6"/>
  <c r="EK14" i="6" s="1"/>
  <c r="EJ13" i="6"/>
  <c r="EK13" i="6" s="1"/>
  <c r="EJ12" i="6"/>
  <c r="EK12" i="6" s="1"/>
  <c r="EJ11" i="6"/>
  <c r="EK11" i="6" s="1"/>
  <c r="EJ10" i="6"/>
  <c r="EK10" i="6" s="1"/>
  <c r="EJ9" i="6"/>
  <c r="EK9" i="6" s="1"/>
  <c r="EJ8" i="6"/>
  <c r="EK8" i="6" s="1"/>
  <c r="EJ7" i="6"/>
  <c r="EK7" i="6" s="1"/>
  <c r="EJ6" i="6"/>
  <c r="EK6" i="6" s="1"/>
  <c r="EJ5" i="6"/>
  <c r="EK5" i="6" s="1"/>
  <c r="EJ4" i="6"/>
  <c r="EK4" i="6" s="1"/>
  <c r="ED41" i="6"/>
  <c r="ED40" i="6"/>
  <c r="ED39" i="6"/>
  <c r="ED38" i="6"/>
  <c r="ED37" i="6"/>
  <c r="ED36" i="6"/>
  <c r="ED35" i="6"/>
  <c r="ED34" i="6"/>
  <c r="ED33" i="6"/>
  <c r="ED32" i="6"/>
  <c r="ED31" i="6"/>
  <c r="ED30" i="6"/>
  <c r="ED29" i="6"/>
  <c r="ED28" i="6"/>
  <c r="ED27" i="6"/>
  <c r="ED26" i="6"/>
  <c r="ED25" i="6"/>
  <c r="ED24" i="6"/>
  <c r="ED23" i="6"/>
  <c r="ED22" i="6"/>
  <c r="ED21" i="6"/>
  <c r="ED20" i="6"/>
  <c r="ED19" i="6"/>
  <c r="ED18" i="6"/>
  <c r="ED17" i="6"/>
  <c r="ED16" i="6"/>
  <c r="ED15" i="6"/>
  <c r="ED14" i="6"/>
  <c r="ED13" i="6"/>
  <c r="ED12" i="6"/>
  <c r="ED11" i="6"/>
  <c r="ED10" i="6"/>
  <c r="ED9" i="6"/>
  <c r="ED8" i="6"/>
  <c r="ED7" i="6"/>
  <c r="ED6" i="6"/>
  <c r="ED5" i="6"/>
  <c r="ED4" i="6"/>
  <c r="DX41" i="6"/>
  <c r="DY41" i="6" s="1"/>
  <c r="DX40" i="6"/>
  <c r="DY40" i="6" s="1"/>
  <c r="DX39" i="6"/>
  <c r="DY39" i="6" s="1"/>
  <c r="DX38" i="6"/>
  <c r="DY38" i="6" s="1"/>
  <c r="DX37" i="6"/>
  <c r="DY37" i="6" s="1"/>
  <c r="DX36" i="6"/>
  <c r="DY36" i="6" s="1"/>
  <c r="DX35" i="6"/>
  <c r="DY35" i="6" s="1"/>
  <c r="DX34" i="6"/>
  <c r="DY34" i="6" s="1"/>
  <c r="DX33" i="6"/>
  <c r="DY33" i="6" s="1"/>
  <c r="DX32" i="6"/>
  <c r="DY32" i="6" s="1"/>
  <c r="DX31" i="6"/>
  <c r="DY31" i="6" s="1"/>
  <c r="DX30" i="6"/>
  <c r="DY30" i="6" s="1"/>
  <c r="DX29" i="6"/>
  <c r="DY29" i="6" s="1"/>
  <c r="DX28" i="6"/>
  <c r="DY28" i="6" s="1"/>
  <c r="DX27" i="6"/>
  <c r="DY27" i="6" s="1"/>
  <c r="DX26" i="6"/>
  <c r="DY26" i="6" s="1"/>
  <c r="DX25" i="6"/>
  <c r="DY25" i="6" s="1"/>
  <c r="DX24" i="6"/>
  <c r="DY24" i="6" s="1"/>
  <c r="DX23" i="6"/>
  <c r="DY23" i="6" s="1"/>
  <c r="DX22" i="6"/>
  <c r="DY22" i="6" s="1"/>
  <c r="DX21" i="6"/>
  <c r="DY21" i="6" s="1"/>
  <c r="DX20" i="6"/>
  <c r="DY20" i="6" s="1"/>
  <c r="DX19" i="6"/>
  <c r="DY19" i="6" s="1"/>
  <c r="DX18" i="6"/>
  <c r="DY18" i="6" s="1"/>
  <c r="DX17" i="6"/>
  <c r="DY17" i="6" s="1"/>
  <c r="DX16" i="6"/>
  <c r="DY16" i="6" s="1"/>
  <c r="DX15" i="6"/>
  <c r="DY15" i="6" s="1"/>
  <c r="DX14" i="6"/>
  <c r="DY14" i="6" s="1"/>
  <c r="DX13" i="6"/>
  <c r="DY13" i="6" s="1"/>
  <c r="DX12" i="6"/>
  <c r="DY12" i="6" s="1"/>
  <c r="DX11" i="6"/>
  <c r="DY11" i="6" s="1"/>
  <c r="DX10" i="6"/>
  <c r="DY10" i="6" s="1"/>
  <c r="DX9" i="6"/>
  <c r="DY9" i="6" s="1"/>
  <c r="DX8" i="6"/>
  <c r="DY8" i="6" s="1"/>
  <c r="DX7" i="6"/>
  <c r="DY7" i="6" s="1"/>
  <c r="DX6" i="6"/>
  <c r="DY6" i="6" s="1"/>
  <c r="DX5" i="6"/>
  <c r="DY5" i="6" s="1"/>
  <c r="DX4" i="6"/>
  <c r="DY4" i="6" s="1"/>
  <c r="DH41" i="6"/>
  <c r="DI41" i="6" s="1"/>
  <c r="DH40" i="6"/>
  <c r="DI40" i="6" s="1"/>
  <c r="DH39" i="6"/>
  <c r="DI39" i="6" s="1"/>
  <c r="DH38" i="6"/>
  <c r="DI38" i="6" s="1"/>
  <c r="DH37" i="6"/>
  <c r="DI37" i="6" s="1"/>
  <c r="DH36" i="6"/>
  <c r="DI36" i="6" s="1"/>
  <c r="DH35" i="6"/>
  <c r="DI35" i="6" s="1"/>
  <c r="DH34" i="6"/>
  <c r="DI34" i="6" s="1"/>
  <c r="DH33" i="6"/>
  <c r="DI33" i="6" s="1"/>
  <c r="DH32" i="6"/>
  <c r="DI32" i="6" s="1"/>
  <c r="DH31" i="6"/>
  <c r="DI31" i="6" s="1"/>
  <c r="DH30" i="6"/>
  <c r="DI30" i="6" s="1"/>
  <c r="DH29" i="6"/>
  <c r="DI29" i="6" s="1"/>
  <c r="DH28" i="6"/>
  <c r="DI28" i="6" s="1"/>
  <c r="DH27" i="6"/>
  <c r="DI27" i="6" s="1"/>
  <c r="DH26" i="6"/>
  <c r="DI26" i="6" s="1"/>
  <c r="DH25" i="6"/>
  <c r="DI25" i="6" s="1"/>
  <c r="DH24" i="6"/>
  <c r="DI24" i="6" s="1"/>
  <c r="DH23" i="6"/>
  <c r="DI23" i="6" s="1"/>
  <c r="DH22" i="6"/>
  <c r="DI22" i="6" s="1"/>
  <c r="DH21" i="6"/>
  <c r="DI21" i="6" s="1"/>
  <c r="DH20" i="6"/>
  <c r="DI20" i="6" s="1"/>
  <c r="DH19" i="6"/>
  <c r="DI19" i="6" s="1"/>
  <c r="DH18" i="6"/>
  <c r="DI18" i="6" s="1"/>
  <c r="DH17" i="6"/>
  <c r="DI17" i="6" s="1"/>
  <c r="DH16" i="6"/>
  <c r="DI16" i="6" s="1"/>
  <c r="DH15" i="6"/>
  <c r="DI15" i="6" s="1"/>
  <c r="DH14" i="6"/>
  <c r="DI14" i="6" s="1"/>
  <c r="DH13" i="6"/>
  <c r="DI13" i="6" s="1"/>
  <c r="DH12" i="6"/>
  <c r="DI12" i="6" s="1"/>
  <c r="DH11" i="6"/>
  <c r="DI11" i="6" s="1"/>
  <c r="DH10" i="6"/>
  <c r="DI10" i="6" s="1"/>
  <c r="DH9" i="6"/>
  <c r="DI9" i="6" s="1"/>
  <c r="DH8" i="6"/>
  <c r="DI8" i="6" s="1"/>
  <c r="DH7" i="6"/>
  <c r="DI7" i="6" s="1"/>
  <c r="DH6" i="6"/>
  <c r="DI6" i="6" s="1"/>
  <c r="DH5" i="6"/>
  <c r="DI5" i="6" s="1"/>
  <c r="DH4" i="6"/>
  <c r="DI4" i="6" s="1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B4" i="6"/>
  <c r="CV41" i="6"/>
  <c r="CW41" i="6" s="1"/>
  <c r="CV40" i="6"/>
  <c r="CW40" i="6" s="1"/>
  <c r="CV39" i="6"/>
  <c r="CW39" i="6" s="1"/>
  <c r="CV38" i="6"/>
  <c r="CW38" i="6" s="1"/>
  <c r="CV37" i="6"/>
  <c r="CW37" i="6" s="1"/>
  <c r="CV36" i="6"/>
  <c r="CW36" i="6" s="1"/>
  <c r="CV35" i="6"/>
  <c r="CW35" i="6" s="1"/>
  <c r="CV34" i="6"/>
  <c r="CW34" i="6" s="1"/>
  <c r="CV33" i="6"/>
  <c r="CW33" i="6" s="1"/>
  <c r="CV32" i="6"/>
  <c r="CW32" i="6" s="1"/>
  <c r="CV31" i="6"/>
  <c r="CW31" i="6" s="1"/>
  <c r="CV30" i="6"/>
  <c r="CW30" i="6" s="1"/>
  <c r="CV29" i="6"/>
  <c r="CW29" i="6" s="1"/>
  <c r="CV28" i="6"/>
  <c r="CW28" i="6" s="1"/>
  <c r="CV27" i="6"/>
  <c r="CW27" i="6" s="1"/>
  <c r="CV26" i="6"/>
  <c r="CW26" i="6" s="1"/>
  <c r="CV25" i="6"/>
  <c r="CW25" i="6" s="1"/>
  <c r="CV24" i="6"/>
  <c r="CW24" i="6" s="1"/>
  <c r="CV23" i="6"/>
  <c r="CW23" i="6" s="1"/>
  <c r="CV22" i="6"/>
  <c r="CW22" i="6" s="1"/>
  <c r="CV21" i="6"/>
  <c r="CW21" i="6" s="1"/>
  <c r="CV20" i="6"/>
  <c r="CW20" i="6" s="1"/>
  <c r="CV19" i="6"/>
  <c r="CW19" i="6" s="1"/>
  <c r="CV18" i="6"/>
  <c r="CW18" i="6" s="1"/>
  <c r="CV17" i="6"/>
  <c r="CW17" i="6" s="1"/>
  <c r="CV16" i="6"/>
  <c r="CW16" i="6" s="1"/>
  <c r="CV15" i="6"/>
  <c r="CW15" i="6" s="1"/>
  <c r="CV14" i="6"/>
  <c r="CW14" i="6" s="1"/>
  <c r="CV13" i="6"/>
  <c r="CW13" i="6" s="1"/>
  <c r="CV12" i="6"/>
  <c r="CW12" i="6" s="1"/>
  <c r="CV11" i="6"/>
  <c r="CW11" i="6" s="1"/>
  <c r="CV10" i="6"/>
  <c r="CW10" i="6" s="1"/>
  <c r="CV9" i="6"/>
  <c r="CW9" i="6" s="1"/>
  <c r="CV8" i="6"/>
  <c r="CW8" i="6" s="1"/>
  <c r="CV7" i="6"/>
  <c r="CW7" i="6" s="1"/>
  <c r="CV6" i="6"/>
  <c r="CW6" i="6" s="1"/>
  <c r="CV5" i="6"/>
  <c r="CW5" i="6" s="1"/>
  <c r="CV4" i="6"/>
  <c r="CW4" i="6" s="1"/>
  <c r="CF41" i="6"/>
  <c r="CG41" i="6" s="1"/>
  <c r="CF40" i="6"/>
  <c r="CG40" i="6" s="1"/>
  <c r="CF39" i="6"/>
  <c r="CG39" i="6" s="1"/>
  <c r="CF38" i="6"/>
  <c r="CG38" i="6" s="1"/>
  <c r="CF37" i="6"/>
  <c r="CG37" i="6" s="1"/>
  <c r="CF36" i="6"/>
  <c r="CG36" i="6" s="1"/>
  <c r="CF35" i="6"/>
  <c r="CG35" i="6" s="1"/>
  <c r="CF34" i="6"/>
  <c r="CG34" i="6" s="1"/>
  <c r="CF33" i="6"/>
  <c r="CG33" i="6" s="1"/>
  <c r="CF32" i="6"/>
  <c r="CG32" i="6" s="1"/>
  <c r="CF31" i="6"/>
  <c r="CG31" i="6" s="1"/>
  <c r="CF30" i="6"/>
  <c r="CG30" i="6" s="1"/>
  <c r="CF29" i="6"/>
  <c r="CG29" i="6" s="1"/>
  <c r="CF28" i="6"/>
  <c r="CG28" i="6" s="1"/>
  <c r="CF27" i="6"/>
  <c r="CG27" i="6" s="1"/>
  <c r="CF26" i="6"/>
  <c r="CG26" i="6" s="1"/>
  <c r="CF25" i="6"/>
  <c r="CG25" i="6" s="1"/>
  <c r="CF24" i="6"/>
  <c r="CG24" i="6" s="1"/>
  <c r="CF23" i="6"/>
  <c r="CG23" i="6" s="1"/>
  <c r="CF22" i="6"/>
  <c r="CG22" i="6" s="1"/>
  <c r="CF21" i="6"/>
  <c r="CG21" i="6" s="1"/>
  <c r="CF20" i="6"/>
  <c r="CG20" i="6" s="1"/>
  <c r="CF19" i="6"/>
  <c r="CG19" i="6" s="1"/>
  <c r="CF18" i="6"/>
  <c r="CG18" i="6" s="1"/>
  <c r="CF17" i="6"/>
  <c r="CG17" i="6" s="1"/>
  <c r="CF16" i="6"/>
  <c r="CG16" i="6" s="1"/>
  <c r="CF15" i="6"/>
  <c r="CG15" i="6" s="1"/>
  <c r="CF14" i="6"/>
  <c r="CG14" i="6" s="1"/>
  <c r="CF13" i="6"/>
  <c r="CG13" i="6" s="1"/>
  <c r="CF12" i="6"/>
  <c r="CG12" i="6" s="1"/>
  <c r="CF11" i="6"/>
  <c r="CG11" i="6" s="1"/>
  <c r="CF10" i="6"/>
  <c r="CG10" i="6" s="1"/>
  <c r="CF9" i="6"/>
  <c r="CG9" i="6" s="1"/>
  <c r="CF8" i="6"/>
  <c r="CG8" i="6" s="1"/>
  <c r="CF7" i="6"/>
  <c r="CG7" i="6" s="1"/>
  <c r="CF6" i="6"/>
  <c r="CG6" i="6" s="1"/>
  <c r="CF5" i="6"/>
  <c r="CG5" i="6" s="1"/>
  <c r="CF4" i="6"/>
  <c r="BZ41" i="6"/>
  <c r="BZ40" i="6"/>
  <c r="BZ39" i="6"/>
  <c r="BZ38" i="6"/>
  <c r="BZ37" i="6"/>
  <c r="BZ36" i="6"/>
  <c r="BZ35" i="6"/>
  <c r="BZ34" i="6"/>
  <c r="BZ33" i="6"/>
  <c r="BZ32" i="6"/>
  <c r="BZ31" i="6"/>
  <c r="BZ30" i="6"/>
  <c r="BZ29" i="6"/>
  <c r="BZ28" i="6"/>
  <c r="BZ27" i="6"/>
  <c r="BZ26" i="6"/>
  <c r="BZ25" i="6"/>
  <c r="BZ24" i="6"/>
  <c r="BZ23" i="6"/>
  <c r="BZ22" i="6"/>
  <c r="BZ21" i="6"/>
  <c r="BZ20" i="6"/>
  <c r="BZ19" i="6"/>
  <c r="BZ18" i="6"/>
  <c r="BZ17" i="6"/>
  <c r="BZ16" i="6"/>
  <c r="BZ15" i="6"/>
  <c r="BZ14" i="6"/>
  <c r="BZ13" i="6"/>
  <c r="BZ12" i="6"/>
  <c r="BZ11" i="6"/>
  <c r="BZ10" i="6"/>
  <c r="BZ9" i="6"/>
  <c r="BZ8" i="6"/>
  <c r="BZ7" i="6"/>
  <c r="BZ6" i="6"/>
  <c r="BZ5" i="6"/>
  <c r="BZ4" i="6"/>
  <c r="BT41" i="6"/>
  <c r="BU41" i="6" s="1"/>
  <c r="BT40" i="6"/>
  <c r="BU40" i="6" s="1"/>
  <c r="BT39" i="6"/>
  <c r="BU39" i="6" s="1"/>
  <c r="BT38" i="6"/>
  <c r="BU38" i="6" s="1"/>
  <c r="BT37" i="6"/>
  <c r="BU37" i="6" s="1"/>
  <c r="BT36" i="6"/>
  <c r="BU36" i="6" s="1"/>
  <c r="BT35" i="6"/>
  <c r="BU35" i="6" s="1"/>
  <c r="BT34" i="6"/>
  <c r="BU34" i="6" s="1"/>
  <c r="BT33" i="6"/>
  <c r="BU33" i="6" s="1"/>
  <c r="BT32" i="6"/>
  <c r="BU32" i="6" s="1"/>
  <c r="BT31" i="6"/>
  <c r="BU31" i="6" s="1"/>
  <c r="BT30" i="6"/>
  <c r="BU30" i="6" s="1"/>
  <c r="BT29" i="6"/>
  <c r="BU29" i="6" s="1"/>
  <c r="BT28" i="6"/>
  <c r="BU28" i="6" s="1"/>
  <c r="BT27" i="6"/>
  <c r="BU27" i="6" s="1"/>
  <c r="BT26" i="6"/>
  <c r="BU26" i="6" s="1"/>
  <c r="BT25" i="6"/>
  <c r="BU25" i="6" s="1"/>
  <c r="BT24" i="6"/>
  <c r="BU24" i="6" s="1"/>
  <c r="BT23" i="6"/>
  <c r="BU23" i="6" s="1"/>
  <c r="BT22" i="6"/>
  <c r="BU22" i="6" s="1"/>
  <c r="BT21" i="6"/>
  <c r="BU21" i="6" s="1"/>
  <c r="BT20" i="6"/>
  <c r="BU20" i="6" s="1"/>
  <c r="BT19" i="6"/>
  <c r="BU19" i="6" s="1"/>
  <c r="BT18" i="6"/>
  <c r="BU18" i="6" s="1"/>
  <c r="BT17" i="6"/>
  <c r="BU17" i="6" s="1"/>
  <c r="BT16" i="6"/>
  <c r="BU16" i="6" s="1"/>
  <c r="BT15" i="6"/>
  <c r="BU15" i="6" s="1"/>
  <c r="BT14" i="6"/>
  <c r="BU14" i="6" s="1"/>
  <c r="BT13" i="6"/>
  <c r="BU13" i="6" s="1"/>
  <c r="BT12" i="6"/>
  <c r="BU12" i="6" s="1"/>
  <c r="BT11" i="6"/>
  <c r="BU11" i="6" s="1"/>
  <c r="BT10" i="6"/>
  <c r="BU10" i="6" s="1"/>
  <c r="BT9" i="6"/>
  <c r="BU9" i="6" s="1"/>
  <c r="BT8" i="6"/>
  <c r="BU8" i="6" s="1"/>
  <c r="BT7" i="6"/>
  <c r="BU7" i="6" s="1"/>
  <c r="BT6" i="6"/>
  <c r="BU6" i="6" s="1"/>
  <c r="BT5" i="6"/>
  <c r="BU5" i="6" s="1"/>
  <c r="BT4" i="6"/>
  <c r="BU4" i="6" s="1"/>
  <c r="BD41" i="6"/>
  <c r="BE41" i="6" s="1"/>
  <c r="BD40" i="6"/>
  <c r="BE40" i="6" s="1"/>
  <c r="BD39" i="6"/>
  <c r="BE39" i="6" s="1"/>
  <c r="BD38" i="6"/>
  <c r="BE38" i="6" s="1"/>
  <c r="BD37" i="6"/>
  <c r="BE37" i="6" s="1"/>
  <c r="BD36" i="6"/>
  <c r="BE36" i="6" s="1"/>
  <c r="BD35" i="6"/>
  <c r="BE35" i="6" s="1"/>
  <c r="BD34" i="6"/>
  <c r="BE34" i="6" s="1"/>
  <c r="BD33" i="6"/>
  <c r="BE33" i="6" s="1"/>
  <c r="BD32" i="6"/>
  <c r="BE32" i="6" s="1"/>
  <c r="BD31" i="6"/>
  <c r="BE31" i="6" s="1"/>
  <c r="BD30" i="6"/>
  <c r="BE30" i="6" s="1"/>
  <c r="BD29" i="6"/>
  <c r="BE29" i="6" s="1"/>
  <c r="BD28" i="6"/>
  <c r="BE28" i="6" s="1"/>
  <c r="BD27" i="6"/>
  <c r="BE27" i="6" s="1"/>
  <c r="BD26" i="6"/>
  <c r="BE26" i="6" s="1"/>
  <c r="BD25" i="6"/>
  <c r="BE25" i="6" s="1"/>
  <c r="BD24" i="6"/>
  <c r="BE24" i="6" s="1"/>
  <c r="BD23" i="6"/>
  <c r="BE23" i="6" s="1"/>
  <c r="BD22" i="6"/>
  <c r="BE22" i="6" s="1"/>
  <c r="BD21" i="6"/>
  <c r="BE21" i="6" s="1"/>
  <c r="BD20" i="6"/>
  <c r="BE20" i="6" s="1"/>
  <c r="BD19" i="6"/>
  <c r="BE19" i="6" s="1"/>
  <c r="BD18" i="6"/>
  <c r="BE18" i="6" s="1"/>
  <c r="BD17" i="6"/>
  <c r="BE17" i="6" s="1"/>
  <c r="BD16" i="6"/>
  <c r="BE16" i="6" s="1"/>
  <c r="BD15" i="6"/>
  <c r="BE15" i="6" s="1"/>
  <c r="BD14" i="6"/>
  <c r="BE14" i="6" s="1"/>
  <c r="BD13" i="6"/>
  <c r="BE13" i="6" s="1"/>
  <c r="BD12" i="6"/>
  <c r="BE12" i="6" s="1"/>
  <c r="BD11" i="6"/>
  <c r="BE11" i="6" s="1"/>
  <c r="BD10" i="6"/>
  <c r="BE10" i="6" s="1"/>
  <c r="BD9" i="6"/>
  <c r="BE9" i="6" s="1"/>
  <c r="BD8" i="6"/>
  <c r="BE8" i="6" s="1"/>
  <c r="BD7" i="6"/>
  <c r="BE7" i="6" s="1"/>
  <c r="BD6" i="6"/>
  <c r="BE6" i="6" s="1"/>
  <c r="BD5" i="6"/>
  <c r="BE5" i="6" s="1"/>
  <c r="BD4" i="6"/>
  <c r="AX41" i="6"/>
  <c r="AX40" i="6"/>
  <c r="AX39" i="6"/>
  <c r="AX38" i="6"/>
  <c r="AX37" i="6"/>
  <c r="AX36" i="6"/>
  <c r="AX35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X13" i="6"/>
  <c r="AX12" i="6"/>
  <c r="AX11" i="6"/>
  <c r="AX10" i="6"/>
  <c r="AX9" i="6"/>
  <c r="AX8" i="6"/>
  <c r="AX7" i="6"/>
  <c r="AX6" i="6"/>
  <c r="AX5" i="6"/>
  <c r="AX4" i="6"/>
  <c r="AR41" i="6"/>
  <c r="AS41" i="6" s="1"/>
  <c r="AR40" i="6"/>
  <c r="AS40" i="6" s="1"/>
  <c r="AR39" i="6"/>
  <c r="AS39" i="6" s="1"/>
  <c r="AR38" i="6"/>
  <c r="AS38" i="6" s="1"/>
  <c r="AR37" i="6"/>
  <c r="AS37" i="6" s="1"/>
  <c r="AR36" i="6"/>
  <c r="AS36" i="6" s="1"/>
  <c r="AR35" i="6"/>
  <c r="AS35" i="6" s="1"/>
  <c r="AR34" i="6"/>
  <c r="AS34" i="6" s="1"/>
  <c r="AR33" i="6"/>
  <c r="AS33" i="6" s="1"/>
  <c r="AR32" i="6"/>
  <c r="AS32" i="6" s="1"/>
  <c r="AR31" i="6"/>
  <c r="AS31" i="6" s="1"/>
  <c r="AR30" i="6"/>
  <c r="AS30" i="6" s="1"/>
  <c r="AR29" i="6"/>
  <c r="AS29" i="6" s="1"/>
  <c r="AR28" i="6"/>
  <c r="AS28" i="6" s="1"/>
  <c r="AR27" i="6"/>
  <c r="AS27" i="6" s="1"/>
  <c r="AR26" i="6"/>
  <c r="AS26" i="6" s="1"/>
  <c r="AR25" i="6"/>
  <c r="AS25" i="6" s="1"/>
  <c r="AR24" i="6"/>
  <c r="AS24" i="6" s="1"/>
  <c r="AR23" i="6"/>
  <c r="AS23" i="6" s="1"/>
  <c r="AR22" i="6"/>
  <c r="AS22" i="6" s="1"/>
  <c r="AR21" i="6"/>
  <c r="AS21" i="6" s="1"/>
  <c r="AR20" i="6"/>
  <c r="AS20" i="6" s="1"/>
  <c r="AR19" i="6"/>
  <c r="AS19" i="6" s="1"/>
  <c r="AR18" i="6"/>
  <c r="AS18" i="6" s="1"/>
  <c r="AR17" i="6"/>
  <c r="AS17" i="6" s="1"/>
  <c r="AR16" i="6"/>
  <c r="AS16" i="6" s="1"/>
  <c r="AR15" i="6"/>
  <c r="AS15" i="6" s="1"/>
  <c r="AR14" i="6"/>
  <c r="AS14" i="6" s="1"/>
  <c r="AR13" i="6"/>
  <c r="AS13" i="6" s="1"/>
  <c r="AR12" i="6"/>
  <c r="AS12" i="6" s="1"/>
  <c r="AR11" i="6"/>
  <c r="AS11" i="6" s="1"/>
  <c r="AR10" i="6"/>
  <c r="AS10" i="6" s="1"/>
  <c r="AR9" i="6"/>
  <c r="AS9" i="6" s="1"/>
  <c r="AR8" i="6"/>
  <c r="AS8" i="6" s="1"/>
  <c r="AR7" i="6"/>
  <c r="AS7" i="6" s="1"/>
  <c r="AR6" i="6"/>
  <c r="AS6" i="6" s="1"/>
  <c r="AR5" i="6"/>
  <c r="AS5" i="6" s="1"/>
  <c r="AR4" i="6"/>
  <c r="AS4" i="6" s="1"/>
  <c r="AB41" i="6"/>
  <c r="AC41" i="6" s="1"/>
  <c r="AB40" i="6"/>
  <c r="AC40" i="6" s="1"/>
  <c r="AB39" i="6"/>
  <c r="AC39" i="6" s="1"/>
  <c r="AB38" i="6"/>
  <c r="AC38" i="6" s="1"/>
  <c r="AB37" i="6"/>
  <c r="AC37" i="6" s="1"/>
  <c r="AB36" i="6"/>
  <c r="AC36" i="6" s="1"/>
  <c r="AB35" i="6"/>
  <c r="AC35" i="6" s="1"/>
  <c r="AB34" i="6"/>
  <c r="AC34" i="6" s="1"/>
  <c r="AB33" i="6"/>
  <c r="AC33" i="6" s="1"/>
  <c r="AB32" i="6"/>
  <c r="AC32" i="6" s="1"/>
  <c r="AB31" i="6"/>
  <c r="AC31" i="6" s="1"/>
  <c r="AB30" i="6"/>
  <c r="AC30" i="6" s="1"/>
  <c r="AB29" i="6"/>
  <c r="AC29" i="6" s="1"/>
  <c r="AB28" i="6"/>
  <c r="AC28" i="6" s="1"/>
  <c r="AB27" i="6"/>
  <c r="AC27" i="6" s="1"/>
  <c r="AB26" i="6"/>
  <c r="AC26" i="6" s="1"/>
  <c r="AB25" i="6"/>
  <c r="AC25" i="6" s="1"/>
  <c r="AB24" i="6"/>
  <c r="AC24" i="6" s="1"/>
  <c r="AB23" i="6"/>
  <c r="AC23" i="6" s="1"/>
  <c r="AB22" i="6"/>
  <c r="AC22" i="6" s="1"/>
  <c r="AB21" i="6"/>
  <c r="AC21" i="6" s="1"/>
  <c r="AB20" i="6"/>
  <c r="AC20" i="6" s="1"/>
  <c r="AB19" i="6"/>
  <c r="AC19" i="6" s="1"/>
  <c r="AB18" i="6"/>
  <c r="AC18" i="6" s="1"/>
  <c r="AB17" i="6"/>
  <c r="AC17" i="6" s="1"/>
  <c r="AB16" i="6"/>
  <c r="AC16" i="6" s="1"/>
  <c r="AB15" i="6"/>
  <c r="AC15" i="6" s="1"/>
  <c r="AB14" i="6"/>
  <c r="AC14" i="6" s="1"/>
  <c r="AB13" i="6"/>
  <c r="AC13" i="6" s="1"/>
  <c r="AB12" i="6"/>
  <c r="AC12" i="6" s="1"/>
  <c r="AB11" i="6"/>
  <c r="AC11" i="6" s="1"/>
  <c r="AB10" i="6"/>
  <c r="AC10" i="6" s="1"/>
  <c r="AB9" i="6"/>
  <c r="AC9" i="6" s="1"/>
  <c r="AB8" i="6"/>
  <c r="AC8" i="6" s="1"/>
  <c r="AB7" i="6"/>
  <c r="AC7" i="6" s="1"/>
  <c r="AB6" i="6"/>
  <c r="AC6" i="6" s="1"/>
  <c r="AB5" i="6"/>
  <c r="AC5" i="6" s="1"/>
  <c r="AB4" i="6"/>
  <c r="AC4" i="6" s="1"/>
  <c r="V41" i="6"/>
  <c r="W41" i="6" s="1"/>
  <c r="V40" i="6"/>
  <c r="W40" i="6" s="1"/>
  <c r="V39" i="6"/>
  <c r="W39" i="6" s="1"/>
  <c r="V38" i="6"/>
  <c r="W38" i="6" s="1"/>
  <c r="V37" i="6"/>
  <c r="W37" i="6" s="1"/>
  <c r="V36" i="6"/>
  <c r="W36" i="6" s="1"/>
  <c r="V35" i="6"/>
  <c r="W35" i="6" s="1"/>
  <c r="V34" i="6"/>
  <c r="W34" i="6" s="1"/>
  <c r="V33" i="6"/>
  <c r="W33" i="6" s="1"/>
  <c r="V32" i="6"/>
  <c r="W32" i="6" s="1"/>
  <c r="V31" i="6"/>
  <c r="W31" i="6" s="1"/>
  <c r="V30" i="6"/>
  <c r="W30" i="6" s="1"/>
  <c r="V29" i="6"/>
  <c r="W29" i="6" s="1"/>
  <c r="V28" i="6"/>
  <c r="W28" i="6" s="1"/>
  <c r="V27" i="6"/>
  <c r="W27" i="6" s="1"/>
  <c r="V26" i="6"/>
  <c r="W26" i="6" s="1"/>
  <c r="V25" i="6"/>
  <c r="W25" i="6" s="1"/>
  <c r="V24" i="6"/>
  <c r="W24" i="6" s="1"/>
  <c r="V23" i="6"/>
  <c r="W23" i="6" s="1"/>
  <c r="V22" i="6"/>
  <c r="W22" i="6" s="1"/>
  <c r="V21" i="6"/>
  <c r="W21" i="6" s="1"/>
  <c r="V20" i="6"/>
  <c r="W20" i="6" s="1"/>
  <c r="V19" i="6"/>
  <c r="W19" i="6" s="1"/>
  <c r="V18" i="6"/>
  <c r="W18" i="6" s="1"/>
  <c r="V17" i="6"/>
  <c r="W17" i="6" s="1"/>
  <c r="V16" i="6"/>
  <c r="W16" i="6" s="1"/>
  <c r="V15" i="6"/>
  <c r="W15" i="6" s="1"/>
  <c r="V14" i="6"/>
  <c r="W14" i="6" s="1"/>
  <c r="V13" i="6"/>
  <c r="W13" i="6" s="1"/>
  <c r="V12" i="6"/>
  <c r="W12" i="6" s="1"/>
  <c r="V11" i="6"/>
  <c r="W11" i="6" s="1"/>
  <c r="V10" i="6"/>
  <c r="W10" i="6" s="1"/>
  <c r="V9" i="6"/>
  <c r="W9" i="6" s="1"/>
  <c r="V8" i="6"/>
  <c r="W8" i="6" s="1"/>
  <c r="V7" i="6"/>
  <c r="W7" i="6" s="1"/>
  <c r="V6" i="6"/>
  <c r="W6" i="6" s="1"/>
  <c r="V5" i="6"/>
  <c r="W5" i="6" s="1"/>
  <c r="V4" i="6"/>
  <c r="W4" i="6" s="1"/>
  <c r="P41" i="6"/>
  <c r="Q41" i="6" s="1"/>
  <c r="P40" i="6"/>
  <c r="Q40" i="6" s="1"/>
  <c r="P39" i="6"/>
  <c r="Q39" i="6" s="1"/>
  <c r="P38" i="6"/>
  <c r="Q38" i="6" s="1"/>
  <c r="P37" i="6"/>
  <c r="Q37" i="6" s="1"/>
  <c r="P36" i="6"/>
  <c r="Q36" i="6" s="1"/>
  <c r="P35" i="6"/>
  <c r="Q35" i="6" s="1"/>
  <c r="P34" i="6"/>
  <c r="Q34" i="6" s="1"/>
  <c r="P33" i="6"/>
  <c r="Q33" i="6" s="1"/>
  <c r="P32" i="6"/>
  <c r="Q32" i="6" s="1"/>
  <c r="P31" i="6"/>
  <c r="Q31" i="6" s="1"/>
  <c r="P30" i="6"/>
  <c r="Q30" i="6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EK35" i="6"/>
  <c r="JH40" i="21" l="1"/>
  <c r="JI40" i="21" s="1"/>
  <c r="JA40" i="21"/>
  <c r="JB40" i="21" s="1"/>
  <c r="IT40" i="21"/>
  <c r="IU40" i="21" s="1"/>
  <c r="IM40" i="21"/>
  <c r="IN40" i="21" s="1"/>
  <c r="IF40" i="21"/>
  <c r="IG40" i="21" s="1"/>
  <c r="HY40" i="21"/>
  <c r="HZ40" i="21" s="1"/>
  <c r="HR40" i="21"/>
  <c r="HS40" i="21" s="1"/>
  <c r="HK40" i="21"/>
  <c r="HL40" i="21" s="1"/>
  <c r="HD40" i="21"/>
  <c r="HE40" i="21" s="1"/>
  <c r="GK40" i="21"/>
  <c r="GL40" i="21" s="1"/>
  <c r="GD40" i="21"/>
  <c r="GE40" i="21" s="1"/>
  <c r="FW40" i="21"/>
  <c r="FX40" i="21" s="1"/>
  <c r="FP40" i="21"/>
  <c r="FQ40" i="21" s="1"/>
  <c r="FI40" i="21"/>
  <c r="FJ40" i="21" s="1"/>
  <c r="FB40" i="21"/>
  <c r="FC40" i="21" s="1"/>
  <c r="EU40" i="21"/>
  <c r="EV40" i="21" s="1"/>
  <c r="EN40" i="21"/>
  <c r="EO40" i="21" s="1"/>
  <c r="EG40" i="21"/>
  <c r="EH40" i="21" s="1"/>
  <c r="DN40" i="21"/>
  <c r="DO40" i="21" s="1"/>
  <c r="DG40" i="21"/>
  <c r="DH40" i="21" s="1"/>
  <c r="CZ40" i="21"/>
  <c r="DA40" i="21" s="1"/>
  <c r="CS40" i="21"/>
  <c r="CT40" i="21" s="1"/>
  <c r="CL40" i="21"/>
  <c r="CM40" i="21" s="1"/>
  <c r="CE40" i="21"/>
  <c r="CF40" i="21" s="1"/>
  <c r="BX40" i="21"/>
  <c r="BY40" i="21" s="1"/>
  <c r="AG40" i="21"/>
  <c r="AH40" i="21" s="1"/>
  <c r="Z40" i="21"/>
  <c r="AA40" i="21" s="1"/>
  <c r="S40" i="21"/>
  <c r="T40" i="21" s="1"/>
  <c r="JH39" i="21"/>
  <c r="JI39" i="21" s="1"/>
  <c r="JA39" i="21"/>
  <c r="JB39" i="21" s="1"/>
  <c r="IT39" i="21"/>
  <c r="IU39" i="21" s="1"/>
  <c r="IM39" i="21"/>
  <c r="IN39" i="21" s="1"/>
  <c r="IF39" i="21"/>
  <c r="IG39" i="21" s="1"/>
  <c r="HY39" i="21"/>
  <c r="HZ39" i="21" s="1"/>
  <c r="HR39" i="21"/>
  <c r="HS39" i="21" s="1"/>
  <c r="HK39" i="21"/>
  <c r="HL39" i="21" s="1"/>
  <c r="HD39" i="21"/>
  <c r="HE39" i="21" s="1"/>
  <c r="GK39" i="21"/>
  <c r="GL39" i="21" s="1"/>
  <c r="GD39" i="21"/>
  <c r="GE39" i="21" s="1"/>
  <c r="FW39" i="21"/>
  <c r="FX39" i="21" s="1"/>
  <c r="FP39" i="21"/>
  <c r="FQ39" i="21" s="1"/>
  <c r="FI39" i="21"/>
  <c r="FJ39" i="21" s="1"/>
  <c r="FB39" i="21"/>
  <c r="FC39" i="21" s="1"/>
  <c r="EU39" i="21"/>
  <c r="EV39" i="21" s="1"/>
  <c r="EN39" i="21"/>
  <c r="EO39" i="21" s="1"/>
  <c r="EG39" i="21"/>
  <c r="EH39" i="21" s="1"/>
  <c r="DN39" i="21"/>
  <c r="DO39" i="21" s="1"/>
  <c r="DG39" i="21"/>
  <c r="DH39" i="21" s="1"/>
  <c r="CZ39" i="21"/>
  <c r="DA39" i="21" s="1"/>
  <c r="CS39" i="21"/>
  <c r="CT39" i="21" s="1"/>
  <c r="CL39" i="21"/>
  <c r="CM39" i="21" s="1"/>
  <c r="CE39" i="21"/>
  <c r="CF39" i="21" s="1"/>
  <c r="BX39" i="21"/>
  <c r="BY39" i="21" s="1"/>
  <c r="AG39" i="21"/>
  <c r="AH39" i="21" s="1"/>
  <c r="Z39" i="21"/>
  <c r="AA39" i="21" s="1"/>
  <c r="S39" i="21"/>
  <c r="T39" i="21" s="1"/>
  <c r="JH38" i="21"/>
  <c r="JI38" i="21" s="1"/>
  <c r="JA38" i="21"/>
  <c r="JB38" i="21" s="1"/>
  <c r="IT38" i="21"/>
  <c r="IU38" i="21" s="1"/>
  <c r="IM38" i="21"/>
  <c r="IN38" i="21" s="1"/>
  <c r="IF38" i="21"/>
  <c r="IG38" i="21" s="1"/>
  <c r="HY38" i="21"/>
  <c r="HZ38" i="21" s="1"/>
  <c r="HR38" i="21"/>
  <c r="HS38" i="21" s="1"/>
  <c r="HK38" i="21"/>
  <c r="HL38" i="21" s="1"/>
  <c r="HD38" i="21"/>
  <c r="HE38" i="21" s="1"/>
  <c r="GK38" i="21"/>
  <c r="GL38" i="21" s="1"/>
  <c r="GD38" i="21"/>
  <c r="GE38" i="21" s="1"/>
  <c r="FW38" i="21"/>
  <c r="FX38" i="21" s="1"/>
  <c r="FP38" i="21"/>
  <c r="FQ38" i="21" s="1"/>
  <c r="FI38" i="21"/>
  <c r="FJ38" i="21" s="1"/>
  <c r="FB38" i="21"/>
  <c r="FC38" i="21" s="1"/>
  <c r="EU38" i="21"/>
  <c r="EV38" i="21" s="1"/>
  <c r="EN38" i="21"/>
  <c r="EO38" i="21" s="1"/>
  <c r="EG38" i="21"/>
  <c r="EH38" i="21" s="1"/>
  <c r="DN38" i="21"/>
  <c r="DO38" i="21" s="1"/>
  <c r="DG38" i="21"/>
  <c r="DH38" i="21" s="1"/>
  <c r="CZ38" i="21"/>
  <c r="DA38" i="21" s="1"/>
  <c r="CS38" i="21"/>
  <c r="CT38" i="21" s="1"/>
  <c r="CL38" i="21"/>
  <c r="CM38" i="21" s="1"/>
  <c r="CE38" i="21"/>
  <c r="CF38" i="21" s="1"/>
  <c r="BX38" i="21"/>
  <c r="BY38" i="21" s="1"/>
  <c r="AG38" i="21"/>
  <c r="AH38" i="21" s="1"/>
  <c r="Z38" i="21"/>
  <c r="AA38" i="21" s="1"/>
  <c r="S38" i="21"/>
  <c r="T38" i="21" s="1"/>
  <c r="JH37" i="21"/>
  <c r="JI37" i="21" s="1"/>
  <c r="JA37" i="21"/>
  <c r="JB37" i="21" s="1"/>
  <c r="IT37" i="21"/>
  <c r="IU37" i="21" s="1"/>
  <c r="IM37" i="21"/>
  <c r="IN37" i="21" s="1"/>
  <c r="IF37" i="21"/>
  <c r="IG37" i="21" s="1"/>
  <c r="HY37" i="21"/>
  <c r="HZ37" i="21" s="1"/>
  <c r="HR37" i="21"/>
  <c r="HS37" i="21" s="1"/>
  <c r="HK37" i="21"/>
  <c r="HL37" i="21" s="1"/>
  <c r="HD37" i="21"/>
  <c r="HE37" i="21" s="1"/>
  <c r="GK37" i="21"/>
  <c r="GL37" i="21" s="1"/>
  <c r="GD37" i="21"/>
  <c r="GE37" i="21" s="1"/>
  <c r="FW37" i="21"/>
  <c r="FX37" i="21" s="1"/>
  <c r="FP37" i="21"/>
  <c r="FQ37" i="21" s="1"/>
  <c r="FI37" i="21"/>
  <c r="FJ37" i="21" s="1"/>
  <c r="FB37" i="21"/>
  <c r="FC37" i="21" s="1"/>
  <c r="EU37" i="21"/>
  <c r="EV37" i="21" s="1"/>
  <c r="EN37" i="21"/>
  <c r="EO37" i="21" s="1"/>
  <c r="EG37" i="21"/>
  <c r="EH37" i="21" s="1"/>
  <c r="DN37" i="21"/>
  <c r="DO37" i="21" s="1"/>
  <c r="DG37" i="21"/>
  <c r="DH37" i="21" s="1"/>
  <c r="CZ37" i="21"/>
  <c r="DA37" i="21" s="1"/>
  <c r="CS37" i="21"/>
  <c r="CT37" i="21" s="1"/>
  <c r="CL37" i="21"/>
  <c r="CM37" i="21" s="1"/>
  <c r="CE37" i="21"/>
  <c r="CF37" i="21" s="1"/>
  <c r="BX37" i="21"/>
  <c r="BY37" i="21" s="1"/>
  <c r="AG37" i="21"/>
  <c r="AH37" i="21" s="1"/>
  <c r="Z37" i="21"/>
  <c r="AA37" i="21" s="1"/>
  <c r="S37" i="21"/>
  <c r="T37" i="21" s="1"/>
  <c r="JH36" i="21"/>
  <c r="JI36" i="21" s="1"/>
  <c r="JA36" i="21"/>
  <c r="JB36" i="21" s="1"/>
  <c r="IT36" i="21"/>
  <c r="IU36" i="21" s="1"/>
  <c r="IM36" i="21"/>
  <c r="IN36" i="21" s="1"/>
  <c r="IF36" i="21"/>
  <c r="IG36" i="21" s="1"/>
  <c r="HY36" i="21"/>
  <c r="HZ36" i="21" s="1"/>
  <c r="HR36" i="21"/>
  <c r="HS36" i="21" s="1"/>
  <c r="HK36" i="21"/>
  <c r="HL36" i="21" s="1"/>
  <c r="HD36" i="21"/>
  <c r="HE36" i="21" s="1"/>
  <c r="GK36" i="21"/>
  <c r="GL36" i="21" s="1"/>
  <c r="GD36" i="21"/>
  <c r="GE36" i="21" s="1"/>
  <c r="FW36" i="21"/>
  <c r="FX36" i="21" s="1"/>
  <c r="FP36" i="21"/>
  <c r="FQ36" i="21" s="1"/>
  <c r="FI36" i="21"/>
  <c r="FJ36" i="21" s="1"/>
  <c r="FB36" i="21"/>
  <c r="FC36" i="21" s="1"/>
  <c r="EU36" i="21"/>
  <c r="EV36" i="21" s="1"/>
  <c r="EN36" i="21"/>
  <c r="EO36" i="21" s="1"/>
  <c r="EG36" i="21"/>
  <c r="EH36" i="21" s="1"/>
  <c r="DN36" i="21"/>
  <c r="DO36" i="21" s="1"/>
  <c r="DG36" i="21"/>
  <c r="DH36" i="21" s="1"/>
  <c r="CZ36" i="21"/>
  <c r="DA36" i="21" s="1"/>
  <c r="CS36" i="21"/>
  <c r="CT36" i="21" s="1"/>
  <c r="CL36" i="21"/>
  <c r="CM36" i="21" s="1"/>
  <c r="CE36" i="21"/>
  <c r="CF36" i="21" s="1"/>
  <c r="BX36" i="21"/>
  <c r="BY36" i="21" s="1"/>
  <c r="AG36" i="21"/>
  <c r="AH36" i="21" s="1"/>
  <c r="Z36" i="21"/>
  <c r="AA36" i="21" s="1"/>
  <c r="S36" i="21"/>
  <c r="T36" i="21" s="1"/>
  <c r="JH35" i="21"/>
  <c r="JI35" i="21" s="1"/>
  <c r="JA35" i="21"/>
  <c r="JB35" i="21" s="1"/>
  <c r="IT35" i="21"/>
  <c r="IU35" i="21" s="1"/>
  <c r="IM35" i="21"/>
  <c r="IN35" i="21" s="1"/>
  <c r="IF35" i="21"/>
  <c r="IG35" i="21" s="1"/>
  <c r="HY35" i="21"/>
  <c r="HZ35" i="21" s="1"/>
  <c r="HR35" i="21"/>
  <c r="HS35" i="21" s="1"/>
  <c r="HK35" i="21"/>
  <c r="HL35" i="21" s="1"/>
  <c r="HD35" i="21"/>
  <c r="HE35" i="21" s="1"/>
  <c r="GK35" i="21"/>
  <c r="GL35" i="21" s="1"/>
  <c r="GD35" i="21"/>
  <c r="GE35" i="21" s="1"/>
  <c r="FW35" i="21"/>
  <c r="FX35" i="21" s="1"/>
  <c r="FP35" i="21"/>
  <c r="FQ35" i="21" s="1"/>
  <c r="FI35" i="21"/>
  <c r="FJ35" i="21" s="1"/>
  <c r="FB35" i="21"/>
  <c r="FC35" i="21" s="1"/>
  <c r="EU35" i="21"/>
  <c r="EV35" i="21" s="1"/>
  <c r="EN35" i="21"/>
  <c r="EO35" i="21" s="1"/>
  <c r="EG35" i="21"/>
  <c r="EH35" i="21" s="1"/>
  <c r="DN35" i="21"/>
  <c r="DO35" i="21" s="1"/>
  <c r="DG35" i="21"/>
  <c r="DH35" i="21" s="1"/>
  <c r="CZ35" i="21"/>
  <c r="DA35" i="21" s="1"/>
  <c r="CS35" i="21"/>
  <c r="CT35" i="21" s="1"/>
  <c r="CL35" i="21"/>
  <c r="CM35" i="21" s="1"/>
  <c r="CE35" i="21"/>
  <c r="CF35" i="21" s="1"/>
  <c r="BX35" i="21"/>
  <c r="BY35" i="21" s="1"/>
  <c r="AG35" i="21"/>
  <c r="AH35" i="21" s="1"/>
  <c r="Z35" i="21"/>
  <c r="AA35" i="21" s="1"/>
  <c r="S35" i="21"/>
  <c r="T35" i="21" s="1"/>
  <c r="JH34" i="21"/>
  <c r="JI34" i="21" s="1"/>
  <c r="JA34" i="21"/>
  <c r="JB34" i="21" s="1"/>
  <c r="IT34" i="21"/>
  <c r="IU34" i="21" s="1"/>
  <c r="IM34" i="21"/>
  <c r="IN34" i="21" s="1"/>
  <c r="IF34" i="21"/>
  <c r="IG34" i="21" s="1"/>
  <c r="HY34" i="21"/>
  <c r="HZ34" i="21" s="1"/>
  <c r="HR34" i="21"/>
  <c r="HS34" i="21" s="1"/>
  <c r="HK34" i="21"/>
  <c r="HL34" i="21" s="1"/>
  <c r="HD34" i="21"/>
  <c r="HE34" i="21" s="1"/>
  <c r="GK34" i="21"/>
  <c r="GL34" i="21" s="1"/>
  <c r="GD34" i="21"/>
  <c r="GE34" i="21" s="1"/>
  <c r="FW34" i="21"/>
  <c r="FX34" i="21" s="1"/>
  <c r="FP34" i="21"/>
  <c r="FQ34" i="21" s="1"/>
  <c r="FI34" i="21"/>
  <c r="FJ34" i="21" s="1"/>
  <c r="FB34" i="21"/>
  <c r="FC34" i="21" s="1"/>
  <c r="EU34" i="21"/>
  <c r="EV34" i="21" s="1"/>
  <c r="EN34" i="21"/>
  <c r="EO34" i="21" s="1"/>
  <c r="EG34" i="21"/>
  <c r="EH34" i="21" s="1"/>
  <c r="DN34" i="21"/>
  <c r="DO34" i="21" s="1"/>
  <c r="DG34" i="21"/>
  <c r="DH34" i="21" s="1"/>
  <c r="CZ34" i="21"/>
  <c r="DA34" i="21" s="1"/>
  <c r="CS34" i="21"/>
  <c r="CT34" i="21" s="1"/>
  <c r="CL34" i="21"/>
  <c r="CM34" i="21" s="1"/>
  <c r="CE34" i="21"/>
  <c r="CF34" i="21" s="1"/>
  <c r="BX34" i="21"/>
  <c r="BY34" i="21" s="1"/>
  <c r="AG34" i="21"/>
  <c r="AH34" i="21" s="1"/>
  <c r="Z34" i="21"/>
  <c r="AA34" i="21" s="1"/>
  <c r="S34" i="21"/>
  <c r="T34" i="21" s="1"/>
  <c r="JH33" i="21"/>
  <c r="JI33" i="21" s="1"/>
  <c r="JA33" i="21"/>
  <c r="JB33" i="21" s="1"/>
  <c r="IT33" i="21"/>
  <c r="IU33" i="21" s="1"/>
  <c r="IM33" i="21"/>
  <c r="IN33" i="21" s="1"/>
  <c r="IF33" i="21"/>
  <c r="IG33" i="21" s="1"/>
  <c r="HY33" i="21"/>
  <c r="HZ33" i="21" s="1"/>
  <c r="HR33" i="21"/>
  <c r="HS33" i="21" s="1"/>
  <c r="HK33" i="21"/>
  <c r="HL33" i="21" s="1"/>
  <c r="HD33" i="21"/>
  <c r="HE33" i="21" s="1"/>
  <c r="GK33" i="21"/>
  <c r="GL33" i="21" s="1"/>
  <c r="GD33" i="21"/>
  <c r="GE33" i="21" s="1"/>
  <c r="FW33" i="21"/>
  <c r="FX33" i="21" s="1"/>
  <c r="FP33" i="21"/>
  <c r="FQ33" i="21" s="1"/>
  <c r="FI33" i="21"/>
  <c r="FJ33" i="21" s="1"/>
  <c r="FB33" i="21"/>
  <c r="FC33" i="21" s="1"/>
  <c r="EU33" i="21"/>
  <c r="EV33" i="21" s="1"/>
  <c r="EN33" i="21"/>
  <c r="EO33" i="21" s="1"/>
  <c r="EG33" i="21"/>
  <c r="EH33" i="21" s="1"/>
  <c r="DN33" i="21"/>
  <c r="DO33" i="21" s="1"/>
  <c r="DG33" i="21"/>
  <c r="DH33" i="21" s="1"/>
  <c r="CZ33" i="21"/>
  <c r="DA33" i="21" s="1"/>
  <c r="CS33" i="21"/>
  <c r="CT33" i="21" s="1"/>
  <c r="CL33" i="21"/>
  <c r="CM33" i="21" s="1"/>
  <c r="CE33" i="21"/>
  <c r="CF33" i="21" s="1"/>
  <c r="BX33" i="21"/>
  <c r="BY33" i="21" s="1"/>
  <c r="AG33" i="21"/>
  <c r="AH33" i="21" s="1"/>
  <c r="Z33" i="21"/>
  <c r="AA33" i="21" s="1"/>
  <c r="S33" i="21"/>
  <c r="T33" i="21" s="1"/>
  <c r="JH32" i="21"/>
  <c r="JI32" i="21" s="1"/>
  <c r="JA32" i="21"/>
  <c r="JB32" i="21" s="1"/>
  <c r="IT32" i="21"/>
  <c r="IU32" i="21" s="1"/>
  <c r="IM32" i="21"/>
  <c r="IN32" i="21" s="1"/>
  <c r="IF32" i="21"/>
  <c r="IG32" i="21" s="1"/>
  <c r="HY32" i="21"/>
  <c r="HZ32" i="21" s="1"/>
  <c r="HR32" i="21"/>
  <c r="HS32" i="21" s="1"/>
  <c r="HK32" i="21"/>
  <c r="HL32" i="21" s="1"/>
  <c r="HD32" i="21"/>
  <c r="HE32" i="21" s="1"/>
  <c r="GK32" i="21"/>
  <c r="GL32" i="21" s="1"/>
  <c r="GD32" i="21"/>
  <c r="GE32" i="21" s="1"/>
  <c r="FW32" i="21"/>
  <c r="FX32" i="21" s="1"/>
  <c r="FP32" i="21"/>
  <c r="FQ32" i="21" s="1"/>
  <c r="FI32" i="21"/>
  <c r="FJ32" i="21" s="1"/>
  <c r="FB32" i="21"/>
  <c r="FC32" i="21" s="1"/>
  <c r="EU32" i="21"/>
  <c r="EV32" i="21" s="1"/>
  <c r="EN32" i="21"/>
  <c r="EO32" i="21" s="1"/>
  <c r="EG32" i="21"/>
  <c r="EH32" i="21" s="1"/>
  <c r="DN32" i="21"/>
  <c r="DO32" i="21" s="1"/>
  <c r="DG32" i="21"/>
  <c r="DH32" i="21" s="1"/>
  <c r="CZ32" i="21"/>
  <c r="DA32" i="21" s="1"/>
  <c r="CS32" i="21"/>
  <c r="CT32" i="21" s="1"/>
  <c r="CL32" i="21"/>
  <c r="CM32" i="21" s="1"/>
  <c r="CE32" i="21"/>
  <c r="CF32" i="21" s="1"/>
  <c r="BX32" i="21"/>
  <c r="BY32" i="21" s="1"/>
  <c r="AG32" i="21"/>
  <c r="AH32" i="21" s="1"/>
  <c r="Z32" i="21"/>
  <c r="AA32" i="21" s="1"/>
  <c r="S32" i="21"/>
  <c r="T32" i="21" s="1"/>
  <c r="JH31" i="21"/>
  <c r="JI31" i="21" s="1"/>
  <c r="JA31" i="21"/>
  <c r="JB31" i="21" s="1"/>
  <c r="IT31" i="21"/>
  <c r="IU31" i="21" s="1"/>
  <c r="IM31" i="21"/>
  <c r="IN31" i="21" s="1"/>
  <c r="IF31" i="21"/>
  <c r="IG31" i="21" s="1"/>
  <c r="HY31" i="21"/>
  <c r="HZ31" i="21" s="1"/>
  <c r="HR31" i="21"/>
  <c r="HS31" i="21" s="1"/>
  <c r="HK31" i="21"/>
  <c r="HL31" i="21" s="1"/>
  <c r="HD31" i="21"/>
  <c r="HE31" i="21" s="1"/>
  <c r="GK31" i="21"/>
  <c r="GL31" i="21" s="1"/>
  <c r="GD31" i="21"/>
  <c r="GE31" i="21" s="1"/>
  <c r="FW31" i="21"/>
  <c r="FX31" i="21" s="1"/>
  <c r="FP31" i="21"/>
  <c r="FQ31" i="21" s="1"/>
  <c r="FI31" i="21"/>
  <c r="FJ31" i="21" s="1"/>
  <c r="FB31" i="21"/>
  <c r="FC31" i="21" s="1"/>
  <c r="EU31" i="21"/>
  <c r="EV31" i="21" s="1"/>
  <c r="EN31" i="21"/>
  <c r="EO31" i="21" s="1"/>
  <c r="EG31" i="21"/>
  <c r="EH31" i="21" s="1"/>
  <c r="DN31" i="21"/>
  <c r="DO31" i="21" s="1"/>
  <c r="DG31" i="21"/>
  <c r="DH31" i="21" s="1"/>
  <c r="CZ31" i="21"/>
  <c r="DA31" i="21" s="1"/>
  <c r="CS31" i="21"/>
  <c r="CT31" i="21" s="1"/>
  <c r="CL31" i="21"/>
  <c r="CM31" i="21" s="1"/>
  <c r="CE31" i="21"/>
  <c r="CF31" i="21" s="1"/>
  <c r="BX31" i="21"/>
  <c r="BY31" i="21" s="1"/>
  <c r="AG31" i="21"/>
  <c r="AH31" i="21" s="1"/>
  <c r="Z31" i="21"/>
  <c r="AA31" i="21" s="1"/>
  <c r="S31" i="21"/>
  <c r="T31" i="21" s="1"/>
  <c r="JH30" i="21"/>
  <c r="JI30" i="21" s="1"/>
  <c r="JA30" i="21"/>
  <c r="JB30" i="21" s="1"/>
  <c r="IT30" i="21"/>
  <c r="IU30" i="21" s="1"/>
  <c r="IM30" i="21"/>
  <c r="IN30" i="21" s="1"/>
  <c r="IF30" i="21"/>
  <c r="IG30" i="21" s="1"/>
  <c r="HY30" i="21"/>
  <c r="HZ30" i="21" s="1"/>
  <c r="HR30" i="21"/>
  <c r="HS30" i="21" s="1"/>
  <c r="HK30" i="21"/>
  <c r="HL30" i="21" s="1"/>
  <c r="HD30" i="21"/>
  <c r="HE30" i="21" s="1"/>
  <c r="GK30" i="21"/>
  <c r="GL30" i="21" s="1"/>
  <c r="GD30" i="21"/>
  <c r="GE30" i="21" s="1"/>
  <c r="FW30" i="21"/>
  <c r="FX30" i="21" s="1"/>
  <c r="FP30" i="21"/>
  <c r="FQ30" i="21" s="1"/>
  <c r="FI30" i="21"/>
  <c r="FJ30" i="21" s="1"/>
  <c r="FB30" i="21"/>
  <c r="FC30" i="21" s="1"/>
  <c r="EU30" i="21"/>
  <c r="EV30" i="21" s="1"/>
  <c r="EN30" i="21"/>
  <c r="EO30" i="21" s="1"/>
  <c r="EG30" i="21"/>
  <c r="EH30" i="21" s="1"/>
  <c r="DN30" i="21"/>
  <c r="DO30" i="21" s="1"/>
  <c r="DG30" i="21"/>
  <c r="DH30" i="21" s="1"/>
  <c r="CZ30" i="21"/>
  <c r="DA30" i="21" s="1"/>
  <c r="CS30" i="21"/>
  <c r="CT30" i="21" s="1"/>
  <c r="CL30" i="21"/>
  <c r="CM30" i="21" s="1"/>
  <c r="CE30" i="21"/>
  <c r="CF30" i="21" s="1"/>
  <c r="BX30" i="21"/>
  <c r="BY30" i="21" s="1"/>
  <c r="AG30" i="21"/>
  <c r="AH30" i="21" s="1"/>
  <c r="Z30" i="21"/>
  <c r="AA30" i="21" s="1"/>
  <c r="S30" i="21"/>
  <c r="T30" i="21" s="1"/>
  <c r="JH29" i="21"/>
  <c r="JI29" i="21" s="1"/>
  <c r="JA29" i="21"/>
  <c r="JB29" i="21" s="1"/>
  <c r="IT29" i="21"/>
  <c r="IU29" i="21" s="1"/>
  <c r="IM29" i="21"/>
  <c r="IN29" i="21" s="1"/>
  <c r="IF29" i="21"/>
  <c r="IG29" i="21" s="1"/>
  <c r="HY29" i="21"/>
  <c r="HZ29" i="21" s="1"/>
  <c r="HR29" i="21"/>
  <c r="HS29" i="21" s="1"/>
  <c r="HK29" i="21"/>
  <c r="HL29" i="21" s="1"/>
  <c r="HD29" i="21"/>
  <c r="HE29" i="21" s="1"/>
  <c r="GK29" i="21"/>
  <c r="GL29" i="21" s="1"/>
  <c r="GD29" i="21"/>
  <c r="GE29" i="21" s="1"/>
  <c r="FW29" i="21"/>
  <c r="FX29" i="21" s="1"/>
  <c r="FP29" i="21"/>
  <c r="FQ29" i="21" s="1"/>
  <c r="FI29" i="21"/>
  <c r="FJ29" i="21" s="1"/>
  <c r="FB29" i="21"/>
  <c r="FC29" i="21" s="1"/>
  <c r="EU29" i="21"/>
  <c r="EV29" i="21" s="1"/>
  <c r="EN29" i="21"/>
  <c r="EO29" i="21" s="1"/>
  <c r="EG29" i="21"/>
  <c r="EH29" i="21" s="1"/>
  <c r="DN29" i="21"/>
  <c r="DO29" i="21" s="1"/>
  <c r="DG29" i="21"/>
  <c r="DH29" i="21" s="1"/>
  <c r="CZ29" i="21"/>
  <c r="DA29" i="21" s="1"/>
  <c r="CS29" i="21"/>
  <c r="CT29" i="21" s="1"/>
  <c r="CL29" i="21"/>
  <c r="CM29" i="21" s="1"/>
  <c r="CE29" i="21"/>
  <c r="CF29" i="21" s="1"/>
  <c r="BX29" i="21"/>
  <c r="BY29" i="21" s="1"/>
  <c r="AG29" i="21"/>
  <c r="AH29" i="21" s="1"/>
  <c r="Z29" i="21"/>
  <c r="AA29" i="21" s="1"/>
  <c r="S29" i="21"/>
  <c r="T29" i="21" s="1"/>
  <c r="JH28" i="21"/>
  <c r="JI28" i="21" s="1"/>
  <c r="JA28" i="21"/>
  <c r="JB28" i="21" s="1"/>
  <c r="IT28" i="21"/>
  <c r="IU28" i="21" s="1"/>
  <c r="IM28" i="21"/>
  <c r="IN28" i="21" s="1"/>
  <c r="IF28" i="21"/>
  <c r="IG28" i="21" s="1"/>
  <c r="HY28" i="21"/>
  <c r="HZ28" i="21" s="1"/>
  <c r="HR28" i="21"/>
  <c r="HS28" i="21" s="1"/>
  <c r="HK28" i="21"/>
  <c r="HL28" i="21" s="1"/>
  <c r="HD28" i="21"/>
  <c r="HE28" i="21" s="1"/>
  <c r="GK28" i="21"/>
  <c r="GL28" i="21" s="1"/>
  <c r="GD28" i="21"/>
  <c r="GE28" i="21" s="1"/>
  <c r="FW28" i="21"/>
  <c r="FX28" i="21" s="1"/>
  <c r="FP28" i="21"/>
  <c r="FQ28" i="21" s="1"/>
  <c r="FI28" i="21"/>
  <c r="FJ28" i="21" s="1"/>
  <c r="FB28" i="21"/>
  <c r="FC28" i="21" s="1"/>
  <c r="EU28" i="21"/>
  <c r="EV28" i="21" s="1"/>
  <c r="EN28" i="21"/>
  <c r="EO28" i="21" s="1"/>
  <c r="EG28" i="21"/>
  <c r="EH28" i="21" s="1"/>
  <c r="DN28" i="21"/>
  <c r="DO28" i="21" s="1"/>
  <c r="DG28" i="21"/>
  <c r="DH28" i="21" s="1"/>
  <c r="CZ28" i="21"/>
  <c r="DA28" i="21" s="1"/>
  <c r="CS28" i="21"/>
  <c r="CT28" i="21" s="1"/>
  <c r="CL28" i="21"/>
  <c r="CM28" i="21" s="1"/>
  <c r="CE28" i="21"/>
  <c r="CF28" i="21" s="1"/>
  <c r="BX28" i="21"/>
  <c r="BY28" i="21" s="1"/>
  <c r="AG28" i="21"/>
  <c r="AH28" i="21" s="1"/>
  <c r="Z28" i="21"/>
  <c r="AA28" i="21" s="1"/>
  <c r="S28" i="21"/>
  <c r="T28" i="21" s="1"/>
  <c r="JH27" i="21"/>
  <c r="JI27" i="21" s="1"/>
  <c r="JA27" i="21"/>
  <c r="JB27" i="21" s="1"/>
  <c r="IT27" i="21"/>
  <c r="IU27" i="21" s="1"/>
  <c r="IM27" i="21"/>
  <c r="IN27" i="21" s="1"/>
  <c r="IF27" i="21"/>
  <c r="IG27" i="21" s="1"/>
  <c r="HY27" i="21"/>
  <c r="HZ27" i="21" s="1"/>
  <c r="HR27" i="21"/>
  <c r="HS27" i="21" s="1"/>
  <c r="HK27" i="21"/>
  <c r="HL27" i="21" s="1"/>
  <c r="HD27" i="21"/>
  <c r="HE27" i="21" s="1"/>
  <c r="GK27" i="21"/>
  <c r="GL27" i="21" s="1"/>
  <c r="GD27" i="21"/>
  <c r="GE27" i="21" s="1"/>
  <c r="FW27" i="21"/>
  <c r="FX27" i="21" s="1"/>
  <c r="FP27" i="21"/>
  <c r="FQ27" i="21" s="1"/>
  <c r="FI27" i="21"/>
  <c r="FJ27" i="21" s="1"/>
  <c r="FB27" i="21"/>
  <c r="FC27" i="21" s="1"/>
  <c r="EU27" i="21"/>
  <c r="EV27" i="21" s="1"/>
  <c r="EN27" i="21"/>
  <c r="EO27" i="21" s="1"/>
  <c r="EG27" i="21"/>
  <c r="EH27" i="21" s="1"/>
  <c r="DN27" i="21"/>
  <c r="DO27" i="21" s="1"/>
  <c r="DG27" i="21"/>
  <c r="DH27" i="21" s="1"/>
  <c r="CZ27" i="21"/>
  <c r="DA27" i="21" s="1"/>
  <c r="CS27" i="21"/>
  <c r="CT27" i="21" s="1"/>
  <c r="CL27" i="21"/>
  <c r="CM27" i="21" s="1"/>
  <c r="CE27" i="21"/>
  <c r="CF27" i="21" s="1"/>
  <c r="BX27" i="21"/>
  <c r="BY27" i="21" s="1"/>
  <c r="AG27" i="21"/>
  <c r="AH27" i="21" s="1"/>
  <c r="Z27" i="21"/>
  <c r="AA27" i="21" s="1"/>
  <c r="S27" i="21"/>
  <c r="T27" i="21" s="1"/>
  <c r="JH26" i="21"/>
  <c r="JI26" i="21" s="1"/>
  <c r="JA26" i="21"/>
  <c r="JB26" i="21" s="1"/>
  <c r="IT26" i="21"/>
  <c r="IU26" i="21" s="1"/>
  <c r="IM26" i="21"/>
  <c r="IN26" i="21" s="1"/>
  <c r="IF26" i="21"/>
  <c r="IG26" i="21" s="1"/>
  <c r="HY26" i="21"/>
  <c r="HZ26" i="21" s="1"/>
  <c r="HR26" i="21"/>
  <c r="HS26" i="21" s="1"/>
  <c r="HK26" i="21"/>
  <c r="HL26" i="21" s="1"/>
  <c r="HD26" i="21"/>
  <c r="HE26" i="21" s="1"/>
  <c r="GK26" i="21"/>
  <c r="GL26" i="21" s="1"/>
  <c r="GD26" i="21"/>
  <c r="GE26" i="21" s="1"/>
  <c r="FW26" i="21"/>
  <c r="FX26" i="21" s="1"/>
  <c r="FP26" i="21"/>
  <c r="FQ26" i="21" s="1"/>
  <c r="FI26" i="21"/>
  <c r="FJ26" i="21" s="1"/>
  <c r="FB26" i="21"/>
  <c r="FC26" i="21" s="1"/>
  <c r="EU26" i="21"/>
  <c r="EV26" i="21" s="1"/>
  <c r="EN26" i="21"/>
  <c r="EO26" i="21" s="1"/>
  <c r="EG26" i="21"/>
  <c r="EH26" i="21" s="1"/>
  <c r="DN26" i="21"/>
  <c r="DO26" i="21" s="1"/>
  <c r="DG26" i="21"/>
  <c r="DH26" i="21" s="1"/>
  <c r="CZ26" i="21"/>
  <c r="DA26" i="21" s="1"/>
  <c r="CS26" i="21"/>
  <c r="CT26" i="21" s="1"/>
  <c r="CL26" i="21"/>
  <c r="CM26" i="21" s="1"/>
  <c r="CE26" i="21"/>
  <c r="CF26" i="21" s="1"/>
  <c r="BX26" i="21"/>
  <c r="BY26" i="21" s="1"/>
  <c r="AG26" i="21"/>
  <c r="AH26" i="21" s="1"/>
  <c r="Z26" i="21"/>
  <c r="AA26" i="21" s="1"/>
  <c r="S26" i="21"/>
  <c r="T26" i="21" s="1"/>
  <c r="JH25" i="21"/>
  <c r="JI25" i="21" s="1"/>
  <c r="JA25" i="21"/>
  <c r="JB25" i="21" s="1"/>
  <c r="IT25" i="21"/>
  <c r="IU25" i="21" s="1"/>
  <c r="IM25" i="21"/>
  <c r="IN25" i="21" s="1"/>
  <c r="IF25" i="21"/>
  <c r="IG25" i="21" s="1"/>
  <c r="HY25" i="21"/>
  <c r="HZ25" i="21" s="1"/>
  <c r="HR25" i="21"/>
  <c r="HS25" i="21" s="1"/>
  <c r="HK25" i="21"/>
  <c r="HL25" i="21" s="1"/>
  <c r="HD25" i="21"/>
  <c r="HE25" i="21" s="1"/>
  <c r="GK25" i="21"/>
  <c r="GL25" i="21" s="1"/>
  <c r="GD25" i="21"/>
  <c r="GE25" i="21" s="1"/>
  <c r="FW25" i="21"/>
  <c r="FX25" i="21" s="1"/>
  <c r="FP25" i="21"/>
  <c r="FQ25" i="21" s="1"/>
  <c r="FI25" i="21"/>
  <c r="FJ25" i="21" s="1"/>
  <c r="FB25" i="21"/>
  <c r="FC25" i="21" s="1"/>
  <c r="EU25" i="21"/>
  <c r="EV25" i="21" s="1"/>
  <c r="EN25" i="21"/>
  <c r="EO25" i="21" s="1"/>
  <c r="EG25" i="21"/>
  <c r="EH25" i="21" s="1"/>
  <c r="DN25" i="21"/>
  <c r="DO25" i="21" s="1"/>
  <c r="DG25" i="21"/>
  <c r="DH25" i="21" s="1"/>
  <c r="CZ25" i="21"/>
  <c r="DA25" i="21" s="1"/>
  <c r="CS25" i="21"/>
  <c r="CT25" i="21" s="1"/>
  <c r="CL25" i="21"/>
  <c r="CM25" i="21" s="1"/>
  <c r="CE25" i="21"/>
  <c r="CF25" i="21" s="1"/>
  <c r="BX25" i="21"/>
  <c r="BY25" i="21" s="1"/>
  <c r="AG25" i="21"/>
  <c r="AH25" i="21" s="1"/>
  <c r="Z25" i="21"/>
  <c r="AA25" i="21" s="1"/>
  <c r="S25" i="21"/>
  <c r="T25" i="21" s="1"/>
  <c r="JH24" i="21"/>
  <c r="JI24" i="21" s="1"/>
  <c r="JA24" i="21"/>
  <c r="JB24" i="21" s="1"/>
  <c r="IT24" i="21"/>
  <c r="IU24" i="21" s="1"/>
  <c r="IM24" i="21"/>
  <c r="IN24" i="21" s="1"/>
  <c r="IF24" i="21"/>
  <c r="IG24" i="21" s="1"/>
  <c r="HY24" i="21"/>
  <c r="HZ24" i="21" s="1"/>
  <c r="HR24" i="21"/>
  <c r="HS24" i="21" s="1"/>
  <c r="HK24" i="21"/>
  <c r="HL24" i="21" s="1"/>
  <c r="HD24" i="21"/>
  <c r="HE24" i="21" s="1"/>
  <c r="GK24" i="21"/>
  <c r="GL24" i="21" s="1"/>
  <c r="GD24" i="21"/>
  <c r="GE24" i="21" s="1"/>
  <c r="FW24" i="21"/>
  <c r="FX24" i="21" s="1"/>
  <c r="FP24" i="21"/>
  <c r="FQ24" i="21" s="1"/>
  <c r="FI24" i="21"/>
  <c r="FJ24" i="21" s="1"/>
  <c r="FB24" i="21"/>
  <c r="FC24" i="21" s="1"/>
  <c r="EU24" i="21"/>
  <c r="EV24" i="21" s="1"/>
  <c r="EN24" i="21"/>
  <c r="EO24" i="21" s="1"/>
  <c r="EG24" i="21"/>
  <c r="EH24" i="21" s="1"/>
  <c r="DN24" i="21"/>
  <c r="DO24" i="21" s="1"/>
  <c r="DG24" i="21"/>
  <c r="DH24" i="21" s="1"/>
  <c r="CZ24" i="21"/>
  <c r="DA24" i="21" s="1"/>
  <c r="CS24" i="21"/>
  <c r="CT24" i="21" s="1"/>
  <c r="CL24" i="21"/>
  <c r="CM24" i="21" s="1"/>
  <c r="CE24" i="21"/>
  <c r="CF24" i="21" s="1"/>
  <c r="BX24" i="21"/>
  <c r="BY24" i="21" s="1"/>
  <c r="AG24" i="21"/>
  <c r="AH24" i="21" s="1"/>
  <c r="Z24" i="21"/>
  <c r="AA24" i="21" s="1"/>
  <c r="S24" i="21"/>
  <c r="T24" i="21" s="1"/>
  <c r="JH23" i="21"/>
  <c r="JI23" i="21" s="1"/>
  <c r="JA23" i="21"/>
  <c r="JB23" i="21" s="1"/>
  <c r="IT23" i="21"/>
  <c r="IU23" i="21" s="1"/>
  <c r="IM23" i="21"/>
  <c r="IN23" i="21" s="1"/>
  <c r="IF23" i="21"/>
  <c r="IG23" i="21" s="1"/>
  <c r="HY23" i="21"/>
  <c r="HZ23" i="21" s="1"/>
  <c r="HR23" i="21"/>
  <c r="HS23" i="21" s="1"/>
  <c r="HK23" i="21"/>
  <c r="HL23" i="21" s="1"/>
  <c r="HD23" i="21"/>
  <c r="HE23" i="21" s="1"/>
  <c r="GK23" i="21"/>
  <c r="GL23" i="21" s="1"/>
  <c r="GD23" i="21"/>
  <c r="GE23" i="21" s="1"/>
  <c r="FW23" i="21"/>
  <c r="FX23" i="21" s="1"/>
  <c r="FP23" i="21"/>
  <c r="FQ23" i="21" s="1"/>
  <c r="FI23" i="21"/>
  <c r="FJ23" i="21" s="1"/>
  <c r="FB23" i="21"/>
  <c r="FC23" i="21" s="1"/>
  <c r="EU23" i="21"/>
  <c r="EV23" i="21" s="1"/>
  <c r="EN23" i="21"/>
  <c r="EO23" i="21" s="1"/>
  <c r="EG23" i="21"/>
  <c r="EH23" i="21" s="1"/>
  <c r="DN23" i="21"/>
  <c r="DO23" i="21" s="1"/>
  <c r="DG23" i="21"/>
  <c r="DH23" i="21" s="1"/>
  <c r="CZ23" i="21"/>
  <c r="DA23" i="21" s="1"/>
  <c r="CS23" i="21"/>
  <c r="CT23" i="21" s="1"/>
  <c r="CL23" i="21"/>
  <c r="CM23" i="21" s="1"/>
  <c r="CE23" i="21"/>
  <c r="CF23" i="21" s="1"/>
  <c r="BX23" i="21"/>
  <c r="BY23" i="21" s="1"/>
  <c r="AG23" i="21"/>
  <c r="AH23" i="21" s="1"/>
  <c r="Z23" i="21"/>
  <c r="AA23" i="21" s="1"/>
  <c r="S23" i="21"/>
  <c r="T23" i="21" s="1"/>
  <c r="JH22" i="21"/>
  <c r="JI22" i="21" s="1"/>
  <c r="JA22" i="21"/>
  <c r="JB22" i="21" s="1"/>
  <c r="IT22" i="21"/>
  <c r="IU22" i="21" s="1"/>
  <c r="IM22" i="21"/>
  <c r="IN22" i="21" s="1"/>
  <c r="IF22" i="21"/>
  <c r="IG22" i="21" s="1"/>
  <c r="HY22" i="21"/>
  <c r="HZ22" i="21" s="1"/>
  <c r="HR22" i="21"/>
  <c r="HS22" i="21" s="1"/>
  <c r="HK22" i="21"/>
  <c r="HL22" i="21" s="1"/>
  <c r="HD22" i="21"/>
  <c r="HE22" i="21" s="1"/>
  <c r="GK22" i="21"/>
  <c r="GL22" i="21" s="1"/>
  <c r="GD22" i="21"/>
  <c r="GE22" i="21" s="1"/>
  <c r="FW22" i="21"/>
  <c r="FX22" i="21" s="1"/>
  <c r="FP22" i="21"/>
  <c r="FQ22" i="21" s="1"/>
  <c r="FI22" i="21"/>
  <c r="FJ22" i="21" s="1"/>
  <c r="FB22" i="21"/>
  <c r="FC22" i="21" s="1"/>
  <c r="EU22" i="21"/>
  <c r="EV22" i="21" s="1"/>
  <c r="EN22" i="21"/>
  <c r="EO22" i="21" s="1"/>
  <c r="EG22" i="21"/>
  <c r="EH22" i="21" s="1"/>
  <c r="DN22" i="21"/>
  <c r="DO22" i="21" s="1"/>
  <c r="DG22" i="21"/>
  <c r="DH22" i="21" s="1"/>
  <c r="CZ22" i="21"/>
  <c r="DA22" i="21" s="1"/>
  <c r="CS22" i="21"/>
  <c r="CT22" i="21" s="1"/>
  <c r="CL22" i="21"/>
  <c r="CM22" i="21" s="1"/>
  <c r="CE22" i="21"/>
  <c r="CF22" i="21" s="1"/>
  <c r="BX22" i="21"/>
  <c r="BY22" i="21" s="1"/>
  <c r="AG22" i="21"/>
  <c r="AH22" i="21" s="1"/>
  <c r="Z22" i="21"/>
  <c r="AA22" i="21" s="1"/>
  <c r="S22" i="21"/>
  <c r="T22" i="21" s="1"/>
  <c r="JH21" i="21"/>
  <c r="JI21" i="21" s="1"/>
  <c r="JA21" i="21"/>
  <c r="JB21" i="21" s="1"/>
  <c r="IT21" i="21"/>
  <c r="IU21" i="21" s="1"/>
  <c r="IM21" i="21"/>
  <c r="IN21" i="21" s="1"/>
  <c r="IF21" i="21"/>
  <c r="IG21" i="21" s="1"/>
  <c r="HY21" i="21"/>
  <c r="HZ21" i="21" s="1"/>
  <c r="HR21" i="21"/>
  <c r="HS21" i="21" s="1"/>
  <c r="HK21" i="21"/>
  <c r="HL21" i="21" s="1"/>
  <c r="HD21" i="21"/>
  <c r="HE21" i="21" s="1"/>
  <c r="GK21" i="21"/>
  <c r="GL21" i="21" s="1"/>
  <c r="GD21" i="21"/>
  <c r="GE21" i="21" s="1"/>
  <c r="FW21" i="21"/>
  <c r="FX21" i="21" s="1"/>
  <c r="FP21" i="21"/>
  <c r="FQ21" i="21" s="1"/>
  <c r="FI21" i="21"/>
  <c r="FJ21" i="21" s="1"/>
  <c r="FB21" i="21"/>
  <c r="FC21" i="21" s="1"/>
  <c r="EU21" i="21"/>
  <c r="EV21" i="21" s="1"/>
  <c r="EN21" i="21"/>
  <c r="EO21" i="21" s="1"/>
  <c r="EG21" i="21"/>
  <c r="EH21" i="21" s="1"/>
  <c r="DN21" i="21"/>
  <c r="DO21" i="21" s="1"/>
  <c r="DG21" i="21"/>
  <c r="DH21" i="21" s="1"/>
  <c r="CZ21" i="21"/>
  <c r="DA21" i="21" s="1"/>
  <c r="CS21" i="21"/>
  <c r="CT21" i="21" s="1"/>
  <c r="CL21" i="21"/>
  <c r="CM21" i="21" s="1"/>
  <c r="CE21" i="21"/>
  <c r="CF21" i="21" s="1"/>
  <c r="BX21" i="21"/>
  <c r="BY21" i="21" s="1"/>
  <c r="AG21" i="21"/>
  <c r="AH21" i="21" s="1"/>
  <c r="Z21" i="21"/>
  <c r="AA21" i="21" s="1"/>
  <c r="S21" i="21"/>
  <c r="T21" i="21" s="1"/>
  <c r="JH20" i="21"/>
  <c r="JI20" i="21" s="1"/>
  <c r="JA20" i="21"/>
  <c r="JB20" i="21" s="1"/>
  <c r="IT20" i="21"/>
  <c r="IU20" i="21" s="1"/>
  <c r="IM20" i="21"/>
  <c r="IN20" i="21" s="1"/>
  <c r="IF20" i="21"/>
  <c r="IG20" i="21" s="1"/>
  <c r="HY20" i="21"/>
  <c r="HZ20" i="21" s="1"/>
  <c r="HR20" i="21"/>
  <c r="HS20" i="21" s="1"/>
  <c r="HK20" i="21"/>
  <c r="HL20" i="21" s="1"/>
  <c r="HD20" i="21"/>
  <c r="HE20" i="21" s="1"/>
  <c r="GK20" i="21"/>
  <c r="GL20" i="21" s="1"/>
  <c r="GD20" i="21"/>
  <c r="GE20" i="21" s="1"/>
  <c r="FW20" i="21"/>
  <c r="FX20" i="21" s="1"/>
  <c r="FP20" i="21"/>
  <c r="FQ20" i="21" s="1"/>
  <c r="FI20" i="21"/>
  <c r="FJ20" i="21" s="1"/>
  <c r="FB20" i="21"/>
  <c r="FC20" i="21" s="1"/>
  <c r="EU20" i="21"/>
  <c r="EV20" i="21" s="1"/>
  <c r="EN20" i="21"/>
  <c r="EO20" i="21" s="1"/>
  <c r="EG20" i="21"/>
  <c r="EH20" i="21" s="1"/>
  <c r="DN20" i="21"/>
  <c r="DO20" i="21" s="1"/>
  <c r="DG20" i="21"/>
  <c r="DH20" i="21" s="1"/>
  <c r="CZ20" i="21"/>
  <c r="DA20" i="21" s="1"/>
  <c r="CS20" i="21"/>
  <c r="CT20" i="21" s="1"/>
  <c r="CL20" i="21"/>
  <c r="CM20" i="21" s="1"/>
  <c r="CE20" i="21"/>
  <c r="CF20" i="21" s="1"/>
  <c r="BX20" i="21"/>
  <c r="BY20" i="21" s="1"/>
  <c r="AG20" i="21"/>
  <c r="AH20" i="21" s="1"/>
  <c r="Z20" i="21"/>
  <c r="AA20" i="21" s="1"/>
  <c r="S20" i="21"/>
  <c r="T20" i="21" s="1"/>
  <c r="JH19" i="21"/>
  <c r="JI19" i="21" s="1"/>
  <c r="JA19" i="21"/>
  <c r="JB19" i="21" s="1"/>
  <c r="IT19" i="21"/>
  <c r="IU19" i="21" s="1"/>
  <c r="IM19" i="21"/>
  <c r="IN19" i="21" s="1"/>
  <c r="IF19" i="21"/>
  <c r="IG19" i="21" s="1"/>
  <c r="HY19" i="21"/>
  <c r="HZ19" i="21" s="1"/>
  <c r="HR19" i="21"/>
  <c r="HS19" i="21" s="1"/>
  <c r="HK19" i="21"/>
  <c r="HL19" i="21" s="1"/>
  <c r="HD19" i="21"/>
  <c r="HE19" i="21" s="1"/>
  <c r="GK19" i="21"/>
  <c r="GL19" i="21" s="1"/>
  <c r="GD19" i="21"/>
  <c r="GE19" i="21" s="1"/>
  <c r="FW19" i="21"/>
  <c r="FX19" i="21" s="1"/>
  <c r="FP19" i="21"/>
  <c r="FQ19" i="21" s="1"/>
  <c r="FI19" i="21"/>
  <c r="FJ19" i="21" s="1"/>
  <c r="FB19" i="21"/>
  <c r="FC19" i="21" s="1"/>
  <c r="EU19" i="21"/>
  <c r="EV19" i="21" s="1"/>
  <c r="EN19" i="21"/>
  <c r="EO19" i="21" s="1"/>
  <c r="EG19" i="21"/>
  <c r="EH19" i="21" s="1"/>
  <c r="DN19" i="21"/>
  <c r="DO19" i="21" s="1"/>
  <c r="DG19" i="21"/>
  <c r="DH19" i="21" s="1"/>
  <c r="CZ19" i="21"/>
  <c r="DA19" i="21" s="1"/>
  <c r="CS19" i="21"/>
  <c r="CT19" i="21" s="1"/>
  <c r="CL19" i="21"/>
  <c r="CM19" i="21" s="1"/>
  <c r="CE19" i="21"/>
  <c r="CF19" i="21" s="1"/>
  <c r="BX19" i="21"/>
  <c r="BY19" i="21" s="1"/>
  <c r="AG19" i="21"/>
  <c r="AH19" i="21" s="1"/>
  <c r="Z19" i="21"/>
  <c r="AA19" i="21" s="1"/>
  <c r="S19" i="21"/>
  <c r="T19" i="21" s="1"/>
  <c r="JH18" i="21"/>
  <c r="JI18" i="21" s="1"/>
  <c r="JA18" i="21"/>
  <c r="JB18" i="21" s="1"/>
  <c r="IT18" i="21"/>
  <c r="IU18" i="21" s="1"/>
  <c r="IM18" i="21"/>
  <c r="IN18" i="21" s="1"/>
  <c r="IF18" i="21"/>
  <c r="IG18" i="21" s="1"/>
  <c r="HY18" i="21"/>
  <c r="HZ18" i="21" s="1"/>
  <c r="HR18" i="21"/>
  <c r="HS18" i="21" s="1"/>
  <c r="HK18" i="21"/>
  <c r="HL18" i="21" s="1"/>
  <c r="HD18" i="21"/>
  <c r="HE18" i="21" s="1"/>
  <c r="GK18" i="21"/>
  <c r="GL18" i="21" s="1"/>
  <c r="GD18" i="21"/>
  <c r="GE18" i="21" s="1"/>
  <c r="FW18" i="21"/>
  <c r="FX18" i="21" s="1"/>
  <c r="FP18" i="21"/>
  <c r="FQ18" i="21" s="1"/>
  <c r="FI18" i="21"/>
  <c r="FJ18" i="21" s="1"/>
  <c r="FB18" i="21"/>
  <c r="FC18" i="21" s="1"/>
  <c r="EU18" i="21"/>
  <c r="EV18" i="21" s="1"/>
  <c r="EN18" i="21"/>
  <c r="EO18" i="21" s="1"/>
  <c r="EG18" i="21"/>
  <c r="EH18" i="21" s="1"/>
  <c r="DN18" i="21"/>
  <c r="DO18" i="21" s="1"/>
  <c r="DG18" i="21"/>
  <c r="DH18" i="21" s="1"/>
  <c r="CZ18" i="21"/>
  <c r="DA18" i="21" s="1"/>
  <c r="CS18" i="21"/>
  <c r="CT18" i="21" s="1"/>
  <c r="CL18" i="21"/>
  <c r="CM18" i="21" s="1"/>
  <c r="CE18" i="21"/>
  <c r="CF18" i="21" s="1"/>
  <c r="BX18" i="21"/>
  <c r="BY18" i="21" s="1"/>
  <c r="AG18" i="21"/>
  <c r="AH18" i="21" s="1"/>
  <c r="Z18" i="21"/>
  <c r="AA18" i="21" s="1"/>
  <c r="S18" i="21"/>
  <c r="T18" i="21" s="1"/>
  <c r="JH17" i="21"/>
  <c r="JI17" i="21" s="1"/>
  <c r="JA17" i="21"/>
  <c r="JB17" i="21" s="1"/>
  <c r="IT17" i="21"/>
  <c r="IU17" i="21" s="1"/>
  <c r="IM17" i="21"/>
  <c r="IN17" i="21" s="1"/>
  <c r="IF17" i="21"/>
  <c r="IG17" i="21" s="1"/>
  <c r="HY17" i="21"/>
  <c r="HZ17" i="21" s="1"/>
  <c r="HR17" i="21"/>
  <c r="HS17" i="21" s="1"/>
  <c r="HK17" i="21"/>
  <c r="HL17" i="21" s="1"/>
  <c r="HD17" i="21"/>
  <c r="HE17" i="21" s="1"/>
  <c r="GK17" i="21"/>
  <c r="GL17" i="21" s="1"/>
  <c r="GD17" i="21"/>
  <c r="GE17" i="21" s="1"/>
  <c r="FW17" i="21"/>
  <c r="FX17" i="21" s="1"/>
  <c r="FP17" i="21"/>
  <c r="FQ17" i="21" s="1"/>
  <c r="FI17" i="21"/>
  <c r="FJ17" i="21" s="1"/>
  <c r="FB17" i="21"/>
  <c r="FC17" i="21" s="1"/>
  <c r="EU17" i="21"/>
  <c r="EV17" i="21" s="1"/>
  <c r="EN17" i="21"/>
  <c r="EO17" i="21" s="1"/>
  <c r="EG17" i="21"/>
  <c r="EH17" i="21" s="1"/>
  <c r="DN17" i="21"/>
  <c r="DO17" i="21" s="1"/>
  <c r="DG17" i="21"/>
  <c r="DH17" i="21" s="1"/>
  <c r="CZ17" i="21"/>
  <c r="DA17" i="21" s="1"/>
  <c r="CS17" i="21"/>
  <c r="CT17" i="21" s="1"/>
  <c r="CL17" i="21"/>
  <c r="CM17" i="21" s="1"/>
  <c r="CE17" i="21"/>
  <c r="CF17" i="21" s="1"/>
  <c r="BX17" i="21"/>
  <c r="BY17" i="21" s="1"/>
  <c r="AG17" i="21"/>
  <c r="AH17" i="21" s="1"/>
  <c r="Z17" i="21"/>
  <c r="AA17" i="21" s="1"/>
  <c r="S17" i="21"/>
  <c r="T17" i="21" s="1"/>
  <c r="JH16" i="21"/>
  <c r="JI16" i="21" s="1"/>
  <c r="JA16" i="21"/>
  <c r="IT16" i="21"/>
  <c r="IU16" i="21" s="1"/>
  <c r="IM16" i="21"/>
  <c r="IN16" i="21" s="1"/>
  <c r="IF16" i="21"/>
  <c r="IG16" i="21" s="1"/>
  <c r="HY16" i="21"/>
  <c r="HZ16" i="21" s="1"/>
  <c r="HR16" i="21"/>
  <c r="HS16" i="21" s="1"/>
  <c r="HK16" i="21"/>
  <c r="HL16" i="21" s="1"/>
  <c r="HD16" i="21"/>
  <c r="HE16" i="21" s="1"/>
  <c r="GK16" i="21"/>
  <c r="GL16" i="21" s="1"/>
  <c r="GD16" i="21"/>
  <c r="GE16" i="21" s="1"/>
  <c r="FW16" i="21"/>
  <c r="FX16" i="21" s="1"/>
  <c r="FP16" i="21"/>
  <c r="FI16" i="21"/>
  <c r="FJ16" i="21" s="1"/>
  <c r="FB16" i="21"/>
  <c r="FC16" i="21" s="1"/>
  <c r="EU16" i="21"/>
  <c r="EV16" i="21" s="1"/>
  <c r="EN16" i="21"/>
  <c r="EO16" i="21" s="1"/>
  <c r="EG16" i="21"/>
  <c r="EH16" i="21" s="1"/>
  <c r="DN16" i="21"/>
  <c r="DO16" i="21" s="1"/>
  <c r="DG16" i="21"/>
  <c r="DH16" i="21" s="1"/>
  <c r="CZ16" i="21"/>
  <c r="DA16" i="21" s="1"/>
  <c r="CS16" i="21"/>
  <c r="CT16" i="21" s="1"/>
  <c r="CL16" i="21"/>
  <c r="CM16" i="21" s="1"/>
  <c r="CE16" i="21"/>
  <c r="CF16" i="21" s="1"/>
  <c r="BX16" i="21"/>
  <c r="BY16" i="21" s="1"/>
  <c r="AG16" i="21"/>
  <c r="AH16" i="21" s="1"/>
  <c r="Z16" i="21"/>
  <c r="AA16" i="21" s="1"/>
  <c r="S16" i="21"/>
  <c r="T16" i="21" s="1"/>
  <c r="JH15" i="21"/>
  <c r="JI15" i="21" s="1"/>
  <c r="JA15" i="21"/>
  <c r="IT15" i="21"/>
  <c r="IU15" i="21" s="1"/>
  <c r="IM15" i="21"/>
  <c r="IN15" i="21" s="1"/>
  <c r="IF15" i="21"/>
  <c r="IG15" i="21" s="1"/>
  <c r="HY15" i="21"/>
  <c r="HZ15" i="21" s="1"/>
  <c r="HR15" i="21"/>
  <c r="HS15" i="21" s="1"/>
  <c r="HK15" i="21"/>
  <c r="HL15" i="21" s="1"/>
  <c r="HD15" i="21"/>
  <c r="HE15" i="21" s="1"/>
  <c r="GK15" i="21"/>
  <c r="GL15" i="21" s="1"/>
  <c r="GD15" i="21"/>
  <c r="GE15" i="21" s="1"/>
  <c r="FW15" i="21"/>
  <c r="FX15" i="21" s="1"/>
  <c r="FP15" i="21"/>
  <c r="FI15" i="21"/>
  <c r="FJ15" i="21" s="1"/>
  <c r="FB15" i="21"/>
  <c r="FC15" i="21" s="1"/>
  <c r="EU15" i="21"/>
  <c r="EV15" i="21" s="1"/>
  <c r="EN15" i="21"/>
  <c r="EO15" i="21" s="1"/>
  <c r="EG15" i="21"/>
  <c r="EH15" i="21" s="1"/>
  <c r="DN15" i="21"/>
  <c r="DO15" i="21" s="1"/>
  <c r="DG15" i="21"/>
  <c r="DH15" i="21" s="1"/>
  <c r="CZ15" i="21"/>
  <c r="DA15" i="21" s="1"/>
  <c r="CS15" i="21"/>
  <c r="CT15" i="21" s="1"/>
  <c r="CL15" i="21"/>
  <c r="CM15" i="21" s="1"/>
  <c r="CE15" i="21"/>
  <c r="CF15" i="21" s="1"/>
  <c r="BX15" i="21"/>
  <c r="BY15" i="21" s="1"/>
  <c r="AG15" i="21"/>
  <c r="AH15" i="21" s="1"/>
  <c r="Z15" i="21"/>
  <c r="AA15" i="21" s="1"/>
  <c r="S15" i="21"/>
  <c r="T15" i="21" s="1"/>
  <c r="JH14" i="21"/>
  <c r="JI14" i="21" s="1"/>
  <c r="JA14" i="21"/>
  <c r="JB14" i="21" s="1"/>
  <c r="IT14" i="21"/>
  <c r="IU14" i="21" s="1"/>
  <c r="IM14" i="21"/>
  <c r="IN14" i="21" s="1"/>
  <c r="IF14" i="21"/>
  <c r="IG14" i="21" s="1"/>
  <c r="HY14" i="21"/>
  <c r="HZ14" i="21" s="1"/>
  <c r="HR14" i="21"/>
  <c r="HS14" i="21" s="1"/>
  <c r="HK14" i="21"/>
  <c r="HL14" i="21" s="1"/>
  <c r="HD14" i="21"/>
  <c r="HE14" i="21" s="1"/>
  <c r="GK14" i="21"/>
  <c r="GL14" i="21" s="1"/>
  <c r="GD14" i="21"/>
  <c r="GE14" i="21" s="1"/>
  <c r="FW14" i="21"/>
  <c r="FX14" i="21" s="1"/>
  <c r="FP14" i="21"/>
  <c r="FQ14" i="21" s="1"/>
  <c r="FI14" i="21"/>
  <c r="FJ14" i="21" s="1"/>
  <c r="FB14" i="21"/>
  <c r="FC14" i="21" s="1"/>
  <c r="EU14" i="21"/>
  <c r="EV14" i="21" s="1"/>
  <c r="EN14" i="21"/>
  <c r="EO14" i="21" s="1"/>
  <c r="EG14" i="21"/>
  <c r="EH14" i="21" s="1"/>
  <c r="DN14" i="21"/>
  <c r="DO14" i="21" s="1"/>
  <c r="DG14" i="21"/>
  <c r="DH14" i="21" s="1"/>
  <c r="CZ14" i="21"/>
  <c r="DA14" i="21" s="1"/>
  <c r="CS14" i="21"/>
  <c r="CT14" i="21" s="1"/>
  <c r="CL14" i="21"/>
  <c r="CM14" i="21" s="1"/>
  <c r="CE14" i="21"/>
  <c r="CF14" i="21" s="1"/>
  <c r="BX14" i="21"/>
  <c r="BY14" i="21" s="1"/>
  <c r="AG14" i="21"/>
  <c r="AH14" i="21" s="1"/>
  <c r="Z14" i="21"/>
  <c r="AA14" i="21" s="1"/>
  <c r="S14" i="21"/>
  <c r="T14" i="21" s="1"/>
  <c r="JH13" i="21"/>
  <c r="JI13" i="21" s="1"/>
  <c r="JA13" i="21"/>
  <c r="JB13" i="21" s="1"/>
  <c r="IT13" i="21"/>
  <c r="IU13" i="21" s="1"/>
  <c r="IM13" i="21"/>
  <c r="IN13" i="21" s="1"/>
  <c r="IF13" i="21"/>
  <c r="IG13" i="21" s="1"/>
  <c r="HY13" i="21"/>
  <c r="HZ13" i="21" s="1"/>
  <c r="HR13" i="21"/>
  <c r="HS13" i="21" s="1"/>
  <c r="HK13" i="21"/>
  <c r="HL13" i="21" s="1"/>
  <c r="HD13" i="21"/>
  <c r="HE13" i="21" s="1"/>
  <c r="GK13" i="21"/>
  <c r="GL13" i="21" s="1"/>
  <c r="GD13" i="21"/>
  <c r="GE13" i="21" s="1"/>
  <c r="FW13" i="21"/>
  <c r="FX13" i="21" s="1"/>
  <c r="FP13" i="21"/>
  <c r="FQ13" i="21" s="1"/>
  <c r="FI13" i="21"/>
  <c r="FJ13" i="21" s="1"/>
  <c r="FB13" i="21"/>
  <c r="FC13" i="21" s="1"/>
  <c r="EU13" i="21"/>
  <c r="EV13" i="21" s="1"/>
  <c r="EN13" i="21"/>
  <c r="EO13" i="21" s="1"/>
  <c r="EG13" i="21"/>
  <c r="EH13" i="21" s="1"/>
  <c r="DN13" i="21"/>
  <c r="DO13" i="21" s="1"/>
  <c r="DG13" i="21"/>
  <c r="DH13" i="21" s="1"/>
  <c r="CZ13" i="21"/>
  <c r="DA13" i="21" s="1"/>
  <c r="CS13" i="21"/>
  <c r="CT13" i="21" s="1"/>
  <c r="CL13" i="21"/>
  <c r="CM13" i="21" s="1"/>
  <c r="CE13" i="21"/>
  <c r="CF13" i="21" s="1"/>
  <c r="BX13" i="21"/>
  <c r="BY13" i="21" s="1"/>
  <c r="AG13" i="21"/>
  <c r="AH13" i="21" s="1"/>
  <c r="Z13" i="21"/>
  <c r="AA13" i="21" s="1"/>
  <c r="S13" i="21"/>
  <c r="T13" i="21" s="1"/>
  <c r="JH12" i="21"/>
  <c r="JI12" i="21" s="1"/>
  <c r="JA12" i="21"/>
  <c r="JB12" i="21" s="1"/>
  <c r="IT12" i="21"/>
  <c r="IU12" i="21" s="1"/>
  <c r="IM12" i="21"/>
  <c r="IN12" i="21" s="1"/>
  <c r="IF12" i="21"/>
  <c r="IG12" i="21" s="1"/>
  <c r="HY12" i="21"/>
  <c r="HZ12" i="21" s="1"/>
  <c r="HR12" i="21"/>
  <c r="HS12" i="21" s="1"/>
  <c r="HK12" i="21"/>
  <c r="HL12" i="21" s="1"/>
  <c r="HD12" i="21"/>
  <c r="HE12" i="21" s="1"/>
  <c r="GK12" i="21"/>
  <c r="GL12" i="21" s="1"/>
  <c r="GD12" i="21"/>
  <c r="GE12" i="21" s="1"/>
  <c r="FW12" i="21"/>
  <c r="FX12" i="21" s="1"/>
  <c r="FP12" i="21"/>
  <c r="FQ12" i="21" s="1"/>
  <c r="FI12" i="21"/>
  <c r="FJ12" i="21" s="1"/>
  <c r="FB12" i="21"/>
  <c r="FC12" i="21" s="1"/>
  <c r="EU12" i="21"/>
  <c r="EV12" i="21" s="1"/>
  <c r="EN12" i="21"/>
  <c r="EO12" i="21" s="1"/>
  <c r="EG12" i="21"/>
  <c r="EH12" i="21" s="1"/>
  <c r="DN12" i="21"/>
  <c r="DO12" i="21" s="1"/>
  <c r="DG12" i="21"/>
  <c r="DH12" i="21" s="1"/>
  <c r="CZ12" i="21"/>
  <c r="DA12" i="21" s="1"/>
  <c r="CS12" i="21"/>
  <c r="CT12" i="21" s="1"/>
  <c r="CL12" i="21"/>
  <c r="CM12" i="21" s="1"/>
  <c r="CE12" i="21"/>
  <c r="CF12" i="21" s="1"/>
  <c r="BX12" i="21"/>
  <c r="BY12" i="21" s="1"/>
  <c r="AG12" i="21"/>
  <c r="AH12" i="21" s="1"/>
  <c r="Z12" i="21"/>
  <c r="AA12" i="21" s="1"/>
  <c r="S12" i="21"/>
  <c r="T12" i="21" s="1"/>
  <c r="JH11" i="21"/>
  <c r="JI11" i="21" s="1"/>
  <c r="JA11" i="21"/>
  <c r="JB11" i="21" s="1"/>
  <c r="IT11" i="21"/>
  <c r="IU11" i="21" s="1"/>
  <c r="IM11" i="21"/>
  <c r="IN11" i="21" s="1"/>
  <c r="IF11" i="21"/>
  <c r="IG11" i="21" s="1"/>
  <c r="HY11" i="21"/>
  <c r="HZ11" i="21" s="1"/>
  <c r="HR11" i="21"/>
  <c r="HS11" i="21" s="1"/>
  <c r="HK11" i="21"/>
  <c r="HL11" i="21" s="1"/>
  <c r="HD11" i="21"/>
  <c r="HE11" i="21" s="1"/>
  <c r="GK11" i="21"/>
  <c r="GL11" i="21" s="1"/>
  <c r="GD11" i="21"/>
  <c r="GE11" i="21" s="1"/>
  <c r="FW11" i="21"/>
  <c r="FX11" i="21" s="1"/>
  <c r="FP11" i="21"/>
  <c r="FQ11" i="21" s="1"/>
  <c r="FI11" i="21"/>
  <c r="FJ11" i="21" s="1"/>
  <c r="FB11" i="21"/>
  <c r="FC11" i="21" s="1"/>
  <c r="EU11" i="21"/>
  <c r="EV11" i="21" s="1"/>
  <c r="EN11" i="21"/>
  <c r="EO11" i="21" s="1"/>
  <c r="EG11" i="21"/>
  <c r="EH11" i="21" s="1"/>
  <c r="DN11" i="21"/>
  <c r="DO11" i="21" s="1"/>
  <c r="DG11" i="21"/>
  <c r="DH11" i="21" s="1"/>
  <c r="CZ11" i="21"/>
  <c r="DA11" i="21" s="1"/>
  <c r="CS11" i="21"/>
  <c r="CT11" i="21" s="1"/>
  <c r="CL11" i="21"/>
  <c r="CM11" i="21" s="1"/>
  <c r="CE11" i="21"/>
  <c r="CF11" i="21" s="1"/>
  <c r="BX11" i="21"/>
  <c r="BY11" i="21" s="1"/>
  <c r="AG11" i="21"/>
  <c r="AH11" i="21" s="1"/>
  <c r="Z11" i="21"/>
  <c r="AA11" i="21" s="1"/>
  <c r="S11" i="21"/>
  <c r="T11" i="21" s="1"/>
  <c r="JH10" i="21"/>
  <c r="JI10" i="21" s="1"/>
  <c r="JA10" i="21"/>
  <c r="JB10" i="21" s="1"/>
  <c r="IT10" i="21"/>
  <c r="IU10" i="21" s="1"/>
  <c r="IM10" i="21"/>
  <c r="IN10" i="21" s="1"/>
  <c r="IF10" i="21"/>
  <c r="IG10" i="21" s="1"/>
  <c r="HY10" i="21"/>
  <c r="HZ10" i="21" s="1"/>
  <c r="HR10" i="21"/>
  <c r="HS10" i="21" s="1"/>
  <c r="HK10" i="21"/>
  <c r="HL10" i="21" s="1"/>
  <c r="HD10" i="21"/>
  <c r="HE10" i="21" s="1"/>
  <c r="GK10" i="21"/>
  <c r="GL10" i="21" s="1"/>
  <c r="GD10" i="21"/>
  <c r="GE10" i="21" s="1"/>
  <c r="FW10" i="21"/>
  <c r="FX10" i="21" s="1"/>
  <c r="FP10" i="21"/>
  <c r="FQ10" i="21" s="1"/>
  <c r="FI10" i="21"/>
  <c r="FJ10" i="21" s="1"/>
  <c r="FB10" i="21"/>
  <c r="FC10" i="21" s="1"/>
  <c r="EU10" i="21"/>
  <c r="EV10" i="21" s="1"/>
  <c r="EN10" i="21"/>
  <c r="EO10" i="21" s="1"/>
  <c r="EG10" i="21"/>
  <c r="EH10" i="21" s="1"/>
  <c r="DN10" i="21"/>
  <c r="DO10" i="21" s="1"/>
  <c r="DG10" i="21"/>
  <c r="DH10" i="21" s="1"/>
  <c r="CZ10" i="21"/>
  <c r="DA10" i="21" s="1"/>
  <c r="CS10" i="21"/>
  <c r="CT10" i="21" s="1"/>
  <c r="CL10" i="21"/>
  <c r="CM10" i="21" s="1"/>
  <c r="CE10" i="21"/>
  <c r="CF10" i="21" s="1"/>
  <c r="BX10" i="21"/>
  <c r="BY10" i="21" s="1"/>
  <c r="AG10" i="21"/>
  <c r="AH10" i="21" s="1"/>
  <c r="Z10" i="21"/>
  <c r="AA10" i="21" s="1"/>
  <c r="S10" i="21"/>
  <c r="T10" i="21" s="1"/>
  <c r="JH9" i="21"/>
  <c r="JI9" i="21" s="1"/>
  <c r="JA9" i="21"/>
  <c r="JB9" i="21" s="1"/>
  <c r="IT9" i="21"/>
  <c r="IU9" i="21" s="1"/>
  <c r="IM9" i="21"/>
  <c r="IN9" i="21" s="1"/>
  <c r="IF9" i="21"/>
  <c r="IG9" i="21" s="1"/>
  <c r="HY9" i="21"/>
  <c r="HZ9" i="21" s="1"/>
  <c r="HR9" i="21"/>
  <c r="HS9" i="21" s="1"/>
  <c r="HK9" i="21"/>
  <c r="HL9" i="21" s="1"/>
  <c r="HD9" i="21"/>
  <c r="HE9" i="21" s="1"/>
  <c r="GK9" i="21"/>
  <c r="GL9" i="21" s="1"/>
  <c r="GD9" i="21"/>
  <c r="GE9" i="21" s="1"/>
  <c r="FW9" i="21"/>
  <c r="FX9" i="21" s="1"/>
  <c r="FP9" i="21"/>
  <c r="FQ9" i="21" s="1"/>
  <c r="FI9" i="21"/>
  <c r="FJ9" i="21" s="1"/>
  <c r="FB9" i="21"/>
  <c r="FC9" i="21" s="1"/>
  <c r="EU9" i="21"/>
  <c r="EV9" i="21" s="1"/>
  <c r="EN9" i="21"/>
  <c r="EO9" i="21" s="1"/>
  <c r="EG9" i="21"/>
  <c r="EH9" i="21" s="1"/>
  <c r="DN9" i="21"/>
  <c r="DO9" i="21" s="1"/>
  <c r="DG9" i="21"/>
  <c r="DH9" i="21" s="1"/>
  <c r="CZ9" i="21"/>
  <c r="DA9" i="21" s="1"/>
  <c r="CS9" i="21"/>
  <c r="CT9" i="21" s="1"/>
  <c r="CL9" i="21"/>
  <c r="CM9" i="21" s="1"/>
  <c r="CE9" i="21"/>
  <c r="CF9" i="21" s="1"/>
  <c r="BX9" i="21"/>
  <c r="BY9" i="21" s="1"/>
  <c r="AG9" i="21"/>
  <c r="AH9" i="21" s="1"/>
  <c r="Z9" i="21"/>
  <c r="AA9" i="21" s="1"/>
  <c r="S9" i="21"/>
  <c r="T9" i="21" s="1"/>
  <c r="JH8" i="21"/>
  <c r="JI8" i="21" s="1"/>
  <c r="JA8" i="21"/>
  <c r="JB8" i="21" s="1"/>
  <c r="IT8" i="21"/>
  <c r="IU8" i="21" s="1"/>
  <c r="IM8" i="21"/>
  <c r="IN8" i="21" s="1"/>
  <c r="IF8" i="21"/>
  <c r="IG8" i="21" s="1"/>
  <c r="HY8" i="21"/>
  <c r="HZ8" i="21" s="1"/>
  <c r="HR8" i="21"/>
  <c r="HS8" i="21" s="1"/>
  <c r="HK8" i="21"/>
  <c r="HL8" i="21" s="1"/>
  <c r="HD8" i="21"/>
  <c r="HE8" i="21" s="1"/>
  <c r="GK8" i="21"/>
  <c r="GL8" i="21" s="1"/>
  <c r="GD8" i="21"/>
  <c r="GE8" i="21" s="1"/>
  <c r="FW8" i="21"/>
  <c r="FX8" i="21" s="1"/>
  <c r="FP8" i="21"/>
  <c r="FQ8" i="21" s="1"/>
  <c r="FI8" i="21"/>
  <c r="FJ8" i="21" s="1"/>
  <c r="FB8" i="21"/>
  <c r="FC8" i="21" s="1"/>
  <c r="EU8" i="21"/>
  <c r="EV8" i="21" s="1"/>
  <c r="EN8" i="21"/>
  <c r="EO8" i="21" s="1"/>
  <c r="EG8" i="21"/>
  <c r="EH8" i="21" s="1"/>
  <c r="DN8" i="21"/>
  <c r="DO8" i="21" s="1"/>
  <c r="DG8" i="21"/>
  <c r="DH8" i="21" s="1"/>
  <c r="CZ8" i="21"/>
  <c r="DA8" i="21" s="1"/>
  <c r="CS8" i="21"/>
  <c r="CT8" i="21" s="1"/>
  <c r="CL8" i="21"/>
  <c r="CM8" i="21" s="1"/>
  <c r="CE8" i="21"/>
  <c r="CF8" i="21" s="1"/>
  <c r="BX8" i="21"/>
  <c r="BY8" i="21" s="1"/>
  <c r="AG8" i="21"/>
  <c r="AH8" i="21" s="1"/>
  <c r="Z8" i="21"/>
  <c r="AA8" i="21" s="1"/>
  <c r="S8" i="21"/>
  <c r="T8" i="21" s="1"/>
  <c r="JH7" i="21"/>
  <c r="JI7" i="21" s="1"/>
  <c r="JA7" i="21"/>
  <c r="JB7" i="21" s="1"/>
  <c r="IT7" i="21"/>
  <c r="IU7" i="21" s="1"/>
  <c r="IM7" i="21"/>
  <c r="IN7" i="21" s="1"/>
  <c r="IF7" i="21"/>
  <c r="IG7" i="21" s="1"/>
  <c r="HY7" i="21"/>
  <c r="HZ7" i="21" s="1"/>
  <c r="HR7" i="21"/>
  <c r="HS7" i="21" s="1"/>
  <c r="HK7" i="21"/>
  <c r="HL7" i="21" s="1"/>
  <c r="HD7" i="21"/>
  <c r="HE7" i="21" s="1"/>
  <c r="GK7" i="21"/>
  <c r="GL7" i="21" s="1"/>
  <c r="GD7" i="21"/>
  <c r="GE7" i="21" s="1"/>
  <c r="FW7" i="21"/>
  <c r="FX7" i="21" s="1"/>
  <c r="FP7" i="21"/>
  <c r="FQ7" i="21" s="1"/>
  <c r="FI7" i="21"/>
  <c r="FJ7" i="21" s="1"/>
  <c r="FB7" i="21"/>
  <c r="FC7" i="21" s="1"/>
  <c r="EU7" i="21"/>
  <c r="EV7" i="21" s="1"/>
  <c r="EN7" i="21"/>
  <c r="EO7" i="21" s="1"/>
  <c r="EG7" i="21"/>
  <c r="EH7" i="21" s="1"/>
  <c r="DN7" i="21"/>
  <c r="DO7" i="21" s="1"/>
  <c r="DG7" i="21"/>
  <c r="DH7" i="21" s="1"/>
  <c r="CZ7" i="21"/>
  <c r="DA7" i="21" s="1"/>
  <c r="CS7" i="21"/>
  <c r="CT7" i="21" s="1"/>
  <c r="CL7" i="21"/>
  <c r="CM7" i="21" s="1"/>
  <c r="CE7" i="21"/>
  <c r="CF7" i="21" s="1"/>
  <c r="BX7" i="21"/>
  <c r="BY7" i="21" s="1"/>
  <c r="AG7" i="21"/>
  <c r="AH7" i="21" s="1"/>
  <c r="Z7" i="21"/>
  <c r="AA7" i="21" s="1"/>
  <c r="S7" i="21"/>
  <c r="T7" i="21" s="1"/>
  <c r="JH6" i="21"/>
  <c r="JI6" i="21" s="1"/>
  <c r="JA6" i="21"/>
  <c r="JB6" i="21" s="1"/>
  <c r="IT6" i="21"/>
  <c r="IU6" i="21" s="1"/>
  <c r="IM6" i="21"/>
  <c r="IN6" i="21" s="1"/>
  <c r="IF6" i="21"/>
  <c r="IG6" i="21" s="1"/>
  <c r="HY6" i="21"/>
  <c r="HZ6" i="21" s="1"/>
  <c r="HR6" i="21"/>
  <c r="HS6" i="21" s="1"/>
  <c r="HK6" i="21"/>
  <c r="HL6" i="21" s="1"/>
  <c r="HD6" i="21"/>
  <c r="HE6" i="21" s="1"/>
  <c r="GK6" i="21"/>
  <c r="GL6" i="21" s="1"/>
  <c r="GD6" i="21"/>
  <c r="GE6" i="21" s="1"/>
  <c r="FW6" i="21"/>
  <c r="FX6" i="21" s="1"/>
  <c r="FP6" i="21"/>
  <c r="FQ6" i="21" s="1"/>
  <c r="FI6" i="21"/>
  <c r="FJ6" i="21" s="1"/>
  <c r="FB6" i="21"/>
  <c r="FC6" i="21" s="1"/>
  <c r="EU6" i="21"/>
  <c r="EV6" i="21" s="1"/>
  <c r="EN6" i="21"/>
  <c r="EO6" i="21" s="1"/>
  <c r="EG6" i="21"/>
  <c r="EH6" i="21" s="1"/>
  <c r="DN6" i="21"/>
  <c r="DO6" i="21" s="1"/>
  <c r="DG6" i="21"/>
  <c r="DH6" i="21" s="1"/>
  <c r="CZ6" i="21"/>
  <c r="DA6" i="21" s="1"/>
  <c r="CS6" i="21"/>
  <c r="CT6" i="21" s="1"/>
  <c r="CL6" i="21"/>
  <c r="CM6" i="21" s="1"/>
  <c r="CE6" i="21"/>
  <c r="CF6" i="21" s="1"/>
  <c r="BX6" i="21"/>
  <c r="BY6" i="21" s="1"/>
  <c r="AG6" i="21"/>
  <c r="AH6" i="21" s="1"/>
  <c r="Z6" i="21"/>
  <c r="AA6" i="21" s="1"/>
  <c r="S6" i="21"/>
  <c r="T6" i="21" s="1"/>
  <c r="JH5" i="21"/>
  <c r="JI5" i="21" s="1"/>
  <c r="JA5" i="21"/>
  <c r="JB4" i="21" s="1"/>
  <c r="IT5" i="21"/>
  <c r="IU5" i="21" s="1"/>
  <c r="IM5" i="21"/>
  <c r="IN5" i="21" s="1"/>
  <c r="IF5" i="21"/>
  <c r="IG5" i="21" s="1"/>
  <c r="HY5" i="21"/>
  <c r="HZ5" i="21" s="1"/>
  <c r="HR5" i="21"/>
  <c r="HS5" i="21" s="1"/>
  <c r="HK5" i="21"/>
  <c r="HL5" i="21" s="1"/>
  <c r="HD5" i="21"/>
  <c r="HE5" i="21" s="1"/>
  <c r="GK5" i="21"/>
  <c r="GL5" i="21" s="1"/>
  <c r="GD5" i="21"/>
  <c r="GE5" i="21" s="1"/>
  <c r="FW5" i="21"/>
  <c r="FX5" i="21" s="1"/>
  <c r="FP5" i="21"/>
  <c r="FQ5" i="21" s="1"/>
  <c r="FI5" i="21"/>
  <c r="FJ5" i="21" s="1"/>
  <c r="FB5" i="21"/>
  <c r="FC5" i="21" s="1"/>
  <c r="EU5" i="21"/>
  <c r="EV5" i="21" s="1"/>
  <c r="EN5" i="21"/>
  <c r="EO5" i="21" s="1"/>
  <c r="EG5" i="21"/>
  <c r="EH5" i="21" s="1"/>
  <c r="DN5" i="21"/>
  <c r="DO5" i="21" s="1"/>
  <c r="DG5" i="21"/>
  <c r="DH5" i="21" s="1"/>
  <c r="CZ5" i="21"/>
  <c r="DA5" i="21" s="1"/>
  <c r="CS5" i="21"/>
  <c r="CT5" i="21" s="1"/>
  <c r="CL5" i="21"/>
  <c r="CM5" i="21" s="1"/>
  <c r="CE5" i="21"/>
  <c r="CF5" i="21" s="1"/>
  <c r="BX5" i="21"/>
  <c r="BY5" i="21" s="1"/>
  <c r="AG5" i="21"/>
  <c r="AH5" i="21" s="1"/>
  <c r="Z5" i="21"/>
  <c r="AA5" i="21" s="1"/>
  <c r="S5" i="21"/>
  <c r="T5" i="21" s="1"/>
  <c r="JH4" i="21"/>
  <c r="JI4" i="21" s="1"/>
  <c r="JA4" i="21"/>
  <c r="IT4" i="21"/>
  <c r="IU4" i="21" s="1"/>
  <c r="IM4" i="21"/>
  <c r="IN4" i="21" s="1"/>
  <c r="IF4" i="21"/>
  <c r="IG4" i="21" s="1"/>
  <c r="HY4" i="21"/>
  <c r="HZ4" i="21" s="1"/>
  <c r="HR4" i="21"/>
  <c r="HS4" i="21" s="1"/>
  <c r="HK4" i="21"/>
  <c r="HL4" i="21" s="1"/>
  <c r="HD4" i="21"/>
  <c r="HE4" i="21" s="1"/>
  <c r="GK4" i="21"/>
  <c r="GL4" i="21" s="1"/>
  <c r="GD4" i="21"/>
  <c r="GE4" i="21" s="1"/>
  <c r="FW4" i="21"/>
  <c r="FX4" i="21" s="1"/>
  <c r="FP4" i="21"/>
  <c r="FQ4" i="21" s="1"/>
  <c r="FI4" i="21"/>
  <c r="FJ4" i="21" s="1"/>
  <c r="FB4" i="21"/>
  <c r="FC4" i="21" s="1"/>
  <c r="EU4" i="21"/>
  <c r="EV4" i="21" s="1"/>
  <c r="EN4" i="21"/>
  <c r="EO4" i="21" s="1"/>
  <c r="EG4" i="21"/>
  <c r="EH4" i="21" s="1"/>
  <c r="DN4" i="21"/>
  <c r="DO4" i="21" s="1"/>
  <c r="DG4" i="21"/>
  <c r="DH4" i="21" s="1"/>
  <c r="CZ4" i="21"/>
  <c r="DA4" i="21" s="1"/>
  <c r="CS4" i="21"/>
  <c r="CT4" i="21" s="1"/>
  <c r="CL4" i="21"/>
  <c r="CM4" i="21" s="1"/>
  <c r="CE4" i="21"/>
  <c r="CF4" i="21" s="1"/>
  <c r="BX4" i="21"/>
  <c r="BY4" i="21" s="1"/>
  <c r="AG4" i="21"/>
  <c r="AH4" i="21" s="1"/>
  <c r="Z4" i="21"/>
  <c r="AA4" i="21" s="1"/>
  <c r="S4" i="21"/>
  <c r="T4" i="21" s="1"/>
  <c r="JH3" i="21"/>
  <c r="JI3" i="21" s="1"/>
  <c r="JA3" i="21"/>
  <c r="JB3" i="21" s="1"/>
  <c r="IT3" i="21"/>
  <c r="IU3" i="21" s="1"/>
  <c r="IM3" i="21"/>
  <c r="IN3" i="21" s="1"/>
  <c r="IF3" i="21"/>
  <c r="IG3" i="21" s="1"/>
  <c r="HY3" i="21"/>
  <c r="HZ3" i="21" s="1"/>
  <c r="HR3" i="21"/>
  <c r="HS3" i="21" s="1"/>
  <c r="HK3" i="21"/>
  <c r="HL3" i="21" s="1"/>
  <c r="HD3" i="21"/>
  <c r="HE3" i="21" s="1"/>
  <c r="GK3" i="21"/>
  <c r="GL3" i="21" s="1"/>
  <c r="GD3" i="21"/>
  <c r="GE3" i="21" s="1"/>
  <c r="FW3" i="21"/>
  <c r="FX3" i="21" s="1"/>
  <c r="FP3" i="21"/>
  <c r="FQ3" i="21" s="1"/>
  <c r="FI3" i="21"/>
  <c r="FJ3" i="21" s="1"/>
  <c r="FB3" i="21"/>
  <c r="FC3" i="21" s="1"/>
  <c r="EU3" i="21"/>
  <c r="EV3" i="21" s="1"/>
  <c r="EN3" i="21"/>
  <c r="EO3" i="21" s="1"/>
  <c r="EG3" i="21"/>
  <c r="EH3" i="21" s="1"/>
  <c r="DN3" i="21"/>
  <c r="DO3" i="21" s="1"/>
  <c r="DG3" i="21"/>
  <c r="DH3" i="21" s="1"/>
  <c r="CZ3" i="21"/>
  <c r="DA3" i="21" s="1"/>
  <c r="CS3" i="21"/>
  <c r="CT3" i="21" s="1"/>
  <c r="CL3" i="21"/>
  <c r="CM3" i="21" s="1"/>
  <c r="CE3" i="21"/>
  <c r="CF3" i="21" s="1"/>
  <c r="BX3" i="21"/>
  <c r="BY3" i="21" s="1"/>
  <c r="AG3" i="21"/>
  <c r="AH3" i="21" s="1"/>
  <c r="Z3" i="21"/>
  <c r="AA3" i="21" s="1"/>
  <c r="S3" i="21"/>
  <c r="T3" i="21" s="1"/>
  <c r="JB5" i="21" l="1"/>
  <c r="AY38" i="6" l="1"/>
  <c r="CA38" i="6"/>
  <c r="DC38" i="6"/>
  <c r="EE38" i="6"/>
  <c r="FG38" i="6"/>
  <c r="FM38" i="6"/>
  <c r="GO38" i="6"/>
  <c r="HQ38" i="6"/>
  <c r="IM38" i="6"/>
  <c r="JO38" i="6"/>
  <c r="KW38" i="6"/>
  <c r="LS38" i="6"/>
  <c r="MU38" i="6"/>
  <c r="NA38" i="6"/>
  <c r="AY22" i="6" l="1"/>
  <c r="CA22" i="6"/>
  <c r="DC22" i="6"/>
  <c r="EE22" i="6"/>
  <c r="FG22" i="6"/>
  <c r="FM22" i="6"/>
  <c r="GO22" i="6"/>
  <c r="HQ22" i="6"/>
  <c r="IM22" i="6"/>
  <c r="JO22" i="6"/>
  <c r="KW22" i="6"/>
  <c r="LS22" i="6"/>
  <c r="MU22" i="6"/>
  <c r="NA22" i="6"/>
  <c r="MU41" i="6"/>
  <c r="MU40" i="6"/>
  <c r="MU39" i="6"/>
  <c r="MU37" i="6"/>
  <c r="MU36" i="6"/>
  <c r="MU35" i="6"/>
  <c r="MU34" i="6"/>
  <c r="MU33" i="6"/>
  <c r="MU32" i="6"/>
  <c r="MU31" i="6"/>
  <c r="MU30" i="6"/>
  <c r="MU29" i="6"/>
  <c r="MU28" i="6"/>
  <c r="MU27" i="6"/>
  <c r="MU26" i="6"/>
  <c r="MU25" i="6"/>
  <c r="MU24" i="6"/>
  <c r="MU23" i="6"/>
  <c r="MU21" i="6"/>
  <c r="MU20" i="6"/>
  <c r="MU19" i="6"/>
  <c r="MU18" i="6"/>
  <c r="MU17" i="6"/>
  <c r="MU16" i="6"/>
  <c r="MU15" i="6"/>
  <c r="MU14" i="6"/>
  <c r="MU13" i="6"/>
  <c r="MU12" i="6"/>
  <c r="MU11" i="6"/>
  <c r="MU10" i="6"/>
  <c r="MU9" i="6"/>
  <c r="MU8" i="6"/>
  <c r="MU7" i="6"/>
  <c r="MU6" i="6"/>
  <c r="MU5" i="6"/>
  <c r="MU4" i="6"/>
  <c r="LS41" i="6"/>
  <c r="LS40" i="6"/>
  <c r="LS39" i="6"/>
  <c r="LS37" i="6"/>
  <c r="LS36" i="6"/>
  <c r="LS35" i="6"/>
  <c r="LS34" i="6"/>
  <c r="LS33" i="6"/>
  <c r="LS32" i="6"/>
  <c r="LS31" i="6"/>
  <c r="LS30" i="6"/>
  <c r="LS29" i="6"/>
  <c r="LS28" i="6"/>
  <c r="LS27" i="6"/>
  <c r="LS26" i="6"/>
  <c r="LS25" i="6"/>
  <c r="LS24" i="6"/>
  <c r="LS23" i="6"/>
  <c r="LS21" i="6"/>
  <c r="LS20" i="6"/>
  <c r="LS19" i="6"/>
  <c r="LS18" i="6"/>
  <c r="LS17" i="6"/>
  <c r="LS16" i="6"/>
  <c r="LS15" i="6"/>
  <c r="LS14" i="6"/>
  <c r="LS13" i="6"/>
  <c r="LS12" i="6"/>
  <c r="LS11" i="6"/>
  <c r="LS10" i="6"/>
  <c r="LS9" i="6"/>
  <c r="LS8" i="6"/>
  <c r="LS7" i="6"/>
  <c r="LS6" i="6"/>
  <c r="LS5" i="6"/>
  <c r="LS4" i="6"/>
  <c r="KQ4" i="6"/>
  <c r="JO41" i="6"/>
  <c r="JO40" i="6"/>
  <c r="JO39" i="6"/>
  <c r="JO37" i="6"/>
  <c r="JO36" i="6"/>
  <c r="JO35" i="6"/>
  <c r="JO34" i="6"/>
  <c r="JO33" i="6"/>
  <c r="JO32" i="6"/>
  <c r="JO31" i="6"/>
  <c r="JO30" i="6"/>
  <c r="JO29" i="6"/>
  <c r="JO28" i="6"/>
  <c r="JO27" i="6"/>
  <c r="JO26" i="6"/>
  <c r="JO25" i="6"/>
  <c r="JO24" i="6"/>
  <c r="JO23" i="6"/>
  <c r="JO21" i="6"/>
  <c r="JO20" i="6"/>
  <c r="JO19" i="6"/>
  <c r="JO18" i="6"/>
  <c r="JO17" i="6"/>
  <c r="JO16" i="6"/>
  <c r="JO15" i="6"/>
  <c r="JO14" i="6"/>
  <c r="JO13" i="6"/>
  <c r="JO12" i="6"/>
  <c r="JO11" i="6"/>
  <c r="JO10" i="6"/>
  <c r="JO9" i="6"/>
  <c r="JO8" i="6"/>
  <c r="JO7" i="6"/>
  <c r="JO6" i="6"/>
  <c r="JO5" i="6"/>
  <c r="JO4" i="6"/>
  <c r="IM41" i="6"/>
  <c r="IM40" i="6"/>
  <c r="IM39" i="6"/>
  <c r="IM37" i="6"/>
  <c r="IM36" i="6"/>
  <c r="IM35" i="6"/>
  <c r="IM34" i="6"/>
  <c r="IM33" i="6"/>
  <c r="IM32" i="6"/>
  <c r="IM31" i="6"/>
  <c r="IM30" i="6"/>
  <c r="IM29" i="6"/>
  <c r="IM28" i="6"/>
  <c r="IM27" i="6"/>
  <c r="IM26" i="6"/>
  <c r="IM25" i="6"/>
  <c r="IM24" i="6"/>
  <c r="IM23" i="6"/>
  <c r="IM21" i="6"/>
  <c r="IM20" i="6"/>
  <c r="IM19" i="6"/>
  <c r="IM18" i="6"/>
  <c r="IM17" i="6"/>
  <c r="IM16" i="6"/>
  <c r="IM15" i="6"/>
  <c r="IM14" i="6"/>
  <c r="IM13" i="6"/>
  <c r="IM12" i="6"/>
  <c r="IM11" i="6"/>
  <c r="IM10" i="6"/>
  <c r="IM9" i="6"/>
  <c r="IM8" i="6"/>
  <c r="IM7" i="6"/>
  <c r="IM6" i="6"/>
  <c r="IM5" i="6"/>
  <c r="IM4" i="6"/>
  <c r="HK4" i="6"/>
  <c r="GI4" i="6"/>
  <c r="FG41" i="6"/>
  <c r="FG40" i="6"/>
  <c r="FG39" i="6"/>
  <c r="FG37" i="6"/>
  <c r="FG36" i="6"/>
  <c r="FG35" i="6"/>
  <c r="FG34" i="6"/>
  <c r="FG33" i="6"/>
  <c r="FG32" i="6"/>
  <c r="FG31" i="6"/>
  <c r="FG30" i="6"/>
  <c r="FG29" i="6"/>
  <c r="FG28" i="6"/>
  <c r="FG27" i="6"/>
  <c r="FG26" i="6"/>
  <c r="FG25" i="6"/>
  <c r="FG24" i="6"/>
  <c r="FG23" i="6"/>
  <c r="FG21" i="6"/>
  <c r="FG20" i="6"/>
  <c r="FG19" i="6"/>
  <c r="FG18" i="6"/>
  <c r="FG17" i="6"/>
  <c r="FG16" i="6"/>
  <c r="FG15" i="6"/>
  <c r="FG14" i="6"/>
  <c r="FG13" i="6"/>
  <c r="FG12" i="6"/>
  <c r="FG11" i="6"/>
  <c r="FG10" i="6"/>
  <c r="FG9" i="6"/>
  <c r="FG8" i="6"/>
  <c r="FG7" i="6"/>
  <c r="FG6" i="6"/>
  <c r="FG5" i="6"/>
  <c r="FG4" i="6"/>
  <c r="EE41" i="6"/>
  <c r="EE40" i="6"/>
  <c r="EE39" i="6"/>
  <c r="EE37" i="6"/>
  <c r="EE36" i="6"/>
  <c r="EE35" i="6"/>
  <c r="EE34" i="6"/>
  <c r="EE33" i="6"/>
  <c r="EE32" i="6"/>
  <c r="EE31" i="6"/>
  <c r="EE30" i="6"/>
  <c r="EE29" i="6"/>
  <c r="EE28" i="6"/>
  <c r="EE27" i="6"/>
  <c r="EE26" i="6"/>
  <c r="EE25" i="6"/>
  <c r="EE24" i="6"/>
  <c r="EE23" i="6"/>
  <c r="EE21" i="6"/>
  <c r="EE20" i="6"/>
  <c r="EE19" i="6"/>
  <c r="EE18" i="6"/>
  <c r="EE17" i="6"/>
  <c r="EE16" i="6"/>
  <c r="EE15" i="6"/>
  <c r="EE14" i="6"/>
  <c r="EE13" i="6"/>
  <c r="EE12" i="6"/>
  <c r="EE11" i="6"/>
  <c r="EE10" i="6"/>
  <c r="EE9" i="6"/>
  <c r="EE8" i="6"/>
  <c r="EE7" i="6"/>
  <c r="EE6" i="6"/>
  <c r="EE5" i="6"/>
  <c r="EE4" i="6"/>
  <c r="DC41" i="6"/>
  <c r="DC40" i="6"/>
  <c r="DC39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C4" i="6"/>
  <c r="CA41" i="6"/>
  <c r="CA40" i="6"/>
  <c r="CA39" i="6"/>
  <c r="CA37" i="6"/>
  <c r="CA36" i="6"/>
  <c r="CA35" i="6"/>
  <c r="CA34" i="6"/>
  <c r="CA33" i="6"/>
  <c r="CA32" i="6"/>
  <c r="CA31" i="6"/>
  <c r="CA30" i="6"/>
  <c r="CA29" i="6"/>
  <c r="CA28" i="6"/>
  <c r="CA27" i="6"/>
  <c r="CA26" i="6"/>
  <c r="CA25" i="6"/>
  <c r="CA24" i="6"/>
  <c r="CA23" i="6"/>
  <c r="CA21" i="6"/>
  <c r="CA20" i="6"/>
  <c r="CA19" i="6"/>
  <c r="CA18" i="6"/>
  <c r="CA17" i="6"/>
  <c r="CA16" i="6"/>
  <c r="CA15" i="6"/>
  <c r="CA14" i="6"/>
  <c r="CA13" i="6"/>
  <c r="CA12" i="6"/>
  <c r="CA11" i="6"/>
  <c r="CA10" i="6"/>
  <c r="CA9" i="6"/>
  <c r="CA8" i="6"/>
  <c r="CA7" i="6"/>
  <c r="CA6" i="6"/>
  <c r="CA5" i="6"/>
  <c r="CA4" i="6"/>
  <c r="AY41" i="6"/>
  <c r="AY40" i="6"/>
  <c r="AY39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Y5" i="6"/>
  <c r="AY4" i="6"/>
  <c r="KW41" i="6" l="1"/>
  <c r="KW40" i="6"/>
  <c r="KW39" i="6"/>
  <c r="KW37" i="6"/>
  <c r="KW36" i="6"/>
  <c r="KW35" i="6"/>
  <c r="KW34" i="6"/>
  <c r="KW33" i="6"/>
  <c r="KW32" i="6"/>
  <c r="KW31" i="6"/>
  <c r="KW30" i="6"/>
  <c r="KW29" i="6"/>
  <c r="KW28" i="6"/>
  <c r="KW27" i="6"/>
  <c r="KW26" i="6"/>
  <c r="KW25" i="6"/>
  <c r="KW24" i="6"/>
  <c r="KW23" i="6"/>
  <c r="KW21" i="6"/>
  <c r="KW20" i="6"/>
  <c r="KW19" i="6"/>
  <c r="KW18" i="6"/>
  <c r="KW17" i="6"/>
  <c r="KW16" i="6"/>
  <c r="KW15" i="6"/>
  <c r="KW14" i="6"/>
  <c r="KW13" i="6"/>
  <c r="KW12" i="6"/>
  <c r="KW11" i="6"/>
  <c r="KW10" i="6"/>
  <c r="KW9" i="6"/>
  <c r="KW8" i="6"/>
  <c r="KW7" i="6"/>
  <c r="KW6" i="6"/>
  <c r="KW5" i="6"/>
  <c r="KW4" i="6"/>
  <c r="NA41" i="6" l="1"/>
  <c r="NA40" i="6"/>
  <c r="NA39" i="6"/>
  <c r="NA37" i="6"/>
  <c r="NA36" i="6"/>
  <c r="NA35" i="6"/>
  <c r="NA34" i="6"/>
  <c r="NA33" i="6"/>
  <c r="NA32" i="6"/>
  <c r="NA31" i="6"/>
  <c r="NA30" i="6"/>
  <c r="NA29" i="6"/>
  <c r="NA28" i="6"/>
  <c r="NA27" i="6"/>
  <c r="NA26" i="6"/>
  <c r="NA25" i="6"/>
  <c r="NA24" i="6"/>
  <c r="NA23" i="6"/>
  <c r="NA21" i="6"/>
  <c r="NA20" i="6"/>
  <c r="NA19" i="6"/>
  <c r="NA18" i="6"/>
  <c r="NA17" i="6"/>
  <c r="NA16" i="6"/>
  <c r="NA15" i="6"/>
  <c r="NA14" i="6"/>
  <c r="NA13" i="6"/>
  <c r="NA12" i="6"/>
  <c r="NA11" i="6"/>
  <c r="NA10" i="6"/>
  <c r="NA9" i="6"/>
  <c r="NA8" i="6"/>
  <c r="NA7" i="6"/>
  <c r="NA6" i="6"/>
  <c r="NA5" i="6"/>
  <c r="NA4" i="6"/>
  <c r="HQ41" i="6"/>
  <c r="HQ40" i="6"/>
  <c r="HQ39" i="6"/>
  <c r="HQ37" i="6"/>
  <c r="HQ36" i="6"/>
  <c r="HQ35" i="6"/>
  <c r="HQ34" i="6"/>
  <c r="HQ33" i="6"/>
  <c r="HQ32" i="6"/>
  <c r="HQ31" i="6"/>
  <c r="HQ30" i="6"/>
  <c r="HQ29" i="6"/>
  <c r="HQ28" i="6"/>
  <c r="HQ27" i="6"/>
  <c r="HQ26" i="6"/>
  <c r="HQ25" i="6"/>
  <c r="HQ24" i="6"/>
  <c r="HQ23" i="6"/>
  <c r="HQ21" i="6"/>
  <c r="HQ20" i="6"/>
  <c r="HQ19" i="6"/>
  <c r="HQ18" i="6"/>
  <c r="HQ17" i="6"/>
  <c r="HQ16" i="6"/>
  <c r="HQ15" i="6"/>
  <c r="HQ14" i="6"/>
  <c r="HQ13" i="6"/>
  <c r="HQ12" i="6"/>
  <c r="HQ11" i="6"/>
  <c r="HQ10" i="6"/>
  <c r="HQ9" i="6"/>
  <c r="HQ8" i="6"/>
  <c r="HQ7" i="6"/>
  <c r="HQ6" i="6"/>
  <c r="HQ5" i="6"/>
  <c r="HQ4" i="6"/>
  <c r="GO41" i="6"/>
  <c r="GO40" i="6"/>
  <c r="GO39" i="6"/>
  <c r="GO37" i="6"/>
  <c r="GO36" i="6"/>
  <c r="GO35" i="6"/>
  <c r="GO34" i="6"/>
  <c r="GO33" i="6"/>
  <c r="GO32" i="6"/>
  <c r="GO31" i="6"/>
  <c r="GO30" i="6"/>
  <c r="GO29" i="6"/>
  <c r="GO28" i="6"/>
  <c r="GO27" i="6"/>
  <c r="GO26" i="6"/>
  <c r="GO25" i="6"/>
  <c r="GO24" i="6"/>
  <c r="GO23" i="6"/>
  <c r="GO21" i="6"/>
  <c r="GO20" i="6"/>
  <c r="GO19" i="6"/>
  <c r="GO18" i="6"/>
  <c r="GO17" i="6"/>
  <c r="GO16" i="6"/>
  <c r="GO15" i="6"/>
  <c r="GO14" i="6"/>
  <c r="GO13" i="6"/>
  <c r="GO12" i="6"/>
  <c r="GO11" i="6"/>
  <c r="GO10" i="6"/>
  <c r="GO9" i="6"/>
  <c r="GO8" i="6"/>
  <c r="GO7" i="6"/>
  <c r="GO6" i="6"/>
  <c r="GO5" i="6"/>
  <c r="GO4" i="6"/>
  <c r="FM41" i="6"/>
  <c r="FM40" i="6"/>
  <c r="FM39" i="6"/>
  <c r="FM37" i="6"/>
  <c r="FM36" i="6"/>
  <c r="FM35" i="6"/>
  <c r="FM34" i="6"/>
  <c r="FM33" i="6"/>
  <c r="FM32" i="6"/>
  <c r="FM31" i="6"/>
  <c r="FM30" i="6"/>
  <c r="FM29" i="6"/>
  <c r="FM28" i="6"/>
  <c r="FM27" i="6"/>
  <c r="FM26" i="6"/>
  <c r="FM25" i="6"/>
  <c r="FM24" i="6"/>
  <c r="FM23" i="6"/>
  <c r="FM21" i="6"/>
  <c r="FM20" i="6"/>
  <c r="FM19" i="6"/>
  <c r="FM18" i="6"/>
  <c r="FM17" i="6"/>
  <c r="FM16" i="6"/>
  <c r="FM15" i="6"/>
  <c r="FM14" i="6"/>
  <c r="FM13" i="6"/>
  <c r="FM12" i="6"/>
  <c r="FM11" i="6"/>
  <c r="FM10" i="6"/>
  <c r="FM9" i="6"/>
  <c r="FM8" i="6"/>
  <c r="FM7" i="6"/>
  <c r="FM6" i="6"/>
  <c r="FM5" i="6"/>
  <c r="FM4" i="6"/>
  <c r="CG4" i="6"/>
  <c r="BE4" i="6"/>
  <c r="W40" i="14" l="1"/>
  <c r="W39" i="14"/>
  <c r="W38" i="14"/>
  <c r="W37" i="14"/>
  <c r="W36" i="14"/>
  <c r="W35" i="14"/>
  <c r="W34" i="14"/>
  <c r="W33" i="14"/>
  <c r="W32" i="14"/>
  <c r="W31" i="14"/>
  <c r="W30" i="14"/>
  <c r="W29" i="14"/>
  <c r="W28" i="14"/>
  <c r="W27" i="14"/>
  <c r="W26" i="14"/>
  <c r="W25" i="14"/>
  <c r="W24" i="14"/>
  <c r="W23" i="14"/>
  <c r="W22" i="14"/>
  <c r="W21" i="14"/>
  <c r="W20" i="14"/>
  <c r="W19" i="14"/>
  <c r="W18" i="14"/>
  <c r="W17" i="14"/>
  <c r="W16" i="14"/>
  <c r="W15" i="14"/>
  <c r="W14" i="14"/>
  <c r="W13" i="14"/>
  <c r="W12" i="14"/>
  <c r="W11" i="14"/>
  <c r="W10" i="14"/>
  <c r="W9" i="14"/>
  <c r="W8" i="14"/>
  <c r="W7" i="14"/>
  <c r="W6" i="14"/>
  <c r="W5" i="14"/>
  <c r="W4" i="14"/>
  <c r="W3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F285" i="7" l="1"/>
  <c r="G284" i="7"/>
  <c r="C284" i="7"/>
  <c r="E283" i="7"/>
  <c r="G282" i="7"/>
  <c r="C282" i="7"/>
  <c r="E281" i="7"/>
  <c r="G280" i="7"/>
  <c r="H274" i="7"/>
  <c r="G274" i="7"/>
  <c r="E274" i="7"/>
  <c r="E285" i="7" s="1"/>
  <c r="D274" i="7"/>
  <c r="C274" i="7"/>
  <c r="H266" i="7"/>
  <c r="G266" i="7"/>
  <c r="F266" i="7"/>
  <c r="E266" i="7"/>
  <c r="D266" i="7"/>
  <c r="C266" i="7"/>
  <c r="C285" i="7" s="1"/>
  <c r="H258" i="7"/>
  <c r="H285" i="7" s="1"/>
  <c r="G258" i="7"/>
  <c r="G285" i="7" s="1"/>
  <c r="E258" i="7"/>
  <c r="D258" i="7"/>
  <c r="D285" i="7" s="1"/>
  <c r="C258" i="7"/>
  <c r="H250" i="7"/>
  <c r="G250" i="7"/>
  <c r="F250" i="7"/>
  <c r="E250" i="7"/>
  <c r="D250" i="7"/>
  <c r="C250" i="7"/>
  <c r="H242" i="7"/>
  <c r="H284" i="7" s="1"/>
  <c r="G242" i="7"/>
  <c r="F242" i="7"/>
  <c r="F284" i="7" s="1"/>
  <c r="E242" i="7"/>
  <c r="E284" i="7" s="1"/>
  <c r="D242" i="7"/>
  <c r="D284" i="7" s="1"/>
  <c r="C242" i="7"/>
  <c r="H234" i="7"/>
  <c r="G234" i="7"/>
  <c r="F234" i="7"/>
  <c r="E234" i="7"/>
  <c r="D234" i="7"/>
  <c r="C234" i="7"/>
  <c r="H226" i="7"/>
  <c r="G226" i="7"/>
  <c r="F226" i="7"/>
  <c r="E226" i="7"/>
  <c r="D226" i="7"/>
  <c r="C226" i="7"/>
  <c r="H218" i="7"/>
  <c r="G218" i="7"/>
  <c r="F218" i="7"/>
  <c r="E218" i="7"/>
  <c r="D218" i="7"/>
  <c r="C218" i="7"/>
  <c r="H210" i="7"/>
  <c r="G210" i="7"/>
  <c r="F210" i="7"/>
  <c r="E210" i="7"/>
  <c r="D210" i="7"/>
  <c r="C210" i="7"/>
  <c r="H202" i="7"/>
  <c r="G202" i="7"/>
  <c r="F202" i="7"/>
  <c r="E202" i="7"/>
  <c r="D202" i="7"/>
  <c r="C202" i="7"/>
  <c r="H194" i="7"/>
  <c r="G194" i="7"/>
  <c r="F194" i="7"/>
  <c r="E194" i="7"/>
  <c r="D194" i="7"/>
  <c r="C194" i="7"/>
  <c r="H186" i="7"/>
  <c r="G186" i="7"/>
  <c r="F186" i="7"/>
  <c r="E186" i="7"/>
  <c r="D186" i="7"/>
  <c r="C186" i="7"/>
  <c r="H178" i="7"/>
  <c r="G178" i="7"/>
  <c r="F178" i="7"/>
  <c r="E178" i="7"/>
  <c r="D178" i="7"/>
  <c r="C178" i="7"/>
  <c r="H170" i="7"/>
  <c r="G170" i="7"/>
  <c r="F170" i="7"/>
  <c r="E170" i="7"/>
  <c r="D170" i="7"/>
  <c r="C170" i="7"/>
  <c r="H162" i="7"/>
  <c r="G162" i="7"/>
  <c r="F162" i="7"/>
  <c r="E162" i="7"/>
  <c r="D162" i="7"/>
  <c r="C162" i="7"/>
  <c r="H154" i="7"/>
  <c r="H283" i="7" s="1"/>
  <c r="G154" i="7"/>
  <c r="G283" i="7" s="1"/>
  <c r="F154" i="7"/>
  <c r="F283" i="7" s="1"/>
  <c r="E154" i="7"/>
  <c r="D154" i="7"/>
  <c r="D283" i="7" s="1"/>
  <c r="C154" i="7"/>
  <c r="C283" i="7" s="1"/>
  <c r="H146" i="7"/>
  <c r="G146" i="7"/>
  <c r="F146" i="7"/>
  <c r="E146" i="7"/>
  <c r="D146" i="7"/>
  <c r="C146" i="7"/>
  <c r="H138" i="7"/>
  <c r="G138" i="7"/>
  <c r="F138" i="7"/>
  <c r="E138" i="7"/>
  <c r="D138" i="7"/>
  <c r="C138" i="7"/>
  <c r="H130" i="7"/>
  <c r="H282" i="7" s="1"/>
  <c r="G130" i="7"/>
  <c r="F130" i="7"/>
  <c r="E130" i="7"/>
  <c r="E282" i="7" s="1"/>
  <c r="D130" i="7"/>
  <c r="D282" i="7" s="1"/>
  <c r="C130" i="7"/>
  <c r="H122" i="7"/>
  <c r="G122" i="7"/>
  <c r="F122" i="7"/>
  <c r="F282" i="7" s="1"/>
  <c r="E122" i="7"/>
  <c r="D122" i="7"/>
  <c r="C122" i="7"/>
  <c r="H114" i="7"/>
  <c r="G114" i="7"/>
  <c r="F114" i="7"/>
  <c r="E114" i="7"/>
  <c r="D114" i="7"/>
  <c r="C114" i="7"/>
  <c r="H106" i="7"/>
  <c r="G106" i="7"/>
  <c r="F106" i="7"/>
  <c r="E106" i="7"/>
  <c r="D106" i="7"/>
  <c r="C106" i="7"/>
  <c r="H98" i="7"/>
  <c r="G98" i="7"/>
  <c r="F98" i="7"/>
  <c r="E98" i="7"/>
  <c r="D98" i="7"/>
  <c r="C98" i="7"/>
  <c r="H90" i="7"/>
  <c r="H281" i="7" s="1"/>
  <c r="G90" i="7"/>
  <c r="G281" i="7" s="1"/>
  <c r="F90" i="7"/>
  <c r="F281" i="7" s="1"/>
  <c r="E90" i="7"/>
  <c r="D90" i="7"/>
  <c r="D281" i="7" s="1"/>
  <c r="C90" i="7"/>
  <c r="C281" i="7" s="1"/>
  <c r="H82" i="7"/>
  <c r="H280" i="7" s="1"/>
  <c r="G82" i="7"/>
  <c r="E82" i="7"/>
  <c r="D82" i="7"/>
  <c r="C82" i="7"/>
  <c r="C280" i="7" s="1"/>
  <c r="H74" i="7"/>
  <c r="G74" i="7"/>
  <c r="E74" i="7"/>
  <c r="E280" i="7" s="1"/>
  <c r="D74" i="7"/>
  <c r="D280" i="7" s="1"/>
  <c r="C74" i="7"/>
  <c r="H66" i="7"/>
  <c r="G66" i="7"/>
  <c r="F66" i="7"/>
  <c r="E66" i="7"/>
  <c r="D66" i="7"/>
  <c r="C66" i="7"/>
  <c r="H58" i="7"/>
  <c r="H279" i="7" s="1"/>
  <c r="G58" i="7"/>
  <c r="F58" i="7"/>
  <c r="E58" i="7"/>
  <c r="E279" i="7" s="1"/>
  <c r="D58" i="7"/>
  <c r="D279" i="7" s="1"/>
  <c r="C58" i="7"/>
  <c r="H50" i="7"/>
  <c r="G50" i="7"/>
  <c r="G279" i="7" s="1"/>
  <c r="F50" i="7"/>
  <c r="F279" i="7" s="1"/>
  <c r="E50" i="7"/>
  <c r="D50" i="7"/>
  <c r="C50" i="7"/>
  <c r="C279" i="7" s="1"/>
  <c r="H42" i="7"/>
  <c r="G42" i="7"/>
  <c r="F42" i="7"/>
  <c r="E42" i="7"/>
  <c r="D42" i="7"/>
  <c r="C42" i="7"/>
  <c r="H34" i="7"/>
  <c r="G34" i="7"/>
  <c r="F34" i="7"/>
  <c r="E34" i="7"/>
  <c r="D34" i="7"/>
  <c r="C34" i="7"/>
  <c r="H26" i="7"/>
  <c r="G26" i="7"/>
  <c r="F26" i="7"/>
  <c r="E26" i="7"/>
  <c r="D26" i="7"/>
  <c r="C26" i="7"/>
  <c r="H18" i="7"/>
  <c r="H278" i="7" s="1"/>
  <c r="G18" i="7"/>
  <c r="G278" i="7" s="1"/>
  <c r="F18" i="7"/>
  <c r="F278" i="7" s="1"/>
  <c r="E18" i="7"/>
  <c r="E278" i="7" s="1"/>
  <c r="D18" i="7"/>
  <c r="D278" i="7" s="1"/>
  <c r="C18" i="7"/>
  <c r="C278" i="7" s="1"/>
  <c r="H10" i="7"/>
  <c r="H277" i="7" s="1"/>
  <c r="G10" i="7"/>
  <c r="G277" i="7" s="1"/>
  <c r="F10" i="7"/>
  <c r="F277" i="7" s="1"/>
  <c r="E10" i="7"/>
  <c r="E277" i="7" s="1"/>
  <c r="D10" i="7"/>
  <c r="D277" i="7" s="1"/>
  <c r="C10" i="7"/>
  <c r="C277" i="7" s="1"/>
</calcChain>
</file>

<file path=xl/sharedStrings.xml><?xml version="1.0" encoding="utf-8"?>
<sst xmlns="http://schemas.openxmlformats.org/spreadsheetml/2006/main" count="1100" uniqueCount="162">
  <si>
    <t>JFK</t>
  </si>
  <si>
    <t>EWR</t>
  </si>
  <si>
    <t>Total</t>
  </si>
  <si>
    <t>Business</t>
  </si>
  <si>
    <t>Leisure</t>
  </si>
  <si>
    <t>Other</t>
  </si>
  <si>
    <t>Personal</t>
  </si>
  <si>
    <t>LGA</t>
  </si>
  <si>
    <t>LGA Panel</t>
  </si>
  <si>
    <t>TOTAL</t>
  </si>
  <si>
    <t>OVERALL_SAT</t>
  </si>
  <si>
    <t>transport</t>
  </si>
  <si>
    <t>parking</t>
  </si>
  <si>
    <t>vfm_parking</t>
  </si>
  <si>
    <t>baggage_carts</t>
  </si>
  <si>
    <t>airline_wait</t>
  </si>
  <si>
    <t>airline_effic</t>
  </si>
  <si>
    <t>airline_court</t>
  </si>
  <si>
    <t>waiting_passport</t>
  </si>
  <si>
    <t>inspection_staff</t>
  </si>
  <si>
    <t>security_staff</t>
  </si>
  <si>
    <t>through_inspect</t>
  </si>
  <si>
    <t>waiting_inspect</t>
  </si>
  <si>
    <t>feel_safe</t>
  </si>
  <si>
    <t>finding_way</t>
  </si>
  <si>
    <t>screens</t>
  </si>
  <si>
    <t>walking</t>
  </si>
  <si>
    <t>connections</t>
  </si>
  <si>
    <t>airport_staff</t>
  </si>
  <si>
    <t>restaurants</t>
  </si>
  <si>
    <t>vfm_restaurant</t>
  </si>
  <si>
    <t>bank</t>
  </si>
  <si>
    <t>shopping</t>
  </si>
  <si>
    <t>vfm_shopping</t>
  </si>
  <si>
    <t>computer</t>
  </si>
  <si>
    <t>airline_lounge</t>
  </si>
  <si>
    <t>washrooms_av</t>
  </si>
  <si>
    <t>washrooms_clean</t>
  </si>
  <si>
    <t>waiting_areas</t>
  </si>
  <si>
    <t>cleanliness</t>
  </si>
  <si>
    <t>ambience</t>
  </si>
  <si>
    <t>passport_arrival</t>
  </si>
  <si>
    <t>speed_bag</t>
  </si>
  <si>
    <t>customs</t>
  </si>
  <si>
    <t>AMS</t>
  </si>
  <si>
    <t>ATL</t>
  </si>
  <si>
    <t>BOS</t>
  </si>
  <si>
    <t>BWI</t>
  </si>
  <si>
    <t>CDG</t>
  </si>
  <si>
    <t>DFW</t>
  </si>
  <si>
    <t>DXB</t>
  </si>
  <si>
    <t>FLL</t>
  </si>
  <si>
    <t>HKG</t>
  </si>
  <si>
    <t>ICN</t>
  </si>
  <si>
    <t>LAX</t>
  </si>
  <si>
    <t>LHR</t>
  </si>
  <si>
    <t>MSP</t>
  </si>
  <si>
    <t>MUC</t>
  </si>
  <si>
    <t>NRT</t>
  </si>
  <si>
    <t>PEK</t>
  </si>
  <si>
    <t>PHL</t>
  </si>
  <si>
    <t>PVG</t>
  </si>
  <si>
    <t>SCL</t>
  </si>
  <si>
    <t>SEA</t>
  </si>
  <si>
    <t>SFO</t>
  </si>
  <si>
    <t>SIN</t>
  </si>
  <si>
    <t>YYZ</t>
  </si>
  <si>
    <t>PA REGION</t>
  </si>
  <si>
    <t>T1</t>
  </si>
  <si>
    <t>T2</t>
  </si>
  <si>
    <t>T4</t>
  </si>
  <si>
    <t>T5</t>
  </si>
  <si>
    <t>T7</t>
  </si>
  <si>
    <t>T8</t>
  </si>
  <si>
    <t>TA</t>
  </si>
  <si>
    <t>TB</t>
  </si>
  <si>
    <t>TC</t>
  </si>
  <si>
    <t>LTA</t>
  </si>
  <si>
    <t>LTB</t>
  </si>
  <si>
    <t>LTC</t>
  </si>
  <si>
    <t>LTD</t>
  </si>
  <si>
    <t>NA</t>
  </si>
  <si>
    <t>Excellent</t>
  </si>
  <si>
    <t>Very Good</t>
  </si>
  <si>
    <t>Good</t>
  </si>
  <si>
    <t>Fair</t>
  </si>
  <si>
    <t>Poor</t>
  </si>
  <si>
    <t>JFK/EWR 
Panel</t>
  </si>
  <si>
    <t>LGA 
Panel</t>
  </si>
  <si>
    <t>Unwt'd Sample 
Base Aize:</t>
  </si>
  <si>
    <t>NPS ((3-5)-(1-2)?)</t>
  </si>
  <si>
    <t>Access</t>
  </si>
  <si>
    <t>Check-in</t>
  </si>
  <si>
    <t>Passport</t>
  </si>
  <si>
    <t>Security</t>
  </si>
  <si>
    <t>FindingW</t>
  </si>
  <si>
    <t>Facilities</t>
  </si>
  <si>
    <t>Environment</t>
  </si>
  <si>
    <t>Arrivals</t>
  </si>
  <si>
    <t>Major Airport Elements-NPS</t>
  </si>
  <si>
    <t>GT</t>
  </si>
  <si>
    <t>Check-in wait</t>
  </si>
  <si>
    <t>Check-in Effic.</t>
  </si>
  <si>
    <t>Check-in Courtesy</t>
  </si>
  <si>
    <t>airport_staffcourtesy</t>
  </si>
  <si>
    <t xml:space="preserve">IATA Code </t>
  </si>
  <si>
    <t xml:space="preserve">Airport Name </t>
  </si>
  <si>
    <t>AMSTERDAM SCHIPHOL AIRPORT</t>
  </si>
  <si>
    <t>ATLANTA HARTSFIELD-JACKSON INTL AIRPORT</t>
  </si>
  <si>
    <t>BOSTON LOGAN INTL AIRPORT</t>
  </si>
  <si>
    <t>PARIS CHARLES DE GAULLE AIRPORT</t>
  </si>
  <si>
    <t>DALLAS/FORT WORTH INTL AIRPORT</t>
  </si>
  <si>
    <t>DUBAI INTL AIRPORT</t>
  </si>
  <si>
    <t>NEWARK LIBERTY INTERNATIONAL AIRPORT</t>
  </si>
  <si>
    <t>HONG KONG INTL AIRPORT</t>
  </si>
  <si>
    <t>JOHN F.KENNEDY INTERNATIONAL AIRPORT</t>
  </si>
  <si>
    <t>LOS ANGELES INTL AIRPORT</t>
  </si>
  <si>
    <t>LONDON HEATHROW AIRPORT</t>
  </si>
  <si>
    <t>TOKYO NARITA AIRPORT</t>
  </si>
  <si>
    <t>BEIJING CAPITAL INTL AIRPORT</t>
  </si>
  <si>
    <t>PHILADELPHIA INTERNATIONAL AIRPORT</t>
  </si>
  <si>
    <t>SHANGHAI PU DONG AIRPORT</t>
  </si>
  <si>
    <t>ARTURO MERINO BENITEZ INTERNATIONAL AIRPORT</t>
  </si>
  <si>
    <t>SEATTLE/TACOMA INTL AIRPORT</t>
  </si>
  <si>
    <t>SAN FRANCISCO INTL AIRPORT</t>
  </si>
  <si>
    <t>SINGAPORE CHANGI AIRPORT</t>
  </si>
  <si>
    <t>TORONTO LESTER B PEARSON INTL AIRPORT</t>
  </si>
  <si>
    <t>SEOUL INCHEON INTERNATIONAL AIRPORT</t>
  </si>
  <si>
    <t>JFK Panel</t>
  </si>
  <si>
    <t>EWR Panel</t>
  </si>
  <si>
    <t>JFK
Rank</t>
  </si>
  <si>
    <t>EWR
Rank</t>
  </si>
  <si>
    <t>LGA
Rank</t>
  </si>
  <si>
    <t>MAX</t>
  </si>
  <si>
    <t>Leisure+</t>
  </si>
  <si>
    <t>WT'D</t>
  </si>
  <si>
    <t xml:space="preserve"> </t>
  </si>
  <si>
    <t>Q3</t>
  </si>
  <si>
    <t>Q4</t>
  </si>
  <si>
    <t>JFK
Q4</t>
  </si>
  <si>
    <t>JFK
Q1</t>
  </si>
  <si>
    <t>Q1</t>
  </si>
  <si>
    <t>WTD</t>
  </si>
  <si>
    <t>EWR
3rd</t>
  </si>
  <si>
    <t>Wtd</t>
  </si>
  <si>
    <t>Wt'd</t>
  </si>
  <si>
    <t>LGA
Q4</t>
  </si>
  <si>
    <t>LGA
Q3</t>
  </si>
  <si>
    <t>JFK
Q2</t>
  </si>
  <si>
    <t>EWR
Q1</t>
  </si>
  <si>
    <t>EWR
Q2</t>
  </si>
  <si>
    <t>JFK
Q3</t>
  </si>
  <si>
    <t>EWR
Q4</t>
  </si>
  <si>
    <t>LGA
Q1</t>
  </si>
  <si>
    <t>LGA
Q2</t>
  </si>
  <si>
    <t>Q2</t>
  </si>
  <si>
    <t>DEN</t>
  </si>
  <si>
    <t>USAirports</t>
  </si>
  <si>
    <t>EWR
Q3</t>
  </si>
  <si>
    <t>Diff.</t>
  </si>
  <si>
    <t>Q3-Q2</t>
  </si>
  <si>
    <t>Q3
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</si>
</sst>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###0"/>
    <numFmt numFmtId="165" formatCode="#,###.000"/>
    <numFmt numFmtId="166" formatCode="0.000"/>
    <numFmt numFmtId="167" formatCode="#,##0.000"/>
    <numFmt numFmtId="168" formatCode="###0%"/>
    <numFmt numFmtId="169" formatCode="#,###.00"/>
    <numFmt numFmtId="170" formatCode="#,###"/>
    <numFmt numFmtId="171" formatCode="####.000"/>
    <numFmt numFmtId="172" formatCode="###0.000"/>
  </numFmts>
  <fonts count="24" x14ac:knownFonts="1">
    <font>
      <sz val="10"/>
      <name val="Arial"/>
    </font>
    <font>
      <sz val="8"/>
      <color indexed="8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8"/>
      <color indexed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theme="1"/>
      <name val="Arial"/>
      <family val="2"/>
    </font>
    <font>
      <b/>
      <sz val="8"/>
      <color rgb="FFFFFFFF"/>
      <name val="Arial"/>
      <family val="2"/>
    </font>
    <font>
      <sz val="9"/>
      <color rgb="FF000000"/>
      <name val="Arial"/>
      <family val="2"/>
    </font>
    <font>
      <sz val="10"/>
      <color theme="1"/>
      <name val="Arial"/>
      <family val="2"/>
    </font>
    <font>
      <sz val="8"/>
      <color rgb="FF0070C0"/>
      <name val="Arial"/>
      <family val="2"/>
    </font>
    <font>
      <sz val="10"/>
      <color rgb="FF0070C0"/>
      <name val="Arial"/>
      <family val="2"/>
    </font>
    <font>
      <sz val="9"/>
      <name val="Arial"/>
      <family val="2"/>
    </font>
    <font>
      <sz val="8"/>
      <color rgb="FFFF0000"/>
      <name val="Arial"/>
      <family val="2"/>
    </font>
    <font>
      <sz val="9"/>
      <color indexed="8"/>
      <name val="Arial"/>
    </font>
    <font>
      <sz val="8"/>
      <color indexed="8"/>
      <name val="Arial"/>
    </font>
    <font>
      <sz val="8"/>
      <color theme="8"/>
      <name val="Arial"/>
      <family val="2"/>
    </font>
    <font>
      <sz val="10"/>
      <color theme="8"/>
      <name val="Arial"/>
      <family val="2"/>
    </font>
    <font>
      <b/>
      <sz val="8"/>
      <color rgb="FF0070C0"/>
      <name val="Arial"/>
      <family val="2"/>
    </font>
    <font>
      <sz val="9"/>
      <color rgb="FF0070C0"/>
      <name val="Arial"/>
      <family val="2"/>
    </font>
    <font>
      <b/>
      <sz val="10"/>
      <color rgb="FF0070C0"/>
      <name val="Arial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164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left" wrapText="1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center" wrapText="1"/>
    </xf>
    <xf numFmtId="164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66" fontId="3" fillId="0" borderId="0" xfId="0" quotePrefix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" fillId="0" borderId="0" xfId="0" applyFont="1" applyBorder="1" applyAlignment="1">
      <alignment horizontal="left" vertical="top"/>
    </xf>
    <xf numFmtId="168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right" vertical="top" wrapText="1"/>
    </xf>
    <xf numFmtId="0" fontId="2" fillId="0" borderId="0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168" fontId="2" fillId="0" borderId="0" xfId="0" applyNumberFormat="1" applyFont="1" applyBorder="1" applyAlignment="1">
      <alignment horizontal="center" vertical="top"/>
    </xf>
    <xf numFmtId="166" fontId="6" fillId="0" borderId="0" xfId="0" quotePrefix="1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 readingOrder="1"/>
    </xf>
    <xf numFmtId="0" fontId="10" fillId="3" borderId="1" xfId="0" applyFont="1" applyFill="1" applyBorder="1" applyAlignment="1">
      <alignment horizontal="left" wrapText="1" readingOrder="1"/>
    </xf>
    <xf numFmtId="0" fontId="10" fillId="4" borderId="1" xfId="0" applyFont="1" applyFill="1" applyBorder="1" applyAlignment="1">
      <alignment horizontal="left" wrapText="1" readingOrder="1"/>
    </xf>
    <xf numFmtId="0" fontId="9" fillId="2" borderId="1" xfId="0" applyFont="1" applyFill="1" applyBorder="1" applyAlignment="1">
      <alignment horizontal="center" vertical="center" wrapText="1" readingOrder="1"/>
    </xf>
    <xf numFmtId="0" fontId="10" fillId="3" borderId="1" xfId="0" applyFont="1" applyFill="1" applyBorder="1" applyAlignment="1">
      <alignment horizontal="center" wrapText="1" readingOrder="1"/>
    </xf>
    <xf numFmtId="0" fontId="10" fillId="4" borderId="1" xfId="0" applyFont="1" applyFill="1" applyBorder="1" applyAlignment="1">
      <alignment horizontal="center" wrapText="1" readingOrder="1"/>
    </xf>
    <xf numFmtId="0" fontId="0" fillId="0" borderId="0" xfId="0" applyAlignment="1">
      <alignment horizontal="center" readingOrder="1"/>
    </xf>
    <xf numFmtId="164" fontId="8" fillId="0" borderId="0" xfId="0" applyNumberFormat="1" applyFont="1" applyBorder="1" applyAlignment="1">
      <alignment horizontal="center" vertical="center"/>
    </xf>
    <xf numFmtId="4" fontId="8" fillId="0" borderId="0" xfId="0" applyNumberFormat="1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166" fontId="8" fillId="0" borderId="0" xfId="0" quotePrefix="1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164" fontId="12" fillId="0" borderId="0" xfId="0" applyNumberFormat="1" applyFont="1" applyBorder="1" applyAlignment="1">
      <alignment horizontal="center" vertical="center"/>
    </xf>
    <xf numFmtId="169" fontId="1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164" fontId="3" fillId="0" borderId="0" xfId="0" applyNumberFormat="1" applyFont="1" applyBorder="1" applyAlignment="1">
      <alignment horizontal="center" vertical="center"/>
    </xf>
    <xf numFmtId="4" fontId="3" fillId="0" borderId="0" xfId="0" applyNumberFormat="1" applyFont="1" applyBorder="1" applyAlignment="1">
      <alignment horizontal="center" vertical="center"/>
    </xf>
    <xf numFmtId="169" fontId="3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164" fontId="6" fillId="0" borderId="0" xfId="0" applyNumberFormat="1" applyFont="1" applyBorder="1" applyAlignment="1">
      <alignment horizontal="center" vertical="center"/>
    </xf>
    <xf numFmtId="4" fontId="6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wrapText="1"/>
    </xf>
    <xf numFmtId="4" fontId="3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170" fontId="3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wrapText="1"/>
    </xf>
    <xf numFmtId="164" fontId="14" fillId="0" borderId="0" xfId="0" applyNumberFormat="1" applyFont="1" applyBorder="1" applyAlignment="1">
      <alignment horizontal="center" vertical="center"/>
    </xf>
    <xf numFmtId="164" fontId="14" fillId="0" borderId="0" xfId="0" applyNumberFormat="1" applyFont="1" applyBorder="1" applyAlignment="1">
      <alignment horizontal="center" vertical="top"/>
    </xf>
    <xf numFmtId="4" fontId="14" fillId="0" borderId="0" xfId="0" applyNumberFormat="1" applyFont="1" applyBorder="1" applyAlignment="1">
      <alignment horizontal="center" vertical="center"/>
    </xf>
    <xf numFmtId="171" fontId="14" fillId="0" borderId="0" xfId="0" applyNumberFormat="1" applyFont="1" applyBorder="1" applyAlignment="1">
      <alignment horizontal="center" vertical="center"/>
    </xf>
    <xf numFmtId="4" fontId="14" fillId="0" borderId="0" xfId="0" applyNumberFormat="1" applyFont="1" applyBorder="1" applyAlignment="1">
      <alignment horizontal="center" vertical="top"/>
    </xf>
    <xf numFmtId="165" fontId="14" fillId="0" borderId="0" xfId="0" applyNumberFormat="1" applyFont="1" applyBorder="1" applyAlignment="1">
      <alignment horizontal="center" vertical="top"/>
    </xf>
    <xf numFmtId="167" fontId="14" fillId="0" borderId="0" xfId="0" applyNumberFormat="1" applyFont="1" applyBorder="1" applyAlignment="1">
      <alignment horizontal="center" vertical="top"/>
    </xf>
    <xf numFmtId="169" fontId="14" fillId="0" borderId="0" xfId="0" applyNumberFormat="1" applyFont="1" applyBorder="1" applyAlignment="1">
      <alignment horizontal="center" vertical="center"/>
    </xf>
    <xf numFmtId="172" fontId="14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top"/>
    </xf>
    <xf numFmtId="0" fontId="3" fillId="0" borderId="0" xfId="0" applyFont="1" applyBorder="1" applyAlignment="1">
      <alignment horizontal="center" wrapText="1"/>
    </xf>
    <xf numFmtId="0" fontId="14" fillId="0" borderId="0" xfId="0" applyFont="1" applyBorder="1" applyAlignment="1">
      <alignment horizontal="left" wrapText="1"/>
    </xf>
    <xf numFmtId="0" fontId="14" fillId="0" borderId="0" xfId="0" applyFont="1" applyBorder="1" applyAlignment="1">
      <alignment horizontal="left" vertical="top" wrapText="1"/>
    </xf>
    <xf numFmtId="164" fontId="3" fillId="0" borderId="0" xfId="0" applyNumberFormat="1" applyFont="1" applyBorder="1" applyAlignment="1">
      <alignment horizontal="center"/>
    </xf>
    <xf numFmtId="165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164" fontId="14" fillId="0" borderId="0" xfId="0" applyNumberFormat="1" applyFont="1" applyBorder="1" applyAlignment="1">
      <alignment horizontal="center"/>
    </xf>
    <xf numFmtId="4" fontId="1" fillId="0" borderId="0" xfId="0" applyNumberFormat="1" applyFont="1" applyBorder="1" applyAlignment="1">
      <alignment horizontal="center" vertical="top"/>
    </xf>
    <xf numFmtId="165" fontId="1" fillId="0" borderId="0" xfId="0" applyNumberFormat="1" applyFont="1" applyBorder="1" applyAlignment="1">
      <alignment horizontal="center" vertical="top"/>
    </xf>
    <xf numFmtId="0" fontId="0" fillId="5" borderId="0" xfId="0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/>
    </xf>
    <xf numFmtId="0" fontId="14" fillId="5" borderId="0" xfId="0" applyFont="1" applyFill="1" applyBorder="1" applyAlignment="1">
      <alignment horizontal="center" wrapText="1"/>
    </xf>
    <xf numFmtId="166" fontId="3" fillId="5" borderId="0" xfId="0" quotePrefix="1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wrapText="1"/>
    </xf>
    <xf numFmtId="164" fontId="16" fillId="0" borderId="0" xfId="0" applyNumberFormat="1" applyFont="1" applyBorder="1" applyAlignment="1">
      <alignment horizontal="center" vertical="top"/>
    </xf>
    <xf numFmtId="4" fontId="16" fillId="0" borderId="0" xfId="0" applyNumberFormat="1" applyFont="1" applyBorder="1" applyAlignment="1">
      <alignment horizontal="center" vertical="top"/>
    </xf>
    <xf numFmtId="165" fontId="16" fillId="0" borderId="0" xfId="0" applyNumberFormat="1" applyFont="1" applyBorder="1" applyAlignment="1">
      <alignment horizontal="center" vertical="top"/>
    </xf>
    <xf numFmtId="164" fontId="17" fillId="0" borderId="0" xfId="0" applyNumberFormat="1" applyFont="1" applyBorder="1" applyAlignment="1">
      <alignment horizontal="center" vertical="top"/>
    </xf>
    <xf numFmtId="0" fontId="17" fillId="0" borderId="0" xfId="0" applyFont="1" applyBorder="1" applyAlignment="1">
      <alignment horizontal="center" wrapText="1"/>
    </xf>
    <xf numFmtId="4" fontId="17" fillId="0" borderId="0" xfId="0" applyNumberFormat="1" applyFont="1" applyBorder="1" applyAlignment="1">
      <alignment horizontal="center" vertical="top"/>
    </xf>
    <xf numFmtId="165" fontId="17" fillId="0" borderId="0" xfId="0" applyNumberFormat="1" applyFont="1" applyBorder="1" applyAlignment="1">
      <alignment horizontal="center" vertical="top"/>
    </xf>
    <xf numFmtId="0" fontId="19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wrapText="1"/>
    </xf>
    <xf numFmtId="164" fontId="18" fillId="0" borderId="0" xfId="0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 vertical="top"/>
    </xf>
    <xf numFmtId="4" fontId="8" fillId="0" borderId="0" xfId="0" applyNumberFormat="1" applyFont="1" applyBorder="1" applyAlignment="1">
      <alignment horizontal="center" vertical="top"/>
    </xf>
    <xf numFmtId="16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left" wrapText="1"/>
    </xf>
    <xf numFmtId="164" fontId="8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7" fillId="0" borderId="0" xfId="0" applyNumberFormat="1" applyFont="1" applyBorder="1" applyAlignment="1">
      <alignment horizontal="center"/>
    </xf>
    <xf numFmtId="164" fontId="16" fillId="0" borderId="0" xfId="0" applyNumberFormat="1" applyFont="1" applyBorder="1" applyAlignment="1">
      <alignment horizontal="center"/>
    </xf>
    <xf numFmtId="167" fontId="8" fillId="0" borderId="0" xfId="0" applyNumberFormat="1" applyFont="1" applyBorder="1" applyAlignment="1">
      <alignment horizontal="center" vertical="center"/>
    </xf>
    <xf numFmtId="167" fontId="8" fillId="0" borderId="0" xfId="0" applyNumberFormat="1" applyFont="1" applyBorder="1" applyAlignment="1">
      <alignment horizontal="center" vertical="top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4" fontId="20" fillId="0" borderId="0" xfId="0" applyNumberFormat="1" applyFont="1" applyBorder="1" applyAlignment="1">
      <alignment horizontal="center" vertical="center"/>
    </xf>
    <xf numFmtId="4" fontId="12" fillId="0" borderId="0" xfId="0" applyNumberFormat="1" applyFont="1" applyBorder="1" applyAlignment="1">
      <alignment horizontal="center" vertical="center" wrapText="1"/>
    </xf>
    <xf numFmtId="4" fontId="20" fillId="0" borderId="0" xfId="0" applyNumberFormat="1" applyFont="1" applyBorder="1" applyAlignment="1">
      <alignment horizontal="center" vertical="center"/>
    </xf>
    <xf numFmtId="170" fontId="12" fillId="0" borderId="0" xfId="0" applyNumberFormat="1" applyFont="1" applyBorder="1" applyAlignment="1">
      <alignment horizontal="center" vertical="center"/>
    </xf>
    <xf numFmtId="4" fontId="21" fillId="0" borderId="0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 wrapText="1"/>
    </xf>
    <xf numFmtId="0" fontId="23" fillId="5" borderId="0" xfId="0" applyFont="1" applyFill="1" applyBorder="1" applyAlignment="1">
      <alignment horizontal="center"/>
    </xf>
    <xf numFmtId="0" fontId="23" fillId="0" borderId="0" xfId="0" applyFont="1" applyBorder="1" applyAlignment="1">
      <alignment horizontal="left" wrapText="1"/>
    </xf>
    <xf numFmtId="0" fontId="23" fillId="5" borderId="0" xfId="0" applyFont="1" applyFill="1" applyBorder="1" applyAlignment="1">
      <alignment horizontal="center" wrapText="1"/>
    </xf>
    <xf numFmtId="2" fontId="3" fillId="0" borderId="0" xfId="0" quotePrefix="1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12</xdr:col>
      <xdr:colOff>7951</xdr:colOff>
      <xdr:row>21</xdr:row>
      <xdr:rowOff>103367</xdr:rowOff>
    </xdr:to>
    <xdr:pic>
      <xdr:nvPicPr>
        <xdr:cNvPr id="4217" name="Picture 3">
          <a:extLst>
            <a:ext uri="{FF2B5EF4-FFF2-40B4-BE49-F238E27FC236}">
              <a16:creationId xmlns:a16="http://schemas.microsoft.com/office/drawing/2014/main" id="{00000000-0008-0000-0700-00007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9708" y="0"/>
          <a:ext cx="5732890" cy="3737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N41"/>
  <sheetViews>
    <sheetView zoomScale="75" zoomScaleNormal="75" workbookViewId="0">
      <pane xSplit="2" ySplit="2" topLeftCell="HL3" activePane="bottomRight" state="frozen"/>
      <selection pane="topRight" activeCell="C1" sqref="C1"/>
      <selection pane="bottomLeft" activeCell="A3" sqref="A3"/>
      <selection pane="bottomRight" sqref="A1:A1048576"/>
    </sheetView>
  </sheetViews>
  <sheetFormatPr defaultColWidth="11.44140625" defaultRowHeight="12.55" x14ac:dyDescent="0.2"/>
  <cols>
    <col min="1" max="1" width="2.21875" style="11" customWidth="1"/>
    <col min="2" max="2" width="13.5546875" style="12" bestFit="1" customWidth="1"/>
    <col min="3" max="4" width="4.5546875" style="85" bestFit="1" customWidth="1"/>
    <col min="5" max="6" width="4.109375" style="85" bestFit="1" customWidth="1"/>
    <col min="7" max="7" width="4" style="31" customWidth="1"/>
    <col min="8" max="9" width="4.21875" style="31" bestFit="1" customWidth="1"/>
    <col min="10" max="11" width="4.109375" style="31" bestFit="1" customWidth="1"/>
    <col min="12" max="12" width="5.77734375" style="11" bestFit="1" customWidth="1"/>
    <col min="13" max="13" width="1.5546875" style="11" bestFit="1" customWidth="1"/>
    <col min="14" max="14" width="5" style="11" customWidth="1"/>
    <col min="15" max="16" width="4.21875" style="31" bestFit="1" customWidth="1"/>
    <col min="17" max="18" width="4.109375" style="31" bestFit="1" customWidth="1"/>
    <col min="19" max="19" width="5.88671875" style="11" bestFit="1" customWidth="1"/>
    <col min="20" max="20" width="1.5546875" style="11" bestFit="1" customWidth="1"/>
    <col min="21" max="21" width="4.77734375" style="11" customWidth="1"/>
    <col min="22" max="23" width="4.21875" style="31" bestFit="1" customWidth="1"/>
    <col min="24" max="25" width="4.109375" style="31" bestFit="1" customWidth="1"/>
    <col min="26" max="26" width="5.77734375" style="11" bestFit="1" customWidth="1"/>
    <col min="27" max="27" width="1.5546875" style="11" bestFit="1" customWidth="1"/>
    <col min="28" max="28" width="5" style="11" customWidth="1"/>
    <col min="29" max="30" width="4.21875" style="11" bestFit="1" customWidth="1"/>
    <col min="31" max="32" width="4.109375" style="11" bestFit="1" customWidth="1"/>
    <col min="33" max="33" width="5.77734375" style="11" bestFit="1" customWidth="1"/>
    <col min="34" max="34" width="1.5546875" style="11" bestFit="1" customWidth="1"/>
    <col min="35" max="35" width="5" style="11" customWidth="1"/>
    <col min="36" max="36" width="4.88671875" style="11" bestFit="1" customWidth="1"/>
    <col min="37" max="37" width="4.5546875" style="11" bestFit="1" customWidth="1"/>
    <col min="38" max="38" width="4.109375" style="11" bestFit="1" customWidth="1"/>
    <col min="39" max="39" width="6.33203125" style="2" bestFit="1" customWidth="1"/>
    <col min="40" max="40" width="1.5546875" style="2" bestFit="1" customWidth="1"/>
    <col min="41" max="41" width="5" style="11" customWidth="1"/>
    <col min="42" max="43" width="4.44140625" style="2" bestFit="1" customWidth="1"/>
    <col min="44" max="44" width="4.109375" style="2" bestFit="1" customWidth="1"/>
    <col min="45" max="45" width="6.33203125" style="2" bestFit="1" customWidth="1"/>
    <col min="46" max="46" width="1.5546875" style="2" bestFit="1" customWidth="1"/>
    <col min="47" max="47" width="4.44140625" style="2" customWidth="1"/>
    <col min="48" max="48" width="4.33203125" style="2" bestFit="1" customWidth="1"/>
    <col min="49" max="49" width="4.5546875" style="2" bestFit="1" customWidth="1"/>
    <col min="50" max="50" width="4.109375" style="2" bestFit="1" customWidth="1"/>
    <col min="51" max="51" width="6.33203125" style="2" bestFit="1" customWidth="1"/>
    <col min="52" max="52" width="1.5546875" style="2" bestFit="1" customWidth="1"/>
    <col min="53" max="53" width="4.44140625" style="2" customWidth="1"/>
    <col min="54" max="54" width="4.33203125" style="2" bestFit="1" customWidth="1"/>
    <col min="55" max="55" width="5" style="2" bestFit="1" customWidth="1"/>
    <col min="56" max="56" width="4.109375" style="2" bestFit="1" customWidth="1"/>
    <col min="57" max="57" width="6.33203125" style="2" bestFit="1" customWidth="1"/>
    <col min="58" max="58" width="1.5546875" style="2" bestFit="1" customWidth="1"/>
    <col min="59" max="59" width="4.44140625" style="2" customWidth="1"/>
    <col min="60" max="60" width="4.33203125" style="2" bestFit="1" customWidth="1"/>
    <col min="61" max="61" width="4.5546875" style="2" bestFit="1" customWidth="1"/>
    <col min="62" max="62" width="4.109375" style="2" bestFit="1" customWidth="1"/>
    <col min="63" max="63" width="5.77734375" style="2" bestFit="1" customWidth="1"/>
    <col min="64" max="64" width="1.5546875" style="2" bestFit="1" customWidth="1"/>
    <col min="65" max="65" width="4.44140625" style="2" customWidth="1"/>
    <col min="66" max="66" width="4.33203125" style="2" bestFit="1" customWidth="1"/>
    <col min="67" max="67" width="4.5546875" style="2" bestFit="1" customWidth="1"/>
    <col min="68" max="68" width="4.109375" style="2" bestFit="1" customWidth="1"/>
    <col min="69" max="69" width="6.33203125" style="2" bestFit="1" customWidth="1"/>
    <col min="70" max="70" width="1.5546875" style="2" bestFit="1" customWidth="1"/>
    <col min="71" max="71" width="5" style="11" customWidth="1"/>
    <col min="72" max="73" width="5.109375" style="31" bestFit="1" customWidth="1"/>
    <col min="74" max="75" width="4.109375" style="31" bestFit="1" customWidth="1"/>
    <col min="76" max="76" width="6.33203125" style="31" bestFit="1" customWidth="1"/>
    <col min="77" max="77" width="1.5546875" style="31" bestFit="1" customWidth="1"/>
    <col min="78" max="78" width="5.109375" style="31" customWidth="1"/>
    <col min="79" max="80" width="4.21875" style="31" bestFit="1" customWidth="1"/>
    <col min="81" max="82" width="4.109375" style="31" bestFit="1" customWidth="1"/>
    <col min="83" max="83" width="5.77734375" style="31" bestFit="1" customWidth="1"/>
    <col min="84" max="84" width="1.5546875" style="31" bestFit="1" customWidth="1"/>
    <col min="85" max="85" width="5.109375" style="31" customWidth="1"/>
    <col min="86" max="87" width="4.5546875" style="31" bestFit="1" customWidth="1"/>
    <col min="88" max="89" width="4.109375" style="31" bestFit="1" customWidth="1"/>
    <col min="90" max="90" width="5.77734375" style="31" bestFit="1" customWidth="1"/>
    <col min="91" max="91" width="1.5546875" style="31" bestFit="1" customWidth="1"/>
    <col min="92" max="92" width="3.44140625" style="31" customWidth="1"/>
    <col min="93" max="94" width="4.5546875" style="31" bestFit="1" customWidth="1"/>
    <col min="95" max="96" width="4.109375" style="31" bestFit="1" customWidth="1"/>
    <col min="97" max="97" width="6.33203125" style="31" bestFit="1" customWidth="1"/>
    <col min="98" max="98" width="1.5546875" style="31" bestFit="1" customWidth="1"/>
    <col min="99" max="99" width="3.6640625" style="31" customWidth="1"/>
    <col min="100" max="100" width="3.6640625" style="31" bestFit="1" customWidth="1"/>
    <col min="101" max="101" width="4.21875" style="31" bestFit="1" customWidth="1"/>
    <col min="102" max="102" width="4.109375" style="31" bestFit="1" customWidth="1"/>
    <col min="103" max="103" width="5" style="31" bestFit="1" customWidth="1"/>
    <col min="104" max="104" width="6.6640625" style="31" bestFit="1" customWidth="1"/>
    <col min="105" max="105" width="1.5546875" style="31" bestFit="1" customWidth="1"/>
    <col min="106" max="106" width="3.6640625" style="31" customWidth="1"/>
    <col min="107" max="107" width="4.88671875" style="31" customWidth="1"/>
    <col min="108" max="108" width="4.21875" style="31" bestFit="1" customWidth="1"/>
    <col min="109" max="110" width="4.109375" style="31" bestFit="1" customWidth="1"/>
    <col min="111" max="111" width="6.6640625" style="31" bestFit="1" customWidth="1"/>
    <col min="112" max="112" width="1.5546875" style="31" bestFit="1" customWidth="1"/>
    <col min="113" max="113" width="5.33203125" style="31" customWidth="1"/>
    <col min="114" max="114" width="3.6640625" style="31" bestFit="1" customWidth="1"/>
    <col min="115" max="115" width="4.21875" style="31" bestFit="1" customWidth="1"/>
    <col min="116" max="117" width="4.109375" style="31" bestFit="1" customWidth="1"/>
    <col min="118" max="118" width="6.6640625" style="31" bestFit="1" customWidth="1"/>
    <col min="119" max="119" width="1.5546875" style="31" bestFit="1" customWidth="1"/>
    <col min="120" max="120" width="4.33203125" style="11" customWidth="1"/>
    <col min="121" max="122" width="4.21875" style="85" bestFit="1" customWidth="1"/>
    <col min="123" max="124" width="4.109375" style="85" bestFit="1" customWidth="1"/>
    <col min="125" max="125" width="3.88671875" style="31" customWidth="1"/>
    <col min="126" max="127" width="4.21875" style="31" bestFit="1" customWidth="1"/>
    <col min="128" max="129" width="4.109375" style="31" bestFit="1" customWidth="1"/>
    <col min="130" max="130" width="5.77734375" style="31" bestFit="1" customWidth="1"/>
    <col min="131" max="131" width="1.5546875" style="31" bestFit="1" customWidth="1"/>
    <col min="132" max="132" width="3.88671875" style="31" customWidth="1"/>
    <col min="133" max="134" width="4.21875" style="31" bestFit="1" customWidth="1"/>
    <col min="135" max="136" width="4.109375" style="31" bestFit="1" customWidth="1"/>
    <col min="137" max="137" width="5.77734375" style="31" bestFit="1" customWidth="1"/>
    <col min="138" max="138" width="1.5546875" style="31" bestFit="1" customWidth="1"/>
    <col min="139" max="139" width="3.88671875" style="31" customWidth="1"/>
    <col min="140" max="141" width="4.21875" style="31" bestFit="1" customWidth="1"/>
    <col min="142" max="143" width="4.109375" style="31" bestFit="1" customWidth="1"/>
    <col min="144" max="144" width="5.77734375" style="31" bestFit="1" customWidth="1"/>
    <col min="145" max="145" width="1.5546875" style="31" bestFit="1" customWidth="1"/>
    <col min="146" max="146" width="3.88671875" style="31" customWidth="1"/>
    <col min="147" max="147" width="4.21875" style="11" bestFit="1" customWidth="1"/>
    <col min="148" max="148" width="3.6640625" style="11" bestFit="1" customWidth="1"/>
    <col min="149" max="150" width="4.109375" style="11" bestFit="1" customWidth="1"/>
    <col min="151" max="151" width="5.77734375" style="31" bestFit="1" customWidth="1"/>
    <col min="152" max="152" width="1.5546875" style="31" bestFit="1" customWidth="1"/>
    <col min="153" max="153" width="3.88671875" style="31" customWidth="1"/>
    <col min="154" max="154" width="5" style="31" bestFit="1" customWidth="1"/>
    <col min="155" max="155" width="4.5546875" style="31" bestFit="1" customWidth="1"/>
    <col min="156" max="157" width="4.109375" style="31" bestFit="1" customWidth="1"/>
    <col min="158" max="158" width="6.33203125" style="31" bestFit="1" customWidth="1"/>
    <col min="159" max="159" width="1.5546875" style="31" bestFit="1" customWidth="1"/>
    <col min="160" max="160" width="3.33203125" style="31" customWidth="1"/>
    <col min="161" max="162" width="4.21875" style="31" bestFit="1" customWidth="1"/>
    <col min="163" max="164" width="4.109375" style="31" bestFit="1" customWidth="1"/>
    <col min="165" max="165" width="6.33203125" style="31" bestFit="1" customWidth="1"/>
    <col min="166" max="166" width="1.5546875" style="31" bestFit="1" customWidth="1"/>
    <col min="167" max="167" width="3.88671875" style="31" customWidth="1"/>
    <col min="168" max="169" width="4.21875" style="31" bestFit="1" customWidth="1"/>
    <col min="170" max="171" width="4.109375" style="31" bestFit="1" customWidth="1"/>
    <col min="172" max="172" width="6.33203125" style="31" bestFit="1" customWidth="1"/>
    <col min="173" max="173" width="1.5546875" style="31" bestFit="1" customWidth="1"/>
    <col min="174" max="174" width="3.88671875" style="31" customWidth="1"/>
    <col min="175" max="176" width="4.21875" style="31" bestFit="1" customWidth="1"/>
    <col min="177" max="178" width="4.109375" style="31" bestFit="1" customWidth="1"/>
    <col min="179" max="179" width="6.33203125" style="31" bestFit="1" customWidth="1"/>
    <col min="180" max="180" width="1.5546875" style="31" bestFit="1" customWidth="1"/>
    <col min="181" max="181" width="5.33203125" style="31" customWidth="1"/>
    <col min="182" max="183" width="4.21875" style="31" bestFit="1" customWidth="1"/>
    <col min="184" max="185" width="4.109375" style="31" bestFit="1" customWidth="1"/>
    <col min="186" max="186" width="5.77734375" style="31" bestFit="1" customWidth="1"/>
    <col min="187" max="187" width="1.5546875" style="31" bestFit="1" customWidth="1"/>
    <col min="188" max="188" width="3.88671875" style="31" customWidth="1"/>
    <col min="189" max="189" width="3.6640625" style="31" bestFit="1" customWidth="1"/>
    <col min="190" max="190" width="4.21875" style="31" bestFit="1" customWidth="1"/>
    <col min="191" max="192" width="4.109375" style="31" bestFit="1" customWidth="1"/>
    <col min="193" max="193" width="6.33203125" style="31" bestFit="1" customWidth="1"/>
    <col min="194" max="194" width="1.5546875" style="31" bestFit="1" customWidth="1"/>
    <col min="195" max="195" width="5.6640625" style="11" bestFit="1" customWidth="1"/>
    <col min="196" max="196" width="4.109375" style="85" bestFit="1" customWidth="1"/>
    <col min="197" max="197" width="4.21875" style="85" bestFit="1" customWidth="1"/>
    <col min="198" max="199" width="4.109375" style="85" bestFit="1" customWidth="1"/>
    <col min="200" max="200" width="4.44140625" style="11" customWidth="1"/>
    <col min="201" max="201" width="4.109375" style="31" bestFit="1" customWidth="1"/>
    <col min="202" max="202" width="4.21875" style="31" bestFit="1" customWidth="1"/>
    <col min="203" max="204" width="4.109375" style="31" bestFit="1" customWidth="1"/>
    <col min="205" max="205" width="5.77734375" style="11" bestFit="1" customWidth="1"/>
    <col min="206" max="206" width="1.5546875" style="11" bestFit="1" customWidth="1"/>
    <col min="207" max="207" width="4.44140625" style="11" customWidth="1"/>
    <col min="208" max="208" width="4.109375" style="31" bestFit="1" customWidth="1"/>
    <col min="209" max="209" width="4.21875" style="31" bestFit="1" customWidth="1"/>
    <col min="210" max="211" width="4.109375" style="31" bestFit="1" customWidth="1"/>
    <col min="212" max="212" width="5.77734375" style="11" bestFit="1" customWidth="1"/>
    <col min="213" max="213" width="1.5546875" style="11" bestFit="1" customWidth="1"/>
    <col min="214" max="214" width="4.44140625" style="11" customWidth="1"/>
    <col min="215" max="216" width="4.21875" style="31" bestFit="1" customWidth="1"/>
    <col min="217" max="218" width="4.109375" style="31" bestFit="1" customWidth="1"/>
    <col min="219" max="219" width="5.77734375" style="11" bestFit="1" customWidth="1"/>
    <col min="220" max="220" width="1.5546875" style="11" bestFit="1" customWidth="1"/>
    <col min="221" max="221" width="3.6640625" style="31" customWidth="1"/>
    <col min="222" max="223" width="4.21875" style="11" bestFit="1" customWidth="1"/>
    <col min="224" max="225" width="4.109375" style="11" bestFit="1" customWidth="1"/>
    <col min="226" max="226" width="5.77734375" style="11" bestFit="1" customWidth="1"/>
    <col min="227" max="227" width="1.5546875" style="11" bestFit="1" customWidth="1"/>
    <col min="228" max="228" width="4.44140625" style="11" customWidth="1"/>
    <col min="229" max="229" width="5" style="31" bestFit="1" customWidth="1"/>
    <col min="230" max="230" width="4.5546875" style="31" bestFit="1" customWidth="1"/>
    <col min="231" max="232" width="4.109375" style="31" bestFit="1" customWidth="1"/>
    <col min="233" max="233" width="6.33203125" style="31" bestFit="1" customWidth="1"/>
    <col min="234" max="234" width="1.5546875" style="31" bestFit="1" customWidth="1"/>
    <col min="235" max="235" width="3.33203125" style="31" customWidth="1"/>
    <col min="236" max="237" width="4.21875" style="31" bestFit="1" customWidth="1"/>
    <col min="238" max="239" width="4.109375" style="31" bestFit="1" customWidth="1"/>
    <col min="240" max="240" width="6.33203125" style="31" bestFit="1" customWidth="1"/>
    <col min="241" max="241" width="1.5546875" style="31" bestFit="1" customWidth="1"/>
    <col min="242" max="242" width="3.88671875" style="31" customWidth="1"/>
    <col min="243" max="243" width="3.6640625" style="31" bestFit="1" customWidth="1"/>
    <col min="244" max="244" width="4.21875" style="31" bestFit="1" customWidth="1"/>
    <col min="245" max="246" width="4.109375" style="31" bestFit="1" customWidth="1"/>
    <col min="247" max="247" width="6.33203125" style="31" bestFit="1" customWidth="1"/>
    <col min="248" max="248" width="1.5546875" style="31" bestFit="1" customWidth="1"/>
    <col min="249" max="249" width="3.88671875" style="31" customWidth="1"/>
    <col min="250" max="250" width="3.6640625" style="31" bestFit="1" customWidth="1"/>
    <col min="251" max="251" width="4.21875" style="31" bestFit="1" customWidth="1"/>
    <col min="252" max="253" width="4.109375" style="31" bestFit="1" customWidth="1"/>
    <col min="254" max="254" width="6.33203125" style="31" bestFit="1" customWidth="1"/>
    <col min="255" max="255" width="1.5546875" style="31" bestFit="1" customWidth="1"/>
    <col min="256" max="256" width="3.88671875" style="31" customWidth="1"/>
    <col min="257" max="258" width="4.21875" style="31" bestFit="1" customWidth="1"/>
    <col min="259" max="260" width="4.109375" style="31" bestFit="1" customWidth="1"/>
    <col min="261" max="261" width="6.33203125" style="31" bestFit="1" customWidth="1"/>
    <col min="262" max="262" width="1.5546875" style="31" bestFit="1" customWidth="1"/>
    <col min="263" max="263" width="3.88671875" style="31" customWidth="1"/>
    <col min="264" max="265" width="4.21875" style="31" bestFit="1" customWidth="1"/>
    <col min="266" max="267" width="4.109375" style="31" bestFit="1" customWidth="1"/>
    <col min="268" max="268" width="6.33203125" style="31" bestFit="1" customWidth="1"/>
    <col min="269" max="269" width="1.5546875" style="31" bestFit="1" customWidth="1"/>
    <col min="270" max="270" width="11.44140625" style="11"/>
    <col min="271" max="272" width="4.6640625" style="31" bestFit="1" customWidth="1"/>
    <col min="273" max="274" width="3.6640625" style="31" bestFit="1" customWidth="1"/>
    <col min="275" max="16384" width="11.44140625" style="11"/>
  </cols>
  <sheetData>
    <row r="1" spans="1:274" s="2" customFormat="1" ht="21.3" x14ac:dyDescent="0.2">
      <c r="B1" s="4"/>
      <c r="C1" s="91" t="s">
        <v>151</v>
      </c>
      <c r="D1" s="91" t="s">
        <v>135</v>
      </c>
      <c r="E1" s="86"/>
      <c r="F1" s="86"/>
      <c r="G1" s="91"/>
      <c r="H1" s="63" t="s">
        <v>148</v>
      </c>
      <c r="I1" s="91" t="s">
        <v>135</v>
      </c>
      <c r="J1" s="91"/>
      <c r="K1" s="91"/>
      <c r="L1" s="1"/>
      <c r="M1" s="1"/>
      <c r="N1" s="1"/>
      <c r="O1" s="91" t="s">
        <v>140</v>
      </c>
      <c r="P1" s="91" t="s">
        <v>135</v>
      </c>
      <c r="Q1" s="91"/>
      <c r="R1" s="91"/>
      <c r="S1" s="1"/>
      <c r="T1" s="1"/>
      <c r="U1" s="1"/>
      <c r="V1" s="91" t="s">
        <v>139</v>
      </c>
      <c r="W1" s="91" t="s">
        <v>135</v>
      </c>
      <c r="X1" s="91"/>
      <c r="Y1" s="91"/>
      <c r="Z1" s="1"/>
      <c r="AA1" s="1"/>
      <c r="AB1" s="1"/>
      <c r="AC1" s="1" t="s">
        <v>151</v>
      </c>
      <c r="AD1" s="1" t="s">
        <v>142</v>
      </c>
      <c r="AE1" s="1"/>
      <c r="AF1" s="1"/>
      <c r="AG1" s="1"/>
      <c r="AH1" s="1"/>
      <c r="AI1" s="1"/>
      <c r="AJ1" s="82" t="s">
        <v>157</v>
      </c>
      <c r="AL1" s="82"/>
      <c r="AM1" s="77"/>
      <c r="AN1" s="77"/>
      <c r="AO1" s="1"/>
      <c r="AP1" s="77" t="s">
        <v>45</v>
      </c>
      <c r="AQ1" s="77" t="s">
        <v>45</v>
      </c>
      <c r="AR1" s="77"/>
      <c r="AS1" s="77"/>
      <c r="AT1" s="77"/>
      <c r="AU1" s="77"/>
      <c r="AV1" s="77"/>
      <c r="AW1" s="77" t="s">
        <v>156</v>
      </c>
      <c r="AX1" s="77"/>
      <c r="AY1" s="77"/>
      <c r="AZ1" s="77"/>
      <c r="BA1" s="77"/>
      <c r="BB1" s="77"/>
      <c r="BC1" s="77" t="s">
        <v>49</v>
      </c>
      <c r="BD1" s="77"/>
      <c r="BE1" s="77"/>
      <c r="BF1" s="77"/>
      <c r="BG1" s="77"/>
      <c r="BH1" s="77"/>
      <c r="BI1" s="77" t="s">
        <v>63</v>
      </c>
      <c r="BJ1" s="77"/>
      <c r="BK1" s="77"/>
      <c r="BL1" s="77"/>
      <c r="BM1" s="77"/>
      <c r="BN1" s="77"/>
      <c r="BO1" s="77" t="s">
        <v>64</v>
      </c>
      <c r="BP1" s="77"/>
      <c r="BQ1" s="77"/>
      <c r="BR1" s="77"/>
      <c r="BS1" s="1"/>
      <c r="BT1" s="91" t="s">
        <v>128</v>
      </c>
      <c r="BU1" s="91" t="s">
        <v>135</v>
      </c>
      <c r="BV1" s="91"/>
      <c r="BW1" s="91"/>
      <c r="BX1" s="91"/>
      <c r="BY1" s="91"/>
      <c r="BZ1" s="91"/>
      <c r="CA1" s="91" t="s">
        <v>44</v>
      </c>
      <c r="CB1" s="91" t="s">
        <v>135</v>
      </c>
      <c r="CC1" s="91"/>
      <c r="CD1" s="91"/>
      <c r="CE1" s="91"/>
      <c r="CF1" s="91"/>
      <c r="CG1" s="91"/>
      <c r="CH1" s="91" t="s">
        <v>54</v>
      </c>
      <c r="CI1" s="91" t="s">
        <v>135</v>
      </c>
      <c r="CJ1" s="91"/>
      <c r="CK1" s="91"/>
      <c r="CL1" s="91"/>
      <c r="CM1" s="91"/>
      <c r="CN1" s="91"/>
      <c r="CO1" s="91" t="s">
        <v>55</v>
      </c>
      <c r="CP1" s="91" t="s">
        <v>135</v>
      </c>
      <c r="CQ1" s="91"/>
      <c r="CR1" s="91"/>
      <c r="CS1" s="91"/>
      <c r="CT1" s="91"/>
      <c r="CU1" s="91"/>
      <c r="CV1" s="91" t="s">
        <v>53</v>
      </c>
      <c r="CW1" s="91" t="s">
        <v>135</v>
      </c>
      <c r="CX1" s="91"/>
      <c r="CY1" s="91"/>
      <c r="CZ1" s="91"/>
      <c r="DA1" s="91"/>
      <c r="DB1" s="91"/>
      <c r="DC1" s="91" t="s">
        <v>61</v>
      </c>
      <c r="DD1" s="91" t="s">
        <v>135</v>
      </c>
      <c r="DE1" s="91"/>
      <c r="DF1" s="91"/>
      <c r="DG1" s="91"/>
      <c r="DH1" s="91"/>
      <c r="DI1" s="91"/>
      <c r="DJ1" s="91" t="s">
        <v>65</v>
      </c>
      <c r="DK1" s="91" t="s">
        <v>135</v>
      </c>
      <c r="DL1" s="91"/>
      <c r="DM1" s="91"/>
      <c r="DN1" s="91"/>
      <c r="DO1" s="91"/>
      <c r="DP1" s="1"/>
      <c r="DQ1" s="91" t="s">
        <v>158</v>
      </c>
      <c r="DR1" s="91" t="s">
        <v>135</v>
      </c>
      <c r="DS1" s="86"/>
      <c r="DT1" s="86"/>
      <c r="DU1" s="91"/>
      <c r="DV1" s="63" t="s">
        <v>150</v>
      </c>
      <c r="DW1" s="91" t="s">
        <v>135</v>
      </c>
      <c r="DX1" s="91"/>
      <c r="DY1" s="91"/>
      <c r="DZ1" s="91"/>
      <c r="EA1" s="91"/>
      <c r="EB1" s="91"/>
      <c r="EC1" s="91" t="s">
        <v>149</v>
      </c>
      <c r="ED1" s="91" t="s">
        <v>135</v>
      </c>
      <c r="EE1" s="91"/>
      <c r="EF1" s="91"/>
      <c r="EG1" s="91"/>
      <c r="EH1" s="91"/>
      <c r="EI1" s="91"/>
      <c r="EJ1" s="91" t="s">
        <v>152</v>
      </c>
      <c r="EK1" s="91" t="s">
        <v>135</v>
      </c>
      <c r="EL1" s="91"/>
      <c r="EM1" s="91"/>
      <c r="EN1" s="91"/>
      <c r="EO1" s="91"/>
      <c r="EP1" s="91"/>
      <c r="EQ1" s="1" t="s">
        <v>143</v>
      </c>
      <c r="ER1" s="1" t="s">
        <v>144</v>
      </c>
      <c r="ES1" s="1"/>
      <c r="ET1" s="1"/>
      <c r="EU1" s="91"/>
      <c r="EV1" s="91"/>
      <c r="EW1" s="91"/>
      <c r="EX1" s="91" t="s">
        <v>129</v>
      </c>
      <c r="EY1" s="91" t="s">
        <v>135</v>
      </c>
      <c r="EZ1" s="91"/>
      <c r="FA1" s="91"/>
      <c r="FB1" s="91"/>
      <c r="FC1" s="91"/>
      <c r="FD1" s="91"/>
      <c r="FE1" s="91" t="s">
        <v>46</v>
      </c>
      <c r="FF1" s="91" t="s">
        <v>135</v>
      </c>
      <c r="FG1" s="91"/>
      <c r="FH1" s="91"/>
      <c r="FI1" s="91"/>
      <c r="FJ1" s="91"/>
      <c r="FK1" s="91"/>
      <c r="FL1" s="91" t="s">
        <v>56</v>
      </c>
      <c r="FM1" s="91" t="s">
        <v>135</v>
      </c>
      <c r="FN1" s="91"/>
      <c r="FO1" s="91"/>
      <c r="FP1" s="91"/>
      <c r="FQ1" s="91"/>
      <c r="FR1" s="91"/>
      <c r="FS1" s="91" t="s">
        <v>57</v>
      </c>
      <c r="FT1" s="91" t="s">
        <v>135</v>
      </c>
      <c r="FU1" s="91"/>
      <c r="FV1" s="91"/>
      <c r="FW1" s="91"/>
      <c r="FX1" s="91"/>
      <c r="FY1" s="91"/>
      <c r="FZ1" s="91" t="s">
        <v>63</v>
      </c>
      <c r="GA1" s="91" t="s">
        <v>135</v>
      </c>
      <c r="GB1" s="91"/>
      <c r="GC1" s="91"/>
      <c r="GD1" s="91"/>
      <c r="GE1" s="91"/>
      <c r="GF1" s="91"/>
      <c r="GG1" s="91" t="s">
        <v>66</v>
      </c>
      <c r="GH1" s="91" t="s">
        <v>135</v>
      </c>
      <c r="GI1" s="91"/>
      <c r="GJ1" s="91"/>
      <c r="GK1" s="91"/>
      <c r="GL1" s="91"/>
      <c r="GM1" s="1"/>
      <c r="GN1" s="91" t="s">
        <v>147</v>
      </c>
      <c r="GO1" s="91" t="s">
        <v>135</v>
      </c>
      <c r="GP1" s="86"/>
      <c r="GQ1" s="86"/>
      <c r="GR1" s="1"/>
      <c r="GS1" s="63" t="s">
        <v>154</v>
      </c>
      <c r="GT1" s="91" t="s">
        <v>135</v>
      </c>
      <c r="GU1" s="1"/>
      <c r="GV1" s="91"/>
      <c r="GW1" s="1"/>
      <c r="GX1" s="1"/>
      <c r="GY1" s="1"/>
      <c r="GZ1" s="1" t="s">
        <v>153</v>
      </c>
      <c r="HA1" s="91" t="s">
        <v>135</v>
      </c>
      <c r="HB1" s="1"/>
      <c r="HC1" s="91"/>
      <c r="HD1" s="1"/>
      <c r="HE1" s="1"/>
      <c r="HF1" s="1"/>
      <c r="HG1" s="91" t="s">
        <v>146</v>
      </c>
      <c r="HH1" s="91" t="s">
        <v>135</v>
      </c>
      <c r="HI1" s="91"/>
      <c r="HJ1" s="91"/>
      <c r="HK1" s="1"/>
      <c r="HL1" s="1"/>
      <c r="HM1" s="91"/>
      <c r="HN1" s="1" t="s">
        <v>147</v>
      </c>
      <c r="HO1" s="1" t="s">
        <v>145</v>
      </c>
      <c r="HP1" s="1"/>
      <c r="HQ1" s="1"/>
      <c r="HR1" s="1"/>
      <c r="HS1" s="1"/>
      <c r="HT1" s="1"/>
      <c r="HU1" s="91" t="s">
        <v>8</v>
      </c>
      <c r="HV1" s="91" t="s">
        <v>135</v>
      </c>
      <c r="HW1" s="91"/>
      <c r="HX1" s="91"/>
      <c r="HY1" s="91"/>
      <c r="HZ1" s="91"/>
      <c r="IA1" s="91"/>
      <c r="IB1" s="91" t="s">
        <v>46</v>
      </c>
      <c r="IC1" s="91" t="s">
        <v>135</v>
      </c>
      <c r="ID1" s="91"/>
      <c r="IE1" s="91"/>
      <c r="IF1" s="91"/>
      <c r="IG1" s="91"/>
      <c r="IH1" s="91"/>
      <c r="II1" s="91" t="s">
        <v>47</v>
      </c>
      <c r="IJ1" s="91" t="s">
        <v>135</v>
      </c>
      <c r="IK1" s="91"/>
      <c r="IL1" s="91"/>
      <c r="IM1" s="91"/>
      <c r="IN1" s="91"/>
      <c r="IO1" s="91"/>
      <c r="IP1" s="91" t="s">
        <v>51</v>
      </c>
      <c r="IQ1" s="91" t="s">
        <v>135</v>
      </c>
      <c r="IR1" s="91"/>
      <c r="IS1" s="91"/>
      <c r="IT1" s="91"/>
      <c r="IU1" s="91"/>
      <c r="IV1" s="91"/>
      <c r="IW1" s="91" t="s">
        <v>56</v>
      </c>
      <c r="IX1" s="91" t="s">
        <v>135</v>
      </c>
      <c r="IY1" s="91"/>
      <c r="IZ1" s="91"/>
      <c r="JA1" s="91"/>
      <c r="JB1" s="91"/>
      <c r="JC1" s="91"/>
      <c r="JD1" s="91" t="s">
        <v>60</v>
      </c>
      <c r="JE1" s="91" t="s">
        <v>135</v>
      </c>
      <c r="JF1" s="91"/>
      <c r="JG1" s="91"/>
      <c r="JH1" s="91"/>
      <c r="JI1" s="91"/>
      <c r="JK1" s="91"/>
      <c r="JL1" s="91"/>
      <c r="JM1" s="91"/>
      <c r="JN1" s="91"/>
    </row>
    <row r="2" spans="1:274" s="2" customFormat="1" x14ac:dyDescent="0.2">
      <c r="B2" s="92"/>
      <c r="C2" s="93">
        <v>3163</v>
      </c>
      <c r="D2" s="93">
        <v>3163</v>
      </c>
      <c r="E2" s="87"/>
      <c r="F2" s="86"/>
      <c r="G2" s="91"/>
      <c r="H2" s="94">
        <v>1024</v>
      </c>
      <c r="I2" s="94">
        <v>1024.0000013200183</v>
      </c>
      <c r="J2" s="93"/>
      <c r="K2" s="91"/>
      <c r="L2" s="1"/>
      <c r="M2" s="1"/>
      <c r="N2" s="1"/>
      <c r="O2" s="93">
        <v>1087</v>
      </c>
      <c r="P2" s="93">
        <v>1086.9999978300086</v>
      </c>
      <c r="Q2" s="93"/>
      <c r="R2" s="91"/>
      <c r="S2" s="1"/>
      <c r="T2" s="1"/>
      <c r="U2" s="1"/>
      <c r="V2" s="93">
        <v>1097</v>
      </c>
      <c r="W2" s="93">
        <v>1096.9999953800191</v>
      </c>
      <c r="X2" s="93"/>
      <c r="Y2" s="91"/>
      <c r="Z2" s="1"/>
      <c r="AA2" s="1"/>
      <c r="AB2" s="1"/>
      <c r="AC2" s="94">
        <v>1259</v>
      </c>
      <c r="AD2" s="94">
        <v>1225.4245505000056</v>
      </c>
      <c r="AE2" s="94"/>
      <c r="AF2" s="1"/>
      <c r="AG2" s="1"/>
      <c r="AH2" s="1"/>
      <c r="AI2" s="1"/>
      <c r="AJ2" s="95">
        <v>6398</v>
      </c>
      <c r="AK2" s="95">
        <v>6398</v>
      </c>
      <c r="AL2" s="82"/>
      <c r="AO2" s="1"/>
      <c r="AP2" s="96">
        <v>825</v>
      </c>
      <c r="AV2" s="96">
        <v>1005</v>
      </c>
      <c r="BB2" s="96">
        <v>1018</v>
      </c>
      <c r="BH2" s="96">
        <v>1396</v>
      </c>
      <c r="BN2" s="96">
        <v>1453</v>
      </c>
      <c r="BS2" s="1"/>
      <c r="BT2" s="93">
        <v>12245</v>
      </c>
      <c r="BU2" s="93">
        <v>12245</v>
      </c>
      <c r="BV2" s="93"/>
      <c r="BW2" s="91"/>
      <c r="BX2" s="91"/>
      <c r="BY2" s="91"/>
      <c r="BZ2" s="91"/>
      <c r="CA2" s="93">
        <v>550</v>
      </c>
      <c r="CB2" s="93">
        <v>550</v>
      </c>
      <c r="CC2" s="93"/>
      <c r="CD2" s="91"/>
      <c r="CE2" s="91"/>
      <c r="CF2" s="91"/>
      <c r="CG2" s="91"/>
      <c r="CH2" s="93">
        <v>3431</v>
      </c>
      <c r="CI2" s="93">
        <v>3431</v>
      </c>
      <c r="CJ2" s="93"/>
      <c r="CK2" s="91"/>
      <c r="CL2" s="91"/>
      <c r="CM2" s="91"/>
      <c r="CN2" s="91"/>
      <c r="CO2" s="93">
        <v>3051</v>
      </c>
      <c r="CP2" s="93">
        <v>3051</v>
      </c>
      <c r="CQ2" s="93"/>
      <c r="CR2" s="91"/>
      <c r="CS2" s="91"/>
      <c r="CT2" s="91"/>
      <c r="CU2" s="91"/>
      <c r="CV2" s="93">
        <v>600</v>
      </c>
      <c r="CW2" s="93">
        <v>600</v>
      </c>
      <c r="CX2" s="93"/>
      <c r="CY2" s="91"/>
      <c r="CZ2" s="91"/>
      <c r="DA2" s="91"/>
      <c r="DB2" s="91"/>
      <c r="DC2" s="93">
        <v>900</v>
      </c>
      <c r="DD2" s="93">
        <v>900</v>
      </c>
      <c r="DE2" s="93"/>
      <c r="DF2" s="91"/>
      <c r="DG2" s="91"/>
      <c r="DH2" s="91"/>
      <c r="DI2" s="91"/>
      <c r="DJ2" s="93">
        <v>547</v>
      </c>
      <c r="DK2" s="93">
        <v>547</v>
      </c>
      <c r="DL2" s="93"/>
      <c r="DM2" s="91"/>
      <c r="DN2" s="91"/>
      <c r="DO2" s="91"/>
      <c r="DP2" s="94"/>
      <c r="DQ2" s="93">
        <v>1037</v>
      </c>
      <c r="DR2" s="93">
        <v>1037</v>
      </c>
      <c r="DS2" s="87"/>
      <c r="DT2" s="86"/>
      <c r="DU2" s="91"/>
      <c r="DV2" s="93">
        <v>721</v>
      </c>
      <c r="DW2" s="93">
        <v>721.00000167999781</v>
      </c>
      <c r="DX2" s="93"/>
      <c r="DY2" s="91"/>
      <c r="DZ2" s="91"/>
      <c r="EA2" s="91"/>
      <c r="EB2" s="91"/>
      <c r="EC2" s="93">
        <v>754</v>
      </c>
      <c r="ED2" s="93">
        <v>753.99999849000562</v>
      </c>
      <c r="EE2" s="93"/>
      <c r="EF2" s="91"/>
      <c r="EG2" s="91"/>
      <c r="EH2" s="91"/>
      <c r="EI2" s="91"/>
      <c r="EJ2" s="93">
        <v>725</v>
      </c>
      <c r="EK2" s="93">
        <v>725.00000196000224</v>
      </c>
      <c r="EL2" s="93"/>
      <c r="EM2" s="91"/>
      <c r="EN2" s="91"/>
      <c r="EO2" s="91"/>
      <c r="EP2" s="91"/>
      <c r="EQ2" s="94">
        <v>801</v>
      </c>
      <c r="ER2" s="94">
        <v>801</v>
      </c>
      <c r="ES2" s="94"/>
      <c r="ET2" s="1"/>
      <c r="EU2" s="91"/>
      <c r="EV2" s="91"/>
      <c r="EW2" s="91"/>
      <c r="EX2" s="93">
        <v>5101</v>
      </c>
      <c r="EY2" s="93">
        <v>5101</v>
      </c>
      <c r="EZ2" s="93"/>
      <c r="FA2" s="91"/>
      <c r="FB2" s="91"/>
      <c r="FC2" s="91"/>
      <c r="FD2" s="91"/>
      <c r="FE2" s="93">
        <v>1154</v>
      </c>
      <c r="FF2" s="93">
        <v>1154</v>
      </c>
      <c r="FG2" s="93"/>
      <c r="FH2" s="91"/>
      <c r="FI2" s="91"/>
      <c r="FJ2" s="91"/>
      <c r="FK2" s="91"/>
      <c r="FL2" s="93">
        <v>392</v>
      </c>
      <c r="FM2" s="93">
        <v>392</v>
      </c>
      <c r="FN2" s="93"/>
      <c r="FO2" s="91"/>
      <c r="FP2" s="91"/>
      <c r="FQ2" s="91"/>
      <c r="FR2" s="91"/>
      <c r="FS2" s="93">
        <v>727</v>
      </c>
      <c r="FT2" s="93">
        <v>727</v>
      </c>
      <c r="FU2" s="93"/>
      <c r="FV2" s="91"/>
      <c r="FW2" s="91"/>
      <c r="FX2" s="91"/>
      <c r="FY2" s="91"/>
      <c r="FZ2" s="93">
        <v>1390</v>
      </c>
      <c r="GA2" s="93">
        <v>1390</v>
      </c>
      <c r="GB2" s="93"/>
      <c r="GC2" s="91"/>
      <c r="GD2" s="91"/>
      <c r="GE2" s="91"/>
      <c r="GF2" s="91"/>
      <c r="GG2" s="93">
        <v>401</v>
      </c>
      <c r="GH2" s="93">
        <v>401</v>
      </c>
      <c r="GI2" s="93"/>
      <c r="GJ2" s="91"/>
      <c r="GK2" s="91"/>
      <c r="GL2" s="91"/>
      <c r="GM2" s="1"/>
      <c r="GN2" s="93">
        <v>984</v>
      </c>
      <c r="GO2" s="93">
        <v>984</v>
      </c>
      <c r="GP2" s="87"/>
      <c r="GQ2" s="86"/>
      <c r="GR2" s="1"/>
      <c r="GS2" s="94">
        <v>701</v>
      </c>
      <c r="GT2" s="94">
        <v>700.99999921999995</v>
      </c>
      <c r="GU2" s="93"/>
      <c r="GV2" s="91"/>
      <c r="GW2" s="1"/>
      <c r="GX2" s="1"/>
      <c r="GY2" s="1"/>
      <c r="GZ2" s="93">
        <v>740</v>
      </c>
      <c r="HA2" s="93">
        <v>739.99999938000519</v>
      </c>
      <c r="HB2" s="93"/>
      <c r="HC2" s="91"/>
      <c r="HD2" s="1"/>
      <c r="HE2" s="1"/>
      <c r="HF2" s="1"/>
      <c r="HG2" s="93">
        <v>1488</v>
      </c>
      <c r="HH2" s="93">
        <v>1488.0000044299898</v>
      </c>
      <c r="HI2" s="93"/>
      <c r="HJ2" s="91"/>
      <c r="HK2" s="1"/>
      <c r="HL2" s="1"/>
      <c r="HM2" s="91"/>
      <c r="HN2" s="94">
        <v>1493</v>
      </c>
      <c r="HO2" s="94">
        <v>1429.0114061300103</v>
      </c>
      <c r="HP2" s="94"/>
      <c r="HQ2" s="1"/>
      <c r="HR2" s="1"/>
      <c r="HS2" s="1"/>
      <c r="HT2" s="1"/>
      <c r="HU2" s="93">
        <v>5416</v>
      </c>
      <c r="HV2" s="93">
        <v>5416</v>
      </c>
      <c r="HW2" s="93"/>
      <c r="HX2" s="91"/>
      <c r="HY2" s="91"/>
      <c r="HZ2" s="91"/>
      <c r="IA2" s="91"/>
      <c r="IB2" s="93">
        <v>1154</v>
      </c>
      <c r="IC2" s="93">
        <v>1154</v>
      </c>
      <c r="ID2" s="93"/>
      <c r="IE2" s="91"/>
      <c r="IF2" s="91"/>
      <c r="IG2" s="91"/>
      <c r="IH2" s="91"/>
      <c r="II2" s="93">
        <v>729</v>
      </c>
      <c r="IJ2" s="93">
        <v>729</v>
      </c>
      <c r="IK2" s="93"/>
      <c r="IL2" s="91"/>
      <c r="IM2" s="91"/>
      <c r="IN2" s="91"/>
      <c r="IO2" s="91"/>
      <c r="IP2" s="93">
        <v>840</v>
      </c>
      <c r="IQ2" s="93">
        <v>840</v>
      </c>
      <c r="IR2" s="93"/>
      <c r="IS2" s="91"/>
      <c r="IT2" s="91"/>
      <c r="IU2" s="91"/>
      <c r="IV2" s="91"/>
      <c r="IW2" s="93">
        <v>392</v>
      </c>
      <c r="IX2" s="93">
        <v>392</v>
      </c>
      <c r="IY2" s="93"/>
      <c r="IZ2" s="91"/>
      <c r="JA2" s="91"/>
      <c r="JB2" s="91"/>
      <c r="JC2" s="91"/>
      <c r="JD2" s="93">
        <v>1317</v>
      </c>
      <c r="JE2" s="93">
        <v>1317</v>
      </c>
      <c r="JF2" s="93"/>
      <c r="JG2" s="91"/>
      <c r="JH2" s="91"/>
      <c r="JI2" s="91"/>
      <c r="JK2" s="93"/>
      <c r="JL2" s="93"/>
      <c r="JM2" s="93"/>
      <c r="JN2" s="91"/>
    </row>
    <row r="3" spans="1:274" x14ac:dyDescent="0.2">
      <c r="B3" s="7" t="s">
        <v>10</v>
      </c>
      <c r="C3" s="27">
        <v>2974</v>
      </c>
      <c r="D3" s="27">
        <v>2975.0874519699191</v>
      </c>
      <c r="E3" s="28">
        <v>3.8286225204363671</v>
      </c>
      <c r="F3" s="29">
        <v>1.71028636563453E-2</v>
      </c>
      <c r="G3" s="29"/>
      <c r="H3" s="3">
        <v>972</v>
      </c>
      <c r="I3" s="3">
        <v>972.02991468001619</v>
      </c>
      <c r="J3" s="28">
        <v>3.7825129480818545</v>
      </c>
      <c r="K3" s="29">
        <v>3.0868844216150992E-2</v>
      </c>
      <c r="L3" s="30">
        <f>IF($C3&lt;30,"NV",IF(H3&gt;=30,(($E3-J3))/SQRT(($F3^2)+(K3^2)),"NV"))</f>
        <v>1.3065853939931573</v>
      </c>
      <c r="M3" s="30" t="str">
        <f>IF(ABS(L3)&gt;=1.96,"*"," ")</f>
        <v xml:space="preserve"> </v>
      </c>
      <c r="N3" s="9"/>
      <c r="O3" s="27">
        <v>1074</v>
      </c>
      <c r="P3" s="27">
        <v>1073.9895973800083</v>
      </c>
      <c r="Q3" s="28">
        <v>3.5418344497838734</v>
      </c>
      <c r="R3" s="29">
        <v>2.5357826776735683E-2</v>
      </c>
      <c r="S3" s="30">
        <f>IF($C3&lt;30,"NV",IF(O3&gt;=30,(($E3-Q3))/SQRT(($F3^2)+(R3^2)),"NV"))</f>
        <v>9.3763291382934622</v>
      </c>
      <c r="T3" s="30" t="str">
        <f>IF(ABS(S3)&gt;=1.96,"*"," ")</f>
        <v>*</v>
      </c>
      <c r="U3" s="30"/>
      <c r="V3" s="27">
        <v>1077</v>
      </c>
      <c r="W3" s="27">
        <v>1076.6922329500198</v>
      </c>
      <c r="X3" s="28">
        <v>3.6575811025032992</v>
      </c>
      <c r="Y3" s="29">
        <v>2.4354425291834323E-2</v>
      </c>
      <c r="Z3" s="30">
        <f>IF($C3&lt;30,"NV",IF(V3&gt;=30,(($E3-X3))/SQRT(($F3^2)+(Y3^2)),"NV"))</f>
        <v>5.7473971883824149</v>
      </c>
      <c r="AA3" s="30" t="str">
        <f>IF(ABS(Z3)&gt;=1.96,"*"," ")</f>
        <v>*</v>
      </c>
      <c r="AB3" s="9"/>
      <c r="AC3" s="8">
        <v>1227</v>
      </c>
      <c r="AD3" s="8">
        <v>1225.4245505000056</v>
      </c>
      <c r="AE3" s="69">
        <v>3.5656304414638846</v>
      </c>
      <c r="AF3" s="9">
        <v>2.5223756894113259E-2</v>
      </c>
      <c r="AG3" s="30">
        <f>IF($C3&lt;30,"NV",IF(AC3&gt;=30,(($E3-AE3))/SQRT(($F3^2)+(AF3^2)),"NV"))</f>
        <v>8.6296706941599588</v>
      </c>
      <c r="AH3" s="30" t="str">
        <f>IF(ABS(AG3)&gt;=1.96,"*"," ")</f>
        <v>*</v>
      </c>
      <c r="AI3" s="9"/>
      <c r="AJ3" s="81">
        <v>6189</v>
      </c>
      <c r="AK3" s="83">
        <v>4.0592337685733728</v>
      </c>
      <c r="AL3" s="84">
        <v>1.1204846598409094E-2</v>
      </c>
      <c r="AM3" s="30">
        <f>IF($C3&lt;30,"NV",IF(AJ3&gt;=30,(($E3-AK3))/SQRT(($F3^2)+(AL3^2)),"NV"))</f>
        <v>-11.2788021718845</v>
      </c>
      <c r="AN3" s="30" t="str">
        <f>IF(ABS(AM3)&gt;=1.96,"*"," ")</f>
        <v>*</v>
      </c>
      <c r="AO3" s="9"/>
      <c r="AP3" s="78">
        <v>169</v>
      </c>
      <c r="AQ3" s="79">
        <v>4.3726601207054383</v>
      </c>
      <c r="AR3" s="80">
        <v>2.8499308528790609E-2</v>
      </c>
      <c r="AS3" s="30">
        <f>IF($C3&lt;30,"NV",IF(AP3&gt;=30,(($E3-AQ3))/SQRT(($F3^2)+(AR3^2)),"NV"))</f>
        <v>-16.368281921484179</v>
      </c>
      <c r="AT3" s="30" t="str">
        <f>IF(ABS(AS3)&gt;=1.96,"*"," ")</f>
        <v>*</v>
      </c>
      <c r="AU3" s="80"/>
      <c r="AV3" s="78">
        <v>274</v>
      </c>
      <c r="AW3" s="79">
        <v>4.2052149715614275</v>
      </c>
      <c r="AX3" s="80">
        <v>2.493955830980903E-2</v>
      </c>
      <c r="AY3" s="30">
        <f>IF($C3&lt;30,"NV",IF(AV3&gt;=30,(($E3-AW3))/SQRT(($F3^2)+(AX3^2)),"NV"))</f>
        <v>-12.453236768829475</v>
      </c>
      <c r="AZ3" s="30" t="str">
        <f>IF(ABS(AY3)&gt;=1.96,"*"," ")</f>
        <v>*</v>
      </c>
      <c r="BA3" s="80"/>
      <c r="BB3" s="78">
        <v>388</v>
      </c>
      <c r="BC3" s="79">
        <v>4.2655365080582701</v>
      </c>
      <c r="BD3" s="80">
        <v>2.4825394463137692E-2</v>
      </c>
      <c r="BE3" s="30">
        <f>IF($C3&lt;30,"NV",IF(BB3&gt;=30,(($E3-BC3))/SQRT(($F3^2)+(BD3^2)),"NV"))</f>
        <v>-14.493051680620855</v>
      </c>
      <c r="BF3" s="30" t="str">
        <f>IF(ABS(BE3)&gt;=1.96,"*"," ")</f>
        <v>*</v>
      </c>
      <c r="BG3" s="80"/>
      <c r="BH3" s="78">
        <v>396</v>
      </c>
      <c r="BI3" s="79">
        <v>3.9716820338222969</v>
      </c>
      <c r="BJ3" s="80">
        <v>2.3793943400495541E-2</v>
      </c>
      <c r="BK3" s="30">
        <f>IF($C3&lt;30,"NV",IF(BH3&gt;=30,(($E3-BI3))/SQRT(($F3^2)+(BJ3^2)),"NV"))</f>
        <v>-4.8820947788892619</v>
      </c>
      <c r="BL3" s="30" t="str">
        <f>IF(ABS(BK3)&gt;=1.96,"*"," ")</f>
        <v>*</v>
      </c>
      <c r="BM3" s="80"/>
      <c r="BN3" s="78">
        <v>385</v>
      </c>
      <c r="BO3" s="79">
        <v>4.1007178881110153</v>
      </c>
      <c r="BP3" s="80">
        <v>2.1683274339560982E-2</v>
      </c>
      <c r="BQ3" s="30">
        <f>IF($C3&lt;30,"NV",IF(BN3&gt;=30,(($E3-BO3))/SQRT(($F3^2)+(BP3^2)),"NV"))</f>
        <v>-9.8526295177104846</v>
      </c>
      <c r="BR3" s="30" t="str">
        <f>IF(ABS(BQ3)&gt;=1.96,"*"," ")</f>
        <v>*</v>
      </c>
      <c r="BS3" s="9"/>
      <c r="BT3" s="27">
        <v>11832</v>
      </c>
      <c r="BU3" s="27">
        <v>11828.804864359168</v>
      </c>
      <c r="BV3" s="28">
        <v>4.1097105494655501</v>
      </c>
      <c r="BW3" s="29">
        <v>8.3643222513675123E-3</v>
      </c>
      <c r="BX3" s="30">
        <f>IF($C3&lt;30,"NV",IF(BT3&gt;=30,(($E3-BV3))/SQRT(($F3^2)+(BW3^2)),"NV"))</f>
        <v>-14.764080926584741</v>
      </c>
      <c r="BY3" s="30" t="str">
        <f>IF(ABS(BX3)&gt;=1.96,"*"," ")</f>
        <v>*</v>
      </c>
      <c r="BZ3" s="30"/>
      <c r="CA3" s="27">
        <v>539</v>
      </c>
      <c r="CB3" s="27">
        <v>539</v>
      </c>
      <c r="CC3" s="28">
        <v>4.0408163265306172</v>
      </c>
      <c r="CD3" s="29">
        <v>3.1792442958386388E-2</v>
      </c>
      <c r="CE3" s="30">
        <f>IF($C3&lt;30,"NV",IF(CA3&gt;=30,(($E3-CC3))/SQRT(($F3^2)+(CD3^2)),"NV"))</f>
        <v>-5.8778153816117049</v>
      </c>
      <c r="CF3" s="30" t="str">
        <f t="shared" ref="CF3:CF35" si="0">IF(ABS(CE3)&gt;=1.96,"*"," ")</f>
        <v>*</v>
      </c>
      <c r="CG3" s="30"/>
      <c r="CH3" s="27">
        <v>3255</v>
      </c>
      <c r="CI3" s="27">
        <v>3250.3072111598717</v>
      </c>
      <c r="CJ3" s="28">
        <v>3.8103401936920283</v>
      </c>
      <c r="CK3" s="29">
        <v>1.6527293495789377E-2</v>
      </c>
      <c r="CL3" s="30">
        <f>IF($C3&lt;30,"NV",IF(CH3&gt;=30,(($E3-CJ3))/SQRT(($F3^2)+(CK3^2)),"NV"))</f>
        <v>0.76869485021600392</v>
      </c>
      <c r="CM3" s="30" t="str">
        <f t="shared" ref="CM3:CM35" si="1">IF(ABS(CL3)&gt;=1.96,"*"," ")</f>
        <v xml:space="preserve"> </v>
      </c>
      <c r="CN3" s="30"/>
      <c r="CO3" s="27">
        <v>3022</v>
      </c>
      <c r="CP3" s="27">
        <v>3021.9494933499222</v>
      </c>
      <c r="CQ3" s="28">
        <v>4.1203208151956643</v>
      </c>
      <c r="CR3" s="29">
        <v>1.4339614128322901E-2</v>
      </c>
      <c r="CS3" s="30">
        <f>IF($C3&lt;30,"NV",IF(CO3&gt;=30,(($E3-CQ3))/SQRT(($F3^2)+(CR3^2)),"NV"))</f>
        <v>-13.069574864465531</v>
      </c>
      <c r="CT3" s="30" t="str">
        <f t="shared" ref="CT3:CT35" si="2">IF(ABS(CS3)&gt;=1.96,"*"," ")</f>
        <v>*</v>
      </c>
      <c r="CU3" s="30"/>
      <c r="CV3" s="27">
        <v>595</v>
      </c>
      <c r="CW3" s="27">
        <v>595.46070680000469</v>
      </c>
      <c r="CX3" s="28">
        <v>4.9983139002313104</v>
      </c>
      <c r="CY3" s="97">
        <v>1.6827268198851804E-3</v>
      </c>
      <c r="CZ3" s="30">
        <f>IF($C3&lt;30,"NV",IF(CV3&gt;=30,(($E3-CX3))/SQRT(($F3^2)+(CY3^2)),"NV"))</f>
        <v>-68.062909618892675</v>
      </c>
      <c r="DA3" s="30" t="str">
        <f t="shared" ref="DA3:DA35" si="3">IF(ABS(CZ3)&gt;=1.96,"*"," ")</f>
        <v>*</v>
      </c>
      <c r="DB3" s="30"/>
      <c r="DC3" s="27">
        <v>900</v>
      </c>
      <c r="DD3" s="27">
        <v>900.0000010799879</v>
      </c>
      <c r="DE3" s="28">
        <v>4.9977779756248886</v>
      </c>
      <c r="DF3" s="29">
        <v>1.5704044596824044E-3</v>
      </c>
      <c r="DG3" s="30">
        <f>IF($C3&lt;30,"NV",IF(DC3&gt;=30,(($E3-DE3))/SQRT(($F3^2)+(DF3^2)),"NV"))</f>
        <v>-68.073848953145145</v>
      </c>
      <c r="DH3" s="30" t="str">
        <f t="shared" ref="DH3:DH35" si="4">IF(ABS(DG3)&gt;=1.96,"*"," ")</f>
        <v>*</v>
      </c>
      <c r="DI3" s="30"/>
      <c r="DJ3" s="27">
        <v>547</v>
      </c>
      <c r="DK3" s="27">
        <v>547</v>
      </c>
      <c r="DL3" s="28">
        <v>4.9981718464350999</v>
      </c>
      <c r="DM3" s="29">
        <v>1.8281535648994528E-3</v>
      </c>
      <c r="DN3" s="30">
        <f>IF($C3&lt;30,"NV",IF(DJ3&gt;=30,(($E3-DL3))/SQRT(($F3^2)+(DM3^2)),"NV"))</f>
        <v>-67.995894222786958</v>
      </c>
      <c r="DO3" s="30" t="str">
        <f t="shared" ref="DO3:DO35" si="5">IF(ABS(DN3)&gt;=1.96,"*"," ")</f>
        <v>*</v>
      </c>
      <c r="DP3" s="8"/>
      <c r="DQ3" s="27">
        <v>987</v>
      </c>
      <c r="DR3" s="27">
        <v>986.87146331001054</v>
      </c>
      <c r="DS3" s="28">
        <v>3.6600715403758488</v>
      </c>
      <c r="DT3" s="29">
        <v>3.0901673434922238E-2</v>
      </c>
      <c r="DU3" s="29"/>
      <c r="DV3" s="27">
        <v>684</v>
      </c>
      <c r="DW3" s="27">
        <v>683.99310424999692</v>
      </c>
      <c r="DX3" s="28">
        <v>3.6326108061490734</v>
      </c>
      <c r="DY3" s="29">
        <v>3.8186065419130701E-2</v>
      </c>
      <c r="DZ3" s="10">
        <f t="shared" ref="DZ3:DZ40" si="6">IF($DQ3&lt;30,"NV",IF(DV3&gt;=30,(($DS3-DX3))/SQRT(($DT3^2)+(DY3^2)),"NV"))</f>
        <v>0.55901759025165154</v>
      </c>
      <c r="EA3" s="10" t="str">
        <f t="shared" ref="EA3:EA35" si="7">IF(ABS(DZ3)&gt;=1.96,"*"," ")</f>
        <v xml:space="preserve"> </v>
      </c>
      <c r="EB3" s="29"/>
      <c r="EC3" s="27">
        <v>728</v>
      </c>
      <c r="ED3" s="27">
        <v>727.76642318000461</v>
      </c>
      <c r="EE3" s="28">
        <v>3.6961539552982279</v>
      </c>
      <c r="EF3" s="29">
        <v>3.5732660507339163E-2</v>
      </c>
      <c r="EG3" s="10">
        <f t="shared" ref="EG3:EG40" si="8">IF($DQ3&lt;30,"NV",IF(EC3&gt;=30,(($DS3-EE3))/SQRT(($DT3^2)+(EF3^2)),"NV"))</f>
        <v>-0.76379030800701397</v>
      </c>
      <c r="EH3" s="10" t="str">
        <f t="shared" ref="EH3:EH35" si="9">IF(ABS(EG3)&gt;=1.96,"*"," ")</f>
        <v xml:space="preserve"> </v>
      </c>
      <c r="EI3" s="29"/>
      <c r="EJ3" s="27">
        <v>706</v>
      </c>
      <c r="EK3" s="27">
        <v>706.47457200000224</v>
      </c>
      <c r="EL3" s="28">
        <v>3.6259654615424717</v>
      </c>
      <c r="EM3" s="29">
        <v>3.6978085633189731E-2</v>
      </c>
      <c r="EN3" s="10">
        <f t="shared" ref="EN3:EN40" si="10">IF($DQ3&lt;30,"NV",IF(EJ3&gt;=30,(($DS3-EL3))/SQRT(($DT3^2)+(EM3^2)),"NV"))</f>
        <v>0.70773937180844626</v>
      </c>
      <c r="EO3" s="10" t="str">
        <f>IF(ABS(EN3)&gt;=1.96,"*"," ")</f>
        <v xml:space="preserve"> </v>
      </c>
      <c r="EP3" s="29"/>
      <c r="EQ3" s="8">
        <v>765</v>
      </c>
      <c r="ER3" s="8">
        <v>765.09485750000101</v>
      </c>
      <c r="ES3" s="69">
        <v>3.6840600902744898</v>
      </c>
      <c r="ET3" s="9">
        <v>3.5788857505246789E-2</v>
      </c>
      <c r="EU3" s="10">
        <f t="shared" ref="EU3:EU40" si="11">IF($DQ3&lt;30,"NV",IF(EQ3&gt;=30,(($DS3-ES3))/SQRT(($DT3^2)+(ET3^2)),"NV"))</f>
        <v>-0.50733148831594421</v>
      </c>
      <c r="EV3" s="10" t="str">
        <f>IF(ABS(EU3)&gt;=1.96,"*"," ")</f>
        <v xml:space="preserve"> </v>
      </c>
      <c r="EW3" s="29"/>
      <c r="EX3" s="88">
        <v>4947</v>
      </c>
      <c r="EY3" s="88">
        <v>4946.910044379747</v>
      </c>
      <c r="EZ3" s="28">
        <v>4.0050015171163418</v>
      </c>
      <c r="FA3" s="29">
        <v>1.239683972888792E-2</v>
      </c>
      <c r="FB3" s="30">
        <f t="shared" ref="FB3:FB40" si="12">IF(DQ3&lt;30,"NV",IF(EX3&gt;=30,((DS3-EZ3))/SQRT((DT3^2)+(FA3^2)),"NV"))</f>
        <v>-10.359635384426433</v>
      </c>
      <c r="FC3" s="30" t="str">
        <f>IF(ABS(FB3)&gt;=1.96,"*"," ")</f>
        <v>*</v>
      </c>
      <c r="FD3" s="30"/>
      <c r="FE3" s="27">
        <v>1118</v>
      </c>
      <c r="FF3" s="27">
        <v>1117.9903252600016</v>
      </c>
      <c r="FG3" s="28">
        <v>4.1181007425169698</v>
      </c>
      <c r="FH3" s="29">
        <v>2.3445817700210002E-2</v>
      </c>
      <c r="FI3" s="30">
        <f t="shared" ref="FI3:FI40" si="13">IF($DQ3&lt;30,"NV",IF(FE3&gt;=30,(($DS3-FG3))/SQRT(($DT3^2)+(FH3^2)),"NV"))</f>
        <v>-11.808093493363355</v>
      </c>
      <c r="FJ3" s="30" t="str">
        <f t="shared" ref="FJ3:FJ35" si="14">IF(ABS(FI3)&gt;=1.96,"*"," ")</f>
        <v>*</v>
      </c>
      <c r="FK3" s="30"/>
      <c r="FL3" s="88">
        <v>384</v>
      </c>
      <c r="FM3" s="88">
        <v>384.00881474999858</v>
      </c>
      <c r="FN3" s="28">
        <v>4.3179327799271512</v>
      </c>
      <c r="FO3" s="29">
        <v>3.789069164978557E-2</v>
      </c>
      <c r="FP3" s="30">
        <f t="shared" ref="FP3:FP40" si="15">IF($DQ3&lt;30,"NV",IF(FL3&gt;=30,(($DS3-FN3))/SQRT(($DT3^2)+(FO3^2)),"NV"))</f>
        <v>-13.454860902324727</v>
      </c>
      <c r="FQ3" s="30" t="str">
        <f t="shared" ref="FQ3:FQ35" si="16">IF(ABS(FP3)&gt;=1.96,"*"," ")</f>
        <v>*</v>
      </c>
      <c r="FR3" s="30"/>
      <c r="FS3" s="88">
        <v>722</v>
      </c>
      <c r="FT3" s="88">
        <v>722.00165376000518</v>
      </c>
      <c r="FU3" s="28">
        <v>4.1221840534029113</v>
      </c>
      <c r="FV3" s="29">
        <v>2.6957184137419384E-2</v>
      </c>
      <c r="FW3" s="30">
        <f t="shared" ref="FW3:FW40" si="17">IF($DQ3&lt;30,"NV",IF(FS3&gt;=30,(($DS3-FU3))/SQRT(($DT3^2)+(FV3^2)),"NV"))</f>
        <v>-11.269015239099568</v>
      </c>
      <c r="FX3" s="30" t="str">
        <f t="shared" ref="FX3:FX35" si="18">IF(ABS(FW3)&gt;=1.96,"*"," ")</f>
        <v>*</v>
      </c>
      <c r="FY3" s="30"/>
      <c r="FZ3" s="88">
        <v>1344</v>
      </c>
      <c r="GA3" s="88">
        <v>1344.0063067199869</v>
      </c>
      <c r="GB3" s="28">
        <v>3.891314936656447</v>
      </c>
      <c r="GC3" s="29">
        <v>2.4934045476345916E-2</v>
      </c>
      <c r="GD3" s="30">
        <f t="shared" ref="GD3:GD40" si="19">IF($DQ3&lt;30,"NV",IF(FZ3&gt;=30,(($DS3-GB3))/SQRT(($DT3^2)+(GC3^2)),"NV"))</f>
        <v>-5.8237914881825148</v>
      </c>
      <c r="GE3" s="30" t="str">
        <f t="shared" ref="GE3:GE35" si="20">IF(ABS(GD3)&gt;=1.96,"*"," ")</f>
        <v>*</v>
      </c>
      <c r="GF3" s="30"/>
      <c r="GG3" s="88">
        <v>392</v>
      </c>
      <c r="GH3" s="88">
        <v>392.03148057999914</v>
      </c>
      <c r="GI3" s="28">
        <v>4.4181796722484021</v>
      </c>
      <c r="GJ3" s="29">
        <v>3.324514924028401E-2</v>
      </c>
      <c r="GK3" s="30">
        <f t="shared" ref="GK3:GK40" si="21">IF($DQ3&lt;30,"NV",IF(GG3&gt;=30,(($DS3-GI3))/SQRT(($DT3^2)+(GJ3^2)),"NV"))</f>
        <v>-16.702496088665523</v>
      </c>
      <c r="GL3" s="30" t="str">
        <f t="shared" ref="GL3:GL35" si="22">IF(ABS(GK3)&gt;=1.96,"*"," ")</f>
        <v>*</v>
      </c>
      <c r="GM3" s="10"/>
      <c r="GN3" s="88">
        <v>957</v>
      </c>
      <c r="GO3" s="88">
        <v>956.99019606000945</v>
      </c>
      <c r="GP3" s="28">
        <v>3.4585180395228279</v>
      </c>
      <c r="GQ3" s="29">
        <v>3.4415621099425413E-2</v>
      </c>
      <c r="GR3" s="9"/>
      <c r="GS3" s="3">
        <v>665</v>
      </c>
      <c r="GT3" s="3">
        <v>664.94857069999887</v>
      </c>
      <c r="GU3" s="69">
        <v>3.4831384360023558</v>
      </c>
      <c r="GV3" s="9">
        <v>4.267687177292246E-2</v>
      </c>
      <c r="GW3" s="10">
        <f t="shared" ref="GW3:GW40" si="23">IF($GN3&lt;30,"NV",IF(GS3&gt;=30,(($GP3-GU3))/SQRT(($GQ3^2)+(GV3^2)),"NV"))</f>
        <v>-0.44907470006539107</v>
      </c>
      <c r="GX3" s="10" t="str">
        <f>IF(ABS(GW3)&gt;=1.96,"*"," ")</f>
        <v xml:space="preserve"> </v>
      </c>
      <c r="GY3" s="9"/>
      <c r="GZ3" s="27">
        <v>718</v>
      </c>
      <c r="HA3" s="27">
        <v>718.05842387000484</v>
      </c>
      <c r="HB3" s="28">
        <v>3.6528440062209602</v>
      </c>
      <c r="HC3" s="29">
        <v>3.7531993276756097E-2</v>
      </c>
      <c r="HD3" s="10">
        <f t="shared" ref="HD3:HD40" si="24">IF($GN3&lt;30,"NV",IF(GZ3&gt;=30,(($GP3-HB3))/SQRT(($GQ3^2)+(HC3^2)),"NV"))</f>
        <v>-3.8161234798911097</v>
      </c>
      <c r="HE3" s="10" t="str">
        <f>IF(ABS(HD3)&gt;=1.96,"*"," ")</f>
        <v>*</v>
      </c>
      <c r="HF3" s="9"/>
      <c r="HG3" s="27">
        <v>1426</v>
      </c>
      <c r="HH3" s="27">
        <v>1425.2165667499917</v>
      </c>
      <c r="HI3" s="28">
        <v>3.395700304688448</v>
      </c>
      <c r="HJ3" s="29">
        <v>2.7750730492172557E-2</v>
      </c>
      <c r="HK3" s="10">
        <f t="shared" ref="HK3:HK40" si="25">IF($GN3&lt;30,"NV",IF(HG3&gt;=30,(($GP3-HI3))/SQRT(($GQ3^2)+(HJ3^2)),"NV"))</f>
        <v>1.4208891917559145</v>
      </c>
      <c r="HL3" s="10" t="str">
        <f>IF(ABS(HK3)&gt;=1.96,"*"," ")</f>
        <v xml:space="preserve"> </v>
      </c>
      <c r="HM3" s="29"/>
      <c r="HN3" s="8">
        <v>1429</v>
      </c>
      <c r="HO3" s="8">
        <v>1429.0114061300103</v>
      </c>
      <c r="HP3" s="69">
        <v>3.372991861341037</v>
      </c>
      <c r="HQ3" s="9">
        <v>2.7751922951523258E-2</v>
      </c>
      <c r="HR3" s="10">
        <f t="shared" ref="HR3:HR40" si="26">IF($GN3&lt;30,"NV",IF(HN3&gt;=30,(($GP3-HP3))/SQRT(($GQ3^2)+(HQ3^2)),"NV"))</f>
        <v>1.9345040863191953</v>
      </c>
      <c r="HS3" s="10" t="str">
        <f>IF(ABS(HR3)&gt;=1.96,"*"," ")</f>
        <v xml:space="preserve"> </v>
      </c>
      <c r="HT3" s="9"/>
      <c r="HU3" s="88">
        <v>5252</v>
      </c>
      <c r="HV3" s="88">
        <v>5251.8980472902658</v>
      </c>
      <c r="HW3" s="28">
        <v>3.9900412295194796</v>
      </c>
      <c r="HX3" s="29">
        <v>1.2639113777522448E-2</v>
      </c>
      <c r="HY3" s="30">
        <f t="shared" ref="HY3:HY40" si="27">IF(GN3&lt;30,"NV",IF(HU3&gt;=30,((GP3-HW3))/SQRT((GQ3^2)+(HX3^2)),"NV"))</f>
        <v>-14.497501141563474</v>
      </c>
      <c r="HZ3" s="30" t="str">
        <f>IF(ABS(HY3)&gt;=1.96,"*"," ")</f>
        <v>*</v>
      </c>
      <c r="IA3" s="30"/>
      <c r="IB3" s="88">
        <v>1118</v>
      </c>
      <c r="IC3" s="88">
        <v>1117.9903252600016</v>
      </c>
      <c r="ID3" s="28">
        <v>4.1181007425169698</v>
      </c>
      <c r="IE3" s="29">
        <v>2.3445817700210002E-2</v>
      </c>
      <c r="IF3" s="30">
        <f t="shared" ref="IF3:IF40" si="28">IF($GN3&lt;30,"NV",IF(IB3&gt;=30,(($GP3-ID3))/SQRT(($GQ3^2)+(IE3^2)),"NV"))</f>
        <v>-15.838972762437733</v>
      </c>
      <c r="IG3" s="30" t="str">
        <f t="shared" ref="IG3:IG35" si="29">IF(ABS(IF3)&gt;=1.96,"*"," ")</f>
        <v>*</v>
      </c>
      <c r="IH3" s="30"/>
      <c r="II3" s="88">
        <v>713</v>
      </c>
      <c r="IJ3" s="88">
        <v>713.07014246000426</v>
      </c>
      <c r="IK3" s="28">
        <v>4.1835666806752316</v>
      </c>
      <c r="IL3" s="29">
        <v>2.9743570889197553E-2</v>
      </c>
      <c r="IM3" s="30">
        <f t="shared" ref="IM3:IM40" si="30">IF($GN3&lt;30,"NV",IF(II3&gt;=30,(($GP3-IK3))/SQRT(($GQ3^2)+(IL3^2)),"NV"))</f>
        <v>-15.939504988304842</v>
      </c>
      <c r="IN3" s="30" t="str">
        <f t="shared" ref="IN3:IN14" si="31">IF(ABS(IM3)&gt;=1.96,"*"," ")</f>
        <v>*</v>
      </c>
      <c r="IO3" s="30"/>
      <c r="IP3" s="88">
        <v>804</v>
      </c>
      <c r="IQ3" s="88">
        <v>803.98656320000987</v>
      </c>
      <c r="IR3" s="28">
        <v>4.0675513813860684</v>
      </c>
      <c r="IS3" s="29">
        <v>3.2741515555765766E-2</v>
      </c>
      <c r="IT3" s="30">
        <f t="shared" ref="IT3:IT40" si="32">IF($GN3&lt;30,"NV",IF(IP3&gt;=30,(($GP3-IR3))/SQRT(($GQ3^2)+(IS3^2)),"NV"))</f>
        <v>-12.821209575427838</v>
      </c>
      <c r="IU3" s="30" t="str">
        <f t="shared" ref="IU3:IU35" si="33">IF(ABS(IT3)&gt;=1.96,"*"," ")</f>
        <v>*</v>
      </c>
      <c r="IV3" s="30"/>
      <c r="IW3" s="88">
        <v>384</v>
      </c>
      <c r="IX3" s="88">
        <v>384.00881474999858</v>
      </c>
      <c r="IY3" s="28">
        <v>4.3179327799271512</v>
      </c>
      <c r="IZ3" s="29">
        <v>3.789069164978557E-2</v>
      </c>
      <c r="JA3" s="30">
        <f t="shared" ref="JA3:JA40" si="34">IF($GN3&lt;30,"NV",IF(IW3&gt;=30,(($GP3-IY3))/SQRT(($GQ3^2)+(IZ3^2)),"NV"))</f>
        <v>-16.789609373446993</v>
      </c>
      <c r="JB3" s="30" t="str">
        <f>IF(ABS(JA3)&gt;=1.96,"*"," ")</f>
        <v>*</v>
      </c>
      <c r="JC3" s="30"/>
      <c r="JD3" s="88">
        <v>1276</v>
      </c>
      <c r="JE3" s="88">
        <v>1275.8520055600104</v>
      </c>
      <c r="JF3" s="28">
        <v>4.0208172111924014</v>
      </c>
      <c r="JG3" s="29">
        <v>2.378457677717645E-2</v>
      </c>
      <c r="JH3" s="30">
        <f t="shared" ref="JH3:JH40" si="35">IF($GN3&lt;30,"NV",IF(JD3&gt;=30,(($GP3-JF3))/SQRT(($GQ3^2)+(JG3^2)),"NV"))</f>
        <v>-13.440979409517997</v>
      </c>
      <c r="JI3" s="30" t="str">
        <f t="shared" ref="JI3:JI35" si="36">IF(ABS(JH3)&gt;=1.96,"*"," ")</f>
        <v>*</v>
      </c>
      <c r="JK3" s="27"/>
      <c r="JL3" s="27"/>
      <c r="JM3" s="28"/>
      <c r="JN3" s="29"/>
    </row>
    <row r="4" spans="1:274" ht="16.899999999999999" customHeight="1" x14ac:dyDescent="0.2">
      <c r="B4" s="7" t="s">
        <v>3</v>
      </c>
      <c r="C4" s="27">
        <v>366</v>
      </c>
      <c r="D4" s="27">
        <v>369.06864115999872</v>
      </c>
      <c r="E4" s="28">
        <v>3.6698433351936441</v>
      </c>
      <c r="F4" s="29">
        <v>4.8467893235867185E-2</v>
      </c>
      <c r="G4" s="29"/>
      <c r="H4" s="3">
        <v>145</v>
      </c>
      <c r="I4" s="3">
        <v>145.43997250000001</v>
      </c>
      <c r="J4" s="28">
        <v>3.7103005442331201</v>
      </c>
      <c r="K4" s="29">
        <v>7.6262013698005546E-2</v>
      </c>
      <c r="L4" s="30">
        <f t="shared" ref="L4:L40" si="37">IF($C4&lt;30,"NV",IF(H4&gt;=30,(($E4-J4))/SQRT(($F4^2)+(K4^2)),"NV"))</f>
        <v>-0.4477308190861653</v>
      </c>
      <c r="M4" s="30" t="str">
        <f t="shared" ref="M4:M40" si="38">IF(ABS(L4)&gt;=1.96,"*"," ")</f>
        <v xml:space="preserve"> </v>
      </c>
      <c r="N4" s="9"/>
      <c r="O4" s="27">
        <v>205</v>
      </c>
      <c r="P4" s="27">
        <v>203.10672488999975</v>
      </c>
      <c r="Q4" s="28">
        <v>3.366076549509958</v>
      </c>
      <c r="R4" s="29">
        <v>5.8966551966852014E-2</v>
      </c>
      <c r="S4" s="30">
        <f t="shared" ref="S4:S40" si="39">IF($C4&lt;30,"NV",IF(O4&gt;=30,(($E4-Q4))/SQRT(($F4^2)+(R4^2)),"NV"))</f>
        <v>3.9796779562112845</v>
      </c>
      <c r="T4" s="30" t="str">
        <f t="shared" ref="T4:T40" si="40">IF(ABS(S4)&gt;=1.96,"*"," ")</f>
        <v>*</v>
      </c>
      <c r="U4" s="30"/>
      <c r="V4" s="27">
        <v>1077</v>
      </c>
      <c r="W4" s="27">
        <v>1076.6922329500198</v>
      </c>
      <c r="X4" s="28">
        <v>3.6003733965380236</v>
      </c>
      <c r="Y4" s="29">
        <v>5.7789012259474609E-2</v>
      </c>
      <c r="Z4" s="30">
        <f t="shared" ref="Z4:Z40" si="41">IF($C4&lt;30,"NV",IF(V4&gt;=30,(($E4-X4))/SQRT(($F4^2)+(Y4^2)),"NV"))</f>
        <v>0.92106471926827449</v>
      </c>
      <c r="AA4" s="30" t="str">
        <f t="shared" ref="AA4:AA40" si="42">IF(ABS(Z4)&gt;=1.96,"*"," ")</f>
        <v xml:space="preserve"> </v>
      </c>
      <c r="AB4" s="9"/>
      <c r="AC4" s="8">
        <v>198</v>
      </c>
      <c r="AD4" s="8">
        <v>183.93522883999987</v>
      </c>
      <c r="AE4" s="69">
        <v>3.4656289285099411</v>
      </c>
      <c r="AF4" s="9">
        <v>7.053354996244228E-2</v>
      </c>
      <c r="AG4" s="30">
        <f t="shared" ref="AG4:AG40" si="43">IF($C4&lt;30,"NV",IF(AC4&gt;=30,(($E4-AE4))/SQRT(($F4^2)+(AF4^2)),"NV"))</f>
        <v>2.3862102141954233</v>
      </c>
      <c r="AH4" s="30" t="str">
        <f t="shared" ref="AH4:AH40" si="44">IF(ABS(AG4)&gt;=1.96,"*"," ")</f>
        <v>*</v>
      </c>
      <c r="AI4" s="9"/>
      <c r="AJ4" s="81">
        <v>1519</v>
      </c>
      <c r="AK4" s="83">
        <v>3.9988458593843328</v>
      </c>
      <c r="AL4" s="84">
        <v>2.2725696125712617E-2</v>
      </c>
      <c r="AM4" s="30">
        <f t="shared" ref="AM4:AM40" si="45">IF($C4&lt;30,"NV",IF(AJ4&gt;=30,(($E4-AK4))/SQRT(($F4^2)+(AL4^2)),"NV"))</f>
        <v>-6.1459907884503675</v>
      </c>
      <c r="AN4" s="30" t="str">
        <f t="shared" ref="AN4:AN40" si="46">IF(ABS(AM4)&gt;=1.96,"*"," ")</f>
        <v>*</v>
      </c>
      <c r="AO4" s="9"/>
      <c r="AP4" s="78">
        <v>315</v>
      </c>
      <c r="AQ4" s="79">
        <v>4.2320416215924137</v>
      </c>
      <c r="AR4" s="80">
        <v>6.1092762670545558E-2</v>
      </c>
      <c r="AS4" s="30">
        <f t="shared" ref="AS4:AS7" si="47">IF($C4&lt;30,"NV",IF(AP4&gt;=30,(($E4-AQ4))/SQRT(($F4^2)+(AR4^2)),"NV"))</f>
        <v>-7.2091739911005597</v>
      </c>
      <c r="AT4" s="30" t="str">
        <f t="shared" ref="AT4:AT7" si="48">IF(ABS(AS4)&gt;=1.96,"*"," ")</f>
        <v>*</v>
      </c>
      <c r="AU4" s="80"/>
      <c r="AV4" s="78">
        <v>590</v>
      </c>
      <c r="AW4" s="79">
        <v>4.1514425389323382</v>
      </c>
      <c r="AX4" s="80">
        <v>4.8586895988835262E-2</v>
      </c>
      <c r="AY4" s="30">
        <f t="shared" ref="AY4:AY7" si="49">IF($C4&lt;30,"NV",IF(AV4&gt;=30,(($E4-AW4))/SQRT(($F4^2)+(AX4^2)),"NV"))</f>
        <v>-7.0175167966375485</v>
      </c>
      <c r="AZ4" s="30" t="str">
        <f t="shared" ref="AZ4:AZ7" si="50">IF(ABS(AY4)&gt;=1.96,"*"," ")</f>
        <v>*</v>
      </c>
      <c r="BA4" s="80"/>
      <c r="BB4" s="78">
        <v>438</v>
      </c>
      <c r="BC4" s="79">
        <v>4.2410839846293786</v>
      </c>
      <c r="BD4" s="80">
        <v>3.8659483440398081E-2</v>
      </c>
      <c r="BE4" s="30">
        <f t="shared" ref="BE4:BE7" si="51">IF($C4&lt;30,"NV",IF(BB4&gt;=30,(($E4-BC4))/SQRT(($F4^2)+(BD4^2)),"NV"))</f>
        <v>-9.2139276006061657</v>
      </c>
      <c r="BF4" s="30" t="str">
        <f t="shared" ref="BF4:BF7" si="52">IF(ABS(BE4)&gt;=1.96,"*"," ")</f>
        <v>*</v>
      </c>
      <c r="BG4" s="80"/>
      <c r="BH4" s="78">
        <v>759</v>
      </c>
      <c r="BI4" s="79">
        <v>3.8763100906704548</v>
      </c>
      <c r="BJ4" s="80">
        <v>4.5015463784625051E-2</v>
      </c>
      <c r="BK4" s="30">
        <f t="shared" ref="BK4:BK7" si="53">IF($C4&lt;30,"NV",IF(BH4&gt;=30,(($E4-BI4))/SQRT(($F4^2)+(BJ4^2)),"NV"))</f>
        <v>-3.1212953614635008</v>
      </c>
      <c r="BL4" s="30" t="str">
        <f t="shared" ref="BL4:BL7" si="54">IF(ABS(BK4)&gt;=1.96,"*"," ")</f>
        <v>*</v>
      </c>
      <c r="BM4" s="80"/>
      <c r="BN4" s="78">
        <v>847</v>
      </c>
      <c r="BO4" s="79">
        <v>3.9927279548280086</v>
      </c>
      <c r="BP4" s="80">
        <v>4.0156531241568302E-2</v>
      </c>
      <c r="BQ4" s="30">
        <f t="shared" ref="BQ4:BQ7" si="55">IF($C4&lt;30,"NV",IF(BN4&gt;=30,(($E4-BO4))/SQRT(($F4^2)+(BP4^2)),"NV"))</f>
        <v>-5.129883002251777</v>
      </c>
      <c r="BR4" s="30" t="str">
        <f t="shared" ref="BR4:BR7" si="56">IF(ABS(BQ4)&gt;=1.96,"*"," ")</f>
        <v>*</v>
      </c>
      <c r="BS4" s="9"/>
      <c r="BT4" s="27">
        <v>2075</v>
      </c>
      <c r="BU4" s="27">
        <v>2030.93227766005</v>
      </c>
      <c r="BV4" s="28">
        <v>4.0133124438059236</v>
      </c>
      <c r="BW4" s="29">
        <v>2.07347741541598E-2</v>
      </c>
      <c r="BX4" s="30">
        <f t="shared" ref="BX4:BX40" si="57">IF($C4&lt;30,"NV",IF(BT4&gt;=30,(($E4-BV4))/SQRT(($F4^2)+(BW4^2)),"NV"))</f>
        <v>-6.515355730626708</v>
      </c>
      <c r="BY4" s="30" t="str">
        <f t="shared" ref="BY4:BY40" si="58">IF(ABS(BX4)&gt;=1.96,"*"," ")</f>
        <v>*</v>
      </c>
      <c r="BZ4" s="30"/>
      <c r="CA4" s="27">
        <v>156</v>
      </c>
      <c r="CB4" s="27">
        <v>156</v>
      </c>
      <c r="CC4" s="28">
        <v>3.9679487179487176</v>
      </c>
      <c r="CD4" s="29">
        <v>5.6372176785533433E-2</v>
      </c>
      <c r="CE4" s="30">
        <f t="shared" ref="CE4:CE40" si="59">IF($C4&lt;30,"NV",IF(CA4&gt;=30,(($E4-CC4))/SQRT(($F4^2)+(CD4^2)),"NV"))</f>
        <v>-4.0098367968114319</v>
      </c>
      <c r="CF4" s="30" t="str">
        <f t="shared" si="0"/>
        <v>*</v>
      </c>
      <c r="CG4" s="30"/>
      <c r="CH4" s="27">
        <v>575</v>
      </c>
      <c r="CI4" s="27">
        <v>528.29634187000124</v>
      </c>
      <c r="CJ4" s="28">
        <v>3.6266767783742662</v>
      </c>
      <c r="CK4" s="29">
        <v>4.3452849393518143E-2</v>
      </c>
      <c r="CL4" s="30">
        <f t="shared" ref="CL4:CL40" si="60">IF($C4&lt;30,"NV",IF(CH4&gt;=30,(($E4-CJ4))/SQRT(($F4^2)+(CK4^2)),"NV"))</f>
        <v>0.66313733361739902</v>
      </c>
      <c r="CM4" s="30" t="str">
        <f t="shared" si="1"/>
        <v xml:space="preserve"> </v>
      </c>
      <c r="CN4" s="30"/>
      <c r="CO4" s="27">
        <v>653</v>
      </c>
      <c r="CP4" s="27">
        <v>652.61501586000634</v>
      </c>
      <c r="CQ4" s="28">
        <v>4.0400851288803539</v>
      </c>
      <c r="CR4" s="29">
        <v>3.1083172325201001E-2</v>
      </c>
      <c r="CS4" s="30">
        <f t="shared" ref="CS4:CS40" si="61">IF($C4&lt;30,"NV",IF(CO4&gt;=30,(($E4-CQ4))/SQRT(($F4^2)+(CR4^2)),"NV"))</f>
        <v>-6.4301929708491672</v>
      </c>
      <c r="CT4" s="30" t="str">
        <f t="shared" si="2"/>
        <v>*</v>
      </c>
      <c r="CU4" s="30"/>
      <c r="CV4" s="27">
        <v>62</v>
      </c>
      <c r="CW4" s="27">
        <v>62.008012120000075</v>
      </c>
      <c r="CX4" s="89">
        <v>5</v>
      </c>
      <c r="CY4" s="98">
        <v>0</v>
      </c>
      <c r="CZ4" s="30">
        <f t="shared" ref="CZ4:CZ40" si="62">IF($C4&lt;30,"NV",IF(CV4&gt;=30,(($E4-CX4))/SQRT(($F4^2)+(CY4^2)),"NV"))</f>
        <v>-27.444078461038082</v>
      </c>
      <c r="DA4" s="30" t="str">
        <f t="shared" si="3"/>
        <v>*</v>
      </c>
      <c r="DB4" s="30"/>
      <c r="DC4" s="27">
        <v>151</v>
      </c>
      <c r="DD4" s="27">
        <v>150.94426665000006</v>
      </c>
      <c r="DE4" s="28">
        <v>5</v>
      </c>
      <c r="DF4" s="29">
        <v>0</v>
      </c>
      <c r="DG4" s="30">
        <f t="shared" ref="DG4:DG40" si="63">IF($C4&lt;30,"NV",IF(DC4&gt;=30,(($E4-DE4))/SQRT(($F4^2)+(DF4^2)),"NV"))</f>
        <v>-27.444078461038082</v>
      </c>
      <c r="DH4" s="30" t="str">
        <f t="shared" si="4"/>
        <v>*</v>
      </c>
      <c r="DI4" s="30"/>
      <c r="DJ4" s="27">
        <v>112</v>
      </c>
      <c r="DK4" s="27">
        <v>112</v>
      </c>
      <c r="DL4" s="28">
        <v>5</v>
      </c>
      <c r="DM4" s="29">
        <v>0</v>
      </c>
      <c r="DN4" s="30">
        <f t="shared" ref="DN4:DN40" si="64">IF($C4&lt;30,"NV",IF(DJ4&gt;=30,(($E4-DL4))/SQRT(($F4^2)+(DM4^2)),"NV"))</f>
        <v>-27.444078461038082</v>
      </c>
      <c r="DO4" s="30" t="str">
        <f t="shared" si="5"/>
        <v>*</v>
      </c>
      <c r="DP4" s="8"/>
      <c r="DQ4" s="27">
        <v>240</v>
      </c>
      <c r="DR4" s="27">
        <v>241.83671291999903</v>
      </c>
      <c r="DS4" s="28">
        <v>3.4944581918360615</v>
      </c>
      <c r="DT4" s="29">
        <v>6.0342326912409851E-2</v>
      </c>
      <c r="DU4" s="29"/>
      <c r="DV4" s="27">
        <v>184</v>
      </c>
      <c r="DW4" s="27">
        <v>184.44244156000056</v>
      </c>
      <c r="DX4" s="28">
        <v>3.4336717120716487</v>
      </c>
      <c r="DY4" s="29">
        <v>7.3675559268766969E-2</v>
      </c>
      <c r="DZ4" s="10">
        <f t="shared" si="6"/>
        <v>0.63829358805517533</v>
      </c>
      <c r="EA4" s="10" t="str">
        <f t="shared" si="7"/>
        <v xml:space="preserve"> </v>
      </c>
      <c r="EB4" s="29"/>
      <c r="EC4" s="27">
        <v>219</v>
      </c>
      <c r="ED4" s="27">
        <v>217.33568527000079</v>
      </c>
      <c r="EE4" s="28">
        <v>3.5898131950615966</v>
      </c>
      <c r="EF4" s="29">
        <v>6.5912407954066859E-2</v>
      </c>
      <c r="EG4" s="10">
        <f t="shared" si="8"/>
        <v>-1.0670593324692204</v>
      </c>
      <c r="EH4" s="10" t="str">
        <f t="shared" si="9"/>
        <v xml:space="preserve"> </v>
      </c>
      <c r="EI4" s="29"/>
      <c r="EJ4" s="27">
        <v>706</v>
      </c>
      <c r="EK4" s="27">
        <v>706.47457200000224</v>
      </c>
      <c r="EL4" s="28">
        <v>3.5506953727694817</v>
      </c>
      <c r="EM4" s="29">
        <v>7.1675000628499269E-2</v>
      </c>
      <c r="EN4" s="10">
        <f t="shared" si="10"/>
        <v>-0.60022396677468293</v>
      </c>
      <c r="EO4" s="10" t="str">
        <f t="shared" ref="EO4:EO40" si="65">IF(ABS(EN4)&gt;=1.96,"*"," ")</f>
        <v xml:space="preserve"> </v>
      </c>
      <c r="EP4" s="29"/>
      <c r="EQ4" s="8">
        <v>148</v>
      </c>
      <c r="ER4" s="8">
        <v>149.06228593000037</v>
      </c>
      <c r="ES4" s="69">
        <v>3.5087001026242772</v>
      </c>
      <c r="ET4" s="9">
        <v>8.2483463541881491E-2</v>
      </c>
      <c r="EU4" s="10">
        <f t="shared" si="11"/>
        <v>-0.1393541472138469</v>
      </c>
      <c r="EV4" s="10" t="str">
        <f t="shared" ref="EV4:EV40" si="66">IF(ABS(EU4)&gt;=1.96,"*"," ")</f>
        <v xml:space="preserve"> </v>
      </c>
      <c r="EW4" s="29"/>
      <c r="EX4" s="88">
        <v>1177</v>
      </c>
      <c r="EY4" s="88">
        <v>1179.8161628400026</v>
      </c>
      <c r="EZ4" s="89">
        <v>3.8961748332679731</v>
      </c>
      <c r="FA4" s="90">
        <v>2.5494351184185773E-2</v>
      </c>
      <c r="FB4" s="30">
        <f t="shared" si="12"/>
        <v>-6.13242933068239</v>
      </c>
      <c r="FC4" s="30" t="str">
        <f t="shared" ref="FC4:FC40" si="67">IF(ABS(FB4)&gt;=1.96,"*"," ")</f>
        <v>*</v>
      </c>
      <c r="FD4" s="30"/>
      <c r="FE4" s="27">
        <v>297</v>
      </c>
      <c r="FF4" s="27">
        <v>296.89049148000089</v>
      </c>
      <c r="FG4" s="89">
        <v>4.0135342571598347</v>
      </c>
      <c r="FH4" s="90">
        <v>4.3456189441382617E-2</v>
      </c>
      <c r="FI4" s="30">
        <f t="shared" si="13"/>
        <v>-6.98043841517931</v>
      </c>
      <c r="FJ4" s="30" t="str">
        <f t="shared" si="14"/>
        <v>*</v>
      </c>
      <c r="FK4" s="30"/>
      <c r="FL4" s="88">
        <v>102</v>
      </c>
      <c r="FM4" s="88">
        <v>101.96207828999991</v>
      </c>
      <c r="FN4" s="89">
        <v>4.3038456622263501</v>
      </c>
      <c r="FO4" s="90">
        <v>7.346516465476019E-2</v>
      </c>
      <c r="FP4" s="30">
        <f t="shared" si="15"/>
        <v>-8.5135846034042384</v>
      </c>
      <c r="FQ4" s="30" t="str">
        <f t="shared" si="16"/>
        <v>*</v>
      </c>
      <c r="FR4" s="30"/>
      <c r="FS4" s="88">
        <v>240</v>
      </c>
      <c r="FT4" s="88">
        <v>241.09191245000042</v>
      </c>
      <c r="FU4" s="89">
        <v>4.0736376556956548</v>
      </c>
      <c r="FV4" s="90">
        <v>4.6941733388516156E-2</v>
      </c>
      <c r="FW4" s="30">
        <f t="shared" si="17"/>
        <v>-7.5758470338861326</v>
      </c>
      <c r="FX4" s="30" t="str">
        <f t="shared" si="18"/>
        <v>*</v>
      </c>
      <c r="FY4" s="30"/>
      <c r="FZ4" s="88">
        <v>250</v>
      </c>
      <c r="GA4" s="88">
        <v>249.95352540000161</v>
      </c>
      <c r="GB4" s="89">
        <v>3.7239584233925758</v>
      </c>
      <c r="GC4" s="90">
        <v>6.1312724374526034E-2</v>
      </c>
      <c r="GD4" s="30">
        <f t="shared" si="19"/>
        <v>-2.667805501607079</v>
      </c>
      <c r="GE4" s="30" t="str">
        <f t="shared" si="20"/>
        <v>*</v>
      </c>
      <c r="GF4" s="30"/>
      <c r="GG4" s="88">
        <v>48</v>
      </c>
      <c r="GH4" s="88">
        <v>48.081442299999978</v>
      </c>
      <c r="GI4" s="89">
        <v>4.332959101769708</v>
      </c>
      <c r="GJ4" s="90">
        <v>0.10448544408257082</v>
      </c>
      <c r="GK4" s="30">
        <f t="shared" si="21"/>
        <v>-6.9493894102999088</v>
      </c>
      <c r="GL4" s="30" t="str">
        <f t="shared" si="22"/>
        <v>*</v>
      </c>
      <c r="GM4" s="10"/>
      <c r="GN4" s="88">
        <v>241</v>
      </c>
      <c r="GO4" s="88">
        <v>240.87546672000116</v>
      </c>
      <c r="GP4" s="89">
        <v>3.2695364649380001</v>
      </c>
      <c r="GQ4" s="90">
        <v>6.8273285041904608E-2</v>
      </c>
      <c r="GR4" s="9"/>
      <c r="GS4" s="3">
        <v>226</v>
      </c>
      <c r="GT4" s="3">
        <v>226.10686247000018</v>
      </c>
      <c r="GU4" s="71">
        <v>3.2437689968711734</v>
      </c>
      <c r="GV4" s="72">
        <v>7.5706894049355739E-2</v>
      </c>
      <c r="GW4" s="10">
        <f t="shared" si="23"/>
        <v>0.25275862177307512</v>
      </c>
      <c r="GX4" s="10" t="str">
        <f t="shared" ref="GX4:GX40" si="68">IF(ABS(GW4)&gt;=1.96,"*"," ")</f>
        <v xml:space="preserve"> </v>
      </c>
      <c r="GY4" s="9"/>
      <c r="GZ4" s="27">
        <v>203</v>
      </c>
      <c r="HA4" s="27">
        <v>202.26582760999946</v>
      </c>
      <c r="HB4" s="28">
        <v>3.4959807468982476</v>
      </c>
      <c r="HC4" s="29">
        <v>7.3379604368189022E-2</v>
      </c>
      <c r="HD4" s="10">
        <f t="shared" si="24"/>
        <v>-2.2592741145693007</v>
      </c>
      <c r="HE4" s="10" t="str">
        <f t="shared" ref="HE4:HE40" si="69">IF(ABS(HD4)&gt;=1.96,"*"," ")</f>
        <v>*</v>
      </c>
      <c r="HF4" s="9"/>
      <c r="HG4" s="27">
        <v>1426</v>
      </c>
      <c r="HH4" s="27">
        <v>1425.2165667499917</v>
      </c>
      <c r="HI4" s="28">
        <v>3.2222189779217287</v>
      </c>
      <c r="HJ4" s="29">
        <v>4.3807396315305551E-2</v>
      </c>
      <c r="HK4" s="10">
        <f t="shared" si="25"/>
        <v>0.58330789392917881</v>
      </c>
      <c r="HL4" s="10" t="str">
        <f t="shared" ref="HL4:HL40" si="70">IF(ABS(HK4)&gt;=1.96,"*"," ")</f>
        <v xml:space="preserve"> </v>
      </c>
      <c r="HM4" s="29"/>
      <c r="HN4" s="8">
        <v>421</v>
      </c>
      <c r="HO4" s="8">
        <v>422.47575268999998</v>
      </c>
      <c r="HP4" s="69">
        <v>3.2529454409858478</v>
      </c>
      <c r="HQ4" s="9">
        <v>5.3164266791193154E-2</v>
      </c>
      <c r="HR4" s="10">
        <f t="shared" si="26"/>
        <v>0.19173417615991381</v>
      </c>
      <c r="HS4" s="10" t="str">
        <f t="shared" ref="HS4:HS40" si="71">IF(ABS(HR4)&gt;=1.96,"*"," ")</f>
        <v xml:space="preserve"> </v>
      </c>
      <c r="HT4" s="9"/>
      <c r="HU4" s="88">
        <v>1205</v>
      </c>
      <c r="HV4" s="88">
        <v>1206.4693729200089</v>
      </c>
      <c r="HW4" s="89">
        <v>3.882758980613279</v>
      </c>
      <c r="HX4" s="90">
        <v>2.6114443700450372E-2</v>
      </c>
      <c r="HY4" s="30">
        <f t="shared" si="27"/>
        <v>-8.3891343354396284</v>
      </c>
      <c r="HZ4" s="30" t="str">
        <f t="shared" ref="HZ4:HZ40" si="72">IF(ABS(HY4)&gt;=1.96,"*"," ")</f>
        <v>*</v>
      </c>
      <c r="IA4" s="30"/>
      <c r="IB4" s="88">
        <v>297</v>
      </c>
      <c r="IC4" s="88">
        <v>296.89049148000089</v>
      </c>
      <c r="ID4" s="89">
        <v>4.0135342571598347</v>
      </c>
      <c r="IE4" s="90">
        <v>4.3456189441382617E-2</v>
      </c>
      <c r="IF4" s="30">
        <f t="shared" si="28"/>
        <v>-9.1930906889149284</v>
      </c>
      <c r="IG4" s="30" t="str">
        <f t="shared" si="29"/>
        <v>*</v>
      </c>
      <c r="IH4" s="30"/>
      <c r="II4" s="88">
        <v>181</v>
      </c>
      <c r="IJ4" s="88">
        <v>181.26649768000027</v>
      </c>
      <c r="IK4" s="89">
        <v>4.0107212957985832</v>
      </c>
      <c r="IL4" s="90">
        <v>5.8101973425839053E-2</v>
      </c>
      <c r="IM4" s="30">
        <f t="shared" si="30"/>
        <v>-8.267560013479649</v>
      </c>
      <c r="IN4" s="30" t="str">
        <f t="shared" si="31"/>
        <v>*</v>
      </c>
      <c r="IO4" s="30"/>
      <c r="IP4" s="88">
        <v>139</v>
      </c>
      <c r="IQ4" s="88">
        <v>138.54202181999992</v>
      </c>
      <c r="IR4" s="89">
        <v>4.0716212605363307</v>
      </c>
      <c r="IS4" s="90">
        <v>7.1371845532357772E-2</v>
      </c>
      <c r="IT4" s="30">
        <f t="shared" si="32"/>
        <v>-8.1208707892009624</v>
      </c>
      <c r="IU4" s="30" t="str">
        <f t="shared" si="33"/>
        <v>*</v>
      </c>
      <c r="IV4" s="30"/>
      <c r="IW4" s="88">
        <v>102</v>
      </c>
      <c r="IX4" s="88">
        <v>101.96207828999991</v>
      </c>
      <c r="IY4" s="89">
        <v>4.3038456622263501</v>
      </c>
      <c r="IZ4" s="90">
        <v>7.346516465476019E-2</v>
      </c>
      <c r="JA4" s="30">
        <f t="shared" si="34"/>
        <v>-10.31303620983976</v>
      </c>
      <c r="JB4" s="30" t="str">
        <f>IF(ABS(JA5)&gt;=1.96,"*"," ")</f>
        <v>*</v>
      </c>
      <c r="JC4" s="30"/>
      <c r="JD4" s="88">
        <v>245</v>
      </c>
      <c r="JE4" s="88">
        <v>246.932816930001</v>
      </c>
      <c r="JF4" s="89">
        <v>3.9499384172436471</v>
      </c>
      <c r="JG4" s="90">
        <v>5.3049318669810559E-2</v>
      </c>
      <c r="JH4" s="30">
        <f t="shared" si="35"/>
        <v>-7.8694839025076497</v>
      </c>
      <c r="JI4" s="30" t="str">
        <f t="shared" si="36"/>
        <v>*</v>
      </c>
      <c r="JK4" s="27"/>
      <c r="JL4" s="27"/>
      <c r="JM4" s="28"/>
      <c r="JN4" s="29"/>
    </row>
    <row r="5" spans="1:274" x14ac:dyDescent="0.2">
      <c r="B5" s="7" t="s">
        <v>4</v>
      </c>
      <c r="C5" s="27">
        <v>2034</v>
      </c>
      <c r="D5" s="27">
        <v>2033.2094091799602</v>
      </c>
      <c r="E5" s="28">
        <v>3.8485446150408138</v>
      </c>
      <c r="F5" s="29">
        <v>2.0356353491133228E-2</v>
      </c>
      <c r="G5" s="29"/>
      <c r="H5" s="3">
        <v>643</v>
      </c>
      <c r="I5" s="3">
        <v>642.75941662000275</v>
      </c>
      <c r="J5" s="28">
        <v>3.7581210061494681</v>
      </c>
      <c r="K5" s="29">
        <v>3.8570019137775163E-2</v>
      </c>
      <c r="L5" s="30">
        <f t="shared" si="37"/>
        <v>2.0733539087893536</v>
      </c>
      <c r="M5" s="30" t="str">
        <f t="shared" si="38"/>
        <v>*</v>
      </c>
      <c r="N5" s="9"/>
      <c r="O5" s="27">
        <v>660</v>
      </c>
      <c r="P5" s="27">
        <v>659.90499732000137</v>
      </c>
      <c r="Q5" s="28">
        <v>3.5748575478449438</v>
      </c>
      <c r="R5" s="29">
        <v>3.1765110489162807E-2</v>
      </c>
      <c r="S5" s="30">
        <f t="shared" si="39"/>
        <v>7.2542126211528215</v>
      </c>
      <c r="T5" s="30" t="str">
        <f t="shared" si="40"/>
        <v>*</v>
      </c>
      <c r="U5" s="30"/>
      <c r="V5" s="27">
        <v>187</v>
      </c>
      <c r="W5" s="27">
        <v>179.68085176999966</v>
      </c>
      <c r="X5" s="28">
        <v>3.666554605493221</v>
      </c>
      <c r="Y5" s="29">
        <v>3.0999556078637306E-2</v>
      </c>
      <c r="Z5" s="30">
        <f t="shared" si="41"/>
        <v>4.9072746224550468</v>
      </c>
      <c r="AA5" s="30" t="str">
        <f t="shared" si="42"/>
        <v>*</v>
      </c>
      <c r="AB5" s="9"/>
      <c r="AC5" s="8">
        <v>787</v>
      </c>
      <c r="AD5" s="8">
        <v>786.79486449999831</v>
      </c>
      <c r="AE5" s="69">
        <v>3.541818363838598</v>
      </c>
      <c r="AF5" s="9">
        <v>3.0658221215715827E-2</v>
      </c>
      <c r="AG5" s="30">
        <f t="shared" si="43"/>
        <v>8.3347442859718512</v>
      </c>
      <c r="AH5" s="30" t="str">
        <f t="shared" si="44"/>
        <v>*</v>
      </c>
      <c r="AI5" s="9"/>
      <c r="AJ5" s="81">
        <v>3437</v>
      </c>
      <c r="AK5" s="83">
        <v>4.0339643869249029</v>
      </c>
      <c r="AL5" s="84">
        <v>1.5073610509242566E-2</v>
      </c>
      <c r="AM5" s="30">
        <f t="shared" si="45"/>
        <v>-7.3202447872586225</v>
      </c>
      <c r="AN5" s="30" t="str">
        <f t="shared" si="46"/>
        <v>*</v>
      </c>
      <c r="AO5" s="9"/>
      <c r="AP5" s="78">
        <v>315</v>
      </c>
      <c r="AQ5" s="79">
        <v>4.26348083467267</v>
      </c>
      <c r="AR5" s="80">
        <v>4.4364101098114346E-2</v>
      </c>
      <c r="AS5" s="30">
        <f t="shared" si="47"/>
        <v>-8.5008022884860051</v>
      </c>
      <c r="AT5" s="30" t="str">
        <f t="shared" si="48"/>
        <v>*</v>
      </c>
      <c r="AU5" s="80"/>
      <c r="AV5" s="78">
        <v>116</v>
      </c>
      <c r="AW5" s="79">
        <v>4.2504485023980703</v>
      </c>
      <c r="AX5" s="80">
        <v>3.0992944841680869E-2</v>
      </c>
      <c r="AY5" s="30">
        <f t="shared" si="49"/>
        <v>-10.838763498208685</v>
      </c>
      <c r="AZ5" s="30" t="str">
        <f t="shared" si="50"/>
        <v>*</v>
      </c>
      <c r="BA5" s="80"/>
      <c r="BB5" s="78">
        <v>175</v>
      </c>
      <c r="BC5" s="79">
        <v>4.2928891215821201</v>
      </c>
      <c r="BD5" s="80">
        <v>3.7291430610756265E-2</v>
      </c>
      <c r="BE5" s="30">
        <f t="shared" si="51"/>
        <v>-10.458691953337121</v>
      </c>
      <c r="BF5" s="30" t="str">
        <f t="shared" si="52"/>
        <v>*</v>
      </c>
      <c r="BG5" s="80"/>
      <c r="BH5" s="78">
        <v>187</v>
      </c>
      <c r="BI5" s="79">
        <v>4.0513340135980833</v>
      </c>
      <c r="BJ5" s="80">
        <v>3.0720035057318969E-2</v>
      </c>
      <c r="BK5" s="30">
        <f t="shared" si="53"/>
        <v>-5.5027413999705068</v>
      </c>
      <c r="BL5" s="30" t="str">
        <f t="shared" si="54"/>
        <v>*</v>
      </c>
      <c r="BM5" s="80"/>
      <c r="BN5" s="78">
        <v>167</v>
      </c>
      <c r="BO5" s="79">
        <v>4.1648329274610614</v>
      </c>
      <c r="BP5" s="80">
        <v>2.7958163087642245E-2</v>
      </c>
      <c r="BQ5" s="30">
        <f t="shared" si="55"/>
        <v>-9.1455597185731889</v>
      </c>
      <c r="BR5" s="30" t="str">
        <f t="shared" si="56"/>
        <v>*</v>
      </c>
      <c r="BS5" s="9"/>
      <c r="BT5" s="27">
        <v>7501</v>
      </c>
      <c r="BU5" s="27">
        <v>7528.9147655397101</v>
      </c>
      <c r="BV5" s="28">
        <v>4.1067952595585533</v>
      </c>
      <c r="BW5" s="29">
        <v>1.0342593664896732E-2</v>
      </c>
      <c r="BX5" s="30">
        <f t="shared" si="57"/>
        <v>-11.310363701407965</v>
      </c>
      <c r="BY5" s="30" t="str">
        <f t="shared" si="58"/>
        <v>*</v>
      </c>
      <c r="BZ5" s="30"/>
      <c r="CA5" s="27">
        <v>327</v>
      </c>
      <c r="CB5" s="27">
        <v>327</v>
      </c>
      <c r="CC5" s="28">
        <v>4.0733944954128445</v>
      </c>
      <c r="CD5" s="29">
        <v>4.1797672002118057E-2</v>
      </c>
      <c r="CE5" s="30">
        <f t="shared" si="59"/>
        <v>-4.8364023521682693</v>
      </c>
      <c r="CF5" s="30" t="str">
        <f t="shared" si="0"/>
        <v>*</v>
      </c>
      <c r="CG5" s="30"/>
      <c r="CH5" s="27">
        <v>2093</v>
      </c>
      <c r="CI5" s="27">
        <v>2120.7433818799859</v>
      </c>
      <c r="CJ5" s="28">
        <v>3.8409367317412269</v>
      </c>
      <c r="CK5" s="29">
        <v>1.9962182309390276E-2</v>
      </c>
      <c r="CL5" s="30">
        <f t="shared" si="60"/>
        <v>0.26684147610255793</v>
      </c>
      <c r="CM5" s="30" t="str">
        <f t="shared" si="1"/>
        <v xml:space="preserve"> </v>
      </c>
      <c r="CN5" s="30"/>
      <c r="CO5" s="27">
        <v>1882</v>
      </c>
      <c r="CP5" s="27">
        <v>1882.0033482800727</v>
      </c>
      <c r="CQ5" s="28">
        <v>4.1388777332404132</v>
      </c>
      <c r="CR5" s="29">
        <v>1.8074197061806883E-2</v>
      </c>
      <c r="CS5" s="30">
        <f t="shared" si="61"/>
        <v>-10.665238174794142</v>
      </c>
      <c r="CT5" s="30" t="str">
        <f t="shared" si="2"/>
        <v>*</v>
      </c>
      <c r="CU5" s="30"/>
      <c r="CV5" s="27">
        <v>374</v>
      </c>
      <c r="CW5" s="27">
        <v>375.01756424000092</v>
      </c>
      <c r="CX5" s="89">
        <v>4.9973227756357606</v>
      </c>
      <c r="CY5" s="98">
        <v>2.6718634194259328E-3</v>
      </c>
      <c r="CZ5" s="30">
        <f t="shared" si="62"/>
        <v>-55.953478050771679</v>
      </c>
      <c r="DA5" s="30" t="str">
        <f t="shared" si="3"/>
        <v>*</v>
      </c>
      <c r="DB5" s="30"/>
      <c r="DC5" s="27">
        <v>512</v>
      </c>
      <c r="DD5" s="27">
        <v>511.9410619600016</v>
      </c>
      <c r="DE5" s="28">
        <v>4.9980511717771137</v>
      </c>
      <c r="DF5" s="29">
        <v>1.9510921495966029E-3</v>
      </c>
      <c r="DG5" s="30">
        <f t="shared" si="63"/>
        <v>-56.211571594340164</v>
      </c>
      <c r="DH5" s="30" t="str">
        <f t="shared" si="4"/>
        <v>*</v>
      </c>
      <c r="DI5" s="30"/>
      <c r="DJ5" s="27">
        <v>279</v>
      </c>
      <c r="DK5" s="27">
        <v>279</v>
      </c>
      <c r="DL5" s="28">
        <v>5</v>
      </c>
      <c r="DM5" s="29">
        <v>0</v>
      </c>
      <c r="DN5" s="30">
        <f t="shared" si="64"/>
        <v>-56.564914018649475</v>
      </c>
      <c r="DO5" s="30" t="str">
        <f t="shared" si="5"/>
        <v>*</v>
      </c>
      <c r="DP5" s="8"/>
      <c r="DQ5" s="27">
        <v>632</v>
      </c>
      <c r="DR5" s="27">
        <v>630.11035359999926</v>
      </c>
      <c r="DS5" s="28">
        <v>3.7099663219214256</v>
      </c>
      <c r="DT5" s="29">
        <v>3.9036107445879362E-2</v>
      </c>
      <c r="DU5" s="29"/>
      <c r="DV5" s="27">
        <v>396</v>
      </c>
      <c r="DW5" s="27">
        <v>395.77264135999906</v>
      </c>
      <c r="DX5" s="28">
        <v>3.7427491887763158</v>
      </c>
      <c r="DY5" s="29">
        <v>4.9801301796742047E-2</v>
      </c>
      <c r="DZ5" s="10">
        <f t="shared" si="6"/>
        <v>-0.51808447907078037</v>
      </c>
      <c r="EA5" s="10" t="str">
        <f t="shared" si="7"/>
        <v xml:space="preserve"> </v>
      </c>
      <c r="EB5" s="29"/>
      <c r="EC5" s="27">
        <v>393</v>
      </c>
      <c r="ED5" s="27">
        <v>394.89968560000108</v>
      </c>
      <c r="EE5" s="28">
        <v>3.7436781467267908</v>
      </c>
      <c r="EF5" s="29">
        <v>4.9311127567333246E-2</v>
      </c>
      <c r="EG5" s="10">
        <f t="shared" si="8"/>
        <v>-0.53602714446348065</v>
      </c>
      <c r="EH5" s="10" t="str">
        <f t="shared" si="9"/>
        <v xml:space="preserve"> </v>
      </c>
      <c r="EI5" s="29"/>
      <c r="EJ5" s="27">
        <v>208</v>
      </c>
      <c r="EK5" s="27">
        <v>197.45117371000029</v>
      </c>
      <c r="EL5" s="28">
        <v>3.6361732882590223</v>
      </c>
      <c r="EM5" s="29">
        <v>4.8140013470976017E-2</v>
      </c>
      <c r="EN5" s="10">
        <f t="shared" si="10"/>
        <v>1.1906317579485108</v>
      </c>
      <c r="EO5" s="10" t="str">
        <f t="shared" si="65"/>
        <v xml:space="preserve"> </v>
      </c>
      <c r="EP5" s="29"/>
      <c r="EQ5" s="8">
        <v>477</v>
      </c>
      <c r="ER5" s="8">
        <v>475.71771431999883</v>
      </c>
      <c r="ES5" s="69">
        <v>3.6741500960888587</v>
      </c>
      <c r="ET5" s="9">
        <v>4.5191706133305642E-2</v>
      </c>
      <c r="EU5" s="10">
        <f t="shared" si="11"/>
        <v>0.59976701110111263</v>
      </c>
      <c r="EV5" s="10" t="str">
        <f t="shared" si="66"/>
        <v xml:space="preserve"> </v>
      </c>
      <c r="EW5" s="29"/>
      <c r="EX5" s="88">
        <v>3165</v>
      </c>
      <c r="EY5" s="88">
        <v>3162.3247605499309</v>
      </c>
      <c r="EZ5" s="89">
        <v>4.0400918229625331</v>
      </c>
      <c r="FA5" s="90">
        <v>1.5375759439470442E-2</v>
      </c>
      <c r="FB5" s="30">
        <f t="shared" si="12"/>
        <v>-7.8685400373066905</v>
      </c>
      <c r="FC5" s="30" t="str">
        <f t="shared" si="67"/>
        <v>*</v>
      </c>
      <c r="FD5" s="30"/>
      <c r="FE5" s="27">
        <v>694</v>
      </c>
      <c r="FF5" s="27">
        <v>694.08601676000126</v>
      </c>
      <c r="FG5" s="89">
        <v>4.1541532315540088</v>
      </c>
      <c r="FH5" s="90">
        <v>3.0126648552137588E-2</v>
      </c>
      <c r="FI5" s="30">
        <f t="shared" si="13"/>
        <v>-9.0081297828638522</v>
      </c>
      <c r="FJ5" s="30" t="str">
        <f t="shared" si="14"/>
        <v>*</v>
      </c>
      <c r="FK5" s="30"/>
      <c r="FL5" s="88">
        <v>239</v>
      </c>
      <c r="FM5" s="88">
        <v>239.06432938999924</v>
      </c>
      <c r="FN5" s="89">
        <v>4.360149377490532</v>
      </c>
      <c r="FO5" s="90">
        <v>4.4956267279656896E-2</v>
      </c>
      <c r="FP5" s="30">
        <f t="shared" si="15"/>
        <v>-10.920302136374678</v>
      </c>
      <c r="FQ5" s="30" t="str">
        <f t="shared" si="16"/>
        <v>*</v>
      </c>
      <c r="FR5" s="30"/>
      <c r="FS5" s="88">
        <v>424</v>
      </c>
      <c r="FT5" s="88">
        <v>423.10622036999752</v>
      </c>
      <c r="FU5" s="89">
        <v>4.1666885469524058</v>
      </c>
      <c r="FV5" s="90">
        <v>3.3843294815966346E-2</v>
      </c>
      <c r="FW5" s="30">
        <f t="shared" si="17"/>
        <v>-8.8402124693836885</v>
      </c>
      <c r="FX5" s="30" t="str">
        <f t="shared" si="18"/>
        <v>*</v>
      </c>
      <c r="FY5" s="30"/>
      <c r="FZ5" s="88">
        <v>908</v>
      </c>
      <c r="GA5" s="88">
        <v>907.97416749000763</v>
      </c>
      <c r="GB5" s="89">
        <v>3.9195453445201638</v>
      </c>
      <c r="GC5" s="90">
        <v>2.9756101216293684E-2</v>
      </c>
      <c r="GD5" s="30">
        <f t="shared" si="19"/>
        <v>-4.2697995362494048</v>
      </c>
      <c r="GE5" s="30" t="str">
        <f t="shared" si="20"/>
        <v>*</v>
      </c>
      <c r="GF5" s="30"/>
      <c r="GG5" s="88">
        <v>268</v>
      </c>
      <c r="GH5" s="88">
        <v>267.98367293999945</v>
      </c>
      <c r="GI5" s="89">
        <v>4.443929671068565</v>
      </c>
      <c r="GJ5" s="90">
        <v>3.8884772851740565E-2</v>
      </c>
      <c r="GK5" s="30">
        <f t="shared" si="21"/>
        <v>-13.320934787580835</v>
      </c>
      <c r="GL5" s="30" t="str">
        <f t="shared" si="22"/>
        <v>*</v>
      </c>
      <c r="GM5" s="10"/>
      <c r="GN5" s="88">
        <v>621</v>
      </c>
      <c r="GO5" s="88">
        <v>621.0754551600063</v>
      </c>
      <c r="GP5" s="89">
        <v>3.5232150410714334</v>
      </c>
      <c r="GQ5" s="90">
        <v>4.2112667843461779E-2</v>
      </c>
      <c r="GR5" s="9"/>
      <c r="GS5" s="3">
        <v>371</v>
      </c>
      <c r="GT5" s="3">
        <v>370.82310886999778</v>
      </c>
      <c r="GU5" s="71">
        <v>3.5827905744023161</v>
      </c>
      <c r="GV5" s="72">
        <v>5.5743268592230076E-2</v>
      </c>
      <c r="GW5" s="10">
        <f t="shared" si="23"/>
        <v>-0.85275236359865658</v>
      </c>
      <c r="GX5" s="10" t="str">
        <f t="shared" si="68"/>
        <v xml:space="preserve"> </v>
      </c>
      <c r="GY5" s="9"/>
      <c r="GZ5" s="27">
        <v>415</v>
      </c>
      <c r="HA5" s="27">
        <v>416.1448615400019</v>
      </c>
      <c r="HB5" s="28">
        <v>3.6931621959058445</v>
      </c>
      <c r="HC5" s="29">
        <v>4.7192700032856083E-2</v>
      </c>
      <c r="HD5" s="10">
        <f t="shared" si="24"/>
        <v>-2.6868896340674664</v>
      </c>
      <c r="HE5" s="10" t="str">
        <f t="shared" si="69"/>
        <v>*</v>
      </c>
      <c r="HF5" s="9"/>
      <c r="HG5" s="27">
        <v>547</v>
      </c>
      <c r="HH5" s="27">
        <v>543.67001221000021</v>
      </c>
      <c r="HI5" s="28">
        <v>3.4889711573011377</v>
      </c>
      <c r="HJ5" s="29">
        <v>3.8544047382839661E-2</v>
      </c>
      <c r="HK5" s="10">
        <f t="shared" si="25"/>
        <v>0.59983639529413368</v>
      </c>
      <c r="HL5" s="10" t="str">
        <f t="shared" si="70"/>
        <v xml:space="preserve"> </v>
      </c>
      <c r="HM5" s="29"/>
      <c r="HN5" s="8">
        <v>830</v>
      </c>
      <c r="HO5" s="8">
        <v>827.44810817000223</v>
      </c>
      <c r="HP5" s="69">
        <v>3.3984483432310446</v>
      </c>
      <c r="HQ5" s="9">
        <v>3.5737937911873532E-2</v>
      </c>
      <c r="HR5" s="10">
        <f t="shared" si="26"/>
        <v>2.2589185253719473</v>
      </c>
      <c r="HS5" s="10" t="str">
        <f t="shared" si="71"/>
        <v>*</v>
      </c>
      <c r="HT5" s="9"/>
      <c r="HU5" s="88">
        <v>3344</v>
      </c>
      <c r="HV5" s="88">
        <v>3342.6394279498622</v>
      </c>
      <c r="HW5" s="89">
        <v>4.0206518470232862</v>
      </c>
      <c r="HX5" s="90">
        <v>1.5741859667513892E-2</v>
      </c>
      <c r="HY5" s="30">
        <f t="shared" si="27"/>
        <v>-11.064310653584554</v>
      </c>
      <c r="HZ5" s="30" t="str">
        <f t="shared" si="72"/>
        <v>*</v>
      </c>
      <c r="IA5" s="30"/>
      <c r="IB5" s="88">
        <v>694</v>
      </c>
      <c r="IC5" s="88">
        <v>694.08601676000126</v>
      </c>
      <c r="ID5" s="89">
        <v>4.1541532315540088</v>
      </c>
      <c r="IE5" s="90">
        <v>3.0126648552137588E-2</v>
      </c>
      <c r="IF5" s="30">
        <f t="shared" si="28"/>
        <v>-12.185152759379241</v>
      </c>
      <c r="IG5" s="30" t="str">
        <f t="shared" si="29"/>
        <v>*</v>
      </c>
      <c r="IH5" s="30"/>
      <c r="II5" s="88">
        <v>439</v>
      </c>
      <c r="IJ5" s="88">
        <v>438.66143104000247</v>
      </c>
      <c r="IK5" s="89">
        <v>4.2433450683524239</v>
      </c>
      <c r="IL5" s="90">
        <v>3.7418470760813685E-2</v>
      </c>
      <c r="IM5" s="30">
        <f t="shared" si="30"/>
        <v>-12.783022214218358</v>
      </c>
      <c r="IN5" s="30" t="str">
        <f t="shared" si="31"/>
        <v>*</v>
      </c>
      <c r="IO5" s="30"/>
      <c r="IP5" s="88">
        <v>505</v>
      </c>
      <c r="IQ5" s="88">
        <v>505.16239978000385</v>
      </c>
      <c r="IR5" s="89">
        <v>4.0857021580364048</v>
      </c>
      <c r="IS5" s="90">
        <v>4.1718707088896904E-2</v>
      </c>
      <c r="IT5" s="30">
        <f t="shared" si="32"/>
        <v>-9.4889070625387184</v>
      </c>
      <c r="IU5" s="30" t="str">
        <f t="shared" si="33"/>
        <v>*</v>
      </c>
      <c r="IV5" s="30"/>
      <c r="IW5" s="88">
        <v>239</v>
      </c>
      <c r="IX5" s="88">
        <v>239.06432938999924</v>
      </c>
      <c r="IY5" s="89">
        <v>4.360149377490532</v>
      </c>
      <c r="IZ5" s="90">
        <v>4.4956267279656896E-2</v>
      </c>
      <c r="JA5" s="30">
        <f t="shared" si="34"/>
        <v>-13.586627233752337</v>
      </c>
      <c r="JB5" s="30" t="str">
        <f t="shared" ref="JB5:JB35" si="73">IF(ABS(JA5)&gt;=1.96,"*"," ")</f>
        <v>*</v>
      </c>
      <c r="JC5" s="30"/>
      <c r="JD5" s="88">
        <v>846</v>
      </c>
      <c r="JE5" s="88">
        <v>844.58979582000802</v>
      </c>
      <c r="JF5" s="89">
        <v>4.0260683209754147</v>
      </c>
      <c r="JG5" s="90">
        <v>2.910967034658073E-2</v>
      </c>
      <c r="JH5" s="30">
        <f t="shared" si="35"/>
        <v>-9.8224591027304822</v>
      </c>
      <c r="JI5" s="30" t="str">
        <f t="shared" si="36"/>
        <v>*</v>
      </c>
      <c r="JK5" s="27"/>
      <c r="JL5" s="27"/>
      <c r="JM5" s="28"/>
      <c r="JN5" s="29"/>
    </row>
    <row r="6" spans="1:274" x14ac:dyDescent="0.2">
      <c r="B6" s="7" t="s">
        <v>5</v>
      </c>
      <c r="C6" s="27">
        <v>574</v>
      </c>
      <c r="D6" s="27">
        <v>572.80940162999627</v>
      </c>
      <c r="E6" s="28">
        <v>3.8602117853650002</v>
      </c>
      <c r="F6" s="29">
        <v>4.0835427075088082E-2</v>
      </c>
      <c r="G6" s="29"/>
      <c r="H6" s="3">
        <v>184</v>
      </c>
      <c r="I6" s="3">
        <v>183.83052556000055</v>
      </c>
      <c r="J6" s="28">
        <v>3.924930646757598</v>
      </c>
      <c r="K6" s="29">
        <v>6.8716614509101132E-2</v>
      </c>
      <c r="L6" s="30">
        <f t="shared" si="37"/>
        <v>-0.80964987588032067</v>
      </c>
      <c r="M6" s="30" t="str">
        <f t="shared" si="38"/>
        <v xml:space="preserve"> </v>
      </c>
      <c r="N6" s="9"/>
      <c r="O6" s="27">
        <v>209</v>
      </c>
      <c r="P6" s="27">
        <v>210.97787516999932</v>
      </c>
      <c r="Q6" s="28">
        <v>3.6077442237328632</v>
      </c>
      <c r="R6" s="29">
        <v>5.850309139214465E-2</v>
      </c>
      <c r="S6" s="30">
        <f t="shared" si="39"/>
        <v>3.53867403536578</v>
      </c>
      <c r="T6" s="30" t="str">
        <f t="shared" si="40"/>
        <v>*</v>
      </c>
      <c r="U6" s="30"/>
      <c r="V6" s="27">
        <v>710</v>
      </c>
      <c r="W6" s="27">
        <v>711.11281648000727</v>
      </c>
      <c r="X6" s="28">
        <v>3.6785492921021987</v>
      </c>
      <c r="Y6" s="29">
        <v>5.2227501536133203E-2</v>
      </c>
      <c r="Z6" s="30">
        <f t="shared" si="41"/>
        <v>2.7401464485794995</v>
      </c>
      <c r="AA6" s="30" t="str">
        <f t="shared" si="42"/>
        <v>*</v>
      </c>
      <c r="AB6" s="9"/>
      <c r="AC6" s="8">
        <v>242</v>
      </c>
      <c r="AD6" s="8">
        <v>254.69445715999925</v>
      </c>
      <c r="AE6" s="69">
        <v>3.7114091206396944</v>
      </c>
      <c r="AF6" s="9">
        <v>5.5415141709916883E-2</v>
      </c>
      <c r="AG6" s="30">
        <f t="shared" si="43"/>
        <v>2.161703978836504</v>
      </c>
      <c r="AH6" s="30" t="str">
        <f t="shared" si="44"/>
        <v>*</v>
      </c>
      <c r="AI6" s="9"/>
      <c r="AJ6" s="81">
        <v>1233</v>
      </c>
      <c r="AK6" s="83">
        <v>4.2017826608451729</v>
      </c>
      <c r="AL6" s="84">
        <v>2.4362095930060623E-2</v>
      </c>
      <c r="AM6" s="30">
        <f t="shared" si="45"/>
        <v>-7.1833386796197676</v>
      </c>
      <c r="AN6" s="30" t="str">
        <f t="shared" si="46"/>
        <v>*</v>
      </c>
      <c r="AO6" s="9"/>
      <c r="AP6" s="78">
        <v>630</v>
      </c>
      <c r="AQ6" s="79">
        <v>4.5577121542887244</v>
      </c>
      <c r="AR6" s="80">
        <v>4.4899611546136309E-2</v>
      </c>
      <c r="AS6" s="30">
        <f t="shared" si="47"/>
        <v>-11.492477941587223</v>
      </c>
      <c r="AT6" s="30" t="str">
        <f t="shared" si="48"/>
        <v>*</v>
      </c>
      <c r="AU6" s="80"/>
      <c r="AV6" s="78">
        <v>706</v>
      </c>
      <c r="AW6" s="79">
        <v>4.1027831540602566</v>
      </c>
      <c r="AX6" s="80">
        <v>7.8877743973136044E-2</v>
      </c>
      <c r="AY6" s="30">
        <f t="shared" si="49"/>
        <v>-2.7310032278980811</v>
      </c>
      <c r="AZ6" s="30" t="str">
        <f t="shared" si="50"/>
        <v>*</v>
      </c>
      <c r="BA6" s="80"/>
      <c r="BB6" s="78">
        <v>613</v>
      </c>
      <c r="BC6" s="79">
        <v>4.2516344888632265</v>
      </c>
      <c r="BD6" s="80">
        <v>6.4341579717073674E-2</v>
      </c>
      <c r="BE6" s="30">
        <f t="shared" si="51"/>
        <v>-5.1363691283063906</v>
      </c>
      <c r="BF6" s="30" t="str">
        <f t="shared" si="52"/>
        <v>*</v>
      </c>
      <c r="BG6" s="80"/>
      <c r="BH6" s="78">
        <v>946</v>
      </c>
      <c r="BI6" s="79">
        <v>3.8503391027620433</v>
      </c>
      <c r="BJ6" s="80">
        <v>6.5182375762997055E-2</v>
      </c>
      <c r="BK6" s="30">
        <f t="shared" si="53"/>
        <v>0.12835447881889245</v>
      </c>
      <c r="BL6" s="30" t="str">
        <f t="shared" si="54"/>
        <v xml:space="preserve"> </v>
      </c>
      <c r="BM6" s="80"/>
      <c r="BN6" s="78">
        <v>1014</v>
      </c>
      <c r="BO6" s="79">
        <v>4.024710910828543</v>
      </c>
      <c r="BP6" s="80">
        <v>6.3604705284482324E-2</v>
      </c>
      <c r="BQ6" s="30">
        <f t="shared" si="55"/>
        <v>-2.1763464748370689</v>
      </c>
      <c r="BR6" s="30" t="str">
        <f t="shared" si="56"/>
        <v>*</v>
      </c>
      <c r="BS6" s="9"/>
      <c r="BT6" s="27">
        <v>2256</v>
      </c>
      <c r="BU6" s="27">
        <v>2268.9578211600297</v>
      </c>
      <c r="BV6" s="28">
        <v>4.2056695802971866</v>
      </c>
      <c r="BW6" s="29">
        <v>1.9282380531556148E-2</v>
      </c>
      <c r="BX6" s="30">
        <f t="shared" si="57"/>
        <v>-7.6497973858754396</v>
      </c>
      <c r="BY6" s="30" t="str">
        <f t="shared" si="58"/>
        <v>*</v>
      </c>
      <c r="BZ6" s="30"/>
      <c r="CA6" s="27">
        <v>56</v>
      </c>
      <c r="CB6" s="27">
        <v>56</v>
      </c>
      <c r="CC6" s="28">
        <v>4.0535714285714306</v>
      </c>
      <c r="CD6" s="29">
        <v>9.6764685979391071E-2</v>
      </c>
      <c r="CE6" s="30">
        <f t="shared" si="59"/>
        <v>-1.8410248161126244</v>
      </c>
      <c r="CF6" s="30" t="str">
        <f t="shared" si="0"/>
        <v xml:space="preserve"> </v>
      </c>
      <c r="CG6" s="30"/>
      <c r="CH6" s="27">
        <v>587</v>
      </c>
      <c r="CI6" s="27">
        <v>601.26748741000074</v>
      </c>
      <c r="CJ6" s="28">
        <v>3.8637961106415939</v>
      </c>
      <c r="CK6" s="29">
        <v>3.8892425956330336E-2</v>
      </c>
      <c r="CL6" s="30">
        <f t="shared" si="60"/>
        <v>-6.3559930586926633E-2</v>
      </c>
      <c r="CM6" s="30" t="str">
        <f t="shared" si="1"/>
        <v xml:space="preserve"> </v>
      </c>
      <c r="CN6" s="30"/>
      <c r="CO6" s="27">
        <v>487</v>
      </c>
      <c r="CP6" s="27">
        <v>487.33112920999878</v>
      </c>
      <c r="CQ6" s="28">
        <v>4.156105173628708</v>
      </c>
      <c r="CR6" s="29">
        <v>3.5837295964009676E-2</v>
      </c>
      <c r="CS6" s="30">
        <f t="shared" si="61"/>
        <v>-5.4461370789109598</v>
      </c>
      <c r="CT6" s="30" t="str">
        <f t="shared" si="2"/>
        <v>*</v>
      </c>
      <c r="CU6" s="30"/>
      <c r="CV6" s="27">
        <v>159</v>
      </c>
      <c r="CW6" s="27">
        <v>158.43513043999994</v>
      </c>
      <c r="CX6" s="89">
        <v>5</v>
      </c>
      <c r="CY6" s="98">
        <v>0</v>
      </c>
      <c r="CZ6" s="30">
        <f t="shared" si="62"/>
        <v>-27.911749583006934</v>
      </c>
      <c r="DA6" s="30" t="str">
        <f t="shared" si="3"/>
        <v>*</v>
      </c>
      <c r="DB6" s="30"/>
      <c r="DC6" s="27">
        <v>237</v>
      </c>
      <c r="DD6" s="27">
        <v>237.11467247000041</v>
      </c>
      <c r="DE6" s="28">
        <v>4.9957736198289142</v>
      </c>
      <c r="DF6" s="29">
        <v>4.2218529322222169E-3</v>
      </c>
      <c r="DG6" s="30">
        <f t="shared" si="63"/>
        <v>-27.660813156072166</v>
      </c>
      <c r="DH6" s="30" t="str">
        <f t="shared" si="4"/>
        <v>*</v>
      </c>
      <c r="DI6" s="30"/>
      <c r="DJ6" s="27">
        <v>156</v>
      </c>
      <c r="DK6" s="27">
        <v>156</v>
      </c>
      <c r="DL6" s="28">
        <v>4.9935897435897427</v>
      </c>
      <c r="DM6" s="29">
        <v>6.41025641025641E-3</v>
      </c>
      <c r="DN6" s="30">
        <f t="shared" si="64"/>
        <v>-27.418997737462291</v>
      </c>
      <c r="DO6" s="30" t="str">
        <f t="shared" si="5"/>
        <v>*</v>
      </c>
      <c r="DP6" s="8"/>
      <c r="DQ6" s="27">
        <v>115</v>
      </c>
      <c r="DR6" s="27">
        <v>114.92439678999992</v>
      </c>
      <c r="DS6" s="28">
        <v>3.7350092352831927</v>
      </c>
      <c r="DT6" s="29">
        <v>8.9162204654571003E-2</v>
      </c>
      <c r="DU6" s="29"/>
      <c r="DV6" s="27">
        <v>104</v>
      </c>
      <c r="DW6" s="27">
        <v>103.77802133000021</v>
      </c>
      <c r="DX6" s="28">
        <v>3.566152164080771</v>
      </c>
      <c r="DY6" s="29">
        <v>9.5602731211094347E-2</v>
      </c>
      <c r="DZ6" s="10">
        <f t="shared" si="6"/>
        <v>1.2916683083934248</v>
      </c>
      <c r="EA6" s="10" t="str">
        <f t="shared" si="7"/>
        <v xml:space="preserve"> </v>
      </c>
      <c r="EB6" s="29"/>
      <c r="EC6" s="27">
        <v>116</v>
      </c>
      <c r="ED6" s="27">
        <v>115.53105230999992</v>
      </c>
      <c r="EE6" s="28">
        <v>3.7337572979300431</v>
      </c>
      <c r="EF6" s="29">
        <v>8.2160140813453048E-2</v>
      </c>
      <c r="EG6" s="10">
        <f t="shared" si="8"/>
        <v>1.0325739410227934E-2</v>
      </c>
      <c r="EH6" s="10" t="str">
        <f t="shared" si="9"/>
        <v xml:space="preserve"> </v>
      </c>
      <c r="EI6" s="29"/>
      <c r="EJ6" s="27">
        <v>403</v>
      </c>
      <c r="EK6" s="27">
        <v>406.83893415000222</v>
      </c>
      <c r="EL6" s="28">
        <v>3.7307683405541221</v>
      </c>
      <c r="EM6" s="29">
        <v>9.701083234628588E-2</v>
      </c>
      <c r="EN6" s="10">
        <f t="shared" si="10"/>
        <v>3.2186230675000378E-2</v>
      </c>
      <c r="EO6" s="10" t="str">
        <f t="shared" si="65"/>
        <v xml:space="preserve"> </v>
      </c>
      <c r="EP6" s="29"/>
      <c r="EQ6" s="8">
        <v>140</v>
      </c>
      <c r="ER6" s="8">
        <v>140.3148572500003</v>
      </c>
      <c r="ES6" s="69">
        <v>3.9039507063319197</v>
      </c>
      <c r="ET6" s="9">
        <v>8.0285363511874749E-2</v>
      </c>
      <c r="EU6" s="10">
        <f t="shared" si="11"/>
        <v>-1.4080588541847201</v>
      </c>
      <c r="EV6" s="10" t="str">
        <f t="shared" si="66"/>
        <v xml:space="preserve"> </v>
      </c>
      <c r="EW6" s="29"/>
      <c r="EX6" s="88">
        <v>605</v>
      </c>
      <c r="EY6" s="88">
        <v>604.76912099000208</v>
      </c>
      <c r="EZ6" s="89">
        <v>4.0338200148124601</v>
      </c>
      <c r="FA6" s="90">
        <v>3.6042267332378017E-2</v>
      </c>
      <c r="FB6" s="30">
        <f t="shared" si="12"/>
        <v>-3.1070639414941614</v>
      </c>
      <c r="FC6" s="30" t="str">
        <f t="shared" si="67"/>
        <v>*</v>
      </c>
      <c r="FD6" s="30"/>
      <c r="FE6" s="27">
        <v>127</v>
      </c>
      <c r="FF6" s="27">
        <v>127.01381701999964</v>
      </c>
      <c r="FG6" s="89">
        <v>4.1655071338946499</v>
      </c>
      <c r="FH6" s="90">
        <v>7.0485443439080142E-2</v>
      </c>
      <c r="FI6" s="30">
        <f t="shared" si="13"/>
        <v>-3.7876668593647578</v>
      </c>
      <c r="FJ6" s="30" t="str">
        <f t="shared" si="14"/>
        <v>*</v>
      </c>
      <c r="FK6" s="30"/>
      <c r="FL6" s="88">
        <v>43</v>
      </c>
      <c r="FM6" s="88">
        <v>42.982407070000008</v>
      </c>
      <c r="FN6" s="89">
        <v>4.1165450174030926</v>
      </c>
      <c r="FO6" s="90">
        <v>0.14585431416083497</v>
      </c>
      <c r="FP6" s="30">
        <f t="shared" si="15"/>
        <v>-2.2318759573742759</v>
      </c>
      <c r="FQ6" s="30" t="str">
        <f t="shared" si="16"/>
        <v>*</v>
      </c>
      <c r="FR6" s="30"/>
      <c r="FS6" s="88">
        <v>58</v>
      </c>
      <c r="FT6" s="88">
        <v>57.803520940000034</v>
      </c>
      <c r="FU6" s="89">
        <v>3.998904639389254</v>
      </c>
      <c r="FV6" s="90">
        <v>0.11562487991333613</v>
      </c>
      <c r="FW6" s="30">
        <f t="shared" si="17"/>
        <v>-1.8073750964418447</v>
      </c>
      <c r="FX6" s="30" t="str">
        <f t="shared" si="18"/>
        <v xml:space="preserve"> </v>
      </c>
      <c r="FY6" s="30"/>
      <c r="FZ6" s="88">
        <v>186</v>
      </c>
      <c r="GA6" s="88">
        <v>186.07861383000071</v>
      </c>
      <c r="GB6" s="89">
        <v>3.9783688386475338</v>
      </c>
      <c r="GC6" s="90">
        <v>6.5989501104113613E-2</v>
      </c>
      <c r="GD6" s="30">
        <f t="shared" si="19"/>
        <v>-2.1938972019205512</v>
      </c>
      <c r="GE6" s="30" t="str">
        <f t="shared" si="20"/>
        <v>*</v>
      </c>
      <c r="GF6" s="30"/>
      <c r="GG6" s="88">
        <v>76</v>
      </c>
      <c r="GH6" s="88">
        <v>75.966365339999911</v>
      </c>
      <c r="GI6" s="89">
        <v>4.3812810881547968</v>
      </c>
      <c r="GJ6" s="90">
        <v>7.9401520462956579E-2</v>
      </c>
      <c r="GK6" s="30">
        <f t="shared" si="21"/>
        <v>-5.4130151725295015</v>
      </c>
      <c r="GL6" s="30" t="str">
        <f t="shared" si="22"/>
        <v>*</v>
      </c>
      <c r="GM6" s="10"/>
      <c r="GN6" s="88">
        <v>95</v>
      </c>
      <c r="GO6" s="88">
        <v>95.039274180000064</v>
      </c>
      <c r="GP6" s="89">
        <v>3.5146980276528024</v>
      </c>
      <c r="GQ6" s="90">
        <v>0.11577140229745876</v>
      </c>
      <c r="GR6" s="9"/>
      <c r="GS6" s="3">
        <v>68</v>
      </c>
      <c r="GT6" s="3">
        <v>68.018599360000081</v>
      </c>
      <c r="GU6" s="71">
        <v>3.7355658198016726</v>
      </c>
      <c r="GV6" s="72">
        <v>0.11965460245975403</v>
      </c>
      <c r="GW6" s="10">
        <f t="shared" si="23"/>
        <v>-1.3265813434942288</v>
      </c>
      <c r="GX6" s="10" t="str">
        <f t="shared" si="68"/>
        <v xml:space="preserve"> </v>
      </c>
      <c r="GY6" s="9"/>
      <c r="GZ6" s="27">
        <v>100</v>
      </c>
      <c r="HA6" s="27">
        <v>99.647734720000017</v>
      </c>
      <c r="HB6" s="28">
        <v>3.802871194962977</v>
      </c>
      <c r="HC6" s="29">
        <v>0.10742447643740727</v>
      </c>
      <c r="HD6" s="10">
        <f t="shared" si="24"/>
        <v>-1.8246471179136394</v>
      </c>
      <c r="HE6" s="10" t="str">
        <f t="shared" si="69"/>
        <v xml:space="preserve"> </v>
      </c>
      <c r="HF6" s="9"/>
      <c r="HG6" s="27">
        <v>749</v>
      </c>
      <c r="HH6" s="27">
        <v>752.85845276000157</v>
      </c>
      <c r="HI6" s="28">
        <v>3.5829502906822666</v>
      </c>
      <c r="HJ6" s="29">
        <v>8.846982552570512E-2</v>
      </c>
      <c r="HK6" s="10">
        <f t="shared" si="25"/>
        <v>-0.46842794842018359</v>
      </c>
      <c r="HL6" s="10" t="str">
        <f t="shared" si="70"/>
        <v xml:space="preserve"> </v>
      </c>
      <c r="HM6" s="29"/>
      <c r="HN6" s="8">
        <v>178</v>
      </c>
      <c r="HO6" s="8">
        <v>179.08754526999974</v>
      </c>
      <c r="HP6" s="69">
        <v>3.538568892239752</v>
      </c>
      <c r="HQ6" s="9">
        <v>7.5835294706270095E-2</v>
      </c>
      <c r="HR6" s="10">
        <f t="shared" si="26"/>
        <v>-0.17247982376604229</v>
      </c>
      <c r="HS6" s="10" t="str">
        <f t="shared" si="71"/>
        <v xml:space="preserve"> </v>
      </c>
      <c r="HT6" s="9"/>
      <c r="HU6" s="88">
        <v>703</v>
      </c>
      <c r="HV6" s="88">
        <v>702.78924642000641</v>
      </c>
      <c r="HW6" s="89">
        <v>4.02861963793905</v>
      </c>
      <c r="HX6" s="90">
        <v>3.5669627891928478E-2</v>
      </c>
      <c r="HY6" s="30">
        <f t="shared" si="27"/>
        <v>-4.2423138512399809</v>
      </c>
      <c r="HZ6" s="30" t="str">
        <f t="shared" si="72"/>
        <v>*</v>
      </c>
      <c r="IA6" s="30"/>
      <c r="IB6" s="88">
        <v>127</v>
      </c>
      <c r="IC6" s="88">
        <v>127.01381701999964</v>
      </c>
      <c r="ID6" s="89">
        <v>4.1655071338946499</v>
      </c>
      <c r="IE6" s="90">
        <v>7.0485443439080142E-2</v>
      </c>
      <c r="IF6" s="30">
        <f t="shared" si="28"/>
        <v>-4.8015856182596863</v>
      </c>
      <c r="IG6" s="30" t="str">
        <f t="shared" si="29"/>
        <v>*</v>
      </c>
      <c r="IH6" s="30"/>
      <c r="II6" s="88">
        <v>93</v>
      </c>
      <c r="IJ6" s="88">
        <v>93.142213739999931</v>
      </c>
      <c r="IK6" s="89">
        <v>4.2384140400827022</v>
      </c>
      <c r="IL6" s="90">
        <v>8.5556556443954213E-2</v>
      </c>
      <c r="IM6" s="30">
        <f t="shared" si="30"/>
        <v>-5.0273888373094966</v>
      </c>
      <c r="IN6" s="30" t="str">
        <f t="shared" si="31"/>
        <v>*</v>
      </c>
      <c r="IO6" s="30"/>
      <c r="IP6" s="88">
        <v>160</v>
      </c>
      <c r="IQ6" s="88">
        <v>160.28214160000005</v>
      </c>
      <c r="IR6" s="89">
        <v>4.0068275909535265</v>
      </c>
      <c r="IS6" s="90">
        <v>7.6902831527510332E-2</v>
      </c>
      <c r="IT6" s="30">
        <f t="shared" si="32"/>
        <v>-3.540861222784446</v>
      </c>
      <c r="IU6" s="30" t="str">
        <f t="shared" si="33"/>
        <v>*</v>
      </c>
      <c r="IV6" s="30"/>
      <c r="IW6" s="88">
        <v>43</v>
      </c>
      <c r="IX6" s="88">
        <v>42.982407070000008</v>
      </c>
      <c r="IY6" s="89">
        <v>4.1165450174030926</v>
      </c>
      <c r="IZ6" s="90">
        <v>0.14585431416083497</v>
      </c>
      <c r="JA6" s="30">
        <f t="shared" si="34"/>
        <v>-3.2319785779613044</v>
      </c>
      <c r="JB6" s="30" t="str">
        <f t="shared" si="73"/>
        <v>*</v>
      </c>
      <c r="JC6" s="30"/>
      <c r="JD6" s="88">
        <v>185</v>
      </c>
      <c r="JE6" s="88">
        <v>184.32939281000046</v>
      </c>
      <c r="JF6" s="89">
        <v>4.0917080567146682</v>
      </c>
      <c r="JG6" s="90">
        <v>6.5118390261306919E-2</v>
      </c>
      <c r="JH6" s="30">
        <f t="shared" si="35"/>
        <v>-4.3440213057970656</v>
      </c>
      <c r="JI6" s="30" t="str">
        <f t="shared" si="36"/>
        <v>*</v>
      </c>
      <c r="JK6" s="27"/>
      <c r="JL6" s="27"/>
      <c r="JM6" s="28"/>
      <c r="JN6" s="29"/>
    </row>
    <row r="7" spans="1:274" x14ac:dyDescent="0.2">
      <c r="B7" s="7" t="s">
        <v>134</v>
      </c>
      <c r="C7" s="27">
        <v>2608</v>
      </c>
      <c r="D7" s="27">
        <v>2606.0188108099319</v>
      </c>
      <c r="E7" s="28">
        <v>3.8511090880309529</v>
      </c>
      <c r="F7" s="29">
        <v>1.8239319658315697E-2</v>
      </c>
      <c r="G7" s="29"/>
      <c r="H7" s="3">
        <v>827</v>
      </c>
      <c r="I7" s="3">
        <v>826.58994218001033</v>
      </c>
      <c r="J7" s="28">
        <v>3.7952188491507921</v>
      </c>
      <c r="K7" s="29">
        <v>3.3728454400164955E-2</v>
      </c>
      <c r="L7" s="30">
        <f t="shared" si="37"/>
        <v>1.4575911797812109</v>
      </c>
      <c r="M7" s="30" t="str">
        <f t="shared" si="38"/>
        <v xml:space="preserve"> </v>
      </c>
      <c r="N7" s="9"/>
      <c r="O7" s="27">
        <v>869</v>
      </c>
      <c r="P7" s="27">
        <v>870.88287249000416</v>
      </c>
      <c r="Q7" s="28">
        <v>3.5828245905086691</v>
      </c>
      <c r="R7" s="29">
        <v>2.7919808093906127E-2</v>
      </c>
      <c r="S7" s="30">
        <f t="shared" si="39"/>
        <v>8.0446357546228171</v>
      </c>
      <c r="T7" s="30" t="str">
        <f t="shared" si="40"/>
        <v>*</v>
      </c>
      <c r="U7" s="30"/>
      <c r="V7" s="27">
        <v>180</v>
      </c>
      <c r="W7" s="27">
        <v>185.89856469999938</v>
      </c>
      <c r="X7" s="28">
        <v>3.666554605493221</v>
      </c>
      <c r="Y7" s="29">
        <v>3.0999556078637306E-2</v>
      </c>
      <c r="Z7" s="30">
        <f t="shared" si="41"/>
        <v>5.1311770179811882</v>
      </c>
      <c r="AA7" s="30" t="str">
        <f t="shared" si="42"/>
        <v>*</v>
      </c>
      <c r="AB7" s="9"/>
      <c r="AC7" s="8">
        <v>1029</v>
      </c>
      <c r="AD7" s="8">
        <v>1041.4893216599996</v>
      </c>
      <c r="AE7" s="69">
        <v>3.5832914974027195</v>
      </c>
      <c r="AF7" s="9">
        <v>2.691589570144557E-2</v>
      </c>
      <c r="AG7" s="30">
        <f t="shared" si="43"/>
        <v>8.2370786109150966</v>
      </c>
      <c r="AH7" s="30" t="str">
        <f t="shared" si="44"/>
        <v>*</v>
      </c>
      <c r="AI7" s="9"/>
      <c r="AJ7" s="81">
        <v>4670</v>
      </c>
      <c r="AK7" s="83">
        <v>4.078308873055966</v>
      </c>
      <c r="AL7" s="84">
        <v>1.2867496842228817E-2</v>
      </c>
      <c r="AM7" s="30">
        <f t="shared" si="45"/>
        <v>-10.17855973455856</v>
      </c>
      <c r="AN7" s="30" t="str">
        <f t="shared" si="46"/>
        <v>*</v>
      </c>
      <c r="AO7" s="9"/>
      <c r="AP7" s="78">
        <v>799</v>
      </c>
      <c r="AQ7" s="79">
        <v>4.4100087511979114</v>
      </c>
      <c r="AR7" s="80">
        <v>3.2073462990818508E-2</v>
      </c>
      <c r="AS7" s="30">
        <f t="shared" si="47"/>
        <v>-15.147612796907442</v>
      </c>
      <c r="AT7" s="30" t="str">
        <f t="shared" si="48"/>
        <v>*</v>
      </c>
      <c r="AU7" s="80"/>
      <c r="AV7" s="78">
        <v>980</v>
      </c>
      <c r="AW7" s="79">
        <v>4.2261169773683811</v>
      </c>
      <c r="AX7" s="80">
        <v>2.901498330980715E-2</v>
      </c>
      <c r="AY7" s="30">
        <f t="shared" si="49"/>
        <v>-10.942237120710088</v>
      </c>
      <c r="AZ7" s="30" t="str">
        <f t="shared" si="50"/>
        <v>*</v>
      </c>
      <c r="BA7" s="80"/>
      <c r="BB7" s="78">
        <v>1001</v>
      </c>
      <c r="BC7" s="79">
        <v>4.2811414427530794</v>
      </c>
      <c r="BD7" s="80">
        <v>3.233925044955685E-2</v>
      </c>
      <c r="BE7" s="30">
        <f t="shared" si="51"/>
        <v>-11.582378751303029</v>
      </c>
      <c r="BF7" s="30" t="str">
        <f t="shared" si="52"/>
        <v>*</v>
      </c>
      <c r="BG7" s="80"/>
      <c r="BH7" s="78">
        <v>1342</v>
      </c>
      <c r="BI7" s="79">
        <v>4.0116019130116642</v>
      </c>
      <c r="BJ7" s="80">
        <v>2.7918223284975455E-2</v>
      </c>
      <c r="BK7" s="30">
        <f t="shared" si="53"/>
        <v>-4.81264365776725</v>
      </c>
      <c r="BL7" s="30" t="str">
        <f t="shared" si="54"/>
        <v>*</v>
      </c>
      <c r="BM7" s="80"/>
      <c r="BN7" s="78">
        <v>1399</v>
      </c>
      <c r="BO7" s="79">
        <v>4.1417918891654057</v>
      </c>
      <c r="BP7" s="80">
        <v>2.56344793277575E-2</v>
      </c>
      <c r="BQ7" s="30">
        <f t="shared" si="55"/>
        <v>-9.2394424088932539</v>
      </c>
      <c r="BR7" s="30" t="str">
        <f t="shared" si="56"/>
        <v>*</v>
      </c>
      <c r="BS7" s="9"/>
      <c r="BT7" s="27">
        <v>9757</v>
      </c>
      <c r="BU7" s="27">
        <v>9797.8725866991717</v>
      </c>
      <c r="BV7" s="28">
        <v>4.1296922365672382</v>
      </c>
      <c r="BW7" s="29">
        <v>9.125284783049855E-3</v>
      </c>
      <c r="BX7" s="30">
        <f t="shared" si="57"/>
        <v>-13.659588530086648</v>
      </c>
      <c r="BY7" s="30" t="str">
        <f t="shared" si="58"/>
        <v>*</v>
      </c>
      <c r="BZ7" s="30"/>
      <c r="CA7" s="27">
        <v>383</v>
      </c>
      <c r="CB7" s="27">
        <v>383</v>
      </c>
      <c r="CC7" s="28">
        <v>4.0704960835509141</v>
      </c>
      <c r="CD7" s="29">
        <v>3.8342966503449441E-2</v>
      </c>
      <c r="CE7" s="30">
        <f t="shared" si="59"/>
        <v>-5.1669038202670849</v>
      </c>
      <c r="CF7" s="30" t="str">
        <f t="shared" si="0"/>
        <v>*</v>
      </c>
      <c r="CG7" s="30"/>
      <c r="CH7" s="27">
        <v>2680</v>
      </c>
      <c r="CI7" s="27">
        <v>2722.0108692899184</v>
      </c>
      <c r="CJ7" s="28">
        <v>3.8459861609959911</v>
      </c>
      <c r="CK7" s="29">
        <v>1.7765252599919013E-2</v>
      </c>
      <c r="CL7" s="30">
        <f t="shared" si="60"/>
        <v>0.20120458341613298</v>
      </c>
      <c r="CM7" s="30" t="str">
        <f t="shared" si="1"/>
        <v xml:space="preserve"> </v>
      </c>
      <c r="CN7" s="30"/>
      <c r="CO7" s="27">
        <v>2369</v>
      </c>
      <c r="CP7" s="27">
        <v>2369.3344774900261</v>
      </c>
      <c r="CQ7" s="28">
        <v>4.1424211198148218</v>
      </c>
      <c r="CR7" s="29">
        <v>1.6135549414136554E-2</v>
      </c>
      <c r="CS7" s="30">
        <f t="shared" si="61"/>
        <v>-11.962461497769901</v>
      </c>
      <c r="CT7" s="30" t="str">
        <f t="shared" si="2"/>
        <v>*</v>
      </c>
      <c r="CU7" s="30"/>
      <c r="CV7" s="27">
        <v>533</v>
      </c>
      <c r="CW7" s="27">
        <v>533.45269468000367</v>
      </c>
      <c r="CX7" s="89">
        <v>4.9981179096665747</v>
      </c>
      <c r="CY7" s="98">
        <v>1.8783245793197964E-3</v>
      </c>
      <c r="CZ7" s="30">
        <f t="shared" si="62"/>
        <v>-62.555763924927305</v>
      </c>
      <c r="DA7" s="30" t="str">
        <f t="shared" si="3"/>
        <v>*</v>
      </c>
      <c r="DB7" s="30"/>
      <c r="DC7" s="27">
        <v>749</v>
      </c>
      <c r="DD7" s="27">
        <v>749.05573442999184</v>
      </c>
      <c r="DE7" s="28">
        <v>4.9973302094249021</v>
      </c>
      <c r="DF7" s="29">
        <v>1.8866489864550792E-3</v>
      </c>
      <c r="DG7" s="30">
        <f t="shared" si="63"/>
        <v>-62.509890626956334</v>
      </c>
      <c r="DH7" s="30" t="str">
        <f t="shared" si="4"/>
        <v>*</v>
      </c>
      <c r="DI7" s="30"/>
      <c r="DJ7" s="27">
        <v>435</v>
      </c>
      <c r="DK7" s="27">
        <v>435</v>
      </c>
      <c r="DL7" s="28">
        <v>4.9977011494252856</v>
      </c>
      <c r="DM7" s="29">
        <v>2.2988505747126458E-3</v>
      </c>
      <c r="DN7" s="30">
        <f t="shared" si="64"/>
        <v>-62.370308040288741</v>
      </c>
      <c r="DO7" s="30" t="str">
        <f t="shared" si="5"/>
        <v>*</v>
      </c>
      <c r="DP7" s="8"/>
      <c r="DQ7" s="27">
        <v>747</v>
      </c>
      <c r="DR7" s="27">
        <v>745.0347503900025</v>
      </c>
      <c r="DS7" s="28">
        <v>3.7138292849717467</v>
      </c>
      <c r="DT7" s="29">
        <v>3.5743209501469995E-2</v>
      </c>
      <c r="DU7" s="29"/>
      <c r="DV7" s="27">
        <v>500</v>
      </c>
      <c r="DW7" s="27">
        <v>499.55066268999752</v>
      </c>
      <c r="DX7" s="28">
        <v>3.7060624397347239</v>
      </c>
      <c r="DY7" s="29">
        <v>4.424524533180272E-2</v>
      </c>
      <c r="DZ7" s="10">
        <f t="shared" si="6"/>
        <v>0.13655035241428454</v>
      </c>
      <c r="EA7" s="10" t="str">
        <f t="shared" si="7"/>
        <v xml:space="preserve"> </v>
      </c>
      <c r="EB7" s="29"/>
      <c r="EC7" s="27">
        <v>509</v>
      </c>
      <c r="ED7" s="27">
        <v>510.4307379100008</v>
      </c>
      <c r="EE7" s="28">
        <v>3.741432658717998</v>
      </c>
      <c r="EF7" s="29">
        <v>4.2404238615560023E-2</v>
      </c>
      <c r="EG7" s="10">
        <f t="shared" si="8"/>
        <v>-0.49772611490257818</v>
      </c>
      <c r="EH7" s="10" t="str">
        <f t="shared" si="9"/>
        <v xml:space="preserve"> </v>
      </c>
      <c r="EI7" s="29"/>
      <c r="EJ7" s="27">
        <v>95</v>
      </c>
      <c r="EK7" s="27">
        <v>102.1844641399998</v>
      </c>
      <c r="EL7" s="28">
        <v>3.6361732882590223</v>
      </c>
      <c r="EM7" s="29">
        <v>4.8140013470976017E-2</v>
      </c>
      <c r="EN7" s="10">
        <f t="shared" si="10"/>
        <v>1.2951595143839336</v>
      </c>
      <c r="EO7" s="10" t="str">
        <f t="shared" si="65"/>
        <v xml:space="preserve"> </v>
      </c>
      <c r="EP7" s="29"/>
      <c r="EQ7" s="8">
        <v>617</v>
      </c>
      <c r="ER7" s="8">
        <v>616.03257156999757</v>
      </c>
      <c r="ES7" s="69">
        <v>3.7264921982930317</v>
      </c>
      <c r="ET7" s="9">
        <v>3.9559727199856669E-2</v>
      </c>
      <c r="EU7" s="10">
        <f t="shared" si="11"/>
        <v>-0.23750877025011474</v>
      </c>
      <c r="EV7" s="10" t="str">
        <f t="shared" si="66"/>
        <v xml:space="preserve"> </v>
      </c>
      <c r="EW7" s="29"/>
      <c r="EX7" s="88">
        <v>3770</v>
      </c>
      <c r="EY7" s="88">
        <v>3767.093881539859</v>
      </c>
      <c r="EZ7" s="89">
        <v>4.0390849470997994</v>
      </c>
      <c r="FA7" s="90">
        <v>1.4143060686733539E-2</v>
      </c>
      <c r="FB7" s="30">
        <f t="shared" si="12"/>
        <v>-8.4614726581029771</v>
      </c>
      <c r="FC7" s="30" t="str">
        <f t="shared" si="67"/>
        <v>*</v>
      </c>
      <c r="FD7" s="30"/>
      <c r="FE7" s="27">
        <v>821</v>
      </c>
      <c r="FF7" s="27">
        <v>821.09983378000106</v>
      </c>
      <c r="FG7" s="89">
        <v>4.1559095374440185</v>
      </c>
      <c r="FH7" s="90">
        <v>2.7685791075523512E-2</v>
      </c>
      <c r="FI7" s="30">
        <f t="shared" si="13"/>
        <v>-9.7780480141893911</v>
      </c>
      <c r="FJ7" s="30" t="str">
        <f t="shared" si="14"/>
        <v>*</v>
      </c>
      <c r="FK7" s="30"/>
      <c r="FL7" s="88">
        <v>282</v>
      </c>
      <c r="FM7" s="88">
        <v>282.04673645999907</v>
      </c>
      <c r="FN7" s="89">
        <v>4.3230253820111866</v>
      </c>
      <c r="FO7" s="90">
        <v>4.430158322027674E-2</v>
      </c>
      <c r="FP7" s="30">
        <f t="shared" si="15"/>
        <v>-10.702142124613077</v>
      </c>
      <c r="FQ7" s="30" t="str">
        <f t="shared" si="16"/>
        <v>*</v>
      </c>
      <c r="FR7" s="30"/>
      <c r="FS7" s="88">
        <v>482</v>
      </c>
      <c r="FT7" s="88">
        <v>480.90974130999632</v>
      </c>
      <c r="FU7" s="89">
        <v>4.1465215597173319</v>
      </c>
      <c r="FV7" s="90">
        <v>3.2904835066386653E-2</v>
      </c>
      <c r="FW7" s="30">
        <f t="shared" si="17"/>
        <v>-8.9062536600682876</v>
      </c>
      <c r="FX7" s="30" t="str">
        <f t="shared" si="18"/>
        <v>*</v>
      </c>
      <c r="FY7" s="30"/>
      <c r="FZ7" s="88">
        <v>1094</v>
      </c>
      <c r="GA7" s="88">
        <v>1094.0527813200115</v>
      </c>
      <c r="GB7" s="89">
        <v>3.9295501582135661</v>
      </c>
      <c r="GC7" s="90">
        <v>2.7121745766704501E-2</v>
      </c>
      <c r="GD7" s="30">
        <f t="shared" si="19"/>
        <v>-4.8078660924253169</v>
      </c>
      <c r="GE7" s="30" t="str">
        <f t="shared" si="20"/>
        <v>*</v>
      </c>
      <c r="GF7" s="30"/>
      <c r="GG7" s="88">
        <v>344</v>
      </c>
      <c r="GH7" s="88">
        <v>343.95003827999926</v>
      </c>
      <c r="GI7" s="89">
        <v>4.4300928209217831</v>
      </c>
      <c r="GJ7" s="90">
        <v>3.4978152028162179E-2</v>
      </c>
      <c r="GK7" s="30">
        <f t="shared" si="21"/>
        <v>-14.322268671421865</v>
      </c>
      <c r="GL7" s="30" t="str">
        <f t="shared" si="22"/>
        <v>*</v>
      </c>
      <c r="GM7" s="10"/>
      <c r="GN7" s="88">
        <v>716</v>
      </c>
      <c r="GO7" s="88">
        <v>716.11472934000744</v>
      </c>
      <c r="GP7" s="89">
        <v>3.5220847043525776</v>
      </c>
      <c r="GQ7" s="90">
        <v>3.9593175718068863E-2</v>
      </c>
      <c r="GR7" s="9"/>
      <c r="GS7" s="3">
        <v>439</v>
      </c>
      <c r="GT7" s="3">
        <v>438.84170822999602</v>
      </c>
      <c r="GU7" s="71">
        <v>3.6064700880266201</v>
      </c>
      <c r="GV7" s="72">
        <v>5.0640327683911419E-2</v>
      </c>
      <c r="GW7" s="10">
        <f t="shared" si="23"/>
        <v>-1.3127553479568161</v>
      </c>
      <c r="GX7" s="10" t="str">
        <f t="shared" si="68"/>
        <v xml:space="preserve"> </v>
      </c>
      <c r="GY7" s="9"/>
      <c r="GZ7" s="27">
        <v>515</v>
      </c>
      <c r="HA7" s="27">
        <v>515.79259626000351</v>
      </c>
      <c r="HB7" s="28">
        <v>3.714357252433818</v>
      </c>
      <c r="HC7" s="29">
        <v>4.3358120693202565E-2</v>
      </c>
      <c r="HD7" s="10">
        <f t="shared" si="24"/>
        <v>-3.2746299893861806</v>
      </c>
      <c r="HE7" s="10" t="str">
        <f t="shared" si="69"/>
        <v>*</v>
      </c>
      <c r="HF7" s="9"/>
      <c r="HG7" s="27">
        <v>130</v>
      </c>
      <c r="HH7" s="27">
        <v>128.68810178000035</v>
      </c>
      <c r="HI7" s="28">
        <v>3.4889711573011377</v>
      </c>
      <c r="HJ7" s="29">
        <v>3.8544047382839661E-2</v>
      </c>
      <c r="HK7" s="10">
        <f t="shared" si="25"/>
        <v>0.59927144693709145</v>
      </c>
      <c r="HL7" s="10" t="str">
        <f t="shared" si="70"/>
        <v xml:space="preserve"> </v>
      </c>
      <c r="HM7" s="29"/>
      <c r="HN7" s="8">
        <v>1008</v>
      </c>
      <c r="HO7" s="8">
        <v>1006.5356534400024</v>
      </c>
      <c r="HP7" s="69">
        <v>3.4233792486372168</v>
      </c>
      <c r="HQ7" s="9">
        <v>3.2357932431255176E-2</v>
      </c>
      <c r="HR7" s="10">
        <f t="shared" si="26"/>
        <v>1.9303405430200831</v>
      </c>
      <c r="HS7" s="10" t="str">
        <f t="shared" si="71"/>
        <v xml:space="preserve"> </v>
      </c>
      <c r="HT7" s="9"/>
      <c r="HU7" s="88">
        <v>4047</v>
      </c>
      <c r="HV7" s="88">
        <v>4045.4286743698331</v>
      </c>
      <c r="HW7" s="89">
        <v>4.0220360458867548</v>
      </c>
      <c r="HX7" s="90">
        <v>1.4405978887468212E-2</v>
      </c>
      <c r="HY7" s="30">
        <f t="shared" si="27"/>
        <v>-11.866154279436314</v>
      </c>
      <c r="HZ7" s="30" t="str">
        <f t="shared" si="72"/>
        <v>*</v>
      </c>
      <c r="IA7" s="30"/>
      <c r="IB7" s="88">
        <v>821</v>
      </c>
      <c r="IC7" s="88">
        <v>821.09983378000106</v>
      </c>
      <c r="ID7" s="89">
        <v>4.1559095374440185</v>
      </c>
      <c r="IE7" s="90">
        <v>2.7685791075523512E-2</v>
      </c>
      <c r="IF7" s="30">
        <f t="shared" si="28"/>
        <v>-13.119202020399344</v>
      </c>
      <c r="IG7" s="30" t="str">
        <f t="shared" si="29"/>
        <v>*</v>
      </c>
      <c r="IH7" s="30"/>
      <c r="II7" s="88">
        <v>532</v>
      </c>
      <c r="IJ7" s="88">
        <v>531.80364478000297</v>
      </c>
      <c r="IK7" s="89">
        <v>4.242481428372586</v>
      </c>
      <c r="IL7" s="90">
        <v>3.4275559976616979E-2</v>
      </c>
      <c r="IM7" s="30">
        <f t="shared" si="30"/>
        <v>-13.756364368534131</v>
      </c>
      <c r="IN7" s="30" t="str">
        <f t="shared" si="31"/>
        <v>*</v>
      </c>
      <c r="IO7" s="30"/>
      <c r="IP7" s="88">
        <v>665</v>
      </c>
      <c r="IQ7" s="88">
        <v>665.44454138000651</v>
      </c>
      <c r="IR7" s="89">
        <v>4.0667040541469444</v>
      </c>
      <c r="IS7" s="90">
        <v>3.6683942766434531E-2</v>
      </c>
      <c r="IT7" s="30">
        <f t="shared" si="32"/>
        <v>-10.0901619274614</v>
      </c>
      <c r="IU7" s="30" t="str">
        <f t="shared" si="33"/>
        <v>*</v>
      </c>
      <c r="IV7" s="30"/>
      <c r="IW7" s="88">
        <v>282</v>
      </c>
      <c r="IX7" s="88">
        <v>282.04673645999907</v>
      </c>
      <c r="IY7" s="89">
        <v>4.3230253820111866</v>
      </c>
      <c r="IZ7" s="90">
        <v>4.430158322027674E-2</v>
      </c>
      <c r="JA7" s="30">
        <f t="shared" si="34"/>
        <v>-13.480240172347457</v>
      </c>
      <c r="JB7" s="30" t="str">
        <f t="shared" si="73"/>
        <v>*</v>
      </c>
      <c r="JC7" s="30"/>
      <c r="JD7" s="88">
        <v>1031</v>
      </c>
      <c r="JE7" s="88">
        <v>1028.9191886300121</v>
      </c>
      <c r="JF7" s="89">
        <v>4.0378275852273857</v>
      </c>
      <c r="JG7" s="90">
        <v>2.6588312274982144E-2</v>
      </c>
      <c r="JH7" s="30">
        <f t="shared" si="35"/>
        <v>-10.813959589944568</v>
      </c>
      <c r="JI7" s="30" t="str">
        <f t="shared" si="36"/>
        <v>*</v>
      </c>
      <c r="JK7" s="27"/>
      <c r="JL7" s="27"/>
      <c r="JM7" s="28"/>
      <c r="JN7" s="29"/>
    </row>
    <row r="8" spans="1:274" x14ac:dyDescent="0.2">
      <c r="A8" s="73"/>
      <c r="B8" s="7" t="s">
        <v>11</v>
      </c>
      <c r="C8" s="27">
        <v>1630</v>
      </c>
      <c r="D8" s="27">
        <v>1628.1204420199754</v>
      </c>
      <c r="E8" s="28">
        <v>3.736662636218695</v>
      </c>
      <c r="F8" s="29">
        <v>2.6643477567418253E-2</v>
      </c>
      <c r="G8" s="29"/>
      <c r="H8" s="3">
        <v>477</v>
      </c>
      <c r="I8" s="3">
        <v>476.87953913999797</v>
      </c>
      <c r="J8" s="28">
        <v>3.7084505812710447</v>
      </c>
      <c r="K8" s="29">
        <v>4.9343816035184319E-2</v>
      </c>
      <c r="L8" s="30">
        <f t="shared" si="37"/>
        <v>0.50309036852627576</v>
      </c>
      <c r="M8" s="30" t="str">
        <f t="shared" si="38"/>
        <v xml:space="preserve"> </v>
      </c>
      <c r="N8" s="9"/>
      <c r="O8" s="27">
        <v>311</v>
      </c>
      <c r="P8" s="27">
        <v>311.71607990999917</v>
      </c>
      <c r="Q8" s="28">
        <v>3.6876379192625777</v>
      </c>
      <c r="R8" s="29">
        <v>5.8858236653570949E-2</v>
      </c>
      <c r="S8" s="30">
        <f t="shared" si="39"/>
        <v>0.75880500888344227</v>
      </c>
      <c r="T8" s="30" t="str">
        <f t="shared" si="40"/>
        <v xml:space="preserve"> </v>
      </c>
      <c r="U8" s="30"/>
      <c r="V8" s="27">
        <v>710</v>
      </c>
      <c r="W8" s="27">
        <v>711.11281648000727</v>
      </c>
      <c r="X8" s="28">
        <v>3.6707749244515413</v>
      </c>
      <c r="Y8" s="29">
        <v>4.638979510229186E-2</v>
      </c>
      <c r="Z8" s="30">
        <f t="shared" si="41"/>
        <v>1.2316239038592356</v>
      </c>
      <c r="AA8" s="30" t="str">
        <f t="shared" si="42"/>
        <v xml:space="preserve"> </v>
      </c>
      <c r="AB8" s="9"/>
      <c r="AC8" s="8">
        <v>432</v>
      </c>
      <c r="AD8" s="8">
        <v>437.21993591999666</v>
      </c>
      <c r="AE8" s="69">
        <v>3.6370391864083778</v>
      </c>
      <c r="AF8" s="9">
        <v>4.8472237133230768E-2</v>
      </c>
      <c r="AG8" s="30">
        <f t="shared" si="43"/>
        <v>1.8011136876017153</v>
      </c>
      <c r="AH8" s="30" t="str">
        <f t="shared" si="44"/>
        <v xml:space="preserve"> </v>
      </c>
      <c r="AI8" s="9"/>
      <c r="AJ8" s="81">
        <v>2639</v>
      </c>
      <c r="AK8" s="83">
        <v>3.9012244740569071</v>
      </c>
      <c r="AL8" s="84">
        <v>2.1494201375349166E-2</v>
      </c>
      <c r="AM8" s="30">
        <f t="shared" si="45"/>
        <v>-4.8071577606501483</v>
      </c>
      <c r="AN8" s="30" t="str">
        <f t="shared" si="46"/>
        <v>*</v>
      </c>
      <c r="AO8" s="9"/>
      <c r="AP8" s="78">
        <v>249</v>
      </c>
      <c r="AQ8" s="79">
        <v>4.3296767690942719</v>
      </c>
      <c r="AR8" s="80">
        <v>5.848996580169176E-2</v>
      </c>
      <c r="AS8" s="30">
        <f t="shared" ref="AS8:AS40" si="74">IF($C8&lt;30,"NV",IF(AP8&gt;=30,(($E8-AQ8))/SQRT(($F8^2)+(AR8^2)),"NV"))</f>
        <v>-9.2265645005232138</v>
      </c>
      <c r="AT8" s="30" t="str">
        <f t="shared" ref="AT8:AT40" si="75">IF(ABS(AS8)&gt;=1.96,"*"," ")</f>
        <v>*</v>
      </c>
      <c r="AU8" s="80"/>
      <c r="AV8" s="78">
        <v>409</v>
      </c>
      <c r="AW8" s="79">
        <v>4.2450462975880621</v>
      </c>
      <c r="AX8" s="80">
        <v>4.2111098795852932E-2</v>
      </c>
      <c r="AY8" s="30">
        <f t="shared" ref="AY8:AY40" si="76">IF($C8&lt;30,"NV",IF(AV8&gt;=30,(($E8-AW8))/SQRT(($F8^2)+(AX8^2)),"NV"))</f>
        <v>-10.201969626568028</v>
      </c>
      <c r="AZ8" s="30" t="str">
        <f t="shared" ref="AZ8:AZ40" si="77">IF(ABS(AY8)&gt;=1.96,"*"," ")</f>
        <v>*</v>
      </c>
      <c r="BA8" s="80"/>
      <c r="BB8" s="78">
        <v>281</v>
      </c>
      <c r="BC8" s="79">
        <v>4.2174154370004731</v>
      </c>
      <c r="BD8" s="80">
        <v>5.4312282242542517E-2</v>
      </c>
      <c r="BE8" s="30">
        <f t="shared" ref="BE8:BE40" si="78">IF($C8&lt;30,"NV",IF(BB8&gt;=30,(($E8-BC8))/SQRT(($F8^2)+(BD8^2)),"NV"))</f>
        <v>-7.9469255673611157</v>
      </c>
      <c r="BF8" s="30" t="str">
        <f t="shared" ref="BF8:BF40" si="79">IF(ABS(BE8)&gt;=1.96,"*"," ")</f>
        <v>*</v>
      </c>
      <c r="BG8" s="80"/>
      <c r="BH8" s="78">
        <v>643</v>
      </c>
      <c r="BI8" s="79">
        <v>4.1072845496553478</v>
      </c>
      <c r="BJ8" s="80">
        <v>3.6088356962674296E-2</v>
      </c>
      <c r="BK8" s="30">
        <f t="shared" ref="BK8:BK40" si="80">IF($C8&lt;30,"NV",IF(BH8&gt;=30,(($E8-BI8))/SQRT(($F8^2)+(BJ8^2)),"NV"))</f>
        <v>-8.2621053738855252</v>
      </c>
      <c r="BL8" s="30" t="str">
        <f t="shared" ref="BL8:BL40" si="81">IF(ABS(BK8)&gt;=1.96,"*"," ")</f>
        <v>*</v>
      </c>
      <c r="BM8" s="80"/>
      <c r="BN8" s="78">
        <v>693</v>
      </c>
      <c r="BO8" s="79">
        <v>4.0911024740845372</v>
      </c>
      <c r="BP8" s="80">
        <v>3.4918612320390445E-2</v>
      </c>
      <c r="BQ8" s="30">
        <f t="shared" ref="BQ8:BQ40" si="82">IF($C8&lt;30,"NV",IF(BN8&gt;=30,(($E8-BO8))/SQRT(($F8^2)+(BP8^2)),"NV"))</f>
        <v>-8.0696678685695993</v>
      </c>
      <c r="BR8" s="30" t="str">
        <f t="shared" ref="BR8:BR40" si="83">IF(ABS(BQ8)&gt;=1.96,"*"," ")</f>
        <v>*</v>
      </c>
      <c r="BS8" s="9"/>
      <c r="BT8" s="27">
        <v>6574</v>
      </c>
      <c r="BU8" s="27">
        <v>6628.3874370697285</v>
      </c>
      <c r="BV8" s="28">
        <v>4.0019576060939803</v>
      </c>
      <c r="BW8" s="29">
        <v>1.3479416745274213E-2</v>
      </c>
      <c r="BX8" s="30">
        <f t="shared" si="57"/>
        <v>-8.8848765178350195</v>
      </c>
      <c r="BY8" s="30" t="str">
        <f t="shared" si="58"/>
        <v>*</v>
      </c>
      <c r="BZ8" s="30"/>
      <c r="CA8" s="27">
        <v>292</v>
      </c>
      <c r="CB8" s="27">
        <v>292</v>
      </c>
      <c r="CC8" s="28">
        <v>4.0376712328767113</v>
      </c>
      <c r="CD8" s="29">
        <v>5.3210447258795056E-2</v>
      </c>
      <c r="CE8" s="30">
        <f t="shared" si="59"/>
        <v>-5.05827038550472</v>
      </c>
      <c r="CF8" s="30" t="str">
        <f t="shared" si="0"/>
        <v>*</v>
      </c>
      <c r="CG8" s="30"/>
      <c r="CH8" s="27">
        <v>1705</v>
      </c>
      <c r="CI8" s="27">
        <v>1758.4890279199899</v>
      </c>
      <c r="CJ8" s="28">
        <v>3.4028169757634843</v>
      </c>
      <c r="CK8" s="29">
        <v>2.8364411974536322E-2</v>
      </c>
      <c r="CL8" s="30">
        <f t="shared" si="60"/>
        <v>8.5787362927131259</v>
      </c>
      <c r="CM8" s="30" t="str">
        <f t="shared" si="1"/>
        <v>*</v>
      </c>
      <c r="CN8" s="30"/>
      <c r="CO8" s="27">
        <v>1428</v>
      </c>
      <c r="CP8" s="27">
        <v>1428.8497602900482</v>
      </c>
      <c r="CQ8" s="28">
        <v>4.0693066599107608</v>
      </c>
      <c r="CR8" s="29">
        <v>2.450310895735756E-2</v>
      </c>
      <c r="CS8" s="30">
        <f t="shared" si="61"/>
        <v>-9.1896321144349411</v>
      </c>
      <c r="CT8" s="30" t="str">
        <f t="shared" si="2"/>
        <v>*</v>
      </c>
      <c r="CU8" s="30"/>
      <c r="CV8" s="27">
        <v>495</v>
      </c>
      <c r="CW8" s="27">
        <v>496.98304920000299</v>
      </c>
      <c r="CX8" s="28">
        <v>4.9070707070706998</v>
      </c>
      <c r="CY8" s="29">
        <v>1.3942418063978378E-2</v>
      </c>
      <c r="CZ8" s="30">
        <f t="shared" si="62"/>
        <v>-38.921469291432238</v>
      </c>
      <c r="DA8" s="30" t="str">
        <f t="shared" si="3"/>
        <v>*</v>
      </c>
      <c r="DB8" s="30"/>
      <c r="DC8" s="27">
        <v>716</v>
      </c>
      <c r="DD8" s="27">
        <v>715.94515763999311</v>
      </c>
      <c r="DE8" s="28">
        <v>4.8800016811019535</v>
      </c>
      <c r="DF8" s="29">
        <v>1.293031942450769E-2</v>
      </c>
      <c r="DG8" s="30">
        <f t="shared" si="63"/>
        <v>-38.606318358645957</v>
      </c>
      <c r="DH8" s="30" t="str">
        <f t="shared" si="4"/>
        <v>*</v>
      </c>
      <c r="DI8" s="30"/>
      <c r="DJ8" s="27">
        <v>308</v>
      </c>
      <c r="DK8" s="27">
        <v>308</v>
      </c>
      <c r="DL8" s="28">
        <v>4.977272727272724</v>
      </c>
      <c r="DM8" s="29">
        <v>1.07075054788086E-2</v>
      </c>
      <c r="DN8" s="30">
        <f t="shared" si="64"/>
        <v>-43.204923951281032</v>
      </c>
      <c r="DO8" s="30" t="str">
        <f t="shared" si="5"/>
        <v>*</v>
      </c>
      <c r="DP8" s="8"/>
      <c r="DQ8" s="27">
        <v>512</v>
      </c>
      <c r="DR8" s="27">
        <v>512.94848543999888</v>
      </c>
      <c r="DS8" s="28">
        <v>3.801217418601917</v>
      </c>
      <c r="DT8" s="29">
        <v>4.4534918259070098E-2</v>
      </c>
      <c r="DU8" s="29"/>
      <c r="DV8" s="27">
        <v>326</v>
      </c>
      <c r="DW8" s="27">
        <v>325.79336934000014</v>
      </c>
      <c r="DX8" s="28">
        <v>3.7330523489591401</v>
      </c>
      <c r="DY8" s="29">
        <v>5.6164716431093033E-2</v>
      </c>
      <c r="DZ8" s="10">
        <f t="shared" si="6"/>
        <v>0.95098098928226638</v>
      </c>
      <c r="EA8" s="10" t="str">
        <f t="shared" si="7"/>
        <v xml:space="preserve"> </v>
      </c>
      <c r="EB8" s="29"/>
      <c r="EC8" s="27">
        <v>347</v>
      </c>
      <c r="ED8" s="27">
        <v>348.88243705000104</v>
      </c>
      <c r="EE8" s="28">
        <v>3.8271643129993387</v>
      </c>
      <c r="EF8" s="29">
        <v>5.2645818685266639E-2</v>
      </c>
      <c r="EG8" s="10">
        <f t="shared" si="8"/>
        <v>-0.37628145118747297</v>
      </c>
      <c r="EH8" s="10" t="str">
        <f t="shared" si="9"/>
        <v xml:space="preserve"> </v>
      </c>
      <c r="EI8" s="29"/>
      <c r="EJ8" s="27">
        <v>403</v>
      </c>
      <c r="EK8" s="27">
        <v>406.83893415000222</v>
      </c>
      <c r="EL8" s="28">
        <v>3.7803028026755858</v>
      </c>
      <c r="EM8" s="29">
        <v>5.6709750586570087E-2</v>
      </c>
      <c r="EN8" s="10">
        <f t="shared" si="10"/>
        <v>0.29005153509607434</v>
      </c>
      <c r="EO8" s="10" t="str">
        <f t="shared" si="65"/>
        <v xml:space="preserve"> </v>
      </c>
      <c r="EP8" s="29"/>
      <c r="EQ8" s="8">
        <v>357</v>
      </c>
      <c r="ER8" s="8">
        <v>357.01714302000033</v>
      </c>
      <c r="ES8" s="69">
        <v>3.8007122506551054</v>
      </c>
      <c r="ET8" s="9">
        <v>5.103008773768733E-2</v>
      </c>
      <c r="EU8" s="10">
        <f t="shared" si="11"/>
        <v>7.4584935449690656E-3</v>
      </c>
      <c r="EV8" s="10" t="str">
        <f t="shared" si="66"/>
        <v xml:space="preserve"> </v>
      </c>
      <c r="EW8" s="29"/>
      <c r="EX8" s="88">
        <v>2527</v>
      </c>
      <c r="EY8" s="88">
        <v>2528.1402244999576</v>
      </c>
      <c r="EZ8" s="28">
        <v>3.9531331177077313</v>
      </c>
      <c r="FA8" s="29">
        <v>1.8968364277090533E-2</v>
      </c>
      <c r="FB8" s="30">
        <f t="shared" si="12"/>
        <v>-3.1383537078877732</v>
      </c>
      <c r="FC8" s="30" t="str">
        <f t="shared" si="67"/>
        <v>*</v>
      </c>
      <c r="FD8" s="30"/>
      <c r="FE8" s="27">
        <v>762</v>
      </c>
      <c r="FF8" s="27">
        <v>761.92457098000148</v>
      </c>
      <c r="FG8" s="28">
        <v>3.9856025205672401</v>
      </c>
      <c r="FH8" s="29">
        <v>3.1920883603528134E-2</v>
      </c>
      <c r="FI8" s="30">
        <f t="shared" si="13"/>
        <v>-3.36510529369703</v>
      </c>
      <c r="FJ8" s="30" t="str">
        <f t="shared" si="14"/>
        <v>*</v>
      </c>
      <c r="FK8" s="30"/>
      <c r="FL8" s="88">
        <v>122</v>
      </c>
      <c r="FM8" s="88">
        <v>121.95493471999984</v>
      </c>
      <c r="FN8" s="28">
        <v>3.9507335765970053</v>
      </c>
      <c r="FO8" s="29">
        <v>8.3818485366008097E-2</v>
      </c>
      <c r="FP8" s="30">
        <f t="shared" si="15"/>
        <v>-1.57526022583818</v>
      </c>
      <c r="FQ8" s="30" t="str">
        <f t="shared" si="16"/>
        <v xml:space="preserve"> </v>
      </c>
      <c r="FR8" s="30"/>
      <c r="FS8" s="88">
        <v>382</v>
      </c>
      <c r="FT8" s="88">
        <v>382.43075525999859</v>
      </c>
      <c r="FU8" s="28">
        <v>3.8837263036290852</v>
      </c>
      <c r="FV8" s="29">
        <v>5.0776832784156109E-2</v>
      </c>
      <c r="FW8" s="30">
        <f t="shared" si="17"/>
        <v>-1.2216307145145966</v>
      </c>
      <c r="FX8" s="30" t="str">
        <f t="shared" si="18"/>
        <v xml:space="preserve"> </v>
      </c>
      <c r="FY8" s="30"/>
      <c r="FZ8" s="88">
        <v>591</v>
      </c>
      <c r="GA8" s="88">
        <v>590.89518972000553</v>
      </c>
      <c r="GB8" s="28">
        <v>4.0049662972402835</v>
      </c>
      <c r="GC8" s="29">
        <v>4.0335552281686449E-2</v>
      </c>
      <c r="GD8" s="30">
        <f t="shared" si="19"/>
        <v>-3.3909597584195761</v>
      </c>
      <c r="GE8" s="30" t="str">
        <f t="shared" si="20"/>
        <v>*</v>
      </c>
      <c r="GF8" s="30"/>
      <c r="GG8" s="88">
        <v>158</v>
      </c>
      <c r="GH8" s="88">
        <v>157.98628837999976</v>
      </c>
      <c r="GI8" s="28">
        <v>4.2657782984242534</v>
      </c>
      <c r="GJ8" s="29">
        <v>6.6235520941682766E-2</v>
      </c>
      <c r="GK8" s="30">
        <f t="shared" si="21"/>
        <v>-5.8204393363750055</v>
      </c>
      <c r="GL8" s="30" t="str">
        <f t="shared" si="22"/>
        <v>*</v>
      </c>
      <c r="GM8" s="10"/>
      <c r="GN8" s="88">
        <v>661</v>
      </c>
      <c r="GO8" s="88">
        <v>660.90292947000603</v>
      </c>
      <c r="GP8" s="28">
        <v>3.4416323604195016</v>
      </c>
      <c r="GQ8" s="29">
        <v>4.756611540015742E-2</v>
      </c>
      <c r="GR8" s="9"/>
      <c r="GS8" s="3">
        <v>474</v>
      </c>
      <c r="GT8" s="3">
        <v>473.91134402999506</v>
      </c>
      <c r="GU8" s="69">
        <v>3.3752641392748353</v>
      </c>
      <c r="GV8" s="9">
        <v>5.665547523677366E-2</v>
      </c>
      <c r="GW8" s="10">
        <f t="shared" si="23"/>
        <v>0.89716459184586328</v>
      </c>
      <c r="GX8" s="10" t="str">
        <f t="shared" si="68"/>
        <v xml:space="preserve"> </v>
      </c>
      <c r="GY8" s="9"/>
      <c r="GZ8" s="27">
        <v>505</v>
      </c>
      <c r="HA8" s="27">
        <v>504.7787598500035</v>
      </c>
      <c r="HB8" s="28">
        <v>3.5908223176993879</v>
      </c>
      <c r="HC8" s="29">
        <v>5.0833433730821706E-2</v>
      </c>
      <c r="HD8" s="10">
        <f t="shared" si="24"/>
        <v>-2.1430001232559266</v>
      </c>
      <c r="HE8" s="10" t="str">
        <f t="shared" si="69"/>
        <v>*</v>
      </c>
      <c r="HF8" s="9"/>
      <c r="HG8" s="27">
        <v>749</v>
      </c>
      <c r="HH8" s="27">
        <v>752.85845276000157</v>
      </c>
      <c r="HI8" s="28">
        <v>3.2094658181634221</v>
      </c>
      <c r="HJ8" s="29">
        <v>4.0033010477529621E-2</v>
      </c>
      <c r="HK8" s="10">
        <f t="shared" si="25"/>
        <v>3.7343491896297243</v>
      </c>
      <c r="HL8" s="10" t="str">
        <f t="shared" si="70"/>
        <v>*</v>
      </c>
      <c r="HM8" s="29"/>
      <c r="HN8" s="8">
        <v>941</v>
      </c>
      <c r="HO8" s="8">
        <v>946.19001057000173</v>
      </c>
      <c r="HP8" s="69">
        <v>3.2986522619487011</v>
      </c>
      <c r="HQ8" s="9">
        <v>3.9874896725234248E-2</v>
      </c>
      <c r="HR8" s="10">
        <f t="shared" si="26"/>
        <v>2.3035723661106564</v>
      </c>
      <c r="HS8" s="10" t="str">
        <f t="shared" si="71"/>
        <v>*</v>
      </c>
      <c r="HT8" s="9"/>
      <c r="HU8" s="88">
        <v>2595</v>
      </c>
      <c r="HV8" s="88">
        <v>2596.181240039919</v>
      </c>
      <c r="HW8" s="28">
        <v>3.8869525960500817</v>
      </c>
      <c r="HX8" s="29">
        <v>2.0119535763170007E-2</v>
      </c>
      <c r="HY8" s="30">
        <f t="shared" si="27"/>
        <v>-8.6225152198405013</v>
      </c>
      <c r="HZ8" s="30" t="str">
        <f t="shared" si="72"/>
        <v>*</v>
      </c>
      <c r="IA8" s="30"/>
      <c r="IB8" s="88">
        <v>762</v>
      </c>
      <c r="IC8" s="88">
        <v>761.92457098000148</v>
      </c>
      <c r="ID8" s="28">
        <v>3.9856025205672401</v>
      </c>
      <c r="IE8" s="29">
        <v>3.1920883603528134E-2</v>
      </c>
      <c r="IF8" s="30">
        <f t="shared" si="28"/>
        <v>-9.4959915349724362</v>
      </c>
      <c r="IG8" s="30" t="str">
        <f t="shared" si="29"/>
        <v>*</v>
      </c>
      <c r="IH8" s="30"/>
      <c r="II8" s="88">
        <v>292</v>
      </c>
      <c r="IJ8" s="88">
        <v>292.21821798000116</v>
      </c>
      <c r="IK8" s="28">
        <v>4.188890440101777</v>
      </c>
      <c r="IL8" s="29">
        <v>4.9285863577380677E-2</v>
      </c>
      <c r="IM8" s="30">
        <f t="shared" si="30"/>
        <v>-10.909595900600031</v>
      </c>
      <c r="IN8" s="30" t="str">
        <f t="shared" si="31"/>
        <v>*</v>
      </c>
      <c r="IO8" s="30"/>
      <c r="IP8" s="88">
        <v>363</v>
      </c>
      <c r="IQ8" s="88">
        <v>362.49665134000116</v>
      </c>
      <c r="IR8" s="28">
        <v>4.0031845568110258</v>
      </c>
      <c r="IS8" s="29">
        <v>5.0662479099312527E-2</v>
      </c>
      <c r="IT8" s="30">
        <f t="shared" si="32"/>
        <v>-8.0807475551916621</v>
      </c>
      <c r="IU8" s="30" t="str">
        <f t="shared" si="33"/>
        <v>*</v>
      </c>
      <c r="IV8" s="30"/>
      <c r="IW8" s="88">
        <v>122</v>
      </c>
      <c r="IX8" s="88">
        <v>121.95493471999984</v>
      </c>
      <c r="IY8" s="28">
        <v>3.9507335765970053</v>
      </c>
      <c r="IZ8" s="29">
        <v>8.3818485366008097E-2</v>
      </c>
      <c r="JA8" s="30">
        <f t="shared" si="34"/>
        <v>-5.2825218879706126</v>
      </c>
      <c r="JB8" s="30" t="str">
        <f t="shared" si="73"/>
        <v>*</v>
      </c>
      <c r="JC8" s="30"/>
      <c r="JD8" s="88">
        <v>395</v>
      </c>
      <c r="JE8" s="88">
        <v>396.6839355500021</v>
      </c>
      <c r="JF8" s="28">
        <v>4.0911600241886825</v>
      </c>
      <c r="JG8" s="29">
        <v>4.4874583150324998E-2</v>
      </c>
      <c r="JH8" s="30">
        <f t="shared" si="35"/>
        <v>-9.9326566045778808</v>
      </c>
      <c r="JI8" s="30" t="str">
        <f t="shared" si="36"/>
        <v>*</v>
      </c>
      <c r="JK8" s="27"/>
      <c r="JL8" s="27"/>
      <c r="JM8" s="28"/>
      <c r="JN8" s="29"/>
    </row>
    <row r="9" spans="1:274" x14ac:dyDescent="0.2">
      <c r="B9" s="7" t="s">
        <v>12</v>
      </c>
      <c r="C9" s="27">
        <v>335</v>
      </c>
      <c r="D9" s="27">
        <v>332.50774159999918</v>
      </c>
      <c r="E9" s="28">
        <v>3.584891158967233</v>
      </c>
      <c r="F9" s="29">
        <v>5.9212677603141389E-2</v>
      </c>
      <c r="G9" s="29"/>
      <c r="H9" s="3">
        <v>108</v>
      </c>
      <c r="I9" s="3">
        <v>107.89066499999988</v>
      </c>
      <c r="J9" s="28">
        <v>3.6668727577126345</v>
      </c>
      <c r="K9" s="29">
        <v>0.11400502500111732</v>
      </c>
      <c r="L9" s="30">
        <f t="shared" si="37"/>
        <v>-0.63816232062474543</v>
      </c>
      <c r="M9" s="30" t="str">
        <f t="shared" si="38"/>
        <v xml:space="preserve"> </v>
      </c>
      <c r="N9" s="9"/>
      <c r="O9" s="27">
        <v>37</v>
      </c>
      <c r="P9" s="27">
        <v>36.867355050000008</v>
      </c>
      <c r="Q9" s="28">
        <v>3.6120349919162424</v>
      </c>
      <c r="R9" s="29">
        <v>0.19620381160227882</v>
      </c>
      <c r="S9" s="30">
        <f t="shared" si="39"/>
        <v>-0.13244506814890958</v>
      </c>
      <c r="T9" s="30" t="str">
        <f t="shared" si="40"/>
        <v xml:space="preserve"> </v>
      </c>
      <c r="U9" s="30"/>
      <c r="V9" s="27">
        <v>56</v>
      </c>
      <c r="W9" s="27">
        <v>55.78091019</v>
      </c>
      <c r="X9" s="28">
        <v>3.7487252470019259</v>
      </c>
      <c r="Y9" s="29">
        <v>0.12932876512706878</v>
      </c>
      <c r="Z9" s="30">
        <f t="shared" si="41"/>
        <v>-1.1518186368174987</v>
      </c>
      <c r="AA9" s="30" t="str">
        <f t="shared" si="42"/>
        <v xml:space="preserve"> </v>
      </c>
      <c r="AB9" s="9"/>
      <c r="AC9" s="8">
        <v>59</v>
      </c>
      <c r="AD9" s="8">
        <v>62.331949780000024</v>
      </c>
      <c r="AE9" s="69">
        <v>3.624753518178812</v>
      </c>
      <c r="AF9" s="9">
        <v>0.13621909790713937</v>
      </c>
      <c r="AG9" s="30">
        <f t="shared" si="43"/>
        <v>-0.26837538842339725</v>
      </c>
      <c r="AH9" s="30" t="str">
        <f t="shared" si="44"/>
        <v xml:space="preserve"> </v>
      </c>
      <c r="AI9" s="9"/>
      <c r="AJ9" s="81">
        <v>697</v>
      </c>
      <c r="AK9" s="83">
        <v>3.7462148813153875</v>
      </c>
      <c r="AL9" s="84">
        <v>4.2642655468130092E-2</v>
      </c>
      <c r="AM9" s="30">
        <f t="shared" si="45"/>
        <v>-2.2108399273508201</v>
      </c>
      <c r="AN9" s="30" t="str">
        <f t="shared" si="46"/>
        <v>*</v>
      </c>
      <c r="AO9" s="9"/>
      <c r="AP9" s="78">
        <v>64</v>
      </c>
      <c r="AQ9" s="79">
        <v>4.0411634999498895</v>
      </c>
      <c r="AR9" s="80">
        <v>0.1417851661341783</v>
      </c>
      <c r="AS9" s="30">
        <f t="shared" si="74"/>
        <v>-2.9695028165863713</v>
      </c>
      <c r="AT9" s="30" t="str">
        <f t="shared" si="75"/>
        <v>*</v>
      </c>
      <c r="AU9" s="80"/>
      <c r="AV9" s="78">
        <v>150</v>
      </c>
      <c r="AW9" s="79">
        <v>3.9327641564839659</v>
      </c>
      <c r="AX9" s="80">
        <v>7.3578221515611095E-2</v>
      </c>
      <c r="AY9" s="30">
        <f t="shared" si="76"/>
        <v>-3.6833316696297222</v>
      </c>
      <c r="AZ9" s="30" t="str">
        <f t="shared" si="77"/>
        <v>*</v>
      </c>
      <c r="BA9" s="80"/>
      <c r="BB9" s="78">
        <v>113</v>
      </c>
      <c r="BC9" s="79">
        <v>4.2230548352655326</v>
      </c>
      <c r="BD9" s="80">
        <v>8.0153394636670289E-2</v>
      </c>
      <c r="BE9" s="30">
        <f t="shared" si="78"/>
        <v>-6.4038621966715708</v>
      </c>
      <c r="BF9" s="30" t="str">
        <f t="shared" si="79"/>
        <v>*</v>
      </c>
      <c r="BG9" s="80"/>
      <c r="BH9" s="78">
        <v>148</v>
      </c>
      <c r="BI9" s="79">
        <v>3.7229244293574704</v>
      </c>
      <c r="BJ9" s="80">
        <v>8.1256254106845283E-2</v>
      </c>
      <c r="BK9" s="30">
        <f t="shared" si="80"/>
        <v>-1.3728898482840357</v>
      </c>
      <c r="BL9" s="30" t="str">
        <f t="shared" si="81"/>
        <v xml:space="preserve"> </v>
      </c>
      <c r="BM9" s="80"/>
      <c r="BN9" s="78">
        <v>143</v>
      </c>
      <c r="BO9" s="79">
        <v>3.7048947539855859</v>
      </c>
      <c r="BP9" s="80">
        <v>8.9351110734404188E-2</v>
      </c>
      <c r="BQ9" s="30">
        <f t="shared" si="82"/>
        <v>-1.1195377362014192</v>
      </c>
      <c r="BR9" s="30" t="str">
        <f t="shared" si="83"/>
        <v xml:space="preserve"> </v>
      </c>
      <c r="BS9" s="9"/>
      <c r="BT9" s="27">
        <v>1427</v>
      </c>
      <c r="BU9" s="27">
        <v>1456.79643134003</v>
      </c>
      <c r="BV9" s="28">
        <v>3.8160948967430004</v>
      </c>
      <c r="BW9" s="29">
        <v>3.0002490799880724E-2</v>
      </c>
      <c r="BX9" s="30">
        <f t="shared" si="57"/>
        <v>-3.4830385461856719</v>
      </c>
      <c r="BY9" s="30" t="str">
        <f t="shared" si="58"/>
        <v>*</v>
      </c>
      <c r="BZ9" s="30"/>
      <c r="CA9" s="27">
        <v>63</v>
      </c>
      <c r="CB9" s="27">
        <v>63</v>
      </c>
      <c r="CC9" s="28">
        <v>3.4920634920634925</v>
      </c>
      <c r="CD9" s="29">
        <v>0.14466624879249018</v>
      </c>
      <c r="CE9" s="30">
        <f t="shared" si="59"/>
        <v>0.59384898754103943</v>
      </c>
      <c r="CF9" s="30" t="str">
        <f t="shared" si="0"/>
        <v xml:space="preserve"> </v>
      </c>
      <c r="CG9" s="30"/>
      <c r="CH9" s="27">
        <v>417</v>
      </c>
      <c r="CI9" s="27">
        <v>448.81500017000081</v>
      </c>
      <c r="CJ9" s="28">
        <v>3.2755904860201848</v>
      </c>
      <c r="CK9" s="29">
        <v>5.6937224468645617E-2</v>
      </c>
      <c r="CL9" s="30">
        <f t="shared" si="60"/>
        <v>3.7652489055336757</v>
      </c>
      <c r="CM9" s="30" t="str">
        <f t="shared" si="1"/>
        <v>*</v>
      </c>
      <c r="CN9" s="30"/>
      <c r="CO9" s="27">
        <v>360</v>
      </c>
      <c r="CP9" s="27">
        <v>360.28228403999913</v>
      </c>
      <c r="CQ9" s="28">
        <v>4.0417862388657646</v>
      </c>
      <c r="CR9" s="29">
        <v>4.8031885783526032E-2</v>
      </c>
      <c r="CS9" s="30">
        <f t="shared" si="61"/>
        <v>-5.9925094538745647</v>
      </c>
      <c r="CT9" s="30" t="str">
        <f t="shared" si="2"/>
        <v>*</v>
      </c>
      <c r="CU9" s="30"/>
      <c r="CV9" s="27">
        <v>48</v>
      </c>
      <c r="CW9" s="27">
        <v>48.192295680000036</v>
      </c>
      <c r="CX9" s="28">
        <v>4.8958333333333348</v>
      </c>
      <c r="CY9" s="29">
        <v>4.4467472020864214E-2</v>
      </c>
      <c r="CZ9" s="30">
        <f t="shared" si="62"/>
        <v>-17.70332002072178</v>
      </c>
      <c r="DA9" s="30" t="str">
        <f t="shared" si="3"/>
        <v>*</v>
      </c>
      <c r="DB9" s="30"/>
      <c r="DC9" s="27">
        <v>135</v>
      </c>
      <c r="DD9" s="27">
        <v>134.99910985000002</v>
      </c>
      <c r="DE9" s="28">
        <v>4.7408445500946392</v>
      </c>
      <c r="DF9" s="29">
        <v>4.9269698731197478E-2</v>
      </c>
      <c r="DG9" s="30">
        <f t="shared" si="63"/>
        <v>-15.00650528201106</v>
      </c>
      <c r="DH9" s="30" t="str">
        <f t="shared" si="4"/>
        <v>*</v>
      </c>
      <c r="DI9" s="30"/>
      <c r="DJ9" s="27">
        <v>69</v>
      </c>
      <c r="DK9" s="27">
        <v>69</v>
      </c>
      <c r="DL9" s="28">
        <v>5</v>
      </c>
      <c r="DM9" s="29">
        <v>0</v>
      </c>
      <c r="DN9" s="30">
        <f t="shared" si="64"/>
        <v>-23.89874767219937</v>
      </c>
      <c r="DO9" s="30" t="str">
        <f t="shared" si="5"/>
        <v>*</v>
      </c>
      <c r="DP9" s="8"/>
      <c r="DQ9" s="27">
        <v>142</v>
      </c>
      <c r="DR9" s="27">
        <v>142.49231277999965</v>
      </c>
      <c r="DS9" s="28">
        <v>3.5971494676444253</v>
      </c>
      <c r="DT9" s="29">
        <v>8.3141144807445319E-2</v>
      </c>
      <c r="DU9" s="29"/>
      <c r="DV9" s="27">
        <v>84</v>
      </c>
      <c r="DW9" s="27">
        <v>84.048028820000084</v>
      </c>
      <c r="DX9" s="28">
        <v>3.4507582845415272</v>
      </c>
      <c r="DY9" s="29">
        <v>0.11897612948987422</v>
      </c>
      <c r="DZ9" s="10">
        <f t="shared" si="6"/>
        <v>1.0085690647524501</v>
      </c>
      <c r="EA9" s="10" t="str">
        <f t="shared" si="7"/>
        <v xml:space="preserve"> </v>
      </c>
      <c r="EB9" s="29"/>
      <c r="EC9" s="27">
        <v>64</v>
      </c>
      <c r="ED9" s="27">
        <v>63.199375399999965</v>
      </c>
      <c r="EE9" s="28">
        <v>3.4586179558983425</v>
      </c>
      <c r="EF9" s="29">
        <v>0.1502614934467911</v>
      </c>
      <c r="EG9" s="10">
        <f t="shared" si="8"/>
        <v>0.80668516736789853</v>
      </c>
      <c r="EH9" s="10" t="str">
        <f t="shared" si="9"/>
        <v xml:space="preserve"> </v>
      </c>
      <c r="EI9" s="29"/>
      <c r="EJ9" s="27">
        <v>67</v>
      </c>
      <c r="EK9" s="27">
        <v>70.392611369999969</v>
      </c>
      <c r="EL9" s="28">
        <v>3.4938400255856283</v>
      </c>
      <c r="EM9" s="29">
        <v>0.13523599832396757</v>
      </c>
      <c r="EN9" s="10">
        <f t="shared" si="10"/>
        <v>0.65077249393347014</v>
      </c>
      <c r="EO9" s="10" t="str">
        <f t="shared" si="65"/>
        <v xml:space="preserve"> </v>
      </c>
      <c r="EP9" s="29"/>
      <c r="EQ9" s="8">
        <v>105</v>
      </c>
      <c r="ER9" s="8">
        <v>105.22342865000017</v>
      </c>
      <c r="ES9" s="69">
        <v>3.6143064275638395</v>
      </c>
      <c r="ET9" s="9">
        <v>0.10251508547993898</v>
      </c>
      <c r="EU9" s="10">
        <f t="shared" si="11"/>
        <v>-0.12998520267274613</v>
      </c>
      <c r="EV9" s="10" t="str">
        <f t="shared" si="66"/>
        <v xml:space="preserve"> </v>
      </c>
      <c r="EW9" s="29"/>
      <c r="EX9" s="88">
        <v>656</v>
      </c>
      <c r="EY9" s="88">
        <v>656.65540549000059</v>
      </c>
      <c r="EZ9" s="28">
        <v>3.6628525303544897</v>
      </c>
      <c r="FA9" s="29">
        <v>3.8607526900800417E-2</v>
      </c>
      <c r="FB9" s="30">
        <f t="shared" si="12"/>
        <v>-0.71675158632900593</v>
      </c>
      <c r="FC9" s="30" t="str">
        <f t="shared" si="67"/>
        <v xml:space="preserve"> </v>
      </c>
      <c r="FD9" s="30"/>
      <c r="FE9" s="27">
        <v>130</v>
      </c>
      <c r="FF9" s="27">
        <v>130.01569335999966</v>
      </c>
      <c r="FG9" s="28">
        <v>3.4769114307479163</v>
      </c>
      <c r="FH9" s="29">
        <v>7.8143743256585421E-2</v>
      </c>
      <c r="FI9" s="30">
        <f t="shared" si="13"/>
        <v>1.0537918174052778</v>
      </c>
      <c r="FJ9" s="30" t="str">
        <f t="shared" si="14"/>
        <v xml:space="preserve"> </v>
      </c>
      <c r="FK9" s="30"/>
      <c r="FL9" s="88">
        <v>53</v>
      </c>
      <c r="FM9" s="88">
        <v>53.001177830000039</v>
      </c>
      <c r="FN9" s="28">
        <v>3.8500693796751411</v>
      </c>
      <c r="FO9" s="29">
        <v>0.14604672963095014</v>
      </c>
      <c r="FP9" s="30">
        <f t="shared" si="15"/>
        <v>-1.5049932442153582</v>
      </c>
      <c r="FQ9" s="30" t="str">
        <f t="shared" si="16"/>
        <v xml:space="preserve"> </v>
      </c>
      <c r="FR9" s="30"/>
      <c r="FS9" s="88">
        <v>135</v>
      </c>
      <c r="FT9" s="88">
        <v>135.20858454999976</v>
      </c>
      <c r="FU9" s="28">
        <v>3.7040245633575037</v>
      </c>
      <c r="FV9" s="29">
        <v>8.2034530682827816E-2</v>
      </c>
      <c r="FW9" s="30">
        <f t="shared" si="17"/>
        <v>-0.91503072384456152</v>
      </c>
      <c r="FX9" s="30" t="str">
        <f t="shared" si="18"/>
        <v xml:space="preserve"> </v>
      </c>
      <c r="FY9" s="30"/>
      <c r="FZ9" s="88">
        <v>144</v>
      </c>
      <c r="GA9" s="88">
        <v>143.96957931000017</v>
      </c>
      <c r="GB9" s="28">
        <v>3.6250548691694995</v>
      </c>
      <c r="GC9" s="29">
        <v>9.0269633043709649E-2</v>
      </c>
      <c r="GD9" s="30">
        <f t="shared" si="19"/>
        <v>-0.22738434208268524</v>
      </c>
      <c r="GE9" s="30" t="str">
        <f t="shared" si="20"/>
        <v xml:space="preserve"> </v>
      </c>
      <c r="GF9" s="30"/>
      <c r="GG9" s="88">
        <v>52</v>
      </c>
      <c r="GH9" s="88">
        <v>51.968057659999957</v>
      </c>
      <c r="GI9" s="28">
        <v>4.1148538357744737</v>
      </c>
      <c r="GJ9" s="29">
        <v>0.11211131379027711</v>
      </c>
      <c r="GK9" s="30">
        <f t="shared" si="21"/>
        <v>-3.7091276940950877</v>
      </c>
      <c r="GL9" s="30" t="str">
        <f t="shared" si="22"/>
        <v>*</v>
      </c>
      <c r="GM9" s="10"/>
      <c r="GN9" s="88">
        <v>91</v>
      </c>
      <c r="GO9" s="88">
        <v>91.031864010000049</v>
      </c>
      <c r="GP9" s="28">
        <v>3.0329282000604834</v>
      </c>
      <c r="GQ9" s="29">
        <v>0.14357864315674632</v>
      </c>
      <c r="GR9" s="9"/>
      <c r="GS9" s="3">
        <v>54</v>
      </c>
      <c r="GT9" s="3">
        <v>53.998599380000059</v>
      </c>
      <c r="GU9" s="69">
        <v>3.0014545451345369</v>
      </c>
      <c r="GV9" s="9">
        <v>0.19065894930794233</v>
      </c>
      <c r="GW9" s="10">
        <f t="shared" si="23"/>
        <v>0.13186836018334716</v>
      </c>
      <c r="GX9" s="10" t="str">
        <f t="shared" si="68"/>
        <v xml:space="preserve"> </v>
      </c>
      <c r="GY9" s="9"/>
      <c r="GZ9" s="27">
        <v>61</v>
      </c>
      <c r="HA9" s="27">
        <v>61.509925299999921</v>
      </c>
      <c r="HB9" s="28">
        <v>3.1178465679261671</v>
      </c>
      <c r="HC9" s="29">
        <v>0.16822770476233501</v>
      </c>
      <c r="HD9" s="10">
        <f t="shared" si="24"/>
        <v>-0.38395372879391687</v>
      </c>
      <c r="HE9" s="10" t="str">
        <f t="shared" si="69"/>
        <v xml:space="preserve"> </v>
      </c>
      <c r="HF9" s="9"/>
      <c r="HG9" s="27">
        <v>75</v>
      </c>
      <c r="HH9" s="27">
        <v>75.292058539999999</v>
      </c>
      <c r="HI9" s="28">
        <v>2.5188100711743395</v>
      </c>
      <c r="HJ9" s="29">
        <v>0.16214711729602979</v>
      </c>
      <c r="HK9" s="10">
        <f t="shared" si="25"/>
        <v>2.373812088997151</v>
      </c>
      <c r="HL9" s="10" t="str">
        <f t="shared" si="70"/>
        <v>*</v>
      </c>
      <c r="HM9" s="29"/>
      <c r="HN9" s="8">
        <v>100</v>
      </c>
      <c r="HO9" s="8">
        <v>99.804044630000163</v>
      </c>
      <c r="HP9" s="69">
        <v>2.4768060361322846</v>
      </c>
      <c r="HQ9" s="9">
        <v>0.12521870067121041</v>
      </c>
      <c r="HR9" s="10">
        <f t="shared" si="26"/>
        <v>2.9191035244861649</v>
      </c>
      <c r="HS9" s="10" t="str">
        <f t="shared" si="71"/>
        <v>*</v>
      </c>
      <c r="HT9" s="9"/>
      <c r="HU9" s="88">
        <v>682</v>
      </c>
      <c r="HV9" s="88">
        <v>681.46659739000631</v>
      </c>
      <c r="HW9" s="28">
        <v>3.5854729172758932</v>
      </c>
      <c r="HX9" s="29">
        <v>4.3706581805604994E-2</v>
      </c>
      <c r="HY9" s="30">
        <f t="shared" si="27"/>
        <v>-3.6815791663529867</v>
      </c>
      <c r="HZ9" s="30" t="str">
        <f t="shared" si="72"/>
        <v>*</v>
      </c>
      <c r="IA9" s="30"/>
      <c r="IB9" s="88">
        <v>130</v>
      </c>
      <c r="IC9" s="88">
        <v>130.01569335999966</v>
      </c>
      <c r="ID9" s="28">
        <v>3.4769114307479163</v>
      </c>
      <c r="IE9" s="29">
        <v>7.8143743256585421E-2</v>
      </c>
      <c r="IF9" s="30">
        <f t="shared" si="28"/>
        <v>-2.7160515480812997</v>
      </c>
      <c r="IG9" s="30" t="str">
        <f t="shared" si="29"/>
        <v>*</v>
      </c>
      <c r="IH9" s="30"/>
      <c r="II9" s="88">
        <v>121</v>
      </c>
      <c r="IJ9" s="88">
        <v>120.92381971999986</v>
      </c>
      <c r="IK9" s="28">
        <v>4.0570407168411622</v>
      </c>
      <c r="IL9" s="29">
        <v>9.1263810412342009E-2</v>
      </c>
      <c r="IM9" s="30">
        <f t="shared" si="30"/>
        <v>-6.0196199887257942</v>
      </c>
      <c r="IN9" s="30" t="str">
        <f t="shared" si="31"/>
        <v>*</v>
      </c>
      <c r="IO9" s="30"/>
      <c r="IP9" s="88">
        <v>108</v>
      </c>
      <c r="IQ9" s="88">
        <v>107.92021931999999</v>
      </c>
      <c r="IR9" s="28">
        <v>3.6029183468119754</v>
      </c>
      <c r="IS9" s="29">
        <v>0.12477048428766514</v>
      </c>
      <c r="IT9" s="30">
        <f t="shared" si="32"/>
        <v>-2.9965260649258512</v>
      </c>
      <c r="IU9" s="30" t="str">
        <f t="shared" si="33"/>
        <v>*</v>
      </c>
      <c r="IV9" s="30"/>
      <c r="IW9" s="88">
        <v>53</v>
      </c>
      <c r="IX9" s="88">
        <v>53.001177830000039</v>
      </c>
      <c r="IY9" s="28">
        <v>3.8500693796751411</v>
      </c>
      <c r="IZ9" s="29">
        <v>0.14604672963095014</v>
      </c>
      <c r="JA9" s="30">
        <f t="shared" si="34"/>
        <v>-3.9898789609216601</v>
      </c>
      <c r="JB9" s="30" t="str">
        <f t="shared" si="73"/>
        <v>*</v>
      </c>
      <c r="JC9" s="30"/>
      <c r="JD9" s="88">
        <v>179</v>
      </c>
      <c r="JE9" s="88">
        <v>178.57382315000032</v>
      </c>
      <c r="JF9" s="28">
        <v>3.5377809002237277</v>
      </c>
      <c r="JG9" s="29">
        <v>7.8391245526146569E-2</v>
      </c>
      <c r="JH9" s="30">
        <f t="shared" si="35"/>
        <v>-3.0861818587419019</v>
      </c>
      <c r="JI9" s="30" t="str">
        <f t="shared" si="36"/>
        <v>*</v>
      </c>
      <c r="JK9" s="27"/>
      <c r="JL9" s="27"/>
      <c r="JM9" s="28"/>
      <c r="JN9" s="29"/>
    </row>
    <row r="10" spans="1:274" x14ac:dyDescent="0.2">
      <c r="B10" s="7" t="s">
        <v>13</v>
      </c>
      <c r="C10" s="27">
        <v>334</v>
      </c>
      <c r="D10" s="27">
        <v>331.41396148999922</v>
      </c>
      <c r="E10" s="28">
        <v>3.1091231841815192</v>
      </c>
      <c r="F10" s="29">
        <v>6.2977163341395345E-2</v>
      </c>
      <c r="G10" s="29"/>
      <c r="H10" s="3">
        <v>102</v>
      </c>
      <c r="I10" s="3">
        <v>101.95158623999988</v>
      </c>
      <c r="J10" s="28">
        <v>2.9319934830275378</v>
      </c>
      <c r="K10" s="29">
        <v>0.12641144369819482</v>
      </c>
      <c r="L10" s="30">
        <f t="shared" si="37"/>
        <v>1.2541911781141144</v>
      </c>
      <c r="M10" s="30" t="str">
        <f t="shared" si="38"/>
        <v xml:space="preserve"> </v>
      </c>
      <c r="N10" s="9"/>
      <c r="O10" s="27">
        <v>36</v>
      </c>
      <c r="P10" s="27">
        <v>35.827615920000007</v>
      </c>
      <c r="Q10" s="28">
        <v>2.9443136204079301</v>
      </c>
      <c r="R10" s="29">
        <v>0.21512666576301756</v>
      </c>
      <c r="S10" s="30">
        <f t="shared" si="39"/>
        <v>0.73524718106706499</v>
      </c>
      <c r="T10" s="30" t="str">
        <f t="shared" si="40"/>
        <v xml:space="preserve"> </v>
      </c>
      <c r="U10" s="30"/>
      <c r="V10" s="27">
        <v>51</v>
      </c>
      <c r="W10" s="27">
        <v>51.486145289999996</v>
      </c>
      <c r="X10" s="28">
        <v>3.2554417501236865</v>
      </c>
      <c r="Y10" s="29">
        <v>0.17436930662928699</v>
      </c>
      <c r="Z10" s="30">
        <f t="shared" si="41"/>
        <v>-0.78923212296210477</v>
      </c>
      <c r="AA10" s="30" t="str">
        <f t="shared" si="42"/>
        <v xml:space="preserve"> </v>
      </c>
      <c r="AB10" s="9"/>
      <c r="AC10" s="8">
        <v>57</v>
      </c>
      <c r="AD10" s="8">
        <v>59.750540460000025</v>
      </c>
      <c r="AE10" s="69">
        <v>3.0133594085317843</v>
      </c>
      <c r="AF10" s="9">
        <v>0.13850735168333256</v>
      </c>
      <c r="AG10" s="30">
        <f t="shared" si="43"/>
        <v>0.62939301831514638</v>
      </c>
      <c r="AH10" s="30" t="str">
        <f t="shared" si="44"/>
        <v xml:space="preserve"> </v>
      </c>
      <c r="AI10" s="9"/>
      <c r="AJ10" s="81">
        <v>669</v>
      </c>
      <c r="AK10" s="83">
        <v>3.3325023310045787</v>
      </c>
      <c r="AL10" s="84">
        <v>4.7429011352564193E-2</v>
      </c>
      <c r="AM10" s="30">
        <f t="shared" si="45"/>
        <v>-2.8333478971211079</v>
      </c>
      <c r="AN10" s="30" t="str">
        <f t="shared" si="46"/>
        <v>*</v>
      </c>
      <c r="AO10" s="9"/>
      <c r="AP10" s="78">
        <v>63</v>
      </c>
      <c r="AQ10" s="79">
        <v>3.7485134608537911</v>
      </c>
      <c r="AR10" s="80">
        <v>0.15853523149596963</v>
      </c>
      <c r="AS10" s="30">
        <f t="shared" si="74"/>
        <v>-3.7482016312078827</v>
      </c>
      <c r="AT10" s="30" t="str">
        <f t="shared" si="75"/>
        <v>*</v>
      </c>
      <c r="AU10" s="80"/>
      <c r="AV10" s="78">
        <v>149</v>
      </c>
      <c r="AW10" s="79">
        <v>3.3427068682541079</v>
      </c>
      <c r="AX10" s="80">
        <v>8.8581889422586629E-2</v>
      </c>
      <c r="AY10" s="30">
        <f t="shared" si="76"/>
        <v>-2.1491400311214499</v>
      </c>
      <c r="AZ10" s="30" t="str">
        <f t="shared" si="77"/>
        <v>*</v>
      </c>
      <c r="BA10" s="80"/>
      <c r="BB10" s="78">
        <v>107</v>
      </c>
      <c r="BC10" s="79">
        <v>3.4053581431346105</v>
      </c>
      <c r="BD10" s="80">
        <v>0.12171530084950218</v>
      </c>
      <c r="BE10" s="30">
        <f t="shared" si="78"/>
        <v>-2.1616231693119086</v>
      </c>
      <c r="BF10" s="30" t="str">
        <f t="shared" si="79"/>
        <v>*</v>
      </c>
      <c r="BG10" s="80"/>
      <c r="BH10" s="78">
        <v>145</v>
      </c>
      <c r="BI10" s="79">
        <v>2.9379510428709676</v>
      </c>
      <c r="BJ10" s="80">
        <v>9.9431044422025883E-2</v>
      </c>
      <c r="BK10" s="30">
        <f t="shared" si="80"/>
        <v>1.4543420576641317</v>
      </c>
      <c r="BL10" s="30" t="str">
        <f t="shared" si="81"/>
        <v xml:space="preserve"> </v>
      </c>
      <c r="BM10" s="80"/>
      <c r="BN10" s="78">
        <v>129</v>
      </c>
      <c r="BO10" s="79">
        <v>2.9838276354073745</v>
      </c>
      <c r="BP10" s="80">
        <v>0.10845187357256662</v>
      </c>
      <c r="BQ10" s="30">
        <f t="shared" si="82"/>
        <v>0.99907900217402834</v>
      </c>
      <c r="BR10" s="30" t="str">
        <f t="shared" si="83"/>
        <v xml:space="preserve"> </v>
      </c>
      <c r="BS10" s="9"/>
      <c r="BT10" s="27">
        <v>1376</v>
      </c>
      <c r="BU10" s="27">
        <v>1405.6045837900283</v>
      </c>
      <c r="BV10" s="28">
        <v>3.3537202101955295</v>
      </c>
      <c r="BW10" s="29">
        <v>3.39545169691736E-2</v>
      </c>
      <c r="BX10" s="30">
        <f t="shared" si="57"/>
        <v>-3.4186704357917503</v>
      </c>
      <c r="BY10" s="30" t="str">
        <f t="shared" si="58"/>
        <v>*</v>
      </c>
      <c r="BZ10" s="30"/>
      <c r="CA10" s="27">
        <v>59</v>
      </c>
      <c r="CB10" s="27">
        <v>59</v>
      </c>
      <c r="CC10" s="28">
        <v>2.8474576271186436</v>
      </c>
      <c r="CD10" s="29">
        <v>0.15254237288135591</v>
      </c>
      <c r="CE10" s="30">
        <f t="shared" si="59"/>
        <v>1.5855519993822826</v>
      </c>
      <c r="CF10" s="30" t="str">
        <f t="shared" si="0"/>
        <v xml:space="preserve"> </v>
      </c>
      <c r="CG10" s="30"/>
      <c r="CH10" s="27">
        <v>414</v>
      </c>
      <c r="CI10" s="27">
        <v>445.73628725000077</v>
      </c>
      <c r="CJ10" s="28">
        <v>3.0639584058903671</v>
      </c>
      <c r="CK10" s="29">
        <v>5.5338053695058211E-2</v>
      </c>
      <c r="CL10" s="30">
        <f t="shared" si="60"/>
        <v>0.53872971162386352</v>
      </c>
      <c r="CM10" s="30" t="str">
        <f t="shared" si="1"/>
        <v xml:space="preserve"> </v>
      </c>
      <c r="CN10" s="30"/>
      <c r="CO10" s="27">
        <v>324</v>
      </c>
      <c r="CP10" s="27">
        <v>324.30575132999923</v>
      </c>
      <c r="CQ10" s="28">
        <v>3.0839310990272937</v>
      </c>
      <c r="CR10" s="29">
        <v>6.7737990415868574E-2</v>
      </c>
      <c r="CS10" s="30">
        <f t="shared" si="61"/>
        <v>0.27237379171412313</v>
      </c>
      <c r="CT10" s="30" t="str">
        <f t="shared" si="2"/>
        <v xml:space="preserve"> </v>
      </c>
      <c r="CU10" s="30"/>
      <c r="CV10" s="27">
        <v>39</v>
      </c>
      <c r="CW10" s="27">
        <v>39.15624024000001</v>
      </c>
      <c r="CX10" s="28">
        <v>4.7948717948717938</v>
      </c>
      <c r="CY10" s="29">
        <v>9.1133096067621197E-2</v>
      </c>
      <c r="CZ10" s="30">
        <f t="shared" si="62"/>
        <v>-15.217607760264308</v>
      </c>
      <c r="DA10" s="30" t="str">
        <f t="shared" si="3"/>
        <v>*</v>
      </c>
      <c r="DB10" s="30"/>
      <c r="DC10" s="27">
        <v>136</v>
      </c>
      <c r="DD10" s="27">
        <v>135.99234348000005</v>
      </c>
      <c r="DE10" s="28">
        <v>4.5002127703608847</v>
      </c>
      <c r="DF10" s="29">
        <v>7.9470920719003399E-2</v>
      </c>
      <c r="DG10" s="30">
        <f t="shared" si="63"/>
        <v>-13.718972082066344</v>
      </c>
      <c r="DH10" s="30" t="str">
        <f t="shared" si="4"/>
        <v>*</v>
      </c>
      <c r="DI10" s="30"/>
      <c r="DJ10" s="27">
        <v>70</v>
      </c>
      <c r="DK10" s="27">
        <v>70</v>
      </c>
      <c r="DL10" s="28">
        <v>5</v>
      </c>
      <c r="DM10" s="29">
        <v>0</v>
      </c>
      <c r="DN10" s="30">
        <f t="shared" si="64"/>
        <v>-30.024801300880341</v>
      </c>
      <c r="DO10" s="30" t="str">
        <f t="shared" si="5"/>
        <v>*</v>
      </c>
      <c r="DP10" s="8"/>
      <c r="DQ10" s="27">
        <v>132</v>
      </c>
      <c r="DR10" s="27">
        <v>132.36054059999981</v>
      </c>
      <c r="DS10" s="28">
        <v>2.8871831867540743</v>
      </c>
      <c r="DT10" s="29">
        <v>9.9970004013008901E-2</v>
      </c>
      <c r="DU10" s="29"/>
      <c r="DV10" s="27">
        <v>82</v>
      </c>
      <c r="DW10" s="27">
        <v>82.10887711000008</v>
      </c>
      <c r="DX10" s="28">
        <v>2.9366770907969606</v>
      </c>
      <c r="DY10" s="29">
        <v>0.13239958225136514</v>
      </c>
      <c r="DZ10" s="10">
        <f t="shared" si="6"/>
        <v>-0.29833121040561644</v>
      </c>
      <c r="EA10" s="10" t="str">
        <f t="shared" si="7"/>
        <v xml:space="preserve"> </v>
      </c>
      <c r="EB10" s="29"/>
      <c r="EC10" s="27">
        <v>64</v>
      </c>
      <c r="ED10" s="27">
        <v>63.334849109999965</v>
      </c>
      <c r="EE10" s="28">
        <v>2.9542109951985007</v>
      </c>
      <c r="EF10" s="29">
        <v>0.17988879733467927</v>
      </c>
      <c r="EG10" s="10">
        <f t="shared" si="8"/>
        <v>-0.32569260704994601</v>
      </c>
      <c r="EH10" s="10" t="str">
        <f t="shared" si="9"/>
        <v xml:space="preserve"> </v>
      </c>
      <c r="EI10" s="29"/>
      <c r="EJ10" s="27">
        <v>66</v>
      </c>
      <c r="EK10" s="27">
        <v>68.842712689999985</v>
      </c>
      <c r="EL10" s="28">
        <v>3.0477082510503264</v>
      </c>
      <c r="EM10" s="29">
        <v>0.15037223505729447</v>
      </c>
      <c r="EN10" s="10">
        <f t="shared" si="10"/>
        <v>-0.88898687808399124</v>
      </c>
      <c r="EO10" s="10" t="str">
        <f t="shared" si="65"/>
        <v xml:space="preserve"> </v>
      </c>
      <c r="EP10" s="29"/>
      <c r="EQ10" s="8">
        <v>95</v>
      </c>
      <c r="ER10" s="8">
        <v>95.408000100000123</v>
      </c>
      <c r="ES10" s="69">
        <v>3.1940298499140205</v>
      </c>
      <c r="ET10" s="9">
        <v>0.12750527676972023</v>
      </c>
      <c r="EU10" s="10">
        <f t="shared" si="11"/>
        <v>-1.8938411029887441</v>
      </c>
      <c r="EV10" s="10" t="str">
        <f t="shared" si="66"/>
        <v xml:space="preserve"> </v>
      </c>
      <c r="EW10" s="29"/>
      <c r="EX10" s="88">
        <v>633</v>
      </c>
      <c r="EY10" s="88">
        <v>633.56187774000057</v>
      </c>
      <c r="EZ10" s="28">
        <v>2.8165592066325456</v>
      </c>
      <c r="FA10" s="29">
        <v>4.7213253818548719E-2</v>
      </c>
      <c r="FB10" s="30">
        <f t="shared" si="12"/>
        <v>0.63879517994912216</v>
      </c>
      <c r="FC10" s="30" t="str">
        <f t="shared" si="67"/>
        <v xml:space="preserve"> </v>
      </c>
      <c r="FD10" s="30"/>
      <c r="FE10" s="27">
        <v>124</v>
      </c>
      <c r="FF10" s="27">
        <v>124.01621989999967</v>
      </c>
      <c r="FG10" s="28">
        <v>2.6450778096970531</v>
      </c>
      <c r="FH10" s="29">
        <v>9.7284318870662953E-2</v>
      </c>
      <c r="FI10" s="30">
        <f t="shared" si="13"/>
        <v>1.7356120341221957</v>
      </c>
      <c r="FJ10" s="30" t="str">
        <f t="shared" si="14"/>
        <v xml:space="preserve"> </v>
      </c>
      <c r="FK10" s="30"/>
      <c r="FL10" s="88">
        <v>50</v>
      </c>
      <c r="FM10" s="88">
        <v>50.00448362000003</v>
      </c>
      <c r="FN10" s="28">
        <v>3.1404289384000639</v>
      </c>
      <c r="FO10" s="29">
        <v>0.1428688827933127</v>
      </c>
      <c r="FP10" s="30">
        <f t="shared" si="15"/>
        <v>-1.4523321635754936</v>
      </c>
      <c r="FQ10" s="30" t="str">
        <f t="shared" si="16"/>
        <v xml:space="preserve"> </v>
      </c>
      <c r="FR10" s="30"/>
      <c r="FS10" s="88">
        <v>132</v>
      </c>
      <c r="FT10" s="88">
        <v>132.26022995999975</v>
      </c>
      <c r="FU10" s="28">
        <v>2.3706463604730308</v>
      </c>
      <c r="FV10" s="29">
        <v>0.10039205211924418</v>
      </c>
      <c r="FW10" s="30">
        <f t="shared" si="17"/>
        <v>3.6458587952516361</v>
      </c>
      <c r="FX10" s="30" t="str">
        <f t="shared" si="18"/>
        <v>*</v>
      </c>
      <c r="FY10" s="30"/>
      <c r="FZ10" s="88">
        <v>144</v>
      </c>
      <c r="GA10" s="88">
        <v>143.96255754000018</v>
      </c>
      <c r="GB10" s="28">
        <v>2.9097174802108605</v>
      </c>
      <c r="GC10" s="29">
        <v>0.1009578397043141</v>
      </c>
      <c r="GD10" s="30">
        <f t="shared" si="19"/>
        <v>-0.15860379379445125</v>
      </c>
      <c r="GE10" s="30" t="str">
        <f t="shared" si="20"/>
        <v xml:space="preserve"> </v>
      </c>
      <c r="GF10" s="30"/>
      <c r="GG10" s="88">
        <v>51</v>
      </c>
      <c r="GH10" s="88">
        <v>50.957846119999957</v>
      </c>
      <c r="GI10" s="28">
        <v>3.6268159805024358</v>
      </c>
      <c r="GJ10" s="29">
        <v>0.16567945066429177</v>
      </c>
      <c r="GK10" s="30">
        <f t="shared" si="21"/>
        <v>-3.8223186024727935</v>
      </c>
      <c r="GL10" s="30" t="str">
        <f t="shared" si="22"/>
        <v>*</v>
      </c>
      <c r="GM10" s="10"/>
      <c r="GN10" s="88">
        <v>82</v>
      </c>
      <c r="GO10" s="88">
        <v>82.050040649999971</v>
      </c>
      <c r="GP10" s="28">
        <v>2.8901403085410902</v>
      </c>
      <c r="GQ10" s="29">
        <v>0.14817849571390698</v>
      </c>
      <c r="GR10" s="9"/>
      <c r="GS10" s="3">
        <v>47</v>
      </c>
      <c r="GT10" s="3">
        <v>47.027871090000048</v>
      </c>
      <c r="GU10" s="69">
        <v>2.8308977033049016</v>
      </c>
      <c r="GV10" s="9">
        <v>0.21569126203815606</v>
      </c>
      <c r="GW10" s="10">
        <f t="shared" si="23"/>
        <v>0.22638809348524561</v>
      </c>
      <c r="GX10" s="10" t="str">
        <f t="shared" si="68"/>
        <v xml:space="preserve"> </v>
      </c>
      <c r="GY10" s="9"/>
      <c r="GZ10" s="27">
        <v>59</v>
      </c>
      <c r="HA10" s="27">
        <v>59.370737589999926</v>
      </c>
      <c r="HB10" s="28">
        <v>2.7078476209983697</v>
      </c>
      <c r="HC10" s="29">
        <v>0.18436425462259823</v>
      </c>
      <c r="HD10" s="10">
        <f t="shared" si="24"/>
        <v>0.77069168143420053</v>
      </c>
      <c r="HE10" s="10" t="str">
        <f t="shared" si="69"/>
        <v xml:space="preserve"> </v>
      </c>
      <c r="HF10" s="9"/>
      <c r="HG10" s="27">
        <v>68</v>
      </c>
      <c r="HH10" s="27">
        <v>68.232884139999982</v>
      </c>
      <c r="HI10" s="28">
        <v>2.4317797765891127</v>
      </c>
      <c r="HJ10" s="29">
        <v>0.17144922053046921</v>
      </c>
      <c r="HK10" s="10">
        <f t="shared" si="25"/>
        <v>2.0226921750298357</v>
      </c>
      <c r="HL10" s="10" t="str">
        <f t="shared" si="70"/>
        <v>*</v>
      </c>
      <c r="HM10" s="29"/>
      <c r="HN10" s="8">
        <v>84</v>
      </c>
      <c r="HO10" s="8">
        <v>84.256016570000114</v>
      </c>
      <c r="HP10" s="69">
        <v>2.4976028916008359</v>
      </c>
      <c r="HQ10" s="9">
        <v>0.13818232260053681</v>
      </c>
      <c r="HR10" s="10">
        <f t="shared" si="26"/>
        <v>1.9373943170210552</v>
      </c>
      <c r="HS10" s="10" t="str">
        <f t="shared" si="71"/>
        <v xml:space="preserve"> </v>
      </c>
      <c r="HT10" s="9"/>
      <c r="HU10" s="88">
        <v>667</v>
      </c>
      <c r="HV10" s="88">
        <v>666.39991499000598</v>
      </c>
      <c r="HW10" s="28">
        <v>3.1438216552915317</v>
      </c>
      <c r="HX10" s="29">
        <v>4.68388053537604E-2</v>
      </c>
      <c r="HY10" s="30">
        <f t="shared" si="27"/>
        <v>-1.6323876893491511</v>
      </c>
      <c r="HZ10" s="30" t="str">
        <f t="shared" si="72"/>
        <v xml:space="preserve"> </v>
      </c>
      <c r="IA10" s="30"/>
      <c r="IB10" s="88">
        <v>124</v>
      </c>
      <c r="IC10" s="88">
        <v>124.01621989999967</v>
      </c>
      <c r="ID10" s="28">
        <v>2.6450778096970531</v>
      </c>
      <c r="IE10" s="29">
        <v>9.7284318870662953E-2</v>
      </c>
      <c r="IF10" s="30">
        <f t="shared" si="28"/>
        <v>1.3825031470810085</v>
      </c>
      <c r="IG10" s="30" t="str">
        <f t="shared" si="29"/>
        <v xml:space="preserve"> </v>
      </c>
      <c r="IH10" s="30"/>
      <c r="II10" s="88">
        <v>120</v>
      </c>
      <c r="IJ10" s="88">
        <v>119.92023375999986</v>
      </c>
      <c r="IK10" s="28">
        <v>3.6746809870461341</v>
      </c>
      <c r="IL10" s="29">
        <v>0.10332907715465559</v>
      </c>
      <c r="IM10" s="30">
        <f t="shared" si="30"/>
        <v>-4.342920479043948</v>
      </c>
      <c r="IN10" s="30" t="str">
        <f t="shared" si="31"/>
        <v>*</v>
      </c>
      <c r="IO10" s="30"/>
      <c r="IP10" s="88">
        <v>111</v>
      </c>
      <c r="IQ10" s="88">
        <v>110.90299061999998</v>
      </c>
      <c r="IR10" s="28">
        <v>3.3353187113539717</v>
      </c>
      <c r="IS10" s="29">
        <v>0.12030393104176673</v>
      </c>
      <c r="IT10" s="30">
        <f t="shared" si="32"/>
        <v>-2.3324110112657426</v>
      </c>
      <c r="IU10" s="30" t="str">
        <f t="shared" si="33"/>
        <v>*</v>
      </c>
      <c r="IV10" s="30"/>
      <c r="IW10" s="88">
        <v>50</v>
      </c>
      <c r="IX10" s="88">
        <v>50.00448362000003</v>
      </c>
      <c r="IY10" s="28">
        <v>3.1404289384000639</v>
      </c>
      <c r="IZ10" s="29">
        <v>0.1428688827933127</v>
      </c>
      <c r="JA10" s="30">
        <f t="shared" si="34"/>
        <v>-1.2159624667446747</v>
      </c>
      <c r="JB10" s="30" t="str">
        <f t="shared" si="73"/>
        <v xml:space="preserve"> </v>
      </c>
      <c r="JC10" s="30"/>
      <c r="JD10" s="88">
        <v>180</v>
      </c>
      <c r="JE10" s="88">
        <v>179.50594644000034</v>
      </c>
      <c r="JF10" s="28">
        <v>3.1323355228677094</v>
      </c>
      <c r="JG10" s="29">
        <v>8.4668828216538539E-2</v>
      </c>
      <c r="JH10" s="30">
        <f t="shared" si="35"/>
        <v>-1.4191475196105288</v>
      </c>
      <c r="JI10" s="30" t="str">
        <f t="shared" si="36"/>
        <v xml:space="preserve"> </v>
      </c>
      <c r="JK10" s="27"/>
      <c r="JL10" s="27"/>
      <c r="JM10" s="28"/>
      <c r="JN10" s="29"/>
    </row>
    <row r="11" spans="1:274" x14ac:dyDescent="0.2">
      <c r="B11" s="7" t="s">
        <v>14</v>
      </c>
      <c r="C11" s="27">
        <v>1256</v>
      </c>
      <c r="D11" s="27">
        <v>1249.4169879299895</v>
      </c>
      <c r="E11" s="28">
        <v>3.6252846002793162</v>
      </c>
      <c r="F11" s="29">
        <v>3.338406714203828E-2</v>
      </c>
      <c r="G11" s="29"/>
      <c r="H11" s="3">
        <v>365</v>
      </c>
      <c r="I11" s="3">
        <v>364.66482937999979</v>
      </c>
      <c r="J11" s="28">
        <v>3.6133915185083874</v>
      </c>
      <c r="K11" s="29">
        <v>6.4053646654032043E-2</v>
      </c>
      <c r="L11" s="30">
        <f t="shared" si="37"/>
        <v>0.16465266717780161</v>
      </c>
      <c r="M11" s="30" t="str">
        <f t="shared" si="38"/>
        <v xml:space="preserve"> </v>
      </c>
      <c r="N11" s="9"/>
      <c r="O11" s="27">
        <v>265</v>
      </c>
      <c r="P11" s="27">
        <v>267.51590564999884</v>
      </c>
      <c r="Q11" s="28">
        <v>3.4264646510374708</v>
      </c>
      <c r="R11" s="29">
        <v>6.453966400395085E-2</v>
      </c>
      <c r="S11" s="30">
        <f t="shared" si="39"/>
        <v>2.7362046942618492</v>
      </c>
      <c r="T11" s="30" t="str">
        <f t="shared" si="40"/>
        <v>*</v>
      </c>
      <c r="U11" s="30"/>
      <c r="V11" s="27">
        <v>360</v>
      </c>
      <c r="W11" s="27">
        <v>372.93483951999883</v>
      </c>
      <c r="X11" s="28">
        <v>3.326662676988823</v>
      </c>
      <c r="Y11" s="29">
        <v>5.5631079787438316E-2</v>
      </c>
      <c r="Z11" s="30">
        <f t="shared" si="41"/>
        <v>4.60273614200295</v>
      </c>
      <c r="AA11" s="30" t="str">
        <f t="shared" si="42"/>
        <v>*</v>
      </c>
      <c r="AB11" s="9"/>
      <c r="AC11" s="8">
        <v>426</v>
      </c>
      <c r="AD11" s="8">
        <v>432.74486659999673</v>
      </c>
      <c r="AE11" s="69">
        <v>3.3194528241227657</v>
      </c>
      <c r="AF11" s="9">
        <v>5.4461259630642876E-2</v>
      </c>
      <c r="AG11" s="30">
        <f t="shared" si="43"/>
        <v>4.7876743125974341</v>
      </c>
      <c r="AH11" s="30" t="str">
        <f t="shared" si="44"/>
        <v>*</v>
      </c>
      <c r="AI11" s="9"/>
      <c r="AJ11" s="81">
        <v>1905</v>
      </c>
      <c r="AK11" s="83">
        <v>3.8567762845504578</v>
      </c>
      <c r="AL11" s="84">
        <v>2.4942718802527696E-2</v>
      </c>
      <c r="AM11" s="30">
        <f t="shared" si="45"/>
        <v>-5.5549620967817361</v>
      </c>
      <c r="AN11" s="30" t="str">
        <f t="shared" si="46"/>
        <v>*</v>
      </c>
      <c r="AO11" s="9"/>
      <c r="AP11" s="78">
        <v>165</v>
      </c>
      <c r="AQ11" s="79">
        <v>4.0824014556036676</v>
      </c>
      <c r="AR11" s="80">
        <v>8.1840461196847153E-2</v>
      </c>
      <c r="AS11" s="30">
        <f t="shared" si="74"/>
        <v>-5.1717341738196305</v>
      </c>
      <c r="AT11" s="30" t="str">
        <f t="shared" si="75"/>
        <v>*</v>
      </c>
      <c r="AU11" s="80"/>
      <c r="AV11" s="78">
        <v>202</v>
      </c>
      <c r="AW11" s="79">
        <v>4.0665555480743389</v>
      </c>
      <c r="AX11" s="80">
        <v>6.6710692487352605E-2</v>
      </c>
      <c r="AY11" s="30">
        <f t="shared" si="76"/>
        <v>-5.9153448807504647</v>
      </c>
      <c r="AZ11" s="30" t="str">
        <f t="shared" si="77"/>
        <v>*</v>
      </c>
      <c r="BA11" s="80"/>
      <c r="BB11" s="78">
        <v>272</v>
      </c>
      <c r="BC11" s="79">
        <v>4.0344698787118345</v>
      </c>
      <c r="BD11" s="80">
        <v>6.1336046590725349E-2</v>
      </c>
      <c r="BE11" s="30">
        <f t="shared" si="78"/>
        <v>-5.8595078651543835</v>
      </c>
      <c r="BF11" s="30" t="str">
        <f t="shared" si="79"/>
        <v>*</v>
      </c>
      <c r="BG11" s="80"/>
      <c r="BH11" s="78">
        <v>329</v>
      </c>
      <c r="BI11" s="79">
        <v>3.750679574752644</v>
      </c>
      <c r="BJ11" s="80">
        <v>6.0541926503610788E-2</v>
      </c>
      <c r="BK11" s="30">
        <f t="shared" si="80"/>
        <v>-1.8137370466053218</v>
      </c>
      <c r="BL11" s="30" t="str">
        <f t="shared" si="81"/>
        <v xml:space="preserve"> </v>
      </c>
      <c r="BM11" s="80"/>
      <c r="BN11" s="78">
        <v>369</v>
      </c>
      <c r="BO11" s="79">
        <v>3.740914012891762</v>
      </c>
      <c r="BP11" s="80">
        <v>5.7027980403358471E-2</v>
      </c>
      <c r="BQ11" s="30">
        <f t="shared" si="82"/>
        <v>-1.7498157179899008</v>
      </c>
      <c r="BR11" s="30" t="str">
        <f t="shared" si="83"/>
        <v xml:space="preserve"> </v>
      </c>
      <c r="BS11" s="9"/>
      <c r="BT11" s="27">
        <v>5474</v>
      </c>
      <c r="BU11" s="27">
        <v>5547.4017243699018</v>
      </c>
      <c r="BV11" s="28">
        <v>4.0738543540825969</v>
      </c>
      <c r="BW11" s="29">
        <v>1.4798795158769631E-2</v>
      </c>
      <c r="BX11" s="30">
        <f t="shared" si="57"/>
        <v>-12.28381964755102</v>
      </c>
      <c r="BY11" s="30" t="str">
        <f t="shared" si="58"/>
        <v>*</v>
      </c>
      <c r="BZ11" s="30"/>
      <c r="CA11" s="27">
        <v>182</v>
      </c>
      <c r="CB11" s="27">
        <v>182</v>
      </c>
      <c r="CC11" s="28">
        <v>4.0769230769230793</v>
      </c>
      <c r="CD11" s="29">
        <v>6.25590794591456E-2</v>
      </c>
      <c r="CE11" s="30">
        <f t="shared" si="59"/>
        <v>-6.369238281159487</v>
      </c>
      <c r="CF11" s="30" t="str">
        <f t="shared" si="0"/>
        <v>*</v>
      </c>
      <c r="CG11" s="30"/>
      <c r="CH11" s="27">
        <v>1369</v>
      </c>
      <c r="CI11" s="27">
        <v>1447.3625238999946</v>
      </c>
      <c r="CJ11" s="28">
        <v>3.5568723917199407</v>
      </c>
      <c r="CK11" s="29">
        <v>3.0402720126138282E-2</v>
      </c>
      <c r="CL11" s="30">
        <f t="shared" si="60"/>
        <v>1.5151095191018698</v>
      </c>
      <c r="CM11" s="30" t="str">
        <f t="shared" si="1"/>
        <v xml:space="preserve"> </v>
      </c>
      <c r="CN11" s="30"/>
      <c r="CO11" s="27">
        <v>1070</v>
      </c>
      <c r="CP11" s="27">
        <v>1070.6858384700288</v>
      </c>
      <c r="CQ11" s="28">
        <v>4.06102906244036</v>
      </c>
      <c r="CR11" s="29">
        <v>2.9573545524569957E-2</v>
      </c>
      <c r="CS11" s="30">
        <f t="shared" si="61"/>
        <v>-9.7702258065665859</v>
      </c>
      <c r="CT11" s="30" t="str">
        <f t="shared" si="2"/>
        <v>*</v>
      </c>
      <c r="CU11" s="30"/>
      <c r="CV11" s="27">
        <v>234</v>
      </c>
      <c r="CW11" s="27">
        <v>234.93744143999908</v>
      </c>
      <c r="CX11" s="28">
        <v>4.8931623931623918</v>
      </c>
      <c r="CY11" s="29">
        <v>2.8456826346451553E-2</v>
      </c>
      <c r="CZ11" s="30">
        <f t="shared" si="62"/>
        <v>-28.902970723138093</v>
      </c>
      <c r="DA11" s="30" t="str">
        <f t="shared" si="3"/>
        <v>*</v>
      </c>
      <c r="DB11" s="30"/>
      <c r="DC11" s="27">
        <v>837</v>
      </c>
      <c r="DD11" s="27">
        <v>836.99893262998978</v>
      </c>
      <c r="DE11" s="28">
        <v>4.8459528236375977</v>
      </c>
      <c r="DF11" s="29">
        <v>1.4495281351061593E-2</v>
      </c>
      <c r="DG11" s="30">
        <f t="shared" si="63"/>
        <v>-33.539282578373502</v>
      </c>
      <c r="DH11" s="30" t="str">
        <f t="shared" si="4"/>
        <v>*</v>
      </c>
      <c r="DI11" s="30"/>
      <c r="DJ11" s="27">
        <v>526</v>
      </c>
      <c r="DK11" s="27">
        <v>526</v>
      </c>
      <c r="DL11" s="28">
        <v>4.992395437262358</v>
      </c>
      <c r="DM11" s="29">
        <v>3.7914021437512502E-3</v>
      </c>
      <c r="DN11" s="30">
        <f t="shared" si="64"/>
        <v>-40.689432370654664</v>
      </c>
      <c r="DO11" s="30" t="str">
        <f t="shared" si="5"/>
        <v>*</v>
      </c>
      <c r="DP11" s="8"/>
      <c r="DQ11" s="27">
        <v>300</v>
      </c>
      <c r="DR11" s="27">
        <v>298.82666371999926</v>
      </c>
      <c r="DS11" s="28">
        <v>3.5827921950873214</v>
      </c>
      <c r="DT11" s="29">
        <v>6.8277758257197285E-2</v>
      </c>
      <c r="DU11" s="29"/>
      <c r="DV11" s="27">
        <v>181</v>
      </c>
      <c r="DW11" s="27">
        <v>180.73959861000054</v>
      </c>
      <c r="DX11" s="28">
        <v>3.3581275293726289</v>
      </c>
      <c r="DY11" s="29">
        <v>9.7911022802013969E-2</v>
      </c>
      <c r="DZ11" s="10">
        <f t="shared" si="6"/>
        <v>1.8821377682544913</v>
      </c>
      <c r="EA11" s="10" t="str">
        <f t="shared" si="7"/>
        <v xml:space="preserve"> </v>
      </c>
      <c r="EB11" s="29"/>
      <c r="EC11" s="27">
        <v>193</v>
      </c>
      <c r="ED11" s="27">
        <v>194.08253158000048</v>
      </c>
      <c r="EE11" s="28">
        <v>3.5994557759673667</v>
      </c>
      <c r="EF11" s="29">
        <v>8.0575906642163103E-2</v>
      </c>
      <c r="EG11" s="10">
        <f t="shared" si="8"/>
        <v>-0.1577780588815999</v>
      </c>
      <c r="EH11" s="10" t="str">
        <f t="shared" si="9"/>
        <v xml:space="preserve"> </v>
      </c>
      <c r="EI11" s="29"/>
      <c r="EJ11" s="27">
        <v>207</v>
      </c>
      <c r="EK11" s="27">
        <v>212.96790778000042</v>
      </c>
      <c r="EL11" s="28">
        <v>3.5653263262292638</v>
      </c>
      <c r="EM11" s="29">
        <v>7.6056730573079517E-2</v>
      </c>
      <c r="EN11" s="10">
        <f t="shared" si="10"/>
        <v>0.1708855091677299</v>
      </c>
      <c r="EO11" s="10" t="str">
        <f t="shared" si="65"/>
        <v xml:space="preserve"> </v>
      </c>
      <c r="EP11" s="29"/>
      <c r="EQ11" s="8">
        <v>241</v>
      </c>
      <c r="ER11" s="8">
        <v>240.6051429100005</v>
      </c>
      <c r="ES11" s="69">
        <v>3.4335235676529869</v>
      </c>
      <c r="ET11" s="9">
        <v>7.9961301007100333E-2</v>
      </c>
      <c r="EU11" s="10">
        <f t="shared" si="11"/>
        <v>1.4196332556213067</v>
      </c>
      <c r="EV11" s="10" t="str">
        <f t="shared" si="66"/>
        <v xml:space="preserve"> </v>
      </c>
      <c r="EW11" s="29"/>
      <c r="EX11" s="88">
        <v>1487</v>
      </c>
      <c r="EY11" s="88">
        <v>1486.1429551000026</v>
      </c>
      <c r="EZ11" s="28">
        <v>3.8047267427981173</v>
      </c>
      <c r="FA11" s="29">
        <v>2.6766728334352601E-2</v>
      </c>
      <c r="FB11" s="30">
        <f t="shared" si="12"/>
        <v>-3.026230446210699</v>
      </c>
      <c r="FC11" s="30" t="str">
        <f t="shared" si="67"/>
        <v>*</v>
      </c>
      <c r="FD11" s="30"/>
      <c r="FE11" s="27">
        <v>377</v>
      </c>
      <c r="FF11" s="27">
        <v>377.0360964600016</v>
      </c>
      <c r="FG11" s="28">
        <v>3.7983395473434021</v>
      </c>
      <c r="FH11" s="29">
        <v>4.5285372737922672E-2</v>
      </c>
      <c r="FI11" s="30">
        <f t="shared" si="13"/>
        <v>-2.6308540147596133</v>
      </c>
      <c r="FJ11" s="30" t="str">
        <f t="shared" si="14"/>
        <v>*</v>
      </c>
      <c r="FK11" s="30"/>
      <c r="FL11" s="88">
        <v>84</v>
      </c>
      <c r="FM11" s="88">
        <v>84.041493150000008</v>
      </c>
      <c r="FN11" s="28">
        <v>3.880433337826767</v>
      </c>
      <c r="FO11" s="29">
        <v>0.10353051952311963</v>
      </c>
      <c r="FP11" s="30">
        <f t="shared" si="15"/>
        <v>-2.3999868116324792</v>
      </c>
      <c r="FQ11" s="30" t="str">
        <f t="shared" si="16"/>
        <v>*</v>
      </c>
      <c r="FR11" s="30"/>
      <c r="FS11" s="88">
        <v>228</v>
      </c>
      <c r="FT11" s="88">
        <v>228.19046934000042</v>
      </c>
      <c r="FU11" s="28">
        <v>3.7530351307265519</v>
      </c>
      <c r="FV11" s="29">
        <v>6.4544233056758063E-2</v>
      </c>
      <c r="FW11" s="30">
        <f t="shared" si="17"/>
        <v>-1.8119349567505234</v>
      </c>
      <c r="FX11" s="30" t="str">
        <f t="shared" si="18"/>
        <v xml:space="preserve"> </v>
      </c>
      <c r="FY11" s="30"/>
      <c r="FZ11" s="88">
        <v>343</v>
      </c>
      <c r="GA11" s="88">
        <v>343.1157132900027</v>
      </c>
      <c r="GB11" s="28">
        <v>3.7521279392759355</v>
      </c>
      <c r="GC11" s="29">
        <v>6.039029744541248E-2</v>
      </c>
      <c r="GD11" s="30">
        <f t="shared" si="19"/>
        <v>-1.8577122072827066</v>
      </c>
      <c r="GE11" s="30" t="str">
        <f t="shared" si="20"/>
        <v xml:space="preserve"> </v>
      </c>
      <c r="GF11" s="30"/>
      <c r="GG11" s="88">
        <v>155</v>
      </c>
      <c r="GH11" s="88">
        <v>154.93251913999978</v>
      </c>
      <c r="GI11" s="28">
        <v>4.3998805435030519</v>
      </c>
      <c r="GJ11" s="29">
        <v>5.9745606919481095E-2</v>
      </c>
      <c r="GK11" s="30">
        <f t="shared" si="21"/>
        <v>-9.0060101667585677</v>
      </c>
      <c r="GL11" s="30" t="str">
        <f t="shared" si="22"/>
        <v>*</v>
      </c>
      <c r="GM11" s="10"/>
      <c r="GN11" s="88">
        <v>223</v>
      </c>
      <c r="GO11" s="88">
        <v>222.97615758000092</v>
      </c>
      <c r="GP11" s="28">
        <v>3.4705123686255952</v>
      </c>
      <c r="GQ11" s="29">
        <v>8.0347010491920848E-2</v>
      </c>
      <c r="GR11" s="9"/>
      <c r="GS11" s="3">
        <v>156</v>
      </c>
      <c r="GT11" s="3">
        <v>156.06577012000011</v>
      </c>
      <c r="GU11" s="69">
        <v>3.4687971814943421</v>
      </c>
      <c r="GV11" s="9">
        <v>9.8942179731465005E-2</v>
      </c>
      <c r="GW11" s="10">
        <f t="shared" si="23"/>
        <v>1.3457023726500022E-2</v>
      </c>
      <c r="GX11" s="10" t="str">
        <f t="shared" si="68"/>
        <v xml:space="preserve"> </v>
      </c>
      <c r="GY11" s="9"/>
      <c r="GZ11" s="27">
        <v>192</v>
      </c>
      <c r="HA11" s="27">
        <v>192.48715682999963</v>
      </c>
      <c r="HB11" s="28">
        <v>3.6125619322443185</v>
      </c>
      <c r="HC11" s="29">
        <v>8.249604412931516E-2</v>
      </c>
      <c r="HD11" s="10">
        <f t="shared" si="24"/>
        <v>-1.233524689192393</v>
      </c>
      <c r="HE11" s="10" t="str">
        <f t="shared" si="69"/>
        <v xml:space="preserve"> </v>
      </c>
      <c r="HF11" s="9"/>
      <c r="HG11" s="27">
        <v>309</v>
      </c>
      <c r="HH11" s="27">
        <v>312.34053558999921</v>
      </c>
      <c r="HI11" s="28">
        <v>3.248148074932359</v>
      </c>
      <c r="HJ11" s="29">
        <v>6.8318734681343002E-2</v>
      </c>
      <c r="HK11" s="10">
        <f t="shared" si="25"/>
        <v>2.1083965380506355</v>
      </c>
      <c r="HL11" s="10" t="str">
        <f t="shared" si="70"/>
        <v>*</v>
      </c>
      <c r="HM11" s="29"/>
      <c r="HN11" s="8">
        <v>325</v>
      </c>
      <c r="HO11" s="8">
        <v>326.83722660999916</v>
      </c>
      <c r="HP11" s="69">
        <v>3.1792346779698408</v>
      </c>
      <c r="HQ11" s="9">
        <v>6.7290723671863242E-2</v>
      </c>
      <c r="HR11" s="10">
        <f t="shared" si="26"/>
        <v>2.7792858477549318</v>
      </c>
      <c r="HS11" s="10" t="str">
        <f t="shared" si="71"/>
        <v>*</v>
      </c>
      <c r="HT11" s="9"/>
      <c r="HU11" s="88">
        <v>1402</v>
      </c>
      <c r="HV11" s="88">
        <v>1401.6588147100067</v>
      </c>
      <c r="HW11" s="28">
        <v>3.7511307190957406</v>
      </c>
      <c r="HX11" s="29">
        <v>2.8701150294947197E-2</v>
      </c>
      <c r="HY11" s="30">
        <f t="shared" si="27"/>
        <v>-3.2890337597272659</v>
      </c>
      <c r="HZ11" s="30" t="str">
        <f t="shared" si="72"/>
        <v>*</v>
      </c>
      <c r="IA11" s="30"/>
      <c r="IB11" s="88">
        <v>377</v>
      </c>
      <c r="IC11" s="88">
        <v>377.0360964600016</v>
      </c>
      <c r="ID11" s="28">
        <v>3.7983395473434021</v>
      </c>
      <c r="IE11" s="29">
        <v>4.5285372737922672E-2</v>
      </c>
      <c r="IF11" s="30">
        <f t="shared" si="28"/>
        <v>-3.5544456262319835</v>
      </c>
      <c r="IG11" s="30" t="str">
        <f t="shared" si="29"/>
        <v>*</v>
      </c>
      <c r="IH11" s="30"/>
      <c r="II11" s="88">
        <v>147</v>
      </c>
      <c r="IJ11" s="88">
        <v>146.82577413999999</v>
      </c>
      <c r="IK11" s="28">
        <v>3.945318267674554</v>
      </c>
      <c r="IL11" s="29">
        <v>8.6136721575262032E-2</v>
      </c>
      <c r="IM11" s="30">
        <f t="shared" si="30"/>
        <v>-4.0308518989821378</v>
      </c>
      <c r="IN11" s="30" t="str">
        <f t="shared" si="31"/>
        <v>*</v>
      </c>
      <c r="IO11" s="30"/>
      <c r="IP11" s="88">
        <v>307</v>
      </c>
      <c r="IQ11" s="88">
        <v>307.43877330000043</v>
      </c>
      <c r="IR11" s="28">
        <v>3.8018144650852341</v>
      </c>
      <c r="IS11" s="29">
        <v>6.7676949342197923E-2</v>
      </c>
      <c r="IT11" s="30">
        <f t="shared" si="32"/>
        <v>-3.1537121107012878</v>
      </c>
      <c r="IU11" s="30" t="str">
        <f t="shared" si="33"/>
        <v>*</v>
      </c>
      <c r="IV11" s="30"/>
      <c r="IW11" s="88">
        <v>84</v>
      </c>
      <c r="IX11" s="88">
        <v>84.041493150000008</v>
      </c>
      <c r="IY11" s="28">
        <v>3.880433337826767</v>
      </c>
      <c r="IZ11" s="29">
        <v>0.10353051952311963</v>
      </c>
      <c r="JA11" s="30">
        <f t="shared" si="34"/>
        <v>-3.1279639793763967</v>
      </c>
      <c r="JB11" s="30" t="str">
        <f t="shared" si="73"/>
        <v>*</v>
      </c>
      <c r="JC11" s="30"/>
      <c r="JD11" s="88">
        <v>264</v>
      </c>
      <c r="JE11" s="88">
        <v>263.34052008000094</v>
      </c>
      <c r="JF11" s="28">
        <v>3.7124397429723506</v>
      </c>
      <c r="JG11" s="29">
        <v>6.7553141882921469E-2</v>
      </c>
      <c r="JH11" s="30">
        <f t="shared" si="35"/>
        <v>-2.3046902222462822</v>
      </c>
      <c r="JI11" s="30" t="str">
        <f t="shared" si="36"/>
        <v>*</v>
      </c>
      <c r="JK11" s="27"/>
      <c r="JL11" s="27"/>
      <c r="JM11" s="28"/>
      <c r="JN11" s="29"/>
    </row>
    <row r="12" spans="1:274" x14ac:dyDescent="0.2">
      <c r="A12" s="73"/>
      <c r="B12" s="7" t="s">
        <v>15</v>
      </c>
      <c r="C12" s="27">
        <v>2682</v>
      </c>
      <c r="D12" s="27">
        <v>2677.2872178699299</v>
      </c>
      <c r="E12" s="28">
        <v>3.8004476640817613</v>
      </c>
      <c r="F12" s="29">
        <v>2.3144382149254225E-2</v>
      </c>
      <c r="G12" s="29"/>
      <c r="H12" s="3">
        <v>858</v>
      </c>
      <c r="I12" s="3">
        <v>857.63984136001159</v>
      </c>
      <c r="J12" s="28">
        <v>3.8463141894259638</v>
      </c>
      <c r="K12" s="29">
        <v>3.9513961974531456E-2</v>
      </c>
      <c r="L12" s="30">
        <f t="shared" si="37"/>
        <v>-1.0016015980079067</v>
      </c>
      <c r="M12" s="30" t="str">
        <f t="shared" si="38"/>
        <v xml:space="preserve"> </v>
      </c>
      <c r="N12" s="9"/>
      <c r="O12" s="27">
        <v>705</v>
      </c>
      <c r="P12" s="27">
        <v>706.35578601000168</v>
      </c>
      <c r="Q12" s="28">
        <v>3.4853803355341206</v>
      </c>
      <c r="R12" s="29">
        <v>4.4536743523132194E-2</v>
      </c>
      <c r="S12" s="30">
        <f t="shared" si="39"/>
        <v>6.2773078879891351</v>
      </c>
      <c r="T12" s="30" t="str">
        <f t="shared" si="40"/>
        <v>*</v>
      </c>
      <c r="U12" s="30"/>
      <c r="V12" s="27">
        <v>734</v>
      </c>
      <c r="W12" s="27">
        <v>747.37120215000812</v>
      </c>
      <c r="X12" s="28">
        <v>3.7439870447783195</v>
      </c>
      <c r="Y12" s="29">
        <v>4.0518099985730228E-2</v>
      </c>
      <c r="Z12" s="30">
        <f t="shared" si="41"/>
        <v>1.2099812411582538</v>
      </c>
      <c r="AA12" s="30" t="str">
        <f t="shared" si="42"/>
        <v xml:space="preserve"> </v>
      </c>
      <c r="AB12" s="9"/>
      <c r="AC12" s="8">
        <v>1127</v>
      </c>
      <c r="AD12" s="8">
        <v>1132.3148295400024</v>
      </c>
      <c r="AE12" s="69">
        <v>3.2923209343592763</v>
      </c>
      <c r="AF12" s="9">
        <v>3.4362914472203097E-2</v>
      </c>
      <c r="AG12" s="30">
        <f t="shared" si="43"/>
        <v>12.264607089490264</v>
      </c>
      <c r="AH12" s="30" t="str">
        <f t="shared" si="44"/>
        <v>*</v>
      </c>
      <c r="AI12" s="9"/>
      <c r="AJ12" s="81">
        <v>4481</v>
      </c>
      <c r="AK12" s="83">
        <v>4.1024146497427934</v>
      </c>
      <c r="AL12" s="84">
        <v>1.5045717656593436E-2</v>
      </c>
      <c r="AM12" s="30">
        <f t="shared" si="45"/>
        <v>-10.938850995241124</v>
      </c>
      <c r="AN12" s="30" t="str">
        <f t="shared" si="46"/>
        <v>*</v>
      </c>
      <c r="AO12" s="9"/>
      <c r="AP12" s="78">
        <v>426</v>
      </c>
      <c r="AQ12" s="79">
        <v>4.2853996913820955</v>
      </c>
      <c r="AR12" s="80">
        <v>4.5376276398578802E-2</v>
      </c>
      <c r="AS12" s="30">
        <f t="shared" si="74"/>
        <v>-9.5204572509252454</v>
      </c>
      <c r="AT12" s="30" t="str">
        <f t="shared" si="75"/>
        <v>*</v>
      </c>
      <c r="AU12" s="80"/>
      <c r="AV12" s="78">
        <v>594</v>
      </c>
      <c r="AW12" s="79">
        <v>4.105471928093805</v>
      </c>
      <c r="AX12" s="80">
        <v>3.936830322643603E-2</v>
      </c>
      <c r="AY12" s="30">
        <f t="shared" si="76"/>
        <v>-6.6792332862573884</v>
      </c>
      <c r="AZ12" s="30" t="str">
        <f t="shared" si="77"/>
        <v>*</v>
      </c>
      <c r="BA12" s="80"/>
      <c r="BB12" s="78">
        <v>588</v>
      </c>
      <c r="BC12" s="79">
        <v>4.1576514263674547</v>
      </c>
      <c r="BD12" s="80">
        <v>4.1247442462084449E-2</v>
      </c>
      <c r="BE12" s="30">
        <f t="shared" si="78"/>
        <v>-7.5523425474578199</v>
      </c>
      <c r="BF12" s="30" t="str">
        <f t="shared" si="79"/>
        <v>*</v>
      </c>
      <c r="BG12" s="80"/>
      <c r="BH12" s="78">
        <v>951</v>
      </c>
      <c r="BI12" s="79">
        <v>4.0325950008950846</v>
      </c>
      <c r="BJ12" s="80">
        <v>3.5925810281160236E-2</v>
      </c>
      <c r="BK12" s="30">
        <f t="shared" si="80"/>
        <v>-5.4321846356227885</v>
      </c>
      <c r="BL12" s="30" t="str">
        <f t="shared" si="81"/>
        <v>*</v>
      </c>
      <c r="BM12" s="80"/>
      <c r="BN12" s="78">
        <v>1056</v>
      </c>
      <c r="BO12" s="79">
        <v>4.0800329090748795</v>
      </c>
      <c r="BP12" s="80">
        <v>3.2679027324267911E-2</v>
      </c>
      <c r="BQ12" s="30">
        <f t="shared" si="82"/>
        <v>-6.9818218475484128</v>
      </c>
      <c r="BR12" s="30" t="str">
        <f t="shared" si="83"/>
        <v>*</v>
      </c>
      <c r="BS12" s="9"/>
      <c r="BT12" s="27">
        <v>9706</v>
      </c>
      <c r="BU12" s="27">
        <v>9782.2524691891049</v>
      </c>
      <c r="BV12" s="28">
        <v>4.0894563360806879</v>
      </c>
      <c r="BW12" s="29">
        <v>1.1016522554360121E-2</v>
      </c>
      <c r="BX12" s="30">
        <f t="shared" si="57"/>
        <v>-11.275077409852907</v>
      </c>
      <c r="BY12" s="30" t="str">
        <f t="shared" si="58"/>
        <v>*</v>
      </c>
      <c r="BZ12" s="30"/>
      <c r="CA12" s="27">
        <v>267</v>
      </c>
      <c r="CB12" s="27">
        <v>267</v>
      </c>
      <c r="CC12" s="28">
        <v>3.8089887640449431</v>
      </c>
      <c r="CD12" s="29">
        <v>6.534464305274397E-2</v>
      </c>
      <c r="CE12" s="30">
        <f t="shared" si="59"/>
        <v>-0.12320850335316938</v>
      </c>
      <c r="CF12" s="30" t="str">
        <f t="shared" si="0"/>
        <v xml:space="preserve"> </v>
      </c>
      <c r="CG12" s="30"/>
      <c r="CH12" s="27">
        <v>2689</v>
      </c>
      <c r="CI12" s="27">
        <v>2767.2623655799189</v>
      </c>
      <c r="CJ12" s="28">
        <v>3.9762131380751007</v>
      </c>
      <c r="CK12" s="29">
        <v>2.018470346010633E-2</v>
      </c>
      <c r="CL12" s="30">
        <f t="shared" si="60"/>
        <v>-5.7234543722947864</v>
      </c>
      <c r="CM12" s="30" t="str">
        <f t="shared" si="1"/>
        <v>*</v>
      </c>
      <c r="CN12" s="30"/>
      <c r="CO12" s="27">
        <v>2333</v>
      </c>
      <c r="CP12" s="27">
        <v>2333.7887422300323</v>
      </c>
      <c r="CQ12" s="28">
        <v>4.0135031511892123</v>
      </c>
      <c r="CR12" s="29">
        <v>2.2414823400919062E-2</v>
      </c>
      <c r="CS12" s="30">
        <f t="shared" si="61"/>
        <v>-6.6126555830652904</v>
      </c>
      <c r="CT12" s="30" t="str">
        <f t="shared" si="2"/>
        <v>*</v>
      </c>
      <c r="CU12" s="30"/>
      <c r="CV12" s="27">
        <v>481</v>
      </c>
      <c r="CW12" s="27">
        <v>482.92696296000275</v>
      </c>
      <c r="CX12" s="28">
        <v>4.8461538461538458</v>
      </c>
      <c r="CY12" s="29">
        <v>2.2236084071292423E-2</v>
      </c>
      <c r="CZ12" s="30">
        <f t="shared" si="62"/>
        <v>-32.581325350114518</v>
      </c>
      <c r="DA12" s="30" t="str">
        <f t="shared" si="3"/>
        <v>*</v>
      </c>
      <c r="DB12" s="30"/>
      <c r="DC12" s="27">
        <v>869</v>
      </c>
      <c r="DD12" s="27">
        <v>868.98718054998915</v>
      </c>
      <c r="DE12" s="28">
        <v>4.8136182869378086</v>
      </c>
      <c r="DF12" s="29">
        <v>1.4370092900893772E-2</v>
      </c>
      <c r="DG12" s="30">
        <f t="shared" si="63"/>
        <v>-37.190604141494369</v>
      </c>
      <c r="DH12" s="30" t="str">
        <f t="shared" si="4"/>
        <v>*</v>
      </c>
      <c r="DI12" s="30"/>
      <c r="DJ12" s="27">
        <v>385</v>
      </c>
      <c r="DK12" s="27">
        <v>385</v>
      </c>
      <c r="DL12" s="28">
        <v>4.9844155844155829</v>
      </c>
      <c r="DM12" s="29">
        <v>8.9742045201852364E-3</v>
      </c>
      <c r="DN12" s="30">
        <f t="shared" si="64"/>
        <v>-47.695732297751711</v>
      </c>
      <c r="DO12" s="30" t="str">
        <f t="shared" si="5"/>
        <v>*</v>
      </c>
      <c r="DP12" s="8"/>
      <c r="DQ12" s="27">
        <v>804</v>
      </c>
      <c r="DR12" s="27">
        <v>803.35153476000414</v>
      </c>
      <c r="DS12" s="28">
        <v>3.7811637918728596</v>
      </c>
      <c r="DT12" s="29">
        <v>4.2641208261753612E-2</v>
      </c>
      <c r="DU12" s="29"/>
      <c r="DV12" s="27">
        <v>526</v>
      </c>
      <c r="DW12" s="27">
        <v>525.87920742999643</v>
      </c>
      <c r="DX12" s="28">
        <v>3.9442297777025064</v>
      </c>
      <c r="DY12" s="29">
        <v>5.0780305983121783E-2</v>
      </c>
      <c r="DZ12" s="10">
        <f t="shared" si="6"/>
        <v>-2.459175297628696</v>
      </c>
      <c r="EA12" s="10" t="str">
        <f t="shared" si="7"/>
        <v>*</v>
      </c>
      <c r="EB12" s="29"/>
      <c r="EC12" s="27">
        <v>589</v>
      </c>
      <c r="ED12" s="27">
        <v>589.56543086999943</v>
      </c>
      <c r="EE12" s="28">
        <v>4.0176739645243877</v>
      </c>
      <c r="EF12" s="29">
        <v>4.4117230030671584E-2</v>
      </c>
      <c r="EG12" s="10">
        <f t="shared" si="8"/>
        <v>-3.8546970778462679</v>
      </c>
      <c r="EH12" s="10" t="str">
        <f t="shared" si="9"/>
        <v>*</v>
      </c>
      <c r="EI12" s="29"/>
      <c r="EJ12" s="27">
        <v>551</v>
      </c>
      <c r="EK12" s="27">
        <v>554.30410159000201</v>
      </c>
      <c r="EL12" s="28">
        <v>3.9824890564003423</v>
      </c>
      <c r="EM12" s="29">
        <v>4.6223798990378248E-2</v>
      </c>
      <c r="EN12" s="10">
        <f t="shared" si="10"/>
        <v>-3.2013256417476232</v>
      </c>
      <c r="EO12" s="10" t="str">
        <f t="shared" si="65"/>
        <v>*</v>
      </c>
      <c r="EP12" s="29"/>
      <c r="EQ12" s="8">
        <v>644</v>
      </c>
      <c r="ER12" s="8">
        <v>643.9531431399987</v>
      </c>
      <c r="ES12" s="69">
        <v>3.897172642069695</v>
      </c>
      <c r="ET12" s="9">
        <v>4.431295393160696E-2</v>
      </c>
      <c r="EU12" s="10">
        <f t="shared" si="11"/>
        <v>-1.8864074255756793</v>
      </c>
      <c r="EV12" s="10" t="str">
        <f t="shared" si="66"/>
        <v xml:space="preserve"> </v>
      </c>
      <c r="EW12" s="29"/>
      <c r="EX12" s="88">
        <v>3723</v>
      </c>
      <c r="EY12" s="88">
        <v>3721.9834465498416</v>
      </c>
      <c r="EZ12" s="28">
        <v>4.0009268635982718</v>
      </c>
      <c r="FA12" s="29">
        <v>1.7606138696034255E-2</v>
      </c>
      <c r="FB12" s="30">
        <f t="shared" si="12"/>
        <v>-4.76369033265558</v>
      </c>
      <c r="FC12" s="30" t="str">
        <f t="shared" si="67"/>
        <v>*</v>
      </c>
      <c r="FD12" s="30"/>
      <c r="FE12" s="27">
        <v>965</v>
      </c>
      <c r="FF12" s="27">
        <v>965.05296305999968</v>
      </c>
      <c r="FG12" s="28">
        <v>4.1492059480377437</v>
      </c>
      <c r="FH12" s="29">
        <v>2.9590300260920292E-2</v>
      </c>
      <c r="FI12" s="30">
        <f t="shared" si="13"/>
        <v>-7.0910439232509113</v>
      </c>
      <c r="FJ12" s="30" t="str">
        <f t="shared" si="14"/>
        <v>*</v>
      </c>
      <c r="FK12" s="30"/>
      <c r="FL12" s="88">
        <v>246</v>
      </c>
      <c r="FM12" s="88">
        <v>245.95235066999922</v>
      </c>
      <c r="FN12" s="28">
        <v>4.187124807893178</v>
      </c>
      <c r="FO12" s="29">
        <v>6.4323017292449783E-2</v>
      </c>
      <c r="FP12" s="30">
        <f t="shared" si="15"/>
        <v>-5.2603795209265494</v>
      </c>
      <c r="FQ12" s="30" t="str">
        <f t="shared" si="16"/>
        <v>*</v>
      </c>
      <c r="FR12" s="30"/>
      <c r="FS12" s="88">
        <v>449</v>
      </c>
      <c r="FT12" s="88">
        <v>448.6361300699968</v>
      </c>
      <c r="FU12" s="28">
        <v>3.9584960994623981</v>
      </c>
      <c r="FV12" s="29">
        <v>4.9279130338274954E-2</v>
      </c>
      <c r="FW12" s="30">
        <f t="shared" si="17"/>
        <v>-2.7212083938800689</v>
      </c>
      <c r="FX12" s="30" t="str">
        <f t="shared" si="18"/>
        <v>*</v>
      </c>
      <c r="FY12" s="30"/>
      <c r="FZ12" s="88">
        <v>947</v>
      </c>
      <c r="GA12" s="88">
        <v>947.04331431000833</v>
      </c>
      <c r="GB12" s="28">
        <v>3.9070004066876618</v>
      </c>
      <c r="GC12" s="29">
        <v>3.69600357368947E-2</v>
      </c>
      <c r="GD12" s="30">
        <f t="shared" si="19"/>
        <v>-2.2299693138825716</v>
      </c>
      <c r="GE12" s="30" t="str">
        <f t="shared" si="20"/>
        <v>*</v>
      </c>
      <c r="GF12" s="30"/>
      <c r="GG12" s="88">
        <v>312</v>
      </c>
      <c r="GH12" s="88">
        <v>311.94715367999936</v>
      </c>
      <c r="GI12" s="28">
        <v>4.3075249678296723</v>
      </c>
      <c r="GJ12" s="29">
        <v>4.9585114197806784E-2</v>
      </c>
      <c r="GK12" s="30">
        <f t="shared" si="21"/>
        <v>-8.0485277834809903</v>
      </c>
      <c r="GL12" s="30" t="str">
        <f t="shared" si="22"/>
        <v>*</v>
      </c>
      <c r="GM12" s="10"/>
      <c r="GN12" s="88">
        <v>803</v>
      </c>
      <c r="GO12" s="88">
        <v>802.98906216000785</v>
      </c>
      <c r="GP12" s="28">
        <v>3.9758906218623671</v>
      </c>
      <c r="GQ12" s="29">
        <v>4.1162479318034094E-2</v>
      </c>
      <c r="GR12" s="9"/>
      <c r="GS12" s="3">
        <v>562</v>
      </c>
      <c r="GT12" s="3">
        <v>562.05669403999559</v>
      </c>
      <c r="GU12" s="69">
        <v>4.1334893795334091</v>
      </c>
      <c r="GV12" s="9">
        <v>4.2702530529253872E-2</v>
      </c>
      <c r="GW12" s="10">
        <f t="shared" si="23"/>
        <v>-2.6571359295962087</v>
      </c>
      <c r="GX12" s="10" t="str">
        <f t="shared" si="68"/>
        <v>*</v>
      </c>
      <c r="GY12" s="9"/>
      <c r="GZ12" s="27">
        <v>610</v>
      </c>
      <c r="HA12" s="27">
        <v>610.64868296000304</v>
      </c>
      <c r="HB12" s="28">
        <v>4.3405800244944182</v>
      </c>
      <c r="HC12" s="29">
        <v>3.5432276285378921E-2</v>
      </c>
      <c r="HD12" s="10">
        <f t="shared" si="24"/>
        <v>-6.7147084297464312</v>
      </c>
      <c r="HE12" s="10" t="str">
        <f t="shared" si="69"/>
        <v>*</v>
      </c>
      <c r="HF12" s="9"/>
      <c r="HG12" s="27">
        <v>1179</v>
      </c>
      <c r="HH12" s="27">
        <v>1179.9975668699933</v>
      </c>
      <c r="HI12" s="28">
        <v>4.0450411581364412</v>
      </c>
      <c r="HJ12" s="29">
        <v>3.1010287469858365E-2</v>
      </c>
      <c r="HK12" s="10">
        <f t="shared" si="25"/>
        <v>-1.3417837510022717</v>
      </c>
      <c r="HL12" s="10" t="str">
        <f t="shared" si="70"/>
        <v xml:space="preserve"> </v>
      </c>
      <c r="HM12" s="29"/>
      <c r="HN12" s="8">
        <v>1198</v>
      </c>
      <c r="HO12" s="8">
        <v>1201.8963011899953</v>
      </c>
      <c r="HP12" s="69">
        <v>3.9639010415066323</v>
      </c>
      <c r="HQ12" s="9">
        <v>3.1823261150891534E-2</v>
      </c>
      <c r="HR12" s="10">
        <f t="shared" si="26"/>
        <v>0.23043809032142454</v>
      </c>
      <c r="HS12" s="10" t="str">
        <f t="shared" si="71"/>
        <v xml:space="preserve"> </v>
      </c>
      <c r="HT12" s="9"/>
      <c r="HU12" s="88">
        <v>4007</v>
      </c>
      <c r="HV12" s="88">
        <v>4008.020514439836</v>
      </c>
      <c r="HW12" s="28">
        <v>4.119516267624916</v>
      </c>
      <c r="HX12" s="29">
        <v>1.6415418944929008E-2</v>
      </c>
      <c r="HY12" s="30">
        <f t="shared" si="27"/>
        <v>-3.2410194131938801</v>
      </c>
      <c r="HZ12" s="30" t="str">
        <f t="shared" si="72"/>
        <v>*</v>
      </c>
      <c r="IA12" s="30"/>
      <c r="IB12" s="88">
        <v>965</v>
      </c>
      <c r="IC12" s="88">
        <v>965.05296305999968</v>
      </c>
      <c r="ID12" s="28">
        <v>4.1492059480377437</v>
      </c>
      <c r="IE12" s="29">
        <v>2.9590300260920292E-2</v>
      </c>
      <c r="IF12" s="30">
        <f t="shared" si="28"/>
        <v>-3.4188169688198351</v>
      </c>
      <c r="IG12" s="30" t="str">
        <f t="shared" si="29"/>
        <v>*</v>
      </c>
      <c r="IH12" s="30"/>
      <c r="II12" s="88">
        <v>481</v>
      </c>
      <c r="IJ12" s="88">
        <v>480.8120413600027</v>
      </c>
      <c r="IK12" s="28">
        <v>4.1797706910074712</v>
      </c>
      <c r="IL12" s="29">
        <v>4.5718654791992629E-2</v>
      </c>
      <c r="IM12" s="30">
        <f t="shared" si="30"/>
        <v>-3.3141177114355695</v>
      </c>
      <c r="IN12" s="30" t="str">
        <f t="shared" si="31"/>
        <v>*</v>
      </c>
      <c r="IO12" s="30"/>
      <c r="IP12" s="88">
        <v>683</v>
      </c>
      <c r="IQ12" s="88">
        <v>682.76068314000759</v>
      </c>
      <c r="IR12" s="28">
        <v>4.084578652910154</v>
      </c>
      <c r="IS12" s="29">
        <v>4.310010386182505E-2</v>
      </c>
      <c r="IT12" s="30">
        <f t="shared" si="32"/>
        <v>-1.8236738004072603</v>
      </c>
      <c r="IU12" s="30" t="str">
        <f t="shared" si="33"/>
        <v xml:space="preserve"> </v>
      </c>
      <c r="IV12" s="30"/>
      <c r="IW12" s="88">
        <v>246</v>
      </c>
      <c r="IX12" s="88">
        <v>245.95235066999922</v>
      </c>
      <c r="IY12" s="28">
        <v>4.187124807893178</v>
      </c>
      <c r="IZ12" s="29">
        <v>6.4323017292449783E-2</v>
      </c>
      <c r="JA12" s="30">
        <f t="shared" si="34"/>
        <v>-2.7660682085768062</v>
      </c>
      <c r="JB12" s="30" t="str">
        <f t="shared" si="73"/>
        <v>*</v>
      </c>
      <c r="JC12" s="30"/>
      <c r="JD12" s="88">
        <v>829</v>
      </c>
      <c r="JE12" s="88">
        <v>830.45341405000715</v>
      </c>
      <c r="JF12" s="28">
        <v>4.1977051285746292</v>
      </c>
      <c r="JG12" s="29">
        <v>3.4070336061310602E-2</v>
      </c>
      <c r="JH12" s="30">
        <f t="shared" si="35"/>
        <v>-4.1512265123029799</v>
      </c>
      <c r="JI12" s="30" t="str">
        <f t="shared" si="36"/>
        <v>*</v>
      </c>
      <c r="JK12" s="27"/>
      <c r="JL12" s="27"/>
      <c r="JM12" s="28"/>
      <c r="JN12" s="29"/>
    </row>
    <row r="13" spans="1:274" x14ac:dyDescent="0.2">
      <c r="B13" s="7" t="s">
        <v>16</v>
      </c>
      <c r="C13" s="27">
        <v>2639</v>
      </c>
      <c r="D13" s="27">
        <v>2633.6160469299316</v>
      </c>
      <c r="E13" s="28">
        <v>4.035568872159307</v>
      </c>
      <c r="F13" s="29">
        <v>2.0831553720574048E-2</v>
      </c>
      <c r="G13" s="29"/>
      <c r="H13" s="3">
        <v>838</v>
      </c>
      <c r="I13" s="3">
        <v>837.56719444001078</v>
      </c>
      <c r="J13" s="28">
        <v>4.0848749378580047</v>
      </c>
      <c r="K13" s="29">
        <v>3.6476691578555251E-2</v>
      </c>
      <c r="L13" s="30">
        <f t="shared" si="37"/>
        <v>-1.1737867194840295</v>
      </c>
      <c r="M13" s="30" t="str">
        <f t="shared" si="38"/>
        <v xml:space="preserve"> </v>
      </c>
      <c r="N13" s="9"/>
      <c r="O13" s="27">
        <v>696</v>
      </c>
      <c r="P13" s="27">
        <v>697.50434208000183</v>
      </c>
      <c r="Q13" s="28">
        <v>3.8167771337610663</v>
      </c>
      <c r="R13" s="29">
        <v>3.8157880633508369E-2</v>
      </c>
      <c r="S13" s="30">
        <f t="shared" si="39"/>
        <v>5.0327180881520075</v>
      </c>
      <c r="T13" s="30" t="str">
        <f t="shared" si="40"/>
        <v>*</v>
      </c>
      <c r="U13" s="30"/>
      <c r="V13" s="27">
        <v>727</v>
      </c>
      <c r="W13" s="27">
        <v>740.7896762300079</v>
      </c>
      <c r="X13" s="28">
        <v>3.9467084706945323</v>
      </c>
      <c r="Y13" s="29">
        <v>3.6112952243489455E-2</v>
      </c>
      <c r="Z13" s="30">
        <f t="shared" si="41"/>
        <v>2.1314297457382425</v>
      </c>
      <c r="AA13" s="30" t="str">
        <f t="shared" si="42"/>
        <v>*</v>
      </c>
      <c r="AB13" s="9"/>
      <c r="AC13" s="8">
        <v>1133</v>
      </c>
      <c r="AD13" s="8">
        <v>1138.2758800600025</v>
      </c>
      <c r="AE13" s="69">
        <v>3.6945804422547597</v>
      </c>
      <c r="AF13" s="9">
        <v>3.1026573273760301E-2</v>
      </c>
      <c r="AG13" s="30">
        <f t="shared" si="43"/>
        <v>9.1243793316923352</v>
      </c>
      <c r="AH13" s="30" t="str">
        <f t="shared" si="44"/>
        <v>*</v>
      </c>
      <c r="AI13" s="9"/>
      <c r="AJ13" s="81">
        <v>4415</v>
      </c>
      <c r="AK13" s="83">
        <v>4.2198458220731352</v>
      </c>
      <c r="AL13" s="84">
        <v>1.410128549569907E-2</v>
      </c>
      <c r="AM13" s="30">
        <f t="shared" si="45"/>
        <v>-7.3255092359052956</v>
      </c>
      <c r="AN13" s="30" t="str">
        <f t="shared" si="46"/>
        <v>*</v>
      </c>
      <c r="AO13" s="9"/>
      <c r="AP13" s="78">
        <v>427</v>
      </c>
      <c r="AQ13" s="79">
        <v>4.4123592615748679</v>
      </c>
      <c r="AR13" s="80">
        <v>4.1310432596587864E-2</v>
      </c>
      <c r="AS13" s="30">
        <f t="shared" si="74"/>
        <v>-8.1440727737857745</v>
      </c>
      <c r="AT13" s="30" t="str">
        <f t="shared" si="75"/>
        <v>*</v>
      </c>
      <c r="AU13" s="80"/>
      <c r="AV13" s="78">
        <v>584</v>
      </c>
      <c r="AW13" s="79">
        <v>4.3229705144721065</v>
      </c>
      <c r="AX13" s="80">
        <v>3.4752549071363083E-2</v>
      </c>
      <c r="AY13" s="30">
        <f t="shared" si="76"/>
        <v>-7.0932167832034869</v>
      </c>
      <c r="AZ13" s="30" t="str">
        <f t="shared" si="77"/>
        <v>*</v>
      </c>
      <c r="BA13" s="80"/>
      <c r="BB13" s="78">
        <v>592</v>
      </c>
      <c r="BC13" s="79">
        <v>4.2834336206531987</v>
      </c>
      <c r="BD13" s="80">
        <v>3.7499972844079237E-2</v>
      </c>
      <c r="BE13" s="30">
        <f t="shared" si="78"/>
        <v>-5.7780602254133866</v>
      </c>
      <c r="BF13" s="30" t="str">
        <f t="shared" si="79"/>
        <v>*</v>
      </c>
      <c r="BG13" s="80"/>
      <c r="BH13" s="78">
        <v>923</v>
      </c>
      <c r="BI13" s="79">
        <v>4.2415872150439249</v>
      </c>
      <c r="BJ13" s="80">
        <v>3.2105307497402813E-2</v>
      </c>
      <c r="BK13" s="30">
        <f t="shared" si="80"/>
        <v>-5.3830807737624502</v>
      </c>
      <c r="BL13" s="30" t="str">
        <f t="shared" si="81"/>
        <v>*</v>
      </c>
      <c r="BM13" s="80"/>
      <c r="BN13" s="78">
        <v>1044</v>
      </c>
      <c r="BO13" s="79">
        <v>4.2070529309767082</v>
      </c>
      <c r="BP13" s="80">
        <v>2.990568633061249E-2</v>
      </c>
      <c r="BQ13" s="30">
        <f t="shared" si="82"/>
        <v>-4.705167213587778</v>
      </c>
      <c r="BR13" s="30" t="str">
        <f t="shared" si="83"/>
        <v>*</v>
      </c>
      <c r="BS13" s="9"/>
      <c r="BT13" s="27">
        <v>9597</v>
      </c>
      <c r="BU13" s="27">
        <v>9676.0272129891091</v>
      </c>
      <c r="BV13" s="28">
        <v>4.238070484726177</v>
      </c>
      <c r="BW13" s="29">
        <v>9.9626725843037812E-3</v>
      </c>
      <c r="BX13" s="30">
        <f t="shared" si="57"/>
        <v>-8.7696036192306117</v>
      </c>
      <c r="BY13" s="30" t="str">
        <f t="shared" si="58"/>
        <v>*</v>
      </c>
      <c r="BZ13" s="30"/>
      <c r="CA13" s="27">
        <v>264</v>
      </c>
      <c r="CB13" s="27">
        <v>264</v>
      </c>
      <c r="CC13" s="28">
        <v>4.049242424242423</v>
      </c>
      <c r="CD13" s="29">
        <v>5.3718701914985317E-2</v>
      </c>
      <c r="CE13" s="30">
        <f t="shared" si="59"/>
        <v>-0.23732037874434181</v>
      </c>
      <c r="CF13" s="30" t="str">
        <f t="shared" si="0"/>
        <v xml:space="preserve"> </v>
      </c>
      <c r="CG13" s="30"/>
      <c r="CH13" s="27">
        <v>2658</v>
      </c>
      <c r="CI13" s="27">
        <v>2739.5770547299162</v>
      </c>
      <c r="CJ13" s="28">
        <v>4.0705408127383418</v>
      </c>
      <c r="CK13" s="29">
        <v>1.9436402645237275E-2</v>
      </c>
      <c r="CL13" s="30">
        <f t="shared" si="60"/>
        <v>-1.2274805936256639</v>
      </c>
      <c r="CM13" s="30" t="str">
        <f t="shared" si="1"/>
        <v xml:space="preserve"> </v>
      </c>
      <c r="CN13" s="30"/>
      <c r="CO13" s="27">
        <v>2297</v>
      </c>
      <c r="CP13" s="27">
        <v>2297.9270888400383</v>
      </c>
      <c r="CQ13" s="28">
        <v>4.2027461776323047</v>
      </c>
      <c r="CR13" s="29">
        <v>1.9808393235011757E-2</v>
      </c>
      <c r="CS13" s="30">
        <f t="shared" si="61"/>
        <v>-5.8156946089754236</v>
      </c>
      <c r="CT13" s="30" t="str">
        <f t="shared" si="2"/>
        <v>*</v>
      </c>
      <c r="CU13" s="30"/>
      <c r="CV13" s="27">
        <v>475</v>
      </c>
      <c r="CW13" s="27">
        <v>476.90292600000265</v>
      </c>
      <c r="CX13" s="28">
        <v>4.9052631578947326</v>
      </c>
      <c r="CY13" s="29">
        <v>1.6119416040113313E-2</v>
      </c>
      <c r="CZ13" s="30">
        <f t="shared" si="62"/>
        <v>-33.01815848997002</v>
      </c>
      <c r="DA13" s="30" t="str">
        <f t="shared" si="3"/>
        <v>*</v>
      </c>
      <c r="DB13" s="30"/>
      <c r="DC13" s="27">
        <v>879</v>
      </c>
      <c r="DD13" s="27">
        <v>879.00409648998868</v>
      </c>
      <c r="DE13" s="28">
        <v>4.8248325174878728</v>
      </c>
      <c r="DF13" s="29">
        <v>1.5398115685661405E-2</v>
      </c>
      <c r="DG13" s="30">
        <f t="shared" si="63"/>
        <v>-30.467922869248973</v>
      </c>
      <c r="DH13" s="30" t="str">
        <f t="shared" si="4"/>
        <v>*</v>
      </c>
      <c r="DI13" s="30"/>
      <c r="DJ13" s="27">
        <v>385</v>
      </c>
      <c r="DK13" s="27">
        <v>385</v>
      </c>
      <c r="DL13" s="28">
        <v>4.9896103896103874</v>
      </c>
      <c r="DM13" s="29">
        <v>6.3484889073863434E-3</v>
      </c>
      <c r="DN13" s="30">
        <f t="shared" si="64"/>
        <v>-43.808706087562605</v>
      </c>
      <c r="DO13" s="30" t="str">
        <f t="shared" si="5"/>
        <v>*</v>
      </c>
      <c r="DP13" s="8"/>
      <c r="DQ13" s="27">
        <v>789</v>
      </c>
      <c r="DR13" s="27">
        <v>788.24226445000409</v>
      </c>
      <c r="DS13" s="28">
        <v>3.9474654481019322</v>
      </c>
      <c r="DT13" s="29">
        <v>4.0097071788310949E-2</v>
      </c>
      <c r="DU13" s="29"/>
      <c r="DV13" s="27">
        <v>504</v>
      </c>
      <c r="DW13" s="27">
        <v>503.71536837999741</v>
      </c>
      <c r="DX13" s="28">
        <v>4.0650448330281703</v>
      </c>
      <c r="DY13" s="29">
        <v>4.7245422050286631E-2</v>
      </c>
      <c r="DZ13" s="10">
        <f t="shared" si="6"/>
        <v>-1.8974526190887624</v>
      </c>
      <c r="EA13" s="10" t="str">
        <f t="shared" si="7"/>
        <v xml:space="preserve"> </v>
      </c>
      <c r="EB13" s="29"/>
      <c r="EC13" s="27">
        <v>575</v>
      </c>
      <c r="ED13" s="27">
        <v>576.23165969999934</v>
      </c>
      <c r="EE13" s="28">
        <v>4.1270546516276418</v>
      </c>
      <c r="EF13" s="29">
        <v>4.2217452763859319E-2</v>
      </c>
      <c r="EG13" s="10">
        <f t="shared" si="8"/>
        <v>-3.0844285010688988</v>
      </c>
      <c r="EH13" s="10" t="str">
        <f t="shared" si="9"/>
        <v>*</v>
      </c>
      <c r="EI13" s="29"/>
      <c r="EJ13" s="27">
        <v>540</v>
      </c>
      <c r="EK13" s="27">
        <v>544.0818692100022</v>
      </c>
      <c r="EL13" s="28">
        <v>4.0565315632639214</v>
      </c>
      <c r="EM13" s="29">
        <v>4.5303413905570515E-2</v>
      </c>
      <c r="EN13" s="10">
        <f t="shared" si="10"/>
        <v>-1.8027643036099446</v>
      </c>
      <c r="EO13" s="10" t="str">
        <f t="shared" si="65"/>
        <v xml:space="preserve"> </v>
      </c>
      <c r="EP13" s="29"/>
      <c r="EQ13" s="8">
        <v>635</v>
      </c>
      <c r="ER13" s="8">
        <v>634.7480002499982</v>
      </c>
      <c r="ES13" s="69">
        <v>3.9797291879534349</v>
      </c>
      <c r="ET13" s="9">
        <v>4.3608178271642595E-2</v>
      </c>
      <c r="EU13" s="10">
        <f t="shared" si="11"/>
        <v>-0.54462212194609272</v>
      </c>
      <c r="EV13" s="10" t="str">
        <f t="shared" si="66"/>
        <v xml:space="preserve"> </v>
      </c>
      <c r="EW13" s="29"/>
      <c r="EX13" s="88">
        <v>3601</v>
      </c>
      <c r="EY13" s="88">
        <v>3599.7231139598616</v>
      </c>
      <c r="EZ13" s="28">
        <v>4.1670495619254897</v>
      </c>
      <c r="FA13" s="29">
        <v>1.6008509028850308E-2</v>
      </c>
      <c r="FB13" s="30">
        <f t="shared" si="12"/>
        <v>-5.0859539840638126</v>
      </c>
      <c r="FC13" s="30" t="str">
        <f t="shared" si="67"/>
        <v>*</v>
      </c>
      <c r="FD13" s="30"/>
      <c r="FE13" s="27">
        <v>908</v>
      </c>
      <c r="FF13" s="27">
        <v>908.04726714000105</v>
      </c>
      <c r="FG13" s="28">
        <v>4.2324115570378789</v>
      </c>
      <c r="FH13" s="29">
        <v>2.7569878916015731E-2</v>
      </c>
      <c r="FI13" s="30">
        <f t="shared" si="13"/>
        <v>-5.8557630162116743</v>
      </c>
      <c r="FJ13" s="30" t="str">
        <f t="shared" si="14"/>
        <v>*</v>
      </c>
      <c r="FK13" s="30"/>
      <c r="FL13" s="88">
        <v>236</v>
      </c>
      <c r="FM13" s="88">
        <v>235.97826499999928</v>
      </c>
      <c r="FN13" s="28">
        <v>4.3429368323391992</v>
      </c>
      <c r="FO13" s="29">
        <v>5.9944601085566512E-2</v>
      </c>
      <c r="FP13" s="30">
        <f t="shared" si="15"/>
        <v>-5.4836053859030063</v>
      </c>
      <c r="FQ13" s="30" t="str">
        <f t="shared" si="16"/>
        <v>*</v>
      </c>
      <c r="FR13" s="30"/>
      <c r="FS13" s="88">
        <v>431</v>
      </c>
      <c r="FT13" s="88">
        <v>430.4711347799971</v>
      </c>
      <c r="FU13" s="28">
        <v>4.111351163799867</v>
      </c>
      <c r="FV13" s="29">
        <v>4.4374320271828395E-2</v>
      </c>
      <c r="FW13" s="30">
        <f t="shared" si="17"/>
        <v>-2.740251387589653</v>
      </c>
      <c r="FX13" s="30" t="str">
        <f t="shared" si="18"/>
        <v>*</v>
      </c>
      <c r="FY13" s="30"/>
      <c r="FZ13" s="88">
        <v>932</v>
      </c>
      <c r="GA13" s="88">
        <v>932.05452891000812</v>
      </c>
      <c r="GB13" s="28">
        <v>4.1940871273074123</v>
      </c>
      <c r="GC13" s="29">
        <v>3.1844386218950166E-2</v>
      </c>
      <c r="GD13" s="30">
        <f t="shared" si="19"/>
        <v>-4.8164621275544235</v>
      </c>
      <c r="GE13" s="30" t="str">
        <f t="shared" si="20"/>
        <v>*</v>
      </c>
      <c r="GF13" s="30"/>
      <c r="GG13" s="88">
        <v>305</v>
      </c>
      <c r="GH13" s="88">
        <v>304.92965367999938</v>
      </c>
      <c r="GI13" s="28">
        <v>4.3999038996317825</v>
      </c>
      <c r="GJ13" s="29">
        <v>4.4690972029285014E-2</v>
      </c>
      <c r="GK13" s="30">
        <f t="shared" si="21"/>
        <v>-7.5353489805834837</v>
      </c>
      <c r="GL13" s="30" t="str">
        <f t="shared" si="22"/>
        <v>*</v>
      </c>
      <c r="GM13" s="10"/>
      <c r="GN13" s="88">
        <v>775</v>
      </c>
      <c r="GO13" s="88">
        <v>774.95863683000744</v>
      </c>
      <c r="GP13" s="28">
        <v>4.0835569175341693</v>
      </c>
      <c r="GQ13" s="29">
        <v>3.8694596076013263E-2</v>
      </c>
      <c r="GR13" s="9"/>
      <c r="GS13" s="3">
        <v>541</v>
      </c>
      <c r="GT13" s="3">
        <v>541.04632991999495</v>
      </c>
      <c r="GU13" s="69">
        <v>4.1921681062791247</v>
      </c>
      <c r="GV13" s="9">
        <v>4.12870277635543E-2</v>
      </c>
      <c r="GW13" s="10">
        <f t="shared" si="23"/>
        <v>-1.9194258270548707</v>
      </c>
      <c r="GX13" s="10" t="str">
        <f t="shared" si="68"/>
        <v xml:space="preserve"> </v>
      </c>
      <c r="GY13" s="9"/>
      <c r="GZ13" s="27">
        <v>588</v>
      </c>
      <c r="HA13" s="27">
        <v>588.86605638000265</v>
      </c>
      <c r="HB13" s="28">
        <v>4.3192804282620614</v>
      </c>
      <c r="HC13" s="29">
        <v>3.7289110205454737E-2</v>
      </c>
      <c r="HD13" s="10">
        <f t="shared" si="24"/>
        <v>-4.3865505808551974</v>
      </c>
      <c r="HE13" s="10" t="str">
        <f t="shared" si="69"/>
        <v>*</v>
      </c>
      <c r="HF13" s="9"/>
      <c r="HG13" s="27">
        <v>1136</v>
      </c>
      <c r="HH13" s="27">
        <v>1137.3896987199944</v>
      </c>
      <c r="HI13" s="28">
        <v>4.0828420641456828</v>
      </c>
      <c r="HJ13" s="29">
        <v>3.0560657884540599E-2</v>
      </c>
      <c r="HK13" s="10">
        <f t="shared" si="25"/>
        <v>1.449787504272073E-2</v>
      </c>
      <c r="HL13" s="10" t="str">
        <f t="shared" si="70"/>
        <v xml:space="preserve"> </v>
      </c>
      <c r="HM13" s="29"/>
      <c r="HN13" s="8">
        <v>1146</v>
      </c>
      <c r="HO13" s="8">
        <v>1149.3236244699947</v>
      </c>
      <c r="HP13" s="69">
        <v>4.0228013636386084</v>
      </c>
      <c r="HQ13" s="9">
        <v>3.1452656150372078E-2</v>
      </c>
      <c r="HR13" s="10">
        <f t="shared" si="26"/>
        <v>1.2183950957180227</v>
      </c>
      <c r="HS13" s="10" t="str">
        <f t="shared" si="71"/>
        <v xml:space="preserve"> </v>
      </c>
      <c r="HT13" s="9"/>
      <c r="HU13" s="88">
        <v>3875</v>
      </c>
      <c r="HV13" s="88">
        <v>3875.8455713898461</v>
      </c>
      <c r="HW13" s="28">
        <v>4.2082772254856664</v>
      </c>
      <c r="HX13" s="29">
        <v>1.5676403590740417E-2</v>
      </c>
      <c r="HY13" s="30">
        <f t="shared" si="27"/>
        <v>-2.9873479893969912</v>
      </c>
      <c r="HZ13" s="30" t="str">
        <f t="shared" si="72"/>
        <v>*</v>
      </c>
      <c r="IA13" s="30"/>
      <c r="IB13" s="88">
        <v>908</v>
      </c>
      <c r="IC13" s="88">
        <v>908.04726714000105</v>
      </c>
      <c r="ID13" s="28">
        <v>4.2324115570378789</v>
      </c>
      <c r="IE13" s="29">
        <v>2.7569878916015731E-2</v>
      </c>
      <c r="IF13" s="30">
        <f t="shared" si="28"/>
        <v>-3.1330043784990704</v>
      </c>
      <c r="IG13" s="30" t="str">
        <f t="shared" si="29"/>
        <v>*</v>
      </c>
      <c r="IH13" s="30"/>
      <c r="II13" s="88">
        <v>466</v>
      </c>
      <c r="IJ13" s="88">
        <v>465.69449178000252</v>
      </c>
      <c r="IK13" s="28">
        <v>4.3423760643390255</v>
      </c>
      <c r="IL13" s="29">
        <v>4.1664257587214037E-2</v>
      </c>
      <c r="IM13" s="30">
        <f t="shared" si="30"/>
        <v>-4.5517805594228431</v>
      </c>
      <c r="IN13" s="30" t="str">
        <f t="shared" si="31"/>
        <v>*</v>
      </c>
      <c r="IO13" s="30"/>
      <c r="IP13" s="88">
        <v>670</v>
      </c>
      <c r="IQ13" s="88">
        <v>669.83534084000712</v>
      </c>
      <c r="IR13" s="28">
        <v>4.1791058156614351</v>
      </c>
      <c r="IS13" s="29">
        <v>4.1553204430556996E-2</v>
      </c>
      <c r="IT13" s="30">
        <f t="shared" si="32"/>
        <v>-1.682798707631592</v>
      </c>
      <c r="IU13" s="30" t="str">
        <f t="shared" si="33"/>
        <v xml:space="preserve"> </v>
      </c>
      <c r="IV13" s="30"/>
      <c r="IW13" s="88">
        <v>236</v>
      </c>
      <c r="IX13" s="88">
        <v>235.97826499999928</v>
      </c>
      <c r="IY13" s="28">
        <v>4.3429368323391992</v>
      </c>
      <c r="IZ13" s="29">
        <v>5.9944601085566512E-2</v>
      </c>
      <c r="JA13" s="30">
        <f t="shared" si="34"/>
        <v>-3.6353874738064436</v>
      </c>
      <c r="JB13" s="30" t="str">
        <f t="shared" si="73"/>
        <v>*</v>
      </c>
      <c r="JC13" s="30"/>
      <c r="JD13" s="88">
        <v>820</v>
      </c>
      <c r="JE13" s="88">
        <v>821.33156980000717</v>
      </c>
      <c r="JF13" s="28">
        <v>4.2083407519227212</v>
      </c>
      <c r="JG13" s="29">
        <v>3.429333105529847E-2</v>
      </c>
      <c r="JH13" s="30">
        <f t="shared" si="35"/>
        <v>-2.4134267745187525</v>
      </c>
      <c r="JI13" s="30" t="str">
        <f t="shared" si="36"/>
        <v>*</v>
      </c>
      <c r="JK13" s="27"/>
      <c r="JL13" s="27"/>
      <c r="JM13" s="28"/>
      <c r="JN13" s="29"/>
    </row>
    <row r="14" spans="1:274" x14ac:dyDescent="0.2">
      <c r="B14" s="7" t="s">
        <v>17</v>
      </c>
      <c r="C14" s="27">
        <v>2602</v>
      </c>
      <c r="D14" s="27">
        <v>2596.9793284099328</v>
      </c>
      <c r="E14" s="28">
        <v>4.0252996336325371</v>
      </c>
      <c r="F14" s="29">
        <v>2.1244577537007099E-2</v>
      </c>
      <c r="G14" s="29"/>
      <c r="H14" s="3">
        <v>826</v>
      </c>
      <c r="I14" s="3">
        <v>825.56896630001029</v>
      </c>
      <c r="J14" s="28">
        <v>4.0462833186320584</v>
      </c>
      <c r="K14" s="29">
        <v>3.9105700942848619E-2</v>
      </c>
      <c r="L14" s="30">
        <f t="shared" si="37"/>
        <v>-0.47150325487256156</v>
      </c>
      <c r="M14" s="30" t="str">
        <f t="shared" si="38"/>
        <v xml:space="preserve"> </v>
      </c>
      <c r="N14" s="9"/>
      <c r="O14" s="27">
        <v>698</v>
      </c>
      <c r="P14" s="27">
        <v>699.75255642000195</v>
      </c>
      <c r="Q14" s="28">
        <v>3.6609524639484134</v>
      </c>
      <c r="R14" s="29">
        <v>4.0310430698369801E-2</v>
      </c>
      <c r="S14" s="30">
        <f t="shared" si="39"/>
        <v>7.9960265694269337</v>
      </c>
      <c r="T14" s="30" t="str">
        <f t="shared" si="40"/>
        <v>*</v>
      </c>
      <c r="U14" s="30"/>
      <c r="V14" s="27">
        <v>730</v>
      </c>
      <c r="W14" s="27">
        <v>743.9353902300079</v>
      </c>
      <c r="X14" s="28">
        <v>3.9238492956592825</v>
      </c>
      <c r="Y14" s="29">
        <v>3.6801558938377173E-2</v>
      </c>
      <c r="Z14" s="30">
        <f t="shared" si="41"/>
        <v>2.3874390041072573</v>
      </c>
      <c r="AA14" s="30" t="str">
        <f t="shared" si="42"/>
        <v>*</v>
      </c>
      <c r="AB14" s="9"/>
      <c r="AC14" s="8">
        <v>1125</v>
      </c>
      <c r="AD14" s="8">
        <v>1131.5165976600022</v>
      </c>
      <c r="AE14" s="69">
        <v>3.6931987732589029</v>
      </c>
      <c r="AF14" s="9">
        <v>3.1030642459669581E-2</v>
      </c>
      <c r="AG14" s="30">
        <f t="shared" si="43"/>
        <v>8.8309930072396625</v>
      </c>
      <c r="AH14" s="30" t="str">
        <f t="shared" si="44"/>
        <v>*</v>
      </c>
      <c r="AI14" s="9"/>
      <c r="AJ14" s="81">
        <v>4372</v>
      </c>
      <c r="AK14" s="83">
        <v>4.2296802725320815</v>
      </c>
      <c r="AL14" s="84">
        <v>1.4349972709588547E-2</v>
      </c>
      <c r="AM14" s="30">
        <f t="shared" si="45"/>
        <v>-7.9721085292267286</v>
      </c>
      <c r="AN14" s="30" t="str">
        <f t="shared" si="46"/>
        <v>*</v>
      </c>
      <c r="AO14" s="9"/>
      <c r="AP14" s="78">
        <v>421</v>
      </c>
      <c r="AQ14" s="79">
        <v>4.4546835821679904</v>
      </c>
      <c r="AR14" s="80">
        <v>4.2535720785951144E-2</v>
      </c>
      <c r="AS14" s="30">
        <f t="shared" si="74"/>
        <v>-9.0309213355142628</v>
      </c>
      <c r="AT14" s="30" t="str">
        <f t="shared" si="75"/>
        <v>*</v>
      </c>
      <c r="AU14" s="80"/>
      <c r="AV14" s="78">
        <v>580</v>
      </c>
      <c r="AW14" s="79">
        <v>4.3371507821642323</v>
      </c>
      <c r="AX14" s="80">
        <v>3.4971090863331618E-2</v>
      </c>
      <c r="AY14" s="30">
        <f t="shared" si="76"/>
        <v>-7.6213078902807583</v>
      </c>
      <c r="AZ14" s="30" t="str">
        <f t="shared" si="77"/>
        <v>*</v>
      </c>
      <c r="BA14" s="80"/>
      <c r="BB14" s="78">
        <v>590</v>
      </c>
      <c r="BC14" s="79">
        <v>4.3446400999091503</v>
      </c>
      <c r="BD14" s="80">
        <v>3.5630190762024609E-2</v>
      </c>
      <c r="BE14" s="30">
        <f t="shared" si="78"/>
        <v>-7.6980970997239675</v>
      </c>
      <c r="BF14" s="30" t="str">
        <f t="shared" si="79"/>
        <v>*</v>
      </c>
      <c r="BG14" s="80"/>
      <c r="BH14" s="78">
        <v>934</v>
      </c>
      <c r="BI14" s="79">
        <v>4.2944267622072374</v>
      </c>
      <c r="BJ14" s="80">
        <v>3.1122607014843349E-2</v>
      </c>
      <c r="BK14" s="30">
        <f t="shared" si="80"/>
        <v>-7.142021349598112</v>
      </c>
      <c r="BL14" s="30" t="str">
        <f t="shared" si="81"/>
        <v>*</v>
      </c>
      <c r="BM14" s="80"/>
      <c r="BN14" s="78">
        <v>1040</v>
      </c>
      <c r="BO14" s="79">
        <v>4.222927162454936</v>
      </c>
      <c r="BP14" s="80">
        <v>2.973072570687537E-2</v>
      </c>
      <c r="BQ14" s="30">
        <f t="shared" si="82"/>
        <v>-5.4083707039852777</v>
      </c>
      <c r="BR14" s="30" t="str">
        <f t="shared" si="83"/>
        <v>*</v>
      </c>
      <c r="BS14" s="9"/>
      <c r="BT14" s="27">
        <v>9535</v>
      </c>
      <c r="BU14" s="27">
        <v>9609.3921880890994</v>
      </c>
      <c r="BV14" s="28">
        <v>4.2571169545605683</v>
      </c>
      <c r="BW14" s="29">
        <v>1.0000566202179798E-2</v>
      </c>
      <c r="BX14" s="30">
        <f t="shared" si="57"/>
        <v>-9.8726739114657374</v>
      </c>
      <c r="BY14" s="30" t="str">
        <f t="shared" si="58"/>
        <v>*</v>
      </c>
      <c r="BZ14" s="30"/>
      <c r="CA14" s="27">
        <v>265</v>
      </c>
      <c r="CB14" s="27">
        <v>265</v>
      </c>
      <c r="CC14" s="28">
        <v>4.0415094339622648</v>
      </c>
      <c r="CD14" s="29">
        <v>5.640043523010653E-2</v>
      </c>
      <c r="CE14" s="30">
        <f t="shared" si="59"/>
        <v>-0.26895792700860754</v>
      </c>
      <c r="CF14" s="30" t="str">
        <f t="shared" si="0"/>
        <v xml:space="preserve"> </v>
      </c>
      <c r="CG14" s="30"/>
      <c r="CH14" s="27">
        <v>2644</v>
      </c>
      <c r="CI14" s="27">
        <v>2720.5140563799155</v>
      </c>
      <c r="CJ14" s="28">
        <v>4.0895721829073208</v>
      </c>
      <c r="CK14" s="29">
        <v>1.9478697056296401E-2</v>
      </c>
      <c r="CL14" s="30">
        <f t="shared" si="60"/>
        <v>-2.2299231848477201</v>
      </c>
      <c r="CM14" s="30" t="str">
        <f t="shared" si="1"/>
        <v>*</v>
      </c>
      <c r="CN14" s="30"/>
      <c r="CO14" s="27">
        <v>2280</v>
      </c>
      <c r="CP14" s="27">
        <v>2280.9549238500413</v>
      </c>
      <c r="CQ14" s="28">
        <v>4.2672443455879847</v>
      </c>
      <c r="CR14" s="29">
        <v>1.9320583892570509E-2</v>
      </c>
      <c r="CS14" s="30">
        <f t="shared" si="61"/>
        <v>-8.4253894169331929</v>
      </c>
      <c r="CT14" s="30" t="str">
        <f t="shared" si="2"/>
        <v>*</v>
      </c>
      <c r="CU14" s="30"/>
      <c r="CV14" s="27">
        <v>483</v>
      </c>
      <c r="CW14" s="27">
        <v>484.93497528000279</v>
      </c>
      <c r="CX14" s="28">
        <v>4.9026915113871627</v>
      </c>
      <c r="CY14" s="29">
        <v>1.6857905603044843E-2</v>
      </c>
      <c r="CZ14" s="30">
        <f t="shared" si="62"/>
        <v>-32.351621637686769</v>
      </c>
      <c r="DA14" s="30" t="str">
        <f t="shared" si="3"/>
        <v>*</v>
      </c>
      <c r="DB14" s="30"/>
      <c r="DC14" s="27">
        <v>875</v>
      </c>
      <c r="DD14" s="27">
        <v>875.00890416998902</v>
      </c>
      <c r="DE14" s="28">
        <v>4.8251729224914559</v>
      </c>
      <c r="DF14" s="29">
        <v>1.735038171215526E-2</v>
      </c>
      <c r="DG14" s="30">
        <f t="shared" si="63"/>
        <v>-29.161246777425834</v>
      </c>
      <c r="DH14" s="30" t="str">
        <f t="shared" si="4"/>
        <v>*</v>
      </c>
      <c r="DI14" s="30"/>
      <c r="DJ14" s="27">
        <v>386</v>
      </c>
      <c r="DK14" s="27">
        <v>386</v>
      </c>
      <c r="DL14" s="28">
        <v>4.9870466321243487</v>
      </c>
      <c r="DM14" s="29">
        <v>5.7627505464479855E-3</v>
      </c>
      <c r="DN14" s="30">
        <f t="shared" si="64"/>
        <v>-43.691344444980707</v>
      </c>
      <c r="DO14" s="30" t="str">
        <f t="shared" si="5"/>
        <v>*</v>
      </c>
      <c r="DP14" s="8"/>
      <c r="DQ14" s="27">
        <v>784</v>
      </c>
      <c r="DR14" s="27">
        <v>783.52993020000361</v>
      </c>
      <c r="DS14" s="28">
        <v>3.9019660046548661</v>
      </c>
      <c r="DT14" s="29">
        <v>4.2124503906554138E-2</v>
      </c>
      <c r="DU14" s="29"/>
      <c r="DV14" s="27">
        <v>508</v>
      </c>
      <c r="DW14" s="27">
        <v>507.74989121999749</v>
      </c>
      <c r="DX14" s="28">
        <v>3.9458524849627437</v>
      </c>
      <c r="DY14" s="29">
        <v>5.1701556253909035E-2</v>
      </c>
      <c r="DZ14" s="10">
        <f t="shared" si="6"/>
        <v>-0.65806920063255647</v>
      </c>
      <c r="EA14" s="10" t="str">
        <f t="shared" si="7"/>
        <v xml:space="preserve"> </v>
      </c>
      <c r="EB14" s="29"/>
      <c r="EC14" s="27">
        <v>569</v>
      </c>
      <c r="ED14" s="27">
        <v>569.91723133999949</v>
      </c>
      <c r="EE14" s="28">
        <v>4.0692129375124422</v>
      </c>
      <c r="EF14" s="29">
        <v>4.5546041400758207E-2</v>
      </c>
      <c r="EG14" s="10">
        <f t="shared" si="8"/>
        <v>-2.6958080228745294</v>
      </c>
      <c r="EH14" s="10" t="str">
        <f t="shared" si="9"/>
        <v>*</v>
      </c>
      <c r="EI14" s="29"/>
      <c r="EJ14" s="27">
        <v>530</v>
      </c>
      <c r="EK14" s="27">
        <v>534.72687020000251</v>
      </c>
      <c r="EL14" s="28">
        <v>3.991924064750318</v>
      </c>
      <c r="EM14" s="29">
        <v>4.8285550255577701E-2</v>
      </c>
      <c r="EN14" s="10">
        <f t="shared" si="10"/>
        <v>-1.4038874481527224</v>
      </c>
      <c r="EO14" s="10" t="str">
        <f t="shared" si="65"/>
        <v xml:space="preserve"> </v>
      </c>
      <c r="EP14" s="29"/>
      <c r="EQ14" s="8">
        <v>635</v>
      </c>
      <c r="ER14" s="8">
        <v>634.90057169999807</v>
      </c>
      <c r="ES14" s="69">
        <v>4.0100128160429511</v>
      </c>
      <c r="ET14" s="9">
        <v>4.4758809756465311E-2</v>
      </c>
      <c r="EU14" s="10">
        <f t="shared" si="11"/>
        <v>-1.7578873606333745</v>
      </c>
      <c r="EV14" s="10" t="str">
        <f t="shared" si="66"/>
        <v xml:space="preserve"> </v>
      </c>
      <c r="EW14" s="29"/>
      <c r="EX14" s="88">
        <v>3577</v>
      </c>
      <c r="EY14" s="88">
        <v>3575.9911732798641</v>
      </c>
      <c r="EZ14" s="28">
        <v>4.1674949401484813</v>
      </c>
      <c r="FA14" s="29">
        <v>1.6395383526978915E-2</v>
      </c>
      <c r="FB14" s="30">
        <f t="shared" si="12"/>
        <v>-5.8741854613495663</v>
      </c>
      <c r="FC14" s="30" t="str">
        <f t="shared" si="67"/>
        <v>*</v>
      </c>
      <c r="FD14" s="30"/>
      <c r="FE14" s="27">
        <v>912</v>
      </c>
      <c r="FF14" s="27">
        <v>912.05262174000086</v>
      </c>
      <c r="FG14" s="28">
        <v>4.1842541111930558</v>
      </c>
      <c r="FH14" s="29">
        <v>2.9169905744621614E-2</v>
      </c>
      <c r="FI14" s="30">
        <f t="shared" si="13"/>
        <v>-5.5093248120182281</v>
      </c>
      <c r="FJ14" s="30" t="str">
        <f t="shared" si="14"/>
        <v>*</v>
      </c>
      <c r="FK14" s="30"/>
      <c r="FL14" s="88">
        <v>236</v>
      </c>
      <c r="FM14" s="88">
        <v>235.97826499999928</v>
      </c>
      <c r="FN14" s="28">
        <v>4.3984077890393873</v>
      </c>
      <c r="FO14" s="29">
        <v>5.5445395142485823E-2</v>
      </c>
      <c r="FP14" s="30">
        <f t="shared" si="15"/>
        <v>-7.1294693819724131</v>
      </c>
      <c r="FQ14" s="30" t="str">
        <f t="shared" si="16"/>
        <v>*</v>
      </c>
      <c r="FR14" s="30"/>
      <c r="FS14" s="88">
        <v>421</v>
      </c>
      <c r="FT14" s="88">
        <v>420.44278642999734</v>
      </c>
      <c r="FU14" s="28">
        <v>4.1685727516740263</v>
      </c>
      <c r="FV14" s="29">
        <v>4.2619008713017874E-2</v>
      </c>
      <c r="FW14" s="30">
        <f t="shared" si="17"/>
        <v>-4.4491011372370188</v>
      </c>
      <c r="FX14" s="30" t="str">
        <f t="shared" si="18"/>
        <v>*</v>
      </c>
      <c r="FY14" s="30"/>
      <c r="FZ14" s="88">
        <v>919</v>
      </c>
      <c r="GA14" s="88">
        <v>919.05020469000806</v>
      </c>
      <c r="GB14" s="28">
        <v>4.2371157468960057</v>
      </c>
      <c r="GC14" s="29">
        <v>3.2341592005643946E-2</v>
      </c>
      <c r="GD14" s="30">
        <f t="shared" si="19"/>
        <v>-6.3107285843407128</v>
      </c>
      <c r="GE14" s="30" t="str">
        <f t="shared" si="20"/>
        <v>*</v>
      </c>
      <c r="GF14" s="30"/>
      <c r="GG14" s="88">
        <v>305</v>
      </c>
      <c r="GH14" s="88">
        <v>304.93736521999938</v>
      </c>
      <c r="GI14" s="28">
        <v>4.4096300229717054</v>
      </c>
      <c r="GJ14" s="29">
        <v>4.3792266863537266E-2</v>
      </c>
      <c r="GK14" s="30">
        <f t="shared" si="21"/>
        <v>-8.3547148028235938</v>
      </c>
      <c r="GL14" s="30" t="str">
        <f t="shared" si="22"/>
        <v>*</v>
      </c>
      <c r="GM14" s="10"/>
      <c r="GN14" s="88">
        <v>774</v>
      </c>
      <c r="GO14" s="88">
        <v>773.97018795000747</v>
      </c>
      <c r="GP14" s="28">
        <v>4.0515556483198569</v>
      </c>
      <c r="GQ14" s="29">
        <v>3.9683144179299273E-2</v>
      </c>
      <c r="GR14" s="9"/>
      <c r="GS14" s="3">
        <v>538</v>
      </c>
      <c r="GT14" s="3">
        <v>538.02240835999487</v>
      </c>
      <c r="GU14" s="69">
        <v>4.0983941606100869</v>
      </c>
      <c r="GV14" s="9">
        <v>4.4494281047320616E-2</v>
      </c>
      <c r="GW14" s="10">
        <f t="shared" si="23"/>
        <v>-0.78562313134217066</v>
      </c>
      <c r="GX14" s="10" t="str">
        <f t="shared" si="68"/>
        <v xml:space="preserve"> </v>
      </c>
      <c r="GY14" s="9"/>
      <c r="GZ14" s="27">
        <v>581</v>
      </c>
      <c r="HA14" s="27">
        <v>581.93522065000252</v>
      </c>
      <c r="HB14" s="28">
        <v>4.2213332574476858</v>
      </c>
      <c r="HC14" s="29">
        <v>3.949157811751549E-2</v>
      </c>
      <c r="HD14" s="10">
        <f t="shared" si="24"/>
        <v>-3.0325473542243029</v>
      </c>
      <c r="HE14" s="10" t="str">
        <f t="shared" si="69"/>
        <v>*</v>
      </c>
      <c r="HF14" s="9"/>
      <c r="HG14" s="27">
        <v>1113</v>
      </c>
      <c r="HH14" s="27">
        <v>1114.743577359995</v>
      </c>
      <c r="HI14" s="28">
        <v>3.9930539717050073</v>
      </c>
      <c r="HJ14" s="29">
        <v>3.2699469154131258E-2</v>
      </c>
      <c r="HK14" s="10">
        <f t="shared" si="25"/>
        <v>1.1377241973936612</v>
      </c>
      <c r="HL14" s="10" t="str">
        <f t="shared" si="70"/>
        <v xml:space="preserve"> </v>
      </c>
      <c r="HM14" s="29"/>
      <c r="HN14" s="8">
        <v>1139</v>
      </c>
      <c r="HO14" s="8">
        <v>1142.0224408999941</v>
      </c>
      <c r="HP14" s="69">
        <v>3.9579162991822403</v>
      </c>
      <c r="HQ14" s="9">
        <v>3.3544602090034292E-2</v>
      </c>
      <c r="HR14" s="10">
        <f t="shared" si="26"/>
        <v>1.8020926969344138</v>
      </c>
      <c r="HS14" s="10" t="str">
        <f t="shared" si="71"/>
        <v xml:space="preserve"> </v>
      </c>
      <c r="HT14" s="9"/>
      <c r="HU14" s="88">
        <v>3866</v>
      </c>
      <c r="HV14" s="88">
        <v>3866.7645459898463</v>
      </c>
      <c r="HW14" s="28">
        <v>4.1786802766401951</v>
      </c>
      <c r="HX14" s="29">
        <v>1.6110046372638187E-2</v>
      </c>
      <c r="HY14" s="30">
        <f t="shared" si="27"/>
        <v>-2.9682209536601687</v>
      </c>
      <c r="HZ14" s="30" t="str">
        <f t="shared" si="72"/>
        <v>*</v>
      </c>
      <c r="IA14" s="30"/>
      <c r="IB14" s="88">
        <v>912</v>
      </c>
      <c r="IC14" s="88">
        <v>912.05262174000086</v>
      </c>
      <c r="ID14" s="28">
        <v>4.1842541111930558</v>
      </c>
      <c r="IE14" s="29">
        <v>2.9169905744621614E-2</v>
      </c>
      <c r="IF14" s="30">
        <f t="shared" si="28"/>
        <v>-2.6943445813086555</v>
      </c>
      <c r="IG14" s="30" t="str">
        <f t="shared" si="29"/>
        <v>*</v>
      </c>
      <c r="IH14" s="30"/>
      <c r="II14" s="88">
        <v>457</v>
      </c>
      <c r="IJ14" s="88">
        <v>456.66221814000244</v>
      </c>
      <c r="IK14" s="28">
        <v>4.3160434386007296</v>
      </c>
      <c r="IL14" s="29">
        <v>4.2588649086970236E-2</v>
      </c>
      <c r="IM14" s="30">
        <f t="shared" si="30"/>
        <v>-4.5435886067414328</v>
      </c>
      <c r="IN14" s="30" t="str">
        <f t="shared" si="31"/>
        <v>*</v>
      </c>
      <c r="IO14" s="30"/>
      <c r="IP14" s="88">
        <v>665</v>
      </c>
      <c r="IQ14" s="88">
        <v>664.82402182000703</v>
      </c>
      <c r="IR14" s="28">
        <v>4.1998976315810346</v>
      </c>
      <c r="IS14" s="29">
        <v>4.1590553008684923E-2</v>
      </c>
      <c r="IT14" s="30">
        <f t="shared" si="32"/>
        <v>-2.580533446264949</v>
      </c>
      <c r="IU14" s="30" t="str">
        <f t="shared" si="33"/>
        <v>*</v>
      </c>
      <c r="IV14" s="30"/>
      <c r="IW14" s="88">
        <v>236</v>
      </c>
      <c r="IX14" s="88">
        <v>235.97826499999928</v>
      </c>
      <c r="IY14" s="28">
        <v>4.3984077890393873</v>
      </c>
      <c r="IZ14" s="29">
        <v>5.5445395142485823E-2</v>
      </c>
      <c r="JA14" s="30">
        <f t="shared" si="34"/>
        <v>-5.0870643616841091</v>
      </c>
      <c r="JB14" s="30" t="str">
        <f t="shared" si="73"/>
        <v>*</v>
      </c>
      <c r="JC14" s="30"/>
      <c r="JD14" s="88">
        <v>822</v>
      </c>
      <c r="JE14" s="88">
        <v>823.27723134000712</v>
      </c>
      <c r="JF14" s="28">
        <v>4.1357078158206289</v>
      </c>
      <c r="JG14" s="29">
        <v>3.6151384271541555E-2</v>
      </c>
      <c r="JH14" s="30">
        <f t="shared" si="35"/>
        <v>-1.567627392103111</v>
      </c>
      <c r="JI14" s="30" t="str">
        <f t="shared" si="36"/>
        <v xml:space="preserve"> </v>
      </c>
      <c r="JK14" s="27"/>
      <c r="JL14" s="27"/>
      <c r="JM14" s="28"/>
      <c r="JN14" s="29"/>
    </row>
    <row r="15" spans="1:274" x14ac:dyDescent="0.2">
      <c r="A15" s="73"/>
      <c r="B15" s="7" t="s">
        <v>18</v>
      </c>
      <c r="C15" s="27">
        <v>2720</v>
      </c>
      <c r="D15" s="27">
        <v>2713.9562300399293</v>
      </c>
      <c r="E15" s="28">
        <v>3.9347494753563508</v>
      </c>
      <c r="F15" s="29">
        <v>2.062356838523419E-2</v>
      </c>
      <c r="G15" s="29"/>
      <c r="H15" s="3">
        <v>858</v>
      </c>
      <c r="I15" s="3">
        <v>857.61315900001159</v>
      </c>
      <c r="J15" s="28">
        <v>3.8650460496024146</v>
      </c>
      <c r="K15" s="29">
        <v>3.9214867169649795E-2</v>
      </c>
      <c r="L15" s="30">
        <f t="shared" si="37"/>
        <v>1.5731813052667785</v>
      </c>
      <c r="M15" s="30" t="str">
        <f t="shared" si="38"/>
        <v xml:space="preserve"> </v>
      </c>
      <c r="N15" s="9"/>
      <c r="O15" s="27">
        <v>512</v>
      </c>
      <c r="P15" s="27">
        <v>512.43557712000086</v>
      </c>
      <c r="Q15" s="28">
        <v>3.7971565697210372</v>
      </c>
      <c r="R15" s="29">
        <v>4.9526373121239572E-2</v>
      </c>
      <c r="S15" s="30">
        <f t="shared" si="39"/>
        <v>2.5646970369935906</v>
      </c>
      <c r="T15" s="30" t="str">
        <f t="shared" si="40"/>
        <v>*</v>
      </c>
      <c r="U15" s="30"/>
      <c r="V15" s="27">
        <v>742</v>
      </c>
      <c r="W15" s="27">
        <v>776.9970283900077</v>
      </c>
      <c r="X15" s="28">
        <v>3.4370528604641586</v>
      </c>
      <c r="Y15" s="29">
        <v>4.2221530210718894E-2</v>
      </c>
      <c r="Z15" s="30">
        <f t="shared" si="41"/>
        <v>10.591713280684905</v>
      </c>
      <c r="AA15" s="30" t="str">
        <f t="shared" si="42"/>
        <v>*</v>
      </c>
      <c r="AB15" s="9"/>
      <c r="AC15" s="8">
        <v>907</v>
      </c>
      <c r="AD15" s="8">
        <v>944.94858233999685</v>
      </c>
      <c r="AE15" s="69">
        <v>3.266639466219492</v>
      </c>
      <c r="AF15" s="9">
        <v>3.8671077498977947E-2</v>
      </c>
      <c r="AG15" s="30">
        <f t="shared" si="43"/>
        <v>15.244343814165722</v>
      </c>
      <c r="AH15" s="30" t="str">
        <f t="shared" si="44"/>
        <v>*</v>
      </c>
      <c r="AI15" s="9"/>
      <c r="AJ15" s="81">
        <v>3919</v>
      </c>
      <c r="AK15" s="83">
        <v>4.0254629342846266</v>
      </c>
      <c r="AL15" s="84">
        <v>1.6513574240797049E-2</v>
      </c>
      <c r="AM15" s="30">
        <f t="shared" si="45"/>
        <v>-3.4334819927863616</v>
      </c>
      <c r="AN15" s="30" t="str">
        <f t="shared" si="46"/>
        <v>*</v>
      </c>
      <c r="AO15" s="9"/>
      <c r="AP15" s="78">
        <v>42</v>
      </c>
      <c r="AQ15" s="79">
        <v>4.1904761904761907</v>
      </c>
      <c r="AR15" s="80">
        <v>0.1332221413254959</v>
      </c>
      <c r="AS15" s="30">
        <f t="shared" si="74"/>
        <v>-1.8969555946325931</v>
      </c>
      <c r="AT15" s="30" t="str">
        <f t="shared" si="75"/>
        <v xml:space="preserve"> </v>
      </c>
      <c r="AU15" s="80"/>
      <c r="AV15" s="78">
        <v>527</v>
      </c>
      <c r="AW15" s="79">
        <v>3.9539319483256214</v>
      </c>
      <c r="AX15" s="80">
        <v>4.6686808602220325E-2</v>
      </c>
      <c r="AY15" s="30">
        <f t="shared" si="76"/>
        <v>-0.37583878211657096</v>
      </c>
      <c r="AZ15" s="30" t="str">
        <f t="shared" si="77"/>
        <v xml:space="preserve"> </v>
      </c>
      <c r="BA15" s="80"/>
      <c r="BB15" s="78">
        <v>586</v>
      </c>
      <c r="BC15" s="79">
        <v>4.0893214248928746</v>
      </c>
      <c r="BD15" s="80">
        <v>4.24539186645774E-2</v>
      </c>
      <c r="BE15" s="30">
        <f t="shared" si="78"/>
        <v>-3.2749567576048819</v>
      </c>
      <c r="BF15" s="30" t="str">
        <f t="shared" si="79"/>
        <v>*</v>
      </c>
      <c r="BG15" s="80"/>
      <c r="BH15" s="78">
        <v>933</v>
      </c>
      <c r="BI15" s="79">
        <v>3.9549639779778403</v>
      </c>
      <c r="BJ15" s="80">
        <v>3.8636000779478465E-2</v>
      </c>
      <c r="BK15" s="30">
        <f t="shared" si="80"/>
        <v>-0.46156258032346875</v>
      </c>
      <c r="BL15" s="30" t="str">
        <f t="shared" si="81"/>
        <v xml:space="preserve"> </v>
      </c>
      <c r="BM15" s="80"/>
      <c r="BN15" s="78">
        <v>1069</v>
      </c>
      <c r="BO15" s="79">
        <v>3.9330757678175159</v>
      </c>
      <c r="BP15" s="80">
        <v>3.3630747876515835E-2</v>
      </c>
      <c r="BQ15" s="30">
        <f t="shared" si="82"/>
        <v>4.2425279572719354E-2</v>
      </c>
      <c r="BR15" s="30" t="str">
        <f t="shared" si="83"/>
        <v xml:space="preserve"> </v>
      </c>
      <c r="BS15" s="9"/>
      <c r="BT15" s="27">
        <v>10203</v>
      </c>
      <c r="BU15" s="27">
        <v>10281.689874889096</v>
      </c>
      <c r="BV15" s="28">
        <v>4.190201292653863</v>
      </c>
      <c r="BW15" s="29">
        <v>9.8511051330395106E-3</v>
      </c>
      <c r="BX15" s="30">
        <f t="shared" si="57"/>
        <v>-11.176799318663761</v>
      </c>
      <c r="BY15" s="30" t="str">
        <f t="shared" si="58"/>
        <v>*</v>
      </c>
      <c r="BZ15" s="30"/>
      <c r="CA15" s="27">
        <v>446</v>
      </c>
      <c r="CB15" s="27">
        <v>446</v>
      </c>
      <c r="CC15" s="28">
        <v>3.9439461883408056</v>
      </c>
      <c r="CD15" s="29">
        <v>4.9260089628764256E-2</v>
      </c>
      <c r="CE15" s="30">
        <f t="shared" si="59"/>
        <v>-0.17221318539546079</v>
      </c>
      <c r="CF15" s="30" t="str">
        <f t="shared" si="0"/>
        <v xml:space="preserve"> </v>
      </c>
      <c r="CG15" s="30"/>
      <c r="CH15" s="27">
        <v>2622</v>
      </c>
      <c r="CI15" s="27">
        <v>2704.594866859914</v>
      </c>
      <c r="CJ15" s="28">
        <v>4.0014436535866587</v>
      </c>
      <c r="CK15" s="29">
        <v>1.9527272777439538E-2</v>
      </c>
      <c r="CL15" s="30">
        <f t="shared" si="60"/>
        <v>-2.3482614336780729</v>
      </c>
      <c r="CM15" s="30" t="str">
        <f t="shared" si="1"/>
        <v>*</v>
      </c>
      <c r="CN15" s="30"/>
      <c r="CO15" s="27">
        <v>2478</v>
      </c>
      <c r="CP15" s="27">
        <v>2478.0934980900074</v>
      </c>
      <c r="CQ15" s="28">
        <v>4.1758670408303411</v>
      </c>
      <c r="CR15" s="29">
        <v>1.9527842094005401E-2</v>
      </c>
      <c r="CS15" s="30">
        <f t="shared" si="61"/>
        <v>-8.4894857630238185</v>
      </c>
      <c r="CT15" s="30" t="str">
        <f t="shared" si="2"/>
        <v>*</v>
      </c>
      <c r="CU15" s="30"/>
      <c r="CV15" s="27">
        <v>508</v>
      </c>
      <c r="CW15" s="27">
        <v>510.03512928000322</v>
      </c>
      <c r="CX15" s="28">
        <v>4.9350393700787309</v>
      </c>
      <c r="CY15" s="29">
        <v>1.1610071759064311E-2</v>
      </c>
      <c r="CZ15" s="30">
        <f t="shared" si="62"/>
        <v>-42.265233387029269</v>
      </c>
      <c r="DA15" s="30" t="str">
        <f t="shared" si="3"/>
        <v>*</v>
      </c>
      <c r="DB15" s="30"/>
      <c r="DC15" s="27">
        <v>886</v>
      </c>
      <c r="DD15" s="27">
        <v>886.01015061998839</v>
      </c>
      <c r="DE15" s="28">
        <v>4.7935071373144273</v>
      </c>
      <c r="DF15" s="29">
        <v>1.6792538300325937E-2</v>
      </c>
      <c r="DG15" s="30">
        <f t="shared" si="63"/>
        <v>-32.28957841445424</v>
      </c>
      <c r="DH15" s="30" t="str">
        <f t="shared" si="4"/>
        <v>*</v>
      </c>
      <c r="DI15" s="30"/>
      <c r="DJ15" s="27">
        <v>543</v>
      </c>
      <c r="DK15" s="27">
        <v>543</v>
      </c>
      <c r="DL15" s="28">
        <v>4.9907918968692435</v>
      </c>
      <c r="DM15" s="29">
        <v>4.1027652378416869E-3</v>
      </c>
      <c r="DN15" s="30">
        <f t="shared" si="64"/>
        <v>-50.221484809572971</v>
      </c>
      <c r="DO15" s="30" t="str">
        <f t="shared" si="5"/>
        <v>*</v>
      </c>
      <c r="DP15" s="8"/>
      <c r="DQ15" s="27">
        <v>826</v>
      </c>
      <c r="DR15" s="27">
        <v>823.99741750000373</v>
      </c>
      <c r="DS15" s="28">
        <v>3.8940568531818225</v>
      </c>
      <c r="DT15" s="29">
        <v>4.0241382373635753E-2</v>
      </c>
      <c r="DU15" s="29"/>
      <c r="DV15" s="27">
        <v>539</v>
      </c>
      <c r="DW15" s="27">
        <v>538.60085810999556</v>
      </c>
      <c r="DX15" s="28">
        <v>3.8523604076142051</v>
      </c>
      <c r="DY15" s="29">
        <v>5.1806623869765187E-2</v>
      </c>
      <c r="DZ15" s="10">
        <f t="shared" si="6"/>
        <v>0.63562133891106853</v>
      </c>
      <c r="EA15" s="10" t="str">
        <f t="shared" si="7"/>
        <v xml:space="preserve"> </v>
      </c>
      <c r="EB15" s="29"/>
      <c r="EC15" s="27">
        <v>593</v>
      </c>
      <c r="ED15" s="27">
        <v>594.09115509999958</v>
      </c>
      <c r="EE15" s="28">
        <v>3.8798220405453061</v>
      </c>
      <c r="EF15" s="29">
        <v>4.7946696770596521E-2</v>
      </c>
      <c r="EG15" s="10">
        <f t="shared" si="8"/>
        <v>0.22740783829291122</v>
      </c>
      <c r="EH15" s="10" t="str">
        <f t="shared" si="9"/>
        <v xml:space="preserve"> </v>
      </c>
      <c r="EI15" s="29"/>
      <c r="EJ15" s="27">
        <v>539</v>
      </c>
      <c r="EK15" s="27">
        <v>546.62796239000215</v>
      </c>
      <c r="EL15" s="28">
        <v>3.9315439410080844</v>
      </c>
      <c r="EM15" s="29">
        <v>4.6950219005342554E-2</v>
      </c>
      <c r="EN15" s="10">
        <f t="shared" si="10"/>
        <v>-0.60623395443933292</v>
      </c>
      <c r="EO15" s="10" t="str">
        <f t="shared" si="65"/>
        <v xml:space="preserve"> </v>
      </c>
      <c r="EP15" s="29"/>
      <c r="EQ15" s="8">
        <v>628</v>
      </c>
      <c r="ER15" s="8">
        <v>627.22114302999785</v>
      </c>
      <c r="ES15" s="69">
        <v>3.9477823723196264</v>
      </c>
      <c r="ET15" s="9">
        <v>4.276478985831457E-2</v>
      </c>
      <c r="EU15" s="10">
        <f t="shared" si="11"/>
        <v>-0.91492320378886438</v>
      </c>
      <c r="EV15" s="10" t="str">
        <f t="shared" si="66"/>
        <v xml:space="preserve"> </v>
      </c>
      <c r="EW15" s="29"/>
      <c r="EX15" s="88">
        <v>3229</v>
      </c>
      <c r="EY15" s="88">
        <v>3224.9265256198805</v>
      </c>
      <c r="EZ15" s="28">
        <v>4.0392887710009582</v>
      </c>
      <c r="FA15" s="29">
        <v>1.8884568217683605E-2</v>
      </c>
      <c r="FB15" s="30">
        <f t="shared" si="12"/>
        <v>-3.2671499455538613</v>
      </c>
      <c r="FC15" s="30" t="str">
        <f t="shared" si="67"/>
        <v>*</v>
      </c>
      <c r="FD15" s="30"/>
      <c r="FE15" s="27">
        <v>932</v>
      </c>
      <c r="FF15" s="27">
        <v>932.07083630000045</v>
      </c>
      <c r="FG15" s="28">
        <v>4.2177762576563032</v>
      </c>
      <c r="FH15" s="29">
        <v>2.894282532910698E-2</v>
      </c>
      <c r="FI15" s="30">
        <f t="shared" si="13"/>
        <v>-6.5307221332850665</v>
      </c>
      <c r="FJ15" s="30" t="str">
        <f t="shared" si="14"/>
        <v>*</v>
      </c>
      <c r="FK15" s="30"/>
      <c r="FL15" s="88">
        <v>18</v>
      </c>
      <c r="FM15" s="88">
        <v>18.248275800000009</v>
      </c>
      <c r="FN15" s="28">
        <v>4.4444444444444446</v>
      </c>
      <c r="FO15" s="29">
        <v>0.183414461705876</v>
      </c>
      <c r="FP15" s="30" t="str">
        <f t="shared" si="15"/>
        <v>NV</v>
      </c>
      <c r="FQ15" s="30"/>
      <c r="FR15" s="30"/>
      <c r="FS15" s="88">
        <v>409</v>
      </c>
      <c r="FT15" s="88">
        <v>406.2750293199976</v>
      </c>
      <c r="FU15" s="28">
        <v>4.0415647921760387</v>
      </c>
      <c r="FV15" s="29">
        <v>5.427550206534433E-2</v>
      </c>
      <c r="FW15" s="30">
        <f t="shared" si="17"/>
        <v>-2.1831598677111135</v>
      </c>
      <c r="FX15" s="30" t="str">
        <f t="shared" si="18"/>
        <v>*</v>
      </c>
      <c r="FY15" s="30"/>
      <c r="FZ15" s="88">
        <v>947</v>
      </c>
      <c r="GA15" s="88">
        <v>947.092466700008</v>
      </c>
      <c r="GB15" s="28">
        <v>3.9683033046133289</v>
      </c>
      <c r="GC15" s="29">
        <v>3.7186774801647206E-2</v>
      </c>
      <c r="GD15" s="30">
        <f t="shared" si="19"/>
        <v>-1.3550461219490262</v>
      </c>
      <c r="GE15" s="30" t="str">
        <f t="shared" si="20"/>
        <v xml:space="preserve"> </v>
      </c>
      <c r="GF15" s="30"/>
      <c r="GG15" s="88">
        <v>97</v>
      </c>
      <c r="GH15" s="88">
        <v>97.242499999999865</v>
      </c>
      <c r="GI15" s="28">
        <v>4.1649484536082477</v>
      </c>
      <c r="GJ15" s="29">
        <v>9.8926055046690581E-2</v>
      </c>
      <c r="GK15" s="30">
        <f t="shared" si="21"/>
        <v>-2.5364945549049942</v>
      </c>
      <c r="GL15" s="30" t="str">
        <f t="shared" si="22"/>
        <v>*</v>
      </c>
      <c r="GM15" s="10"/>
      <c r="GN15" s="88">
        <v>764</v>
      </c>
      <c r="GO15" s="88">
        <v>764.08569915000783</v>
      </c>
      <c r="GP15" s="28">
        <v>4.0902011503509001</v>
      </c>
      <c r="GQ15" s="29">
        <v>3.7615613729273363E-2</v>
      </c>
      <c r="GR15" s="9"/>
      <c r="GS15" s="3">
        <v>518</v>
      </c>
      <c r="GT15" s="3">
        <v>517.7974784599943</v>
      </c>
      <c r="GU15" s="69">
        <v>4.040766021945057</v>
      </c>
      <c r="GV15" s="9">
        <v>4.8603400742683663E-2</v>
      </c>
      <c r="GW15" s="10">
        <f t="shared" si="23"/>
        <v>0.80435773244971054</v>
      </c>
      <c r="GX15" s="10" t="str">
        <f t="shared" si="68"/>
        <v xml:space="preserve"> </v>
      </c>
      <c r="GY15" s="9"/>
      <c r="GZ15" s="27">
        <v>579</v>
      </c>
      <c r="HA15" s="27">
        <v>580.11393080000244</v>
      </c>
      <c r="HB15" s="28">
        <v>4.3010874218606112</v>
      </c>
      <c r="HC15" s="29">
        <v>3.5507477471203815E-2</v>
      </c>
      <c r="HD15" s="10">
        <f t="shared" si="24"/>
        <v>-4.0768839873034093</v>
      </c>
      <c r="HE15" s="10" t="str">
        <f t="shared" si="69"/>
        <v>*</v>
      </c>
      <c r="HF15" s="9"/>
      <c r="HG15" s="27">
        <v>1095</v>
      </c>
      <c r="HH15" s="27">
        <v>1099.1939669099966</v>
      </c>
      <c r="HI15" s="28">
        <v>3.9792416991114461</v>
      </c>
      <c r="HJ15" s="29">
        <v>3.2335819013823666E-2</v>
      </c>
      <c r="HK15" s="10">
        <f t="shared" si="25"/>
        <v>2.236913146173455</v>
      </c>
      <c r="HL15" s="10" t="str">
        <f t="shared" si="70"/>
        <v>*</v>
      </c>
      <c r="HM15" s="29"/>
      <c r="HN15" s="8">
        <v>1107</v>
      </c>
      <c r="HO15" s="8">
        <v>1112.3400799199924</v>
      </c>
      <c r="HP15" s="69">
        <v>4.0432981595012398</v>
      </c>
      <c r="HQ15" s="9">
        <v>3.1666299707228333E-2</v>
      </c>
      <c r="HR15" s="10">
        <f t="shared" si="26"/>
        <v>0.95389445852950605</v>
      </c>
      <c r="HS15" s="10" t="str">
        <f t="shared" si="71"/>
        <v xml:space="preserve"> </v>
      </c>
      <c r="HT15" s="9"/>
      <c r="HU15" s="88">
        <v>3647</v>
      </c>
      <c r="HV15" s="88">
        <v>3646.698450179857</v>
      </c>
      <c r="HW15" s="28">
        <v>4.1826991502730761</v>
      </c>
      <c r="HX15" s="29">
        <v>1.6010397775047033E-2</v>
      </c>
      <c r="HY15" s="30">
        <f t="shared" si="27"/>
        <v>-2.2626083882990091</v>
      </c>
      <c r="HZ15" s="30" t="str">
        <f t="shared" si="72"/>
        <v>*</v>
      </c>
      <c r="IA15" s="30"/>
      <c r="IB15" s="88">
        <v>932</v>
      </c>
      <c r="IC15" s="88">
        <v>932.07083630000045</v>
      </c>
      <c r="ID15" s="28">
        <v>4.2177762576563032</v>
      </c>
      <c r="IE15" s="29">
        <v>2.894282532910698E-2</v>
      </c>
      <c r="IF15" s="30">
        <f t="shared" si="28"/>
        <v>-2.6879539650425515</v>
      </c>
      <c r="IG15" s="30" t="str">
        <f t="shared" si="29"/>
        <v>*</v>
      </c>
      <c r="IH15" s="30"/>
      <c r="II15" s="88">
        <v>435</v>
      </c>
      <c r="IJ15" s="88">
        <v>434.64708720000237</v>
      </c>
      <c r="IK15" s="28">
        <v>4.237823643420473</v>
      </c>
      <c r="IL15" s="29">
        <v>4.2966841066017142E-2</v>
      </c>
      <c r="IM15" s="30">
        <f t="shared" si="30"/>
        <v>-2.5850655148435995</v>
      </c>
      <c r="IN15" s="30" t="str">
        <f>IF(ABS(IM15)&gt;=1.96,"*"," ")</f>
        <v>*</v>
      </c>
      <c r="IO15" s="30"/>
      <c r="IP15" s="88">
        <v>675</v>
      </c>
      <c r="IQ15" s="88">
        <v>675.14691126000696</v>
      </c>
      <c r="IR15" s="28">
        <v>4.2082073800466011</v>
      </c>
      <c r="IS15" s="29">
        <v>3.9723006338035716E-2</v>
      </c>
      <c r="IT15" s="30">
        <f t="shared" si="32"/>
        <v>-2.1570605753619558</v>
      </c>
      <c r="IU15" s="30" t="str">
        <f t="shared" si="33"/>
        <v>*</v>
      </c>
      <c r="IV15" s="30"/>
      <c r="IW15" s="88">
        <v>18</v>
      </c>
      <c r="IX15" s="88">
        <v>18.248275800000009</v>
      </c>
      <c r="IY15" s="28">
        <v>4.4444444444444446</v>
      </c>
      <c r="IZ15" s="29">
        <v>0.183414461705876</v>
      </c>
      <c r="JA15" s="30" t="str">
        <f t="shared" si="34"/>
        <v>NV</v>
      </c>
      <c r="JB15" s="30"/>
      <c r="JC15" s="30"/>
      <c r="JD15" s="88">
        <v>823</v>
      </c>
      <c r="JE15" s="88">
        <v>822.49964047000753</v>
      </c>
      <c r="JF15" s="28">
        <v>4.1730020601816724</v>
      </c>
      <c r="JG15" s="29">
        <v>3.3722868998233693E-2</v>
      </c>
      <c r="JH15" s="30">
        <f t="shared" si="35"/>
        <v>-1.6390063075755246</v>
      </c>
      <c r="JI15" s="30" t="str">
        <f t="shared" si="36"/>
        <v xml:space="preserve"> </v>
      </c>
      <c r="JK15" s="27"/>
      <c r="JL15" s="27"/>
      <c r="JM15" s="28"/>
      <c r="JN15" s="29"/>
    </row>
    <row r="16" spans="1:274" x14ac:dyDescent="0.2">
      <c r="B16" s="7" t="s">
        <v>19</v>
      </c>
      <c r="C16" s="27">
        <v>2677</v>
      </c>
      <c r="D16" s="27">
        <v>2671.4055170299298</v>
      </c>
      <c r="E16" s="28">
        <v>3.8661898803378154</v>
      </c>
      <c r="F16" s="29">
        <v>2.0927703382400482E-2</v>
      </c>
      <c r="G16" s="29"/>
      <c r="H16" s="3">
        <v>846</v>
      </c>
      <c r="I16" s="3">
        <v>845.65495440001109</v>
      </c>
      <c r="J16" s="28">
        <v>3.8457062771274377</v>
      </c>
      <c r="K16" s="29">
        <v>3.9382675578365986E-2</v>
      </c>
      <c r="L16" s="30">
        <f t="shared" si="37"/>
        <v>0.45929625431861421</v>
      </c>
      <c r="M16" s="30" t="str">
        <f t="shared" si="38"/>
        <v xml:space="preserve"> </v>
      </c>
      <c r="N16" s="9"/>
      <c r="O16" s="27">
        <v>504</v>
      </c>
      <c r="P16" s="27">
        <v>504.11766408000079</v>
      </c>
      <c r="Q16" s="28">
        <v>3.8066277358522984</v>
      </c>
      <c r="R16" s="29">
        <v>4.8473725376514426E-2</v>
      </c>
      <c r="S16" s="30">
        <f t="shared" si="39"/>
        <v>1.128105148172222</v>
      </c>
      <c r="T16" s="30" t="str">
        <f t="shared" si="40"/>
        <v xml:space="preserve"> </v>
      </c>
      <c r="U16" s="30"/>
      <c r="V16" s="27">
        <v>738</v>
      </c>
      <c r="W16" s="27">
        <v>770.43251364000764</v>
      </c>
      <c r="X16" s="28">
        <v>3.699419381840618</v>
      </c>
      <c r="Y16" s="29">
        <v>3.6914744243784305E-2</v>
      </c>
      <c r="Z16" s="30">
        <f t="shared" si="41"/>
        <v>3.9300901337426248</v>
      </c>
      <c r="AA16" s="30" t="str">
        <f t="shared" si="42"/>
        <v>*</v>
      </c>
      <c r="AB16" s="9"/>
      <c r="AC16" s="8">
        <v>903</v>
      </c>
      <c r="AD16" s="8">
        <v>941.56894113999692</v>
      </c>
      <c r="AE16" s="69">
        <v>3.6013022176522878</v>
      </c>
      <c r="AF16" s="9">
        <v>3.406109375629051E-2</v>
      </c>
      <c r="AG16" s="30">
        <f t="shared" si="43"/>
        <v>6.6260712805493451</v>
      </c>
      <c r="AH16" s="30" t="str">
        <f t="shared" si="44"/>
        <v>*</v>
      </c>
      <c r="AI16" s="9"/>
      <c r="AJ16" s="81">
        <v>3942</v>
      </c>
      <c r="AK16" s="83">
        <v>4.0749342597576304</v>
      </c>
      <c r="AL16" s="84">
        <v>1.5864474482765845E-2</v>
      </c>
      <c r="AM16" s="30">
        <f t="shared" si="45"/>
        <v>-7.9487771207948654</v>
      </c>
      <c r="AN16" s="30" t="str">
        <f t="shared" si="46"/>
        <v>*</v>
      </c>
      <c r="AO16" s="9"/>
      <c r="AP16" s="78">
        <v>41</v>
      </c>
      <c r="AQ16" s="79">
        <v>4.3658536585365848</v>
      </c>
      <c r="AR16" s="80">
        <v>0.1195498951279806</v>
      </c>
      <c r="AS16" s="30">
        <f t="shared" si="74"/>
        <v>-4.1169381165206378</v>
      </c>
      <c r="AT16" s="30" t="str">
        <f t="shared" si="75"/>
        <v>*</v>
      </c>
      <c r="AU16" s="80"/>
      <c r="AV16" s="78">
        <v>528</v>
      </c>
      <c r="AW16" s="79">
        <v>4.1750623650872161</v>
      </c>
      <c r="AX16" s="80">
        <v>4.0850004756087299E-2</v>
      </c>
      <c r="AY16" s="30">
        <f t="shared" si="76"/>
        <v>-6.7294370375175907</v>
      </c>
      <c r="AZ16" s="30" t="str">
        <f t="shared" si="77"/>
        <v>*</v>
      </c>
      <c r="BA16" s="80"/>
      <c r="BB16" s="78">
        <v>595</v>
      </c>
      <c r="BC16" s="79">
        <v>4.2158674629223771</v>
      </c>
      <c r="BD16" s="80">
        <v>3.9093228324214503E-2</v>
      </c>
      <c r="BE16" s="30">
        <f t="shared" si="78"/>
        <v>-7.8858498550163283</v>
      </c>
      <c r="BF16" s="30" t="str">
        <f t="shared" si="79"/>
        <v>*</v>
      </c>
      <c r="BG16" s="80"/>
      <c r="BH16" s="78">
        <v>937</v>
      </c>
      <c r="BI16" s="79">
        <v>4.157939067749199</v>
      </c>
      <c r="BJ16" s="80">
        <v>3.2363600741764392E-2</v>
      </c>
      <c r="BK16" s="30">
        <f t="shared" si="80"/>
        <v>-7.5699345247261025</v>
      </c>
      <c r="BL16" s="30" t="str">
        <f t="shared" si="81"/>
        <v>*</v>
      </c>
      <c r="BM16" s="80"/>
      <c r="BN16" s="78">
        <v>1067</v>
      </c>
      <c r="BO16" s="79">
        <v>4.0001719614434244</v>
      </c>
      <c r="BP16" s="80">
        <v>3.1728632941468757E-2</v>
      </c>
      <c r="BQ16" s="30">
        <f t="shared" si="82"/>
        <v>-3.5250205488123361</v>
      </c>
      <c r="BR16" s="30" t="str">
        <f t="shared" si="83"/>
        <v>*</v>
      </c>
      <c r="BS16" s="9"/>
      <c r="BT16" s="27">
        <v>10104</v>
      </c>
      <c r="BU16" s="27">
        <v>10180.202788329081</v>
      </c>
      <c r="BV16" s="28">
        <v>4.1734361474030868</v>
      </c>
      <c r="BW16" s="29">
        <v>9.833142126751503E-3</v>
      </c>
      <c r="BX16" s="30">
        <f t="shared" si="57"/>
        <v>-13.287644188299629</v>
      </c>
      <c r="BY16" s="30" t="str">
        <f t="shared" si="58"/>
        <v>*</v>
      </c>
      <c r="BZ16" s="30"/>
      <c r="CA16" s="27">
        <v>410</v>
      </c>
      <c r="CB16" s="27">
        <v>410</v>
      </c>
      <c r="CC16" s="28">
        <v>4.0853658536585336</v>
      </c>
      <c r="CD16" s="29">
        <v>4.5816854757472415E-2</v>
      </c>
      <c r="CE16" s="30">
        <f t="shared" si="59"/>
        <v>-4.3513059384989274</v>
      </c>
      <c r="CF16" s="30" t="str">
        <f t="shared" si="0"/>
        <v>*</v>
      </c>
      <c r="CG16" s="30"/>
      <c r="CH16" s="27">
        <v>2654</v>
      </c>
      <c r="CI16" s="27">
        <v>2733.6422081799101</v>
      </c>
      <c r="CJ16" s="28">
        <v>3.9738848845740047</v>
      </c>
      <c r="CK16" s="29">
        <v>1.9561892313687653E-2</v>
      </c>
      <c r="CL16" s="30">
        <f t="shared" si="60"/>
        <v>-3.7594141305142648</v>
      </c>
      <c r="CM16" s="30" t="str">
        <f t="shared" si="1"/>
        <v>*</v>
      </c>
      <c r="CN16" s="30"/>
      <c r="CO16" s="27">
        <v>2444</v>
      </c>
      <c r="CP16" s="27">
        <v>2444.1778879400131</v>
      </c>
      <c r="CQ16" s="28">
        <v>4.1815039181022486</v>
      </c>
      <c r="CR16" s="29">
        <v>1.8446123109618292E-2</v>
      </c>
      <c r="CS16" s="30">
        <f t="shared" si="61"/>
        <v>-11.302898211119192</v>
      </c>
      <c r="CT16" s="30" t="str">
        <f t="shared" si="2"/>
        <v>*</v>
      </c>
      <c r="CU16" s="30"/>
      <c r="CV16" s="27">
        <v>491</v>
      </c>
      <c r="CW16" s="27">
        <v>492.96702456000293</v>
      </c>
      <c r="CX16" s="28">
        <v>4.9185336048879797</v>
      </c>
      <c r="CY16" s="29">
        <v>1.6116404773792191E-2</v>
      </c>
      <c r="CZ16" s="30">
        <f t="shared" si="62"/>
        <v>-39.840152386024549</v>
      </c>
      <c r="DA16" s="30" t="str">
        <f t="shared" si="3"/>
        <v>*</v>
      </c>
      <c r="DB16" s="30"/>
      <c r="DC16" s="27">
        <v>886</v>
      </c>
      <c r="DD16" s="27">
        <v>886.01015061998828</v>
      </c>
      <c r="DE16" s="28">
        <v>4.8205673300935059</v>
      </c>
      <c r="DF16" s="29">
        <v>1.6459512185964514E-2</v>
      </c>
      <c r="DG16" s="30">
        <f t="shared" si="63"/>
        <v>-35.845322086058495</v>
      </c>
      <c r="DH16" s="30" t="str">
        <f t="shared" si="4"/>
        <v>*</v>
      </c>
      <c r="DI16" s="30"/>
      <c r="DJ16" s="27">
        <v>542</v>
      </c>
      <c r="DK16" s="27">
        <v>542</v>
      </c>
      <c r="DL16" s="28">
        <v>4.9889298892988903</v>
      </c>
      <c r="DM16" s="29">
        <v>5.2015922932765165E-3</v>
      </c>
      <c r="DN16" s="30">
        <f t="shared" si="64"/>
        <v>-52.064403092433118</v>
      </c>
      <c r="DO16" s="30" t="str">
        <f t="shared" si="5"/>
        <v>*</v>
      </c>
      <c r="DP16" s="8"/>
      <c r="DQ16" s="27">
        <v>822</v>
      </c>
      <c r="DR16" s="27">
        <v>820.66948990000367</v>
      </c>
      <c r="DS16" s="28">
        <v>3.9038189339661939</v>
      </c>
      <c r="DT16" s="29">
        <v>3.7879016405249627E-2</v>
      </c>
      <c r="DU16" s="29"/>
      <c r="DV16" s="27">
        <v>545</v>
      </c>
      <c r="DW16" s="27">
        <v>544.57453265999527</v>
      </c>
      <c r="DX16" s="28">
        <v>3.8472760366634207</v>
      </c>
      <c r="DY16" s="29">
        <v>5.0089559497954877E-2</v>
      </c>
      <c r="DZ16" s="10">
        <f t="shared" si="6"/>
        <v>0.90037101570596112</v>
      </c>
      <c r="EA16" s="10" t="str">
        <f t="shared" si="7"/>
        <v xml:space="preserve"> </v>
      </c>
      <c r="EB16" s="29"/>
      <c r="EC16" s="27">
        <v>595</v>
      </c>
      <c r="ED16" s="27">
        <v>596.15080664999971</v>
      </c>
      <c r="EE16" s="28">
        <v>3.9972730314177793</v>
      </c>
      <c r="EF16" s="29">
        <v>4.4615455100339339E-2</v>
      </c>
      <c r="EG16" s="10">
        <f t="shared" si="8"/>
        <v>-1.5967808587614736</v>
      </c>
      <c r="EH16" s="10" t="str">
        <f t="shared" si="9"/>
        <v xml:space="preserve"> </v>
      </c>
      <c r="EI16" s="29"/>
      <c r="EJ16" s="27">
        <v>539</v>
      </c>
      <c r="EK16" s="27">
        <v>546.62796239000215</v>
      </c>
      <c r="EL16" s="28">
        <v>3.9088608909391027</v>
      </c>
      <c r="EM16" s="29">
        <v>4.5516299717044781E-2</v>
      </c>
      <c r="EN16" s="10">
        <f t="shared" si="10"/>
        <v>-8.5144952042013597E-2</v>
      </c>
      <c r="EO16" s="10" t="str">
        <f t="shared" si="65"/>
        <v xml:space="preserve"> </v>
      </c>
      <c r="EP16" s="29"/>
      <c r="EQ16" s="8">
        <v>618</v>
      </c>
      <c r="ER16" s="8">
        <v>617.71085737999738</v>
      </c>
      <c r="ES16" s="69">
        <v>3.9237609086883367</v>
      </c>
      <c r="ET16" s="9">
        <v>4.3332989172029927E-2</v>
      </c>
      <c r="EU16" s="10">
        <f t="shared" si="11"/>
        <v>-0.34648606370036245</v>
      </c>
      <c r="EV16" s="10" t="str">
        <f t="shared" si="66"/>
        <v xml:space="preserve"> </v>
      </c>
      <c r="EW16" s="29"/>
      <c r="EX16" s="88">
        <v>3153</v>
      </c>
      <c r="EY16" s="88">
        <v>3149.702398719895</v>
      </c>
      <c r="EZ16" s="28">
        <v>4.0882180986505086</v>
      </c>
      <c r="FA16" s="29">
        <v>1.7609673346873862E-2</v>
      </c>
      <c r="FB16" s="30">
        <f t="shared" si="12"/>
        <v>-4.4143943727321773</v>
      </c>
      <c r="FC16" s="30" t="str">
        <f t="shared" si="67"/>
        <v>*</v>
      </c>
      <c r="FD16" s="30"/>
      <c r="FE16" s="27">
        <v>895</v>
      </c>
      <c r="FF16" s="27">
        <v>895.04912118000107</v>
      </c>
      <c r="FG16" s="28">
        <v>4.1831646838375391</v>
      </c>
      <c r="FH16" s="29">
        <v>2.9323952567794381E-2</v>
      </c>
      <c r="FI16" s="30">
        <f t="shared" si="13"/>
        <v>-5.8314664065315913</v>
      </c>
      <c r="FJ16" s="30" t="str">
        <f t="shared" si="14"/>
        <v>*</v>
      </c>
      <c r="FK16" s="30"/>
      <c r="FL16" s="88">
        <v>17</v>
      </c>
      <c r="FM16" s="88">
        <v>17.234482700000008</v>
      </c>
      <c r="FN16" s="28">
        <v>4.2352941176470589</v>
      </c>
      <c r="FO16" s="29">
        <v>0.2001754326762902</v>
      </c>
      <c r="FP16" s="30" t="str">
        <f t="shared" si="15"/>
        <v>NV</v>
      </c>
      <c r="FQ16" s="30"/>
      <c r="FR16" s="30"/>
      <c r="FS16" s="88">
        <v>387</v>
      </c>
      <c r="FT16" s="88">
        <v>384.42160475999805</v>
      </c>
      <c r="FU16" s="28">
        <v>4.1343669250645991</v>
      </c>
      <c r="FV16" s="29">
        <v>4.7231169551766664E-2</v>
      </c>
      <c r="FW16" s="30">
        <f t="shared" si="17"/>
        <v>-3.8079269918166379</v>
      </c>
      <c r="FX16" s="30" t="str">
        <f t="shared" si="18"/>
        <v>*</v>
      </c>
      <c r="FY16" s="30"/>
      <c r="FZ16" s="88">
        <v>940</v>
      </c>
      <c r="GA16" s="88">
        <v>940.09770018000791</v>
      </c>
      <c r="GB16" s="28">
        <v>4.1181563497589</v>
      </c>
      <c r="GC16" s="29">
        <v>3.3109284377284109E-2</v>
      </c>
      <c r="GD16" s="30">
        <f t="shared" si="19"/>
        <v>-4.2603775900678666</v>
      </c>
      <c r="GE16" s="30" t="str">
        <f t="shared" si="20"/>
        <v>*</v>
      </c>
      <c r="GF16" s="30"/>
      <c r="GG16" s="88">
        <v>92</v>
      </c>
      <c r="GH16" s="88">
        <v>92.229999999999876</v>
      </c>
      <c r="GI16" s="28">
        <v>4.2826086956521729</v>
      </c>
      <c r="GJ16" s="29">
        <v>9.303825490245464E-2</v>
      </c>
      <c r="GK16" s="30">
        <f t="shared" si="21"/>
        <v>-3.7707912420593024</v>
      </c>
      <c r="GL16" s="30" t="str">
        <f t="shared" si="22"/>
        <v>*</v>
      </c>
      <c r="GM16" s="10"/>
      <c r="GN16" s="88">
        <v>758</v>
      </c>
      <c r="GO16" s="88">
        <v>758.05849950000766</v>
      </c>
      <c r="GP16" s="28">
        <v>3.9986253520926294</v>
      </c>
      <c r="GQ16" s="29">
        <v>3.9538300786271498E-2</v>
      </c>
      <c r="GR16" s="9"/>
      <c r="GS16" s="3">
        <v>514</v>
      </c>
      <c r="GT16" s="3">
        <v>513.79176417999417</v>
      </c>
      <c r="GU16" s="69">
        <v>4.0450966902845913</v>
      </c>
      <c r="GV16" s="9">
        <v>4.8579057956263973E-2</v>
      </c>
      <c r="GW16" s="10">
        <f t="shared" si="23"/>
        <v>-0.74193325600808846</v>
      </c>
      <c r="GX16" s="10" t="str">
        <f t="shared" si="68"/>
        <v xml:space="preserve"> </v>
      </c>
      <c r="GY16" s="9"/>
      <c r="GZ16" s="27">
        <v>583</v>
      </c>
      <c r="HA16" s="27">
        <v>583.59756157000265</v>
      </c>
      <c r="HB16" s="28">
        <v>4.1393294257111881</v>
      </c>
      <c r="HC16" s="29">
        <v>4.0292498349449653E-2</v>
      </c>
      <c r="HD16" s="10">
        <f t="shared" si="24"/>
        <v>-2.4924807439916963</v>
      </c>
      <c r="HE16" s="10" t="str">
        <f t="shared" si="69"/>
        <v>*</v>
      </c>
      <c r="HF16" s="9"/>
      <c r="HG16" s="27">
        <v>1086</v>
      </c>
      <c r="HH16" s="27">
        <v>1089.6544579999963</v>
      </c>
      <c r="HI16" s="28">
        <v>3.9132171327288798</v>
      </c>
      <c r="HJ16" s="29">
        <v>3.257308482693063E-2</v>
      </c>
      <c r="HK16" s="10">
        <f t="shared" si="25"/>
        <v>1.667225434314185</v>
      </c>
      <c r="HL16" s="10" t="str">
        <f t="shared" si="70"/>
        <v xml:space="preserve"> </v>
      </c>
      <c r="HM16" s="29"/>
      <c r="HN16" s="8">
        <v>1110</v>
      </c>
      <c r="HO16" s="8">
        <v>1114.7096712299924</v>
      </c>
      <c r="HP16" s="69">
        <v>3.9607513146255218</v>
      </c>
      <c r="HQ16" s="9">
        <v>3.1902101277415183E-2</v>
      </c>
      <c r="HR16" s="10">
        <f t="shared" si="26"/>
        <v>0.74549684631563118</v>
      </c>
      <c r="HS16" s="10" t="str">
        <f t="shared" si="71"/>
        <v xml:space="preserve"> </v>
      </c>
      <c r="HT16" s="9"/>
      <c r="HU16" s="88">
        <v>3611</v>
      </c>
      <c r="HV16" s="88">
        <v>3610.8035332498562</v>
      </c>
      <c r="HW16" s="28">
        <v>4.128166540374882</v>
      </c>
      <c r="HX16" s="29">
        <v>1.6488136524606119E-2</v>
      </c>
      <c r="HY16" s="30">
        <f t="shared" si="27"/>
        <v>-3.023944136409122</v>
      </c>
      <c r="HZ16" s="30" t="str">
        <f t="shared" si="72"/>
        <v>*</v>
      </c>
      <c r="IA16" s="30"/>
      <c r="IB16" s="88">
        <v>895</v>
      </c>
      <c r="IC16" s="88">
        <v>895.04912118000107</v>
      </c>
      <c r="ID16" s="28">
        <v>4.1831646838375391</v>
      </c>
      <c r="IE16" s="29">
        <v>2.9323952567794381E-2</v>
      </c>
      <c r="IF16" s="30">
        <f t="shared" si="28"/>
        <v>-3.748839733158043</v>
      </c>
      <c r="IG16" s="30" t="str">
        <f t="shared" si="29"/>
        <v>*</v>
      </c>
      <c r="IH16" s="30"/>
      <c r="II16" s="88">
        <v>443</v>
      </c>
      <c r="IJ16" s="88">
        <v>442.61201470000248</v>
      </c>
      <c r="IK16" s="28">
        <v>4.1676447958835805</v>
      </c>
      <c r="IL16" s="29">
        <v>4.6209818144552238E-2</v>
      </c>
      <c r="IM16" s="30">
        <f t="shared" si="30"/>
        <v>-2.779179168481269</v>
      </c>
      <c r="IN16" s="30" t="str">
        <f>IF(ABS(IM16)&gt;=1.96,"*"," ")</f>
        <v>*</v>
      </c>
      <c r="IO16" s="30"/>
      <c r="IP16" s="88">
        <v>675</v>
      </c>
      <c r="IQ16" s="88">
        <v>675.18694478000691</v>
      </c>
      <c r="IR16" s="28">
        <v>4.2055167198548471</v>
      </c>
      <c r="IS16" s="29">
        <v>3.9564487006364377E-2</v>
      </c>
      <c r="IT16" s="30">
        <f t="shared" si="32"/>
        <v>-3.698840083388625</v>
      </c>
      <c r="IU16" s="30" t="str">
        <f t="shared" si="33"/>
        <v>*</v>
      </c>
      <c r="IV16" s="30"/>
      <c r="IW16" s="88">
        <v>17</v>
      </c>
      <c r="IX16" s="88">
        <v>17.234482700000008</v>
      </c>
      <c r="IY16" s="28">
        <v>4.2352941176470589</v>
      </c>
      <c r="IZ16" s="29">
        <v>0.2001754326762902</v>
      </c>
      <c r="JA16" s="30" t="str">
        <f t="shared" si="34"/>
        <v>NV</v>
      </c>
      <c r="JB16" s="30"/>
      <c r="JC16" s="30"/>
      <c r="JD16" s="88">
        <v>823</v>
      </c>
      <c r="JE16" s="88">
        <v>822.66247039000746</v>
      </c>
      <c r="JF16" s="28">
        <v>4.100728907179537</v>
      </c>
      <c r="JG16" s="29">
        <v>3.4318517699771074E-2</v>
      </c>
      <c r="JH16" s="30">
        <f t="shared" si="35"/>
        <v>-1.9502188267070915</v>
      </c>
      <c r="JI16" s="30" t="str">
        <f t="shared" si="36"/>
        <v xml:space="preserve"> </v>
      </c>
      <c r="JK16" s="27"/>
      <c r="JL16" s="27"/>
      <c r="JM16" s="28"/>
      <c r="JN16" s="29"/>
    </row>
    <row r="17" spans="1:274" x14ac:dyDescent="0.2">
      <c r="A17" s="73"/>
      <c r="B17" s="7" t="s">
        <v>20</v>
      </c>
      <c r="C17" s="27">
        <v>2825</v>
      </c>
      <c r="D17" s="27">
        <v>2823.0239375299238</v>
      </c>
      <c r="E17" s="28">
        <v>3.7913102818619819</v>
      </c>
      <c r="F17" s="29">
        <v>2.0946447632054058E-2</v>
      </c>
      <c r="G17" s="29"/>
      <c r="H17" s="3">
        <v>900</v>
      </c>
      <c r="I17" s="3">
        <v>899.97383994001325</v>
      </c>
      <c r="J17" s="28">
        <v>3.7529767455298222</v>
      </c>
      <c r="K17" s="29">
        <v>3.8629178131872631E-2</v>
      </c>
      <c r="L17" s="30">
        <f t="shared" si="37"/>
        <v>0.87235137821557185</v>
      </c>
      <c r="M17" s="30" t="str">
        <f t="shared" si="38"/>
        <v xml:space="preserve"> </v>
      </c>
      <c r="N17" s="9"/>
      <c r="O17" s="27">
        <v>1001</v>
      </c>
      <c r="P17" s="27">
        <v>1001.3789944500068</v>
      </c>
      <c r="Q17" s="28">
        <v>3.3235756043374618</v>
      </c>
      <c r="R17" s="29">
        <v>3.1266976397701839E-2</v>
      </c>
      <c r="S17" s="30">
        <f t="shared" si="39"/>
        <v>12.428252345863106</v>
      </c>
      <c r="T17" s="30" t="str">
        <f t="shared" si="40"/>
        <v>*</v>
      </c>
      <c r="U17" s="30"/>
      <c r="V17" s="27">
        <v>1016</v>
      </c>
      <c r="W17" s="27">
        <v>1020.029688220019</v>
      </c>
      <c r="X17" s="28">
        <v>3.591441850847267</v>
      </c>
      <c r="Y17" s="29">
        <v>3.1967306312550271E-2</v>
      </c>
      <c r="Z17" s="30">
        <f t="shared" si="41"/>
        <v>5.2296098144445873</v>
      </c>
      <c r="AA17" s="30" t="str">
        <f t="shared" si="42"/>
        <v>*</v>
      </c>
      <c r="AB17" s="9"/>
      <c r="AC17" s="8">
        <v>1170</v>
      </c>
      <c r="AD17" s="8">
        <v>1172.2123273200041</v>
      </c>
      <c r="AE17" s="69">
        <v>3.5900938219967826</v>
      </c>
      <c r="AF17" s="9">
        <v>2.9640740412258035E-2</v>
      </c>
      <c r="AG17" s="30">
        <f t="shared" si="43"/>
        <v>5.5439165039217801</v>
      </c>
      <c r="AH17" s="30" t="str">
        <f t="shared" si="44"/>
        <v>*</v>
      </c>
      <c r="AI17" s="9"/>
      <c r="AJ17" s="81">
        <v>4913</v>
      </c>
      <c r="AK17" s="83">
        <v>4.0456668664603548</v>
      </c>
      <c r="AL17" s="84">
        <v>1.4629822232686884E-2</v>
      </c>
      <c r="AM17" s="30">
        <f t="shared" si="45"/>
        <v>-9.9553785715981267</v>
      </c>
      <c r="AN17" s="30" t="str">
        <f t="shared" si="46"/>
        <v>*</v>
      </c>
      <c r="AO17" s="9"/>
      <c r="AP17" s="78">
        <v>498</v>
      </c>
      <c r="AQ17" s="79">
        <v>4.3001755240473019</v>
      </c>
      <c r="AR17" s="80">
        <v>4.4096901710526243E-2</v>
      </c>
      <c r="AS17" s="30">
        <f t="shared" si="74"/>
        <v>-10.423517622336746</v>
      </c>
      <c r="AT17" s="30" t="str">
        <f t="shared" si="75"/>
        <v>*</v>
      </c>
      <c r="AU17" s="80"/>
      <c r="AV17" s="78">
        <v>691</v>
      </c>
      <c r="AW17" s="79">
        <v>4.1170413083352031</v>
      </c>
      <c r="AX17" s="80">
        <v>3.6647680137056091E-2</v>
      </c>
      <c r="AY17" s="30">
        <f t="shared" si="76"/>
        <v>-7.7166517972281694</v>
      </c>
      <c r="AZ17" s="30" t="str">
        <f t="shared" si="77"/>
        <v>*</v>
      </c>
      <c r="BA17" s="80"/>
      <c r="BB17" s="78">
        <v>691</v>
      </c>
      <c r="BC17" s="79">
        <v>4.1658252868096026</v>
      </c>
      <c r="BD17" s="80">
        <v>3.5948564309933685E-2</v>
      </c>
      <c r="BE17" s="30">
        <f t="shared" si="78"/>
        <v>-9.0014826118724915</v>
      </c>
      <c r="BF17" s="30" t="str">
        <f t="shared" si="79"/>
        <v>*</v>
      </c>
      <c r="BG17" s="80"/>
      <c r="BH17" s="78">
        <v>1105</v>
      </c>
      <c r="BI17" s="79">
        <v>4.0732908197402677</v>
      </c>
      <c r="BJ17" s="80">
        <v>3.0877070536767234E-2</v>
      </c>
      <c r="BK17" s="30">
        <f t="shared" si="80"/>
        <v>-7.5574722777362906</v>
      </c>
      <c r="BL17" s="30" t="str">
        <f t="shared" si="81"/>
        <v>*</v>
      </c>
      <c r="BM17" s="80"/>
      <c r="BN17" s="78">
        <v>1192</v>
      </c>
      <c r="BO17" s="79">
        <v>3.9640237136824172</v>
      </c>
      <c r="BP17" s="80">
        <v>3.020881027481391E-2</v>
      </c>
      <c r="BQ17" s="30">
        <f t="shared" si="82"/>
        <v>-4.6983575666340949</v>
      </c>
      <c r="BR17" s="30" t="str">
        <f t="shared" si="83"/>
        <v>*</v>
      </c>
      <c r="BS17" s="9"/>
      <c r="BT17" s="27">
        <v>11014</v>
      </c>
      <c r="BU17" s="27">
        <v>11058.234415289115</v>
      </c>
      <c r="BV17" s="28">
        <v>4.105221635158224</v>
      </c>
      <c r="BW17" s="29">
        <v>9.7900751360828573E-3</v>
      </c>
      <c r="BX17" s="30">
        <f t="shared" si="57"/>
        <v>-13.576657272626539</v>
      </c>
      <c r="BY17" s="30" t="str">
        <f t="shared" si="58"/>
        <v>*</v>
      </c>
      <c r="BZ17" s="30"/>
      <c r="CA17" s="27">
        <v>427</v>
      </c>
      <c r="CB17" s="27">
        <v>427</v>
      </c>
      <c r="CC17" s="28">
        <v>4.0562060889929734</v>
      </c>
      <c r="CD17" s="29">
        <v>4.4030524202166473E-2</v>
      </c>
      <c r="CE17" s="30">
        <f t="shared" si="59"/>
        <v>-5.4327564342884962</v>
      </c>
      <c r="CF17" s="30" t="str">
        <f t="shared" si="0"/>
        <v>*</v>
      </c>
      <c r="CG17" s="30"/>
      <c r="CH17" s="27">
        <v>2958</v>
      </c>
      <c r="CI17" s="27">
        <v>3004.5316782598957</v>
      </c>
      <c r="CJ17" s="28">
        <v>3.9228014887250882</v>
      </c>
      <c r="CK17" s="29">
        <v>1.8999219058291581E-2</v>
      </c>
      <c r="CL17" s="30">
        <f t="shared" si="60"/>
        <v>-4.649718367259922</v>
      </c>
      <c r="CM17" s="30" t="str">
        <f t="shared" si="1"/>
        <v>*</v>
      </c>
      <c r="CN17" s="30"/>
      <c r="CO17" s="27">
        <v>2796</v>
      </c>
      <c r="CP17" s="27">
        <v>2795.7569644599562</v>
      </c>
      <c r="CQ17" s="28">
        <v>4.0597153611391326</v>
      </c>
      <c r="CR17" s="29">
        <v>1.8521284652114254E-2</v>
      </c>
      <c r="CS17" s="30">
        <f t="shared" si="61"/>
        <v>-9.5994249007569845</v>
      </c>
      <c r="CT17" s="30" t="str">
        <f t="shared" si="2"/>
        <v>*</v>
      </c>
      <c r="CU17" s="30"/>
      <c r="CV17" s="27">
        <v>578</v>
      </c>
      <c r="CW17" s="27">
        <v>577.9118624800044</v>
      </c>
      <c r="CX17" s="28">
        <v>4.8957620123222805</v>
      </c>
      <c r="CY17" s="29">
        <v>1.6069000979792185E-2</v>
      </c>
      <c r="CZ17" s="30">
        <f t="shared" si="62"/>
        <v>-41.835098913078518</v>
      </c>
      <c r="DA17" s="30" t="str">
        <f t="shared" si="3"/>
        <v>*</v>
      </c>
      <c r="DB17" s="30"/>
      <c r="DC17" s="27">
        <v>888</v>
      </c>
      <c r="DD17" s="27">
        <v>888.00997255998823</v>
      </c>
      <c r="DE17" s="28">
        <v>4.8277224835786843</v>
      </c>
      <c r="DF17" s="29">
        <v>1.6117150586220905E-2</v>
      </c>
      <c r="DG17" s="30">
        <f t="shared" si="63"/>
        <v>-39.214282429320789</v>
      </c>
      <c r="DH17" s="30" t="str">
        <f t="shared" si="4"/>
        <v>*</v>
      </c>
      <c r="DI17" s="30"/>
      <c r="DJ17" s="27">
        <v>542</v>
      </c>
      <c r="DK17" s="27">
        <v>542</v>
      </c>
      <c r="DL17" s="28">
        <v>4.9981549815498143</v>
      </c>
      <c r="DM17" s="29">
        <v>1.8450184501845022E-3</v>
      </c>
      <c r="DN17" s="30">
        <f t="shared" si="64"/>
        <v>-57.393506745844455</v>
      </c>
      <c r="DO17" s="30" t="str">
        <f t="shared" si="5"/>
        <v>*</v>
      </c>
      <c r="DP17" s="8"/>
      <c r="DQ17" s="27">
        <v>895</v>
      </c>
      <c r="DR17" s="27">
        <v>894.77284755000676</v>
      </c>
      <c r="DS17" s="28">
        <v>3.7973673094278033</v>
      </c>
      <c r="DT17" s="29">
        <v>3.796409152400141E-2</v>
      </c>
      <c r="DU17" s="29"/>
      <c r="DV17" s="27">
        <v>599</v>
      </c>
      <c r="DW17" s="27">
        <v>599.14473727999473</v>
      </c>
      <c r="DX17" s="28">
        <v>3.7239254046177201</v>
      </c>
      <c r="DY17" s="29">
        <v>4.9373815153506542E-2</v>
      </c>
      <c r="DZ17" s="10">
        <f t="shared" si="6"/>
        <v>1.1791837205944911</v>
      </c>
      <c r="EA17" s="10" t="str">
        <f t="shared" si="7"/>
        <v xml:space="preserve"> </v>
      </c>
      <c r="EB17" s="29"/>
      <c r="EC17" s="27">
        <v>650</v>
      </c>
      <c r="ED17" s="27">
        <v>649.87853951000261</v>
      </c>
      <c r="EE17" s="28">
        <v>3.8539831488641743</v>
      </c>
      <c r="EF17" s="29">
        <v>4.3964058561234969E-2</v>
      </c>
      <c r="EG17" s="10">
        <f t="shared" si="8"/>
        <v>-0.97467154665342426</v>
      </c>
      <c r="EH17" s="10" t="str">
        <f t="shared" si="9"/>
        <v xml:space="preserve"> </v>
      </c>
      <c r="EI17" s="29"/>
      <c r="EJ17" s="27">
        <v>594</v>
      </c>
      <c r="EK17" s="27">
        <v>590.91247119000172</v>
      </c>
      <c r="EL17" s="28">
        <v>3.8196712781583204</v>
      </c>
      <c r="EM17" s="29">
        <v>4.6615160802654945E-2</v>
      </c>
      <c r="EN17" s="10">
        <f t="shared" si="10"/>
        <v>-0.37099950089293793</v>
      </c>
      <c r="EO17" s="10" t="str">
        <f t="shared" si="65"/>
        <v xml:space="preserve"> </v>
      </c>
      <c r="EP17" s="29"/>
      <c r="EQ17" s="8">
        <v>692</v>
      </c>
      <c r="ER17" s="8">
        <v>692.16571461999888</v>
      </c>
      <c r="ES17" s="69">
        <v>3.7788390886941858</v>
      </c>
      <c r="ET17" s="9">
        <v>4.1988319263777489E-2</v>
      </c>
      <c r="EU17" s="10">
        <f t="shared" si="11"/>
        <v>0.32731637100954558</v>
      </c>
      <c r="EV17" s="10" t="str">
        <f t="shared" si="66"/>
        <v xml:space="preserve"> </v>
      </c>
      <c r="EW17" s="29"/>
      <c r="EX17" s="88">
        <v>4165</v>
      </c>
      <c r="EY17" s="88">
        <v>4164.7115502397701</v>
      </c>
      <c r="EZ17" s="28">
        <v>4.0579317152891736</v>
      </c>
      <c r="FA17" s="29">
        <v>1.5603905414215143E-2</v>
      </c>
      <c r="FB17" s="30">
        <f t="shared" si="12"/>
        <v>-6.3481448367127946</v>
      </c>
      <c r="FC17" s="30" t="str">
        <f t="shared" si="67"/>
        <v>*</v>
      </c>
      <c r="FD17" s="30"/>
      <c r="FE17" s="27">
        <v>1015</v>
      </c>
      <c r="FF17" s="27">
        <v>1014.9658436400005</v>
      </c>
      <c r="FG17" s="28">
        <v>4.1250608704079852</v>
      </c>
      <c r="FH17" s="29">
        <v>2.9491709760603509E-2</v>
      </c>
      <c r="FI17" s="30">
        <f t="shared" si="13"/>
        <v>-6.8165530108413517</v>
      </c>
      <c r="FJ17" s="30" t="str">
        <f t="shared" si="14"/>
        <v>*</v>
      </c>
      <c r="FK17" s="30"/>
      <c r="FL17" s="88">
        <v>284</v>
      </c>
      <c r="FM17" s="88">
        <v>283.92537235999907</v>
      </c>
      <c r="FN17" s="28">
        <v>4.1933944942418799</v>
      </c>
      <c r="FO17" s="29">
        <v>5.8429434810234895E-2</v>
      </c>
      <c r="FP17" s="30">
        <f t="shared" si="15"/>
        <v>-5.6835313063912727</v>
      </c>
      <c r="FQ17" s="30" t="str">
        <f t="shared" si="16"/>
        <v>*</v>
      </c>
      <c r="FR17" s="30"/>
      <c r="FS17" s="88">
        <v>558</v>
      </c>
      <c r="FT17" s="88">
        <v>558.04959798999846</v>
      </c>
      <c r="FU17" s="28">
        <v>4.0554074286432042</v>
      </c>
      <c r="FV17" s="29">
        <v>3.7839274566026551E-2</v>
      </c>
      <c r="FW17" s="30">
        <f t="shared" si="17"/>
        <v>-4.8140783233529465</v>
      </c>
      <c r="FX17" s="30" t="str">
        <f t="shared" si="18"/>
        <v>*</v>
      </c>
      <c r="FY17" s="30"/>
      <c r="FZ17" s="88">
        <v>1065</v>
      </c>
      <c r="GA17" s="88">
        <v>1064.9761581000114</v>
      </c>
      <c r="GB17" s="28">
        <v>4.0740916376294969</v>
      </c>
      <c r="GC17" s="29">
        <v>3.1371584991059444E-2</v>
      </c>
      <c r="GD17" s="30">
        <f t="shared" si="19"/>
        <v>-5.6189000249952477</v>
      </c>
      <c r="GE17" s="30" t="str">
        <f t="shared" si="20"/>
        <v>*</v>
      </c>
      <c r="GF17" s="30"/>
      <c r="GG17" s="88">
        <v>348</v>
      </c>
      <c r="GH17" s="88">
        <v>348.02173059999927</v>
      </c>
      <c r="GI17" s="28">
        <v>4.3761577663966671</v>
      </c>
      <c r="GJ17" s="29">
        <v>4.4001795206577016E-2</v>
      </c>
      <c r="GK17" s="30">
        <f t="shared" si="21"/>
        <v>-9.959285193885238</v>
      </c>
      <c r="GL17" s="30" t="str">
        <f t="shared" si="22"/>
        <v>*</v>
      </c>
      <c r="GM17" s="10"/>
      <c r="GN17" s="88">
        <v>864</v>
      </c>
      <c r="GO17" s="88">
        <v>863.97071136000841</v>
      </c>
      <c r="GP17" s="28">
        <v>3.8911535991515622</v>
      </c>
      <c r="GQ17" s="29">
        <v>3.851254691311963E-2</v>
      </c>
      <c r="GR17" s="9"/>
      <c r="GS17" s="3">
        <v>612</v>
      </c>
      <c r="GT17" s="3">
        <v>611.95139988999722</v>
      </c>
      <c r="GU17" s="69">
        <v>3.9297930370488219</v>
      </c>
      <c r="GV17" s="9">
        <v>4.3890266459756647E-2</v>
      </c>
      <c r="GW17" s="10">
        <f t="shared" si="23"/>
        <v>-0.66173008863019855</v>
      </c>
      <c r="GX17" s="10" t="str">
        <f t="shared" si="68"/>
        <v xml:space="preserve"> </v>
      </c>
      <c r="GY17" s="9"/>
      <c r="GZ17" s="27">
        <v>659</v>
      </c>
      <c r="HA17" s="27">
        <v>659.00558414000398</v>
      </c>
      <c r="HB17" s="28">
        <v>4.0200141702095147</v>
      </c>
      <c r="HC17" s="29">
        <v>4.0371211765927117E-2</v>
      </c>
      <c r="HD17" s="10">
        <f t="shared" si="24"/>
        <v>-2.3095476832223847</v>
      </c>
      <c r="HE17" s="10" t="str">
        <f t="shared" si="69"/>
        <v>*</v>
      </c>
      <c r="HF17" s="9"/>
      <c r="HG17" s="27">
        <v>1298</v>
      </c>
      <c r="HH17" s="27">
        <v>1298.8374526899913</v>
      </c>
      <c r="HI17" s="28">
        <v>3.8104334781692133</v>
      </c>
      <c r="HJ17" s="29">
        <v>3.0982776977155038E-2</v>
      </c>
      <c r="HK17" s="10">
        <f t="shared" si="25"/>
        <v>1.6330777069766691</v>
      </c>
      <c r="HL17" s="10" t="str">
        <f t="shared" si="70"/>
        <v xml:space="preserve"> </v>
      </c>
      <c r="HM17" s="29"/>
      <c r="HN17" s="8">
        <v>1293</v>
      </c>
      <c r="HO17" s="8">
        <v>1297.9138554000033</v>
      </c>
      <c r="HP17" s="69">
        <v>3.8843180722932282</v>
      </c>
      <c r="HQ17" s="9">
        <v>3.0463127358272668E-2</v>
      </c>
      <c r="HR17" s="10">
        <f t="shared" si="26"/>
        <v>0.13920464262487639</v>
      </c>
      <c r="HS17" s="10" t="str">
        <f t="shared" si="71"/>
        <v xml:space="preserve"> </v>
      </c>
      <c r="HT17" s="9"/>
      <c r="HU17" s="88">
        <v>4382</v>
      </c>
      <c r="HV17" s="88">
        <v>4383.7868416099236</v>
      </c>
      <c r="HW17" s="28">
        <v>4.0701834865440221</v>
      </c>
      <c r="HX17" s="29">
        <v>1.5488380814341434E-2</v>
      </c>
      <c r="HY17" s="30">
        <f t="shared" si="27"/>
        <v>-4.3129012522285857</v>
      </c>
      <c r="HZ17" s="30" t="str">
        <f t="shared" si="72"/>
        <v>*</v>
      </c>
      <c r="IA17" s="30"/>
      <c r="IB17" s="88">
        <v>1015</v>
      </c>
      <c r="IC17" s="88">
        <v>1014.9658436400005</v>
      </c>
      <c r="ID17" s="28">
        <v>4.1250608704079852</v>
      </c>
      <c r="IE17" s="29">
        <v>2.9491709760603509E-2</v>
      </c>
      <c r="IF17" s="30">
        <f t="shared" si="28"/>
        <v>-4.8220850023388833</v>
      </c>
      <c r="IG17" s="30" t="str">
        <f t="shared" si="29"/>
        <v>*</v>
      </c>
      <c r="IH17" s="30"/>
      <c r="II17" s="88">
        <v>525</v>
      </c>
      <c r="IJ17" s="88">
        <v>524.90606342000274</v>
      </c>
      <c r="IK17" s="28">
        <v>4.113047069057238</v>
      </c>
      <c r="IL17" s="29">
        <v>4.4797345930746912E-2</v>
      </c>
      <c r="IM17" s="30">
        <f t="shared" si="30"/>
        <v>-3.7560438929843407</v>
      </c>
      <c r="IN17" s="30" t="str">
        <f t="shared" ref="IN17:IN35" si="84">IF(ABS(IM17)&gt;=1.96,"*"," ")</f>
        <v>*</v>
      </c>
      <c r="IO17" s="30"/>
      <c r="IP17" s="88">
        <v>737</v>
      </c>
      <c r="IQ17" s="88">
        <v>736.89093526000852</v>
      </c>
      <c r="IR17" s="28">
        <v>4.1928172211127315</v>
      </c>
      <c r="IS17" s="29">
        <v>3.6129263307774627E-2</v>
      </c>
      <c r="IT17" s="30">
        <f t="shared" si="32"/>
        <v>-5.712609092371391</v>
      </c>
      <c r="IU17" s="30" t="str">
        <f t="shared" si="33"/>
        <v>*</v>
      </c>
      <c r="IV17" s="30"/>
      <c r="IW17" s="88">
        <v>284</v>
      </c>
      <c r="IX17" s="88">
        <v>283.92537235999907</v>
      </c>
      <c r="IY17" s="28">
        <v>4.1933944942418799</v>
      </c>
      <c r="IZ17" s="29">
        <v>5.8429434810234895E-2</v>
      </c>
      <c r="JA17" s="30">
        <f t="shared" si="34"/>
        <v>-4.3189545697712655</v>
      </c>
      <c r="JB17" s="30" t="str">
        <f t="shared" si="73"/>
        <v>*</v>
      </c>
      <c r="JC17" s="30"/>
      <c r="JD17" s="88">
        <v>957</v>
      </c>
      <c r="JE17" s="88">
        <v>959.12791557000958</v>
      </c>
      <c r="JF17" s="28">
        <v>4.0192290067368521</v>
      </c>
      <c r="JG17" s="29">
        <v>3.3389771553855141E-2</v>
      </c>
      <c r="JH17" s="30">
        <f t="shared" si="35"/>
        <v>-2.5126869876683333</v>
      </c>
      <c r="JI17" s="30" t="str">
        <f t="shared" si="36"/>
        <v>*</v>
      </c>
      <c r="JK17" s="27"/>
      <c r="JL17" s="27"/>
      <c r="JM17" s="28"/>
      <c r="JN17" s="29"/>
    </row>
    <row r="18" spans="1:274" x14ac:dyDescent="0.2">
      <c r="B18" s="7" t="s">
        <v>21</v>
      </c>
      <c r="C18" s="27">
        <v>2854</v>
      </c>
      <c r="D18" s="27">
        <v>2852.3257304499216</v>
      </c>
      <c r="E18" s="28">
        <v>3.9646075812652559</v>
      </c>
      <c r="F18" s="29">
        <v>1.8598507419023188E-2</v>
      </c>
      <c r="G18" s="29"/>
      <c r="H18" s="3">
        <v>905</v>
      </c>
      <c r="I18" s="3">
        <v>904.89194282001347</v>
      </c>
      <c r="J18" s="28">
        <v>3.9463653021279534</v>
      </c>
      <c r="K18" s="29">
        <v>3.3714147715582246E-2</v>
      </c>
      <c r="L18" s="30">
        <f t="shared" si="37"/>
        <v>0.47377777157963064</v>
      </c>
      <c r="M18" s="30" t="str">
        <f t="shared" si="38"/>
        <v xml:space="preserve"> </v>
      </c>
      <c r="N18" s="9"/>
      <c r="O18" s="27">
        <v>1014</v>
      </c>
      <c r="P18" s="27">
        <v>1014.473762940007</v>
      </c>
      <c r="Q18" s="28">
        <v>3.8826372884450433</v>
      </c>
      <c r="R18" s="29">
        <v>2.4984692125413935E-2</v>
      </c>
      <c r="S18" s="30">
        <f t="shared" si="39"/>
        <v>2.6317184991387905</v>
      </c>
      <c r="T18" s="30" t="str">
        <f t="shared" si="40"/>
        <v>*</v>
      </c>
      <c r="U18" s="30"/>
      <c r="V18" s="27">
        <v>1027</v>
      </c>
      <c r="W18" s="27">
        <v>1030.3314535900195</v>
      </c>
      <c r="X18" s="28">
        <v>3.8911812948451252</v>
      </c>
      <c r="Y18" s="29">
        <v>2.6467382940021749E-2</v>
      </c>
      <c r="Z18" s="30">
        <f t="shared" si="41"/>
        <v>2.2698498479139415</v>
      </c>
      <c r="AA18" s="30" t="str">
        <f t="shared" si="42"/>
        <v>*</v>
      </c>
      <c r="AB18" s="9"/>
      <c r="AC18" s="8">
        <v>1182</v>
      </c>
      <c r="AD18" s="8">
        <v>1183.2428396400044</v>
      </c>
      <c r="AE18" s="69">
        <v>3.7207197858551657</v>
      </c>
      <c r="AF18" s="9">
        <v>2.7434154608997879E-2</v>
      </c>
      <c r="AG18" s="30">
        <f t="shared" si="43"/>
        <v>7.3583876058193995</v>
      </c>
      <c r="AH18" s="30" t="str">
        <f t="shared" si="44"/>
        <v>*</v>
      </c>
      <c r="AI18" s="9"/>
      <c r="AJ18" s="81">
        <v>4969</v>
      </c>
      <c r="AK18" s="83">
        <v>4.1280150619985365</v>
      </c>
      <c r="AL18" s="84">
        <v>1.3324194689312046E-2</v>
      </c>
      <c r="AM18" s="30">
        <f t="shared" si="45"/>
        <v>-7.1423157227785961</v>
      </c>
      <c r="AN18" s="30" t="str">
        <f t="shared" si="46"/>
        <v>*</v>
      </c>
      <c r="AO18" s="9"/>
      <c r="AP18" s="78">
        <v>483</v>
      </c>
      <c r="AQ18" s="79">
        <v>4.3298819780052415</v>
      </c>
      <c r="AR18" s="80">
        <v>4.2637292237174315E-2</v>
      </c>
      <c r="AS18" s="30">
        <f t="shared" si="74"/>
        <v>-7.852471013648084</v>
      </c>
      <c r="AT18" s="30" t="str">
        <f t="shared" si="75"/>
        <v>*</v>
      </c>
      <c r="AU18" s="80"/>
      <c r="AV18" s="78">
        <v>692</v>
      </c>
      <c r="AW18" s="79">
        <v>4.1691680934517032</v>
      </c>
      <c r="AX18" s="80">
        <v>3.4756014768384295E-2</v>
      </c>
      <c r="AY18" s="30">
        <f t="shared" si="76"/>
        <v>-5.1893427889000776</v>
      </c>
      <c r="AZ18" s="30" t="str">
        <f t="shared" si="77"/>
        <v>*</v>
      </c>
      <c r="BA18" s="80"/>
      <c r="BB18" s="78">
        <v>692</v>
      </c>
      <c r="BC18" s="79">
        <v>4.2370835851811757</v>
      </c>
      <c r="BD18" s="80">
        <v>3.3560880103308363E-2</v>
      </c>
      <c r="BE18" s="30">
        <f t="shared" si="78"/>
        <v>-7.1013247692434112</v>
      </c>
      <c r="BF18" s="30" t="str">
        <f t="shared" si="79"/>
        <v>*</v>
      </c>
      <c r="BG18" s="80"/>
      <c r="BH18" s="78">
        <v>1111</v>
      </c>
      <c r="BI18" s="79">
        <v>4.0980941095781338</v>
      </c>
      <c r="BJ18" s="80">
        <v>2.9044450876826632E-2</v>
      </c>
      <c r="BK18" s="30">
        <f t="shared" si="80"/>
        <v>-3.87041937820368</v>
      </c>
      <c r="BL18" s="30" t="str">
        <f t="shared" si="81"/>
        <v>*</v>
      </c>
      <c r="BM18" s="80"/>
      <c r="BN18" s="78">
        <v>1219</v>
      </c>
      <c r="BO18" s="79">
        <v>4.0620457041447331</v>
      </c>
      <c r="BP18" s="80">
        <v>2.6751860437689085E-2</v>
      </c>
      <c r="BQ18" s="30">
        <f t="shared" si="82"/>
        <v>-2.9905791643744792</v>
      </c>
      <c r="BR18" s="30" t="str">
        <f t="shared" si="83"/>
        <v>*</v>
      </c>
      <c r="BS18" s="9"/>
      <c r="BT18" s="27">
        <v>11165</v>
      </c>
      <c r="BU18" s="27">
        <v>11209.937455169127</v>
      </c>
      <c r="BV18" s="28">
        <v>4.2154839290237121</v>
      </c>
      <c r="BW18" s="29">
        <v>8.7764145213215187E-3</v>
      </c>
      <c r="BX18" s="30">
        <f t="shared" si="57"/>
        <v>-12.199035871038207</v>
      </c>
      <c r="BY18" s="30" t="str">
        <f t="shared" si="58"/>
        <v>*</v>
      </c>
      <c r="BZ18" s="30"/>
      <c r="CA18" s="27">
        <v>444</v>
      </c>
      <c r="CB18" s="27">
        <v>444</v>
      </c>
      <c r="CC18" s="28">
        <v>4.1441441441441444</v>
      </c>
      <c r="CD18" s="29">
        <v>4.1867245934992539E-2</v>
      </c>
      <c r="CE18" s="30">
        <f t="shared" si="59"/>
        <v>-3.9189561498484315</v>
      </c>
      <c r="CF18" s="30" t="str">
        <f t="shared" si="0"/>
        <v>*</v>
      </c>
      <c r="CG18" s="30"/>
      <c r="CH18" s="27">
        <v>3006</v>
      </c>
      <c r="CI18" s="27">
        <v>3052.7575284598938</v>
      </c>
      <c r="CJ18" s="28">
        <v>4.0206820651890594</v>
      </c>
      <c r="CK18" s="29">
        <v>1.7411923448610058E-2</v>
      </c>
      <c r="CL18" s="30">
        <f t="shared" si="60"/>
        <v>-2.2009811339480523</v>
      </c>
      <c r="CM18" s="30" t="str">
        <f t="shared" si="1"/>
        <v>*</v>
      </c>
      <c r="CN18" s="30"/>
      <c r="CO18" s="27">
        <v>2858</v>
      </c>
      <c r="CP18" s="27">
        <v>2857.6926153799454</v>
      </c>
      <c r="CQ18" s="28">
        <v>4.1820909199363951</v>
      </c>
      <c r="CR18" s="29">
        <v>1.6440467006206265E-2</v>
      </c>
      <c r="CS18" s="30">
        <f t="shared" si="61"/>
        <v>-8.7612779487870718</v>
      </c>
      <c r="CT18" s="30" t="str">
        <f t="shared" si="2"/>
        <v>*</v>
      </c>
      <c r="CU18" s="30"/>
      <c r="CV18" s="27">
        <v>581</v>
      </c>
      <c r="CW18" s="27">
        <v>581.16425076000451</v>
      </c>
      <c r="CX18" s="28">
        <v>4.9378072176450365</v>
      </c>
      <c r="CY18" s="29">
        <v>1.1925599997367033E-2</v>
      </c>
      <c r="CZ18" s="30">
        <f t="shared" si="62"/>
        <v>-44.049062861731848</v>
      </c>
      <c r="DA18" s="30" t="str">
        <f t="shared" si="3"/>
        <v>*</v>
      </c>
      <c r="DB18" s="30"/>
      <c r="DC18" s="27">
        <v>880</v>
      </c>
      <c r="DD18" s="27">
        <v>879.99733011998853</v>
      </c>
      <c r="DE18" s="28">
        <v>4.8897695598954014</v>
      </c>
      <c r="DF18" s="29">
        <v>1.1611734521410653E-2</v>
      </c>
      <c r="DG18" s="30">
        <f t="shared" si="63"/>
        <v>-42.195298784710531</v>
      </c>
      <c r="DH18" s="30" t="str">
        <f t="shared" si="4"/>
        <v>*</v>
      </c>
      <c r="DI18" s="30"/>
      <c r="DJ18" s="27">
        <v>542</v>
      </c>
      <c r="DK18" s="27">
        <v>542</v>
      </c>
      <c r="DL18" s="28">
        <v>4.9981549815498143</v>
      </c>
      <c r="DM18" s="29">
        <v>1.8450184501845022E-3</v>
      </c>
      <c r="DN18" s="30">
        <f t="shared" si="64"/>
        <v>-55.300082307653007</v>
      </c>
      <c r="DO18" s="30" t="str">
        <f t="shared" si="5"/>
        <v>*</v>
      </c>
      <c r="DP18" s="8"/>
      <c r="DQ18" s="27">
        <v>917</v>
      </c>
      <c r="DR18" s="27">
        <v>917.62842929000772</v>
      </c>
      <c r="DS18" s="28">
        <v>3.9558999198277771</v>
      </c>
      <c r="DT18" s="29">
        <v>3.3281691117953219E-2</v>
      </c>
      <c r="DU18" s="29"/>
      <c r="DV18" s="27">
        <v>615</v>
      </c>
      <c r="DW18" s="27">
        <v>615.23075549999544</v>
      </c>
      <c r="DX18" s="28">
        <v>3.8812099798219553</v>
      </c>
      <c r="DY18" s="29">
        <v>4.1418922117896828E-2</v>
      </c>
      <c r="DZ18" s="10">
        <f t="shared" si="6"/>
        <v>1.405696087739327</v>
      </c>
      <c r="EA18" s="10" t="str">
        <f t="shared" si="7"/>
        <v xml:space="preserve"> </v>
      </c>
      <c r="EB18" s="29"/>
      <c r="EC18" s="27">
        <v>655</v>
      </c>
      <c r="ED18" s="27">
        <v>654.82445782000286</v>
      </c>
      <c r="EE18" s="28">
        <v>3.9520132536823511</v>
      </c>
      <c r="EF18" s="29">
        <v>3.9656691039245177E-2</v>
      </c>
      <c r="EG18" s="10">
        <f t="shared" si="8"/>
        <v>7.5072967167514423E-2</v>
      </c>
      <c r="EH18" s="10" t="str">
        <f t="shared" si="9"/>
        <v xml:space="preserve"> </v>
      </c>
      <c r="EI18" s="29"/>
      <c r="EJ18" s="27">
        <v>612</v>
      </c>
      <c r="EK18" s="27">
        <v>604.47467592000191</v>
      </c>
      <c r="EL18" s="28">
        <v>3.9396510558287989</v>
      </c>
      <c r="EM18" s="29">
        <v>4.2010711452428594E-2</v>
      </c>
      <c r="EN18" s="10">
        <f t="shared" si="10"/>
        <v>0.30317098159754219</v>
      </c>
      <c r="EO18" s="10" t="str">
        <f t="shared" si="65"/>
        <v xml:space="preserve"> </v>
      </c>
      <c r="EP18" s="29"/>
      <c r="EQ18" s="8">
        <v>698</v>
      </c>
      <c r="ER18" s="8">
        <v>698.11600032999866</v>
      </c>
      <c r="ES18" s="69">
        <v>3.9422306400785314</v>
      </c>
      <c r="ET18" s="9">
        <v>3.8349165358182009E-2</v>
      </c>
      <c r="EU18" s="10">
        <f t="shared" si="11"/>
        <v>0.26920085028375612</v>
      </c>
      <c r="EV18" s="10" t="str">
        <f t="shared" si="66"/>
        <v xml:space="preserve"> </v>
      </c>
      <c r="EW18" s="29"/>
      <c r="EX18" s="88">
        <v>4213</v>
      </c>
      <c r="EY18" s="88">
        <v>4213.3572612197431</v>
      </c>
      <c r="EZ18" s="28">
        <v>4.1279349193554733</v>
      </c>
      <c r="FA18" s="29">
        <v>1.4178577823958517E-2</v>
      </c>
      <c r="FB18" s="30">
        <f t="shared" si="12"/>
        <v>-4.7555007683448141</v>
      </c>
      <c r="FC18" s="30" t="str">
        <f t="shared" si="67"/>
        <v>*</v>
      </c>
      <c r="FD18" s="30"/>
      <c r="FE18" s="27">
        <v>979</v>
      </c>
      <c r="FF18" s="27">
        <v>978.97328210000023</v>
      </c>
      <c r="FG18" s="28">
        <v>4.193035906715064</v>
      </c>
      <c r="FH18" s="29">
        <v>2.7508095017167215E-2</v>
      </c>
      <c r="FI18" s="30">
        <f t="shared" si="13"/>
        <v>-5.4920166991923649</v>
      </c>
      <c r="FJ18" s="30" t="str">
        <f t="shared" si="14"/>
        <v>*</v>
      </c>
      <c r="FK18" s="30"/>
      <c r="FL18" s="88">
        <v>286</v>
      </c>
      <c r="FM18" s="88">
        <v>285.92316849999901</v>
      </c>
      <c r="FN18" s="28">
        <v>4.3145272096409366</v>
      </c>
      <c r="FO18" s="29">
        <v>4.7998326525785014E-2</v>
      </c>
      <c r="FP18" s="30">
        <f t="shared" si="15"/>
        <v>-6.1400228867602014</v>
      </c>
      <c r="FQ18" s="30" t="str">
        <f t="shared" si="16"/>
        <v>*</v>
      </c>
      <c r="FR18" s="30"/>
      <c r="FS18" s="88">
        <v>585</v>
      </c>
      <c r="FT18" s="88">
        <v>584.86970994999842</v>
      </c>
      <c r="FU18" s="28">
        <v>4.1055167571684859</v>
      </c>
      <c r="FV18" s="29">
        <v>3.3842713726690107E-2</v>
      </c>
      <c r="FW18" s="30">
        <f t="shared" si="17"/>
        <v>-3.1520990174650834</v>
      </c>
      <c r="FX18" s="30" t="str">
        <f t="shared" si="18"/>
        <v>*</v>
      </c>
      <c r="FY18" s="30"/>
      <c r="FZ18" s="88">
        <v>1087</v>
      </c>
      <c r="GA18" s="88">
        <v>1086.9597100200092</v>
      </c>
      <c r="GB18" s="28">
        <v>4.092869636969473</v>
      </c>
      <c r="GC18" s="29">
        <v>2.9818147536128374E-2</v>
      </c>
      <c r="GD18" s="30">
        <f t="shared" si="19"/>
        <v>-3.0651945768860336</v>
      </c>
      <c r="GE18" s="30" t="str">
        <f t="shared" si="20"/>
        <v>*</v>
      </c>
      <c r="GF18" s="30"/>
      <c r="GG18" s="88">
        <v>359</v>
      </c>
      <c r="GH18" s="88">
        <v>359.00296135999923</v>
      </c>
      <c r="GI18" s="28">
        <v>4.3842204751110083</v>
      </c>
      <c r="GJ18" s="29">
        <v>4.1090714757463613E-2</v>
      </c>
      <c r="GK18" s="30">
        <f t="shared" si="21"/>
        <v>-8.1001149960734242</v>
      </c>
      <c r="GL18" s="30" t="str">
        <f t="shared" si="22"/>
        <v>*</v>
      </c>
      <c r="GM18" s="10"/>
      <c r="GN18" s="88">
        <v>889</v>
      </c>
      <c r="GO18" s="88">
        <v>888.99289833000876</v>
      </c>
      <c r="GP18" s="28">
        <v>4.0370296041080129</v>
      </c>
      <c r="GQ18" s="29">
        <v>3.3234263844772481E-2</v>
      </c>
      <c r="GR18" s="9"/>
      <c r="GS18" s="3">
        <v>638</v>
      </c>
      <c r="GT18" s="3">
        <v>637.94927100999803</v>
      </c>
      <c r="GU18" s="69">
        <v>4.070485395067247</v>
      </c>
      <c r="GV18" s="9">
        <v>3.9066388620290091E-2</v>
      </c>
      <c r="GW18" s="10">
        <f t="shared" si="23"/>
        <v>-0.6522824908445779</v>
      </c>
      <c r="GX18" s="10" t="str">
        <f t="shared" si="68"/>
        <v xml:space="preserve"> </v>
      </c>
      <c r="GY18" s="9"/>
      <c r="GZ18" s="27">
        <v>670</v>
      </c>
      <c r="HA18" s="27">
        <v>670.21479529000408</v>
      </c>
      <c r="HB18" s="28">
        <v>4.1469114696988933</v>
      </c>
      <c r="HC18" s="29">
        <v>3.6675865172733142E-2</v>
      </c>
      <c r="HD18" s="10">
        <f t="shared" si="24"/>
        <v>-2.2201141325980616</v>
      </c>
      <c r="HE18" s="10" t="str">
        <f t="shared" si="69"/>
        <v>*</v>
      </c>
      <c r="HF18" s="9"/>
      <c r="HG18" s="27">
        <v>1321</v>
      </c>
      <c r="HH18" s="27">
        <v>1322.1151012599908</v>
      </c>
      <c r="HI18" s="28">
        <v>3.9450636460390012</v>
      </c>
      <c r="HJ18" s="29">
        <v>2.8216898595764428E-2</v>
      </c>
      <c r="HK18" s="10">
        <f t="shared" si="25"/>
        <v>2.1094498677999471</v>
      </c>
      <c r="HL18" s="10" t="str">
        <f t="shared" si="70"/>
        <v>*</v>
      </c>
      <c r="HM18" s="29"/>
      <c r="HN18" s="8">
        <v>1332</v>
      </c>
      <c r="HO18" s="8">
        <v>1337.7485727400056</v>
      </c>
      <c r="HP18" s="69">
        <v>3.9570150303339791</v>
      </c>
      <c r="HQ18" s="9">
        <v>2.7179103812242186E-2</v>
      </c>
      <c r="HR18" s="10">
        <f t="shared" si="26"/>
        <v>1.8637193392150306</v>
      </c>
      <c r="HS18" s="10" t="str">
        <f t="shared" si="71"/>
        <v xml:space="preserve"> </v>
      </c>
      <c r="HT18" s="9"/>
      <c r="HU18" s="88">
        <v>4417</v>
      </c>
      <c r="HV18" s="88">
        <v>4418.2944032399391</v>
      </c>
      <c r="HW18" s="28">
        <v>4.1712036879401344</v>
      </c>
      <c r="HX18" s="29">
        <v>1.3710647581888764E-2</v>
      </c>
      <c r="HY18" s="30">
        <f t="shared" si="27"/>
        <v>-3.7321034495355159</v>
      </c>
      <c r="HZ18" s="30" t="str">
        <f t="shared" si="72"/>
        <v>*</v>
      </c>
      <c r="IA18" s="30"/>
      <c r="IB18" s="88">
        <v>979</v>
      </c>
      <c r="IC18" s="88">
        <v>978.97328210000023</v>
      </c>
      <c r="ID18" s="28">
        <v>4.193035906715064</v>
      </c>
      <c r="IE18" s="29">
        <v>2.7508095017167215E-2</v>
      </c>
      <c r="IF18" s="30">
        <f t="shared" si="28"/>
        <v>-3.6161319613690321</v>
      </c>
      <c r="IG18" s="30" t="str">
        <f t="shared" si="29"/>
        <v>*</v>
      </c>
      <c r="IH18" s="30"/>
      <c r="II18" s="88">
        <v>543</v>
      </c>
      <c r="IJ18" s="88">
        <v>542.90685052000288</v>
      </c>
      <c r="IK18" s="28">
        <v>4.2235561051840689</v>
      </c>
      <c r="IL18" s="29">
        <v>3.8019130702573845E-2</v>
      </c>
      <c r="IM18" s="30">
        <f t="shared" si="30"/>
        <v>-3.6937964338205549</v>
      </c>
      <c r="IN18" s="30" t="str">
        <f t="shared" si="84"/>
        <v>*</v>
      </c>
      <c r="IO18" s="30"/>
      <c r="IP18" s="88">
        <v>759</v>
      </c>
      <c r="IQ18" s="88">
        <v>758.80462498000907</v>
      </c>
      <c r="IR18" s="28">
        <v>4.2661302387361237</v>
      </c>
      <c r="IS18" s="29">
        <v>3.3092335289301951E-2</v>
      </c>
      <c r="IT18" s="30">
        <f t="shared" si="32"/>
        <v>-4.8848650027493479</v>
      </c>
      <c r="IU18" s="30" t="str">
        <f t="shared" si="33"/>
        <v>*</v>
      </c>
      <c r="IV18" s="30"/>
      <c r="IW18" s="88">
        <v>286</v>
      </c>
      <c r="IX18" s="88">
        <v>285.92316849999901</v>
      </c>
      <c r="IY18" s="28">
        <v>4.3145272096409366</v>
      </c>
      <c r="IZ18" s="29">
        <v>4.7998326525785014E-2</v>
      </c>
      <c r="JA18" s="30">
        <f t="shared" si="34"/>
        <v>-4.7532076533450462</v>
      </c>
      <c r="JB18" s="30" t="str">
        <f t="shared" si="73"/>
        <v>*</v>
      </c>
      <c r="JC18" s="30"/>
      <c r="JD18" s="88">
        <v>961</v>
      </c>
      <c r="JE18" s="88">
        <v>962.6935788100094</v>
      </c>
      <c r="JF18" s="28">
        <v>4.1259909023283816</v>
      </c>
      <c r="JG18" s="29">
        <v>2.9342950930058634E-2</v>
      </c>
      <c r="JH18" s="30">
        <f t="shared" si="35"/>
        <v>-2.0066046717196042</v>
      </c>
      <c r="JI18" s="30" t="str">
        <f t="shared" si="36"/>
        <v>*</v>
      </c>
      <c r="JK18" s="27"/>
      <c r="JL18" s="27"/>
      <c r="JM18" s="28"/>
      <c r="JN18" s="29"/>
    </row>
    <row r="19" spans="1:274" x14ac:dyDescent="0.2">
      <c r="B19" s="7" t="s">
        <v>22</v>
      </c>
      <c r="C19" s="27">
        <v>2907</v>
      </c>
      <c r="D19" s="27">
        <v>2906.1091019099199</v>
      </c>
      <c r="E19" s="28">
        <v>3.7781720268842216</v>
      </c>
      <c r="F19" s="29">
        <v>2.1289836189749212E-2</v>
      </c>
      <c r="G19" s="29"/>
      <c r="H19" s="3">
        <v>923</v>
      </c>
      <c r="I19" s="3">
        <v>922.9092968000142</v>
      </c>
      <c r="J19" s="28">
        <v>3.6474694360235667</v>
      </c>
      <c r="K19" s="29">
        <v>4.0998834967645448E-2</v>
      </c>
      <c r="L19" s="30">
        <f t="shared" si="37"/>
        <v>2.8292449309540593</v>
      </c>
      <c r="M19" s="30" t="str">
        <f t="shared" si="38"/>
        <v>*</v>
      </c>
      <c r="N19" s="9"/>
      <c r="O19" s="27">
        <v>1014</v>
      </c>
      <c r="P19" s="27">
        <v>1014.3893949000068</v>
      </c>
      <c r="Q19" s="28">
        <v>2.7536474778951741</v>
      </c>
      <c r="R19" s="29">
        <v>3.9815882755849206E-2</v>
      </c>
      <c r="S19" s="30">
        <f t="shared" si="39"/>
        <v>22.691355757323109</v>
      </c>
      <c r="T19" s="30" t="str">
        <f t="shared" si="40"/>
        <v>*</v>
      </c>
      <c r="U19" s="30"/>
      <c r="V19" s="27">
        <v>1032</v>
      </c>
      <c r="W19" s="27">
        <v>1034.0573634300197</v>
      </c>
      <c r="X19" s="28">
        <v>2.9369628493009494</v>
      </c>
      <c r="Y19" s="29">
        <v>3.897078204942437E-2</v>
      </c>
      <c r="Z19" s="30">
        <f t="shared" si="41"/>
        <v>18.943178939564053</v>
      </c>
      <c r="AA19" s="30" t="str">
        <f t="shared" si="42"/>
        <v>*</v>
      </c>
      <c r="AB19" s="9"/>
      <c r="AC19" s="8">
        <v>1182</v>
      </c>
      <c r="AD19" s="8">
        <v>1184.4316246000042</v>
      </c>
      <c r="AE19" s="69">
        <v>3.0480411755463042</v>
      </c>
      <c r="AF19" s="9">
        <v>3.5028600854674047E-2</v>
      </c>
      <c r="AG19" s="30">
        <f t="shared" si="43"/>
        <v>17.811990506639244</v>
      </c>
      <c r="AH19" s="30" t="str">
        <f t="shared" si="44"/>
        <v>*</v>
      </c>
      <c r="AI19" s="9"/>
      <c r="AJ19" s="81">
        <v>5003</v>
      </c>
      <c r="AK19" s="83">
        <v>3.9177129540266966</v>
      </c>
      <c r="AL19" s="84">
        <v>1.588444921126448E-2</v>
      </c>
      <c r="AM19" s="30">
        <f t="shared" si="45"/>
        <v>-5.2532814976209776</v>
      </c>
      <c r="AN19" s="30" t="str">
        <f t="shared" si="46"/>
        <v>*</v>
      </c>
      <c r="AO19" s="9"/>
      <c r="AP19" s="78">
        <v>468</v>
      </c>
      <c r="AQ19" s="79">
        <v>4.1191829200080914</v>
      </c>
      <c r="AR19" s="80">
        <v>5.2723669623369433E-2</v>
      </c>
      <c r="AS19" s="30">
        <f t="shared" si="74"/>
        <v>-5.9973935432977843</v>
      </c>
      <c r="AT19" s="30" t="str">
        <f t="shared" si="75"/>
        <v>*</v>
      </c>
      <c r="AU19" s="80"/>
      <c r="AV19" s="78">
        <v>710</v>
      </c>
      <c r="AW19" s="79">
        <v>3.8764333982255774</v>
      </c>
      <c r="AX19" s="80">
        <v>4.3011658180477377E-2</v>
      </c>
      <c r="AY19" s="30">
        <f t="shared" si="76"/>
        <v>-2.0474407886858534</v>
      </c>
      <c r="AZ19" s="30" t="str">
        <f t="shared" si="77"/>
        <v>*</v>
      </c>
      <c r="BA19" s="80"/>
      <c r="BB19" s="78">
        <v>689</v>
      </c>
      <c r="BC19" s="79">
        <v>4.0446616847022572</v>
      </c>
      <c r="BD19" s="80">
        <v>4.1883311238941248E-2</v>
      </c>
      <c r="BE19" s="30">
        <f t="shared" si="78"/>
        <v>-5.6719587504635598</v>
      </c>
      <c r="BF19" s="30" t="str">
        <f t="shared" si="79"/>
        <v>*</v>
      </c>
      <c r="BG19" s="80"/>
      <c r="BH19" s="78">
        <v>1127</v>
      </c>
      <c r="BI19" s="79">
        <v>3.8189614338822984</v>
      </c>
      <c r="BJ19" s="80">
        <v>3.6655912897666627E-2</v>
      </c>
      <c r="BK19" s="30">
        <f t="shared" si="80"/>
        <v>-0.96224099853786704</v>
      </c>
      <c r="BL19" s="30" t="str">
        <f t="shared" si="81"/>
        <v xml:space="preserve"> </v>
      </c>
      <c r="BM19" s="80"/>
      <c r="BN19" s="78">
        <v>1245</v>
      </c>
      <c r="BO19" s="79">
        <v>3.7302010570151309</v>
      </c>
      <c r="BP19" s="80">
        <v>3.4884784043598911E-2</v>
      </c>
      <c r="BQ19" s="30">
        <f t="shared" si="82"/>
        <v>1.1737985604280783</v>
      </c>
      <c r="BR19" s="30" t="str">
        <f t="shared" si="83"/>
        <v xml:space="preserve"> </v>
      </c>
      <c r="BS19" s="9"/>
      <c r="BT19" s="27">
        <v>11316</v>
      </c>
      <c r="BU19" s="27">
        <v>11360.816967389157</v>
      </c>
      <c r="BV19" s="28">
        <v>4.058017194202856</v>
      </c>
      <c r="BW19" s="29">
        <v>1.0111054987510498E-2</v>
      </c>
      <c r="BX19" s="30">
        <f t="shared" si="57"/>
        <v>-11.873519525253009</v>
      </c>
      <c r="BY19" s="30" t="str">
        <f t="shared" si="58"/>
        <v>*</v>
      </c>
      <c r="BZ19" s="30"/>
      <c r="CA19" s="27">
        <v>453</v>
      </c>
      <c r="CB19" s="27">
        <v>453</v>
      </c>
      <c r="CC19" s="28">
        <v>3.9713024282560712</v>
      </c>
      <c r="CD19" s="29">
        <v>4.7738259610260028E-2</v>
      </c>
      <c r="CE19" s="30">
        <f t="shared" si="59"/>
        <v>-3.6948304522791919</v>
      </c>
      <c r="CF19" s="30" t="str">
        <f t="shared" si="0"/>
        <v>*</v>
      </c>
      <c r="CG19" s="30"/>
      <c r="CH19" s="27">
        <v>3034</v>
      </c>
      <c r="CI19" s="27">
        <v>3079.8924141798921</v>
      </c>
      <c r="CJ19" s="28">
        <v>3.9083566291048046</v>
      </c>
      <c r="CK19" s="29">
        <v>1.9133068630604783E-2</v>
      </c>
      <c r="CL19" s="30">
        <f t="shared" si="60"/>
        <v>-4.5480979601230427</v>
      </c>
      <c r="CM19" s="30" t="str">
        <f t="shared" si="1"/>
        <v>*</v>
      </c>
      <c r="CN19" s="30"/>
      <c r="CO19" s="27">
        <v>2915</v>
      </c>
      <c r="CP19" s="27">
        <v>2914.8780375199353</v>
      </c>
      <c r="CQ19" s="28">
        <v>3.9358245121503823</v>
      </c>
      <c r="CR19" s="29">
        <v>2.0055183939646219E-2</v>
      </c>
      <c r="CS19" s="30">
        <f t="shared" si="61"/>
        <v>-5.3901277313779072</v>
      </c>
      <c r="CT19" s="30" t="str">
        <f t="shared" si="2"/>
        <v>*</v>
      </c>
      <c r="CU19" s="30"/>
      <c r="CV19" s="27">
        <v>585</v>
      </c>
      <c r="CW19" s="27">
        <v>584.93990560000452</v>
      </c>
      <c r="CX19" s="28">
        <v>4.9386195887538697</v>
      </c>
      <c r="CY19" s="29">
        <v>1.0784184438575713E-2</v>
      </c>
      <c r="CZ19" s="30">
        <f t="shared" si="62"/>
        <v>-48.62475170004052</v>
      </c>
      <c r="DA19" s="30" t="str">
        <f t="shared" si="3"/>
        <v>*</v>
      </c>
      <c r="DB19" s="30"/>
      <c r="DC19" s="27">
        <v>878</v>
      </c>
      <c r="DD19" s="27">
        <v>877.99750817998881</v>
      </c>
      <c r="DE19" s="28">
        <v>4.7905015661590209</v>
      </c>
      <c r="DF19" s="29">
        <v>1.7031207624080665E-2</v>
      </c>
      <c r="DG19" s="30">
        <f t="shared" si="63"/>
        <v>-37.130794866775211</v>
      </c>
      <c r="DH19" s="30" t="str">
        <f t="shared" si="4"/>
        <v>*</v>
      </c>
      <c r="DI19" s="30"/>
      <c r="DJ19" s="27">
        <v>544</v>
      </c>
      <c r="DK19" s="27">
        <v>544</v>
      </c>
      <c r="DL19" s="28">
        <v>4.9981617647058814</v>
      </c>
      <c r="DM19" s="29">
        <v>1.8382352941176483E-3</v>
      </c>
      <c r="DN19" s="30">
        <f t="shared" si="64"/>
        <v>-57.091439404573009</v>
      </c>
      <c r="DO19" s="30" t="str">
        <f t="shared" si="5"/>
        <v>*</v>
      </c>
      <c r="DP19" s="8"/>
      <c r="DQ19" s="27">
        <v>935</v>
      </c>
      <c r="DR19" s="27">
        <v>935.65348811000865</v>
      </c>
      <c r="DS19" s="28">
        <v>3.7375674137377546</v>
      </c>
      <c r="DT19" s="29">
        <v>4.0322754353853421E-2</v>
      </c>
      <c r="DU19" s="29"/>
      <c r="DV19" s="27">
        <v>619</v>
      </c>
      <c r="DW19" s="27">
        <v>619.2132051999954</v>
      </c>
      <c r="DX19" s="28">
        <v>3.5677040888952916</v>
      </c>
      <c r="DY19" s="29">
        <v>5.2575109702084621E-2</v>
      </c>
      <c r="DZ19" s="10">
        <f t="shared" si="6"/>
        <v>2.5636814574999511</v>
      </c>
      <c r="EA19" s="10" t="str">
        <f t="shared" si="7"/>
        <v>*</v>
      </c>
      <c r="EB19" s="29"/>
      <c r="EC19" s="27">
        <v>666</v>
      </c>
      <c r="ED19" s="27">
        <v>665.4074359400031</v>
      </c>
      <c r="EE19" s="28">
        <v>3.6910162982631034</v>
      </c>
      <c r="EF19" s="29">
        <v>4.7099985188399085E-2</v>
      </c>
      <c r="EG19" s="10">
        <f t="shared" si="8"/>
        <v>0.75079191179751148</v>
      </c>
      <c r="EH19" s="10" t="str">
        <f t="shared" si="9"/>
        <v xml:space="preserve"> </v>
      </c>
      <c r="EI19" s="29"/>
      <c r="EJ19" s="27">
        <v>620</v>
      </c>
      <c r="EK19" s="27">
        <v>615.50853474000189</v>
      </c>
      <c r="EL19" s="28">
        <v>3.741020456593124</v>
      </c>
      <c r="EM19" s="29">
        <v>5.097438483380852E-2</v>
      </c>
      <c r="EN19" s="10">
        <f t="shared" si="10"/>
        <v>-5.3128059415088386E-2</v>
      </c>
      <c r="EO19" s="10" t="str">
        <f t="shared" si="65"/>
        <v xml:space="preserve"> </v>
      </c>
      <c r="EP19" s="29"/>
      <c r="EQ19" s="8">
        <v>704</v>
      </c>
      <c r="ER19" s="8">
        <v>704.16800033999891</v>
      </c>
      <c r="ES19" s="69">
        <v>3.7358081754493599</v>
      </c>
      <c r="ET19" s="9">
        <v>4.361144491720019E-2</v>
      </c>
      <c r="EU19" s="10">
        <f t="shared" si="11"/>
        <v>2.9618809841346839E-2</v>
      </c>
      <c r="EV19" s="10" t="str">
        <f t="shared" si="66"/>
        <v xml:space="preserve"> </v>
      </c>
      <c r="EW19" s="29"/>
      <c r="EX19" s="88">
        <v>4356</v>
      </c>
      <c r="EY19" s="88">
        <v>4356.4329190996759</v>
      </c>
      <c r="EZ19" s="28">
        <v>3.9362065725627149</v>
      </c>
      <c r="FA19" s="29">
        <v>1.67298631284666E-2</v>
      </c>
      <c r="FB19" s="30">
        <f t="shared" si="12"/>
        <v>-4.5501398314535288</v>
      </c>
      <c r="FC19" s="30" t="str">
        <f t="shared" si="67"/>
        <v>*</v>
      </c>
      <c r="FD19" s="30"/>
      <c r="FE19" s="27">
        <v>1073</v>
      </c>
      <c r="FF19" s="27">
        <v>1072.975017820004</v>
      </c>
      <c r="FG19" s="28">
        <v>4.056809729628049</v>
      </c>
      <c r="FH19" s="29">
        <v>3.0005423684133951E-2</v>
      </c>
      <c r="FI19" s="30">
        <f t="shared" si="13"/>
        <v>-6.3515875981693144</v>
      </c>
      <c r="FJ19" s="30" t="str">
        <f t="shared" si="14"/>
        <v>*</v>
      </c>
      <c r="FK19" s="30"/>
      <c r="FL19" s="88">
        <v>284</v>
      </c>
      <c r="FM19" s="88">
        <v>283.92537235999902</v>
      </c>
      <c r="FN19" s="28">
        <v>4.0421655934110055</v>
      </c>
      <c r="FO19" s="29">
        <v>6.3247053594216493E-2</v>
      </c>
      <c r="FP19" s="30">
        <f t="shared" si="15"/>
        <v>-4.0609068513789737</v>
      </c>
      <c r="FQ19" s="30" t="str">
        <f t="shared" si="16"/>
        <v>*</v>
      </c>
      <c r="FR19" s="30"/>
      <c r="FS19" s="88">
        <v>594</v>
      </c>
      <c r="FT19" s="88">
        <v>593.90472081999883</v>
      </c>
      <c r="FU19" s="28">
        <v>3.8801826023848585</v>
      </c>
      <c r="FV19" s="29">
        <v>4.0043950682282149E-2</v>
      </c>
      <c r="FW19" s="30">
        <f t="shared" si="17"/>
        <v>-2.50958553358489</v>
      </c>
      <c r="FX19" s="30" t="str">
        <f t="shared" si="18"/>
        <v>*</v>
      </c>
      <c r="FY19" s="30"/>
      <c r="FZ19" s="88">
        <v>1106</v>
      </c>
      <c r="GA19" s="88">
        <v>1105.9665701700076</v>
      </c>
      <c r="GB19" s="28">
        <v>3.8742533218986686</v>
      </c>
      <c r="GC19" s="29">
        <v>3.5905649470976596E-2</v>
      </c>
      <c r="GD19" s="30">
        <f t="shared" si="19"/>
        <v>-2.5315937843295471</v>
      </c>
      <c r="GE19" s="30" t="str">
        <f t="shared" si="20"/>
        <v>*</v>
      </c>
      <c r="GF19" s="30"/>
      <c r="GG19" s="88">
        <v>364</v>
      </c>
      <c r="GH19" s="88">
        <v>364.00774981999922</v>
      </c>
      <c r="GI19" s="28">
        <v>4.2882867613997009</v>
      </c>
      <c r="GJ19" s="29">
        <v>4.6423832222636879E-2</v>
      </c>
      <c r="GK19" s="30">
        <f t="shared" si="21"/>
        <v>-8.9561516991424117</v>
      </c>
      <c r="GL19" s="30" t="str">
        <f t="shared" si="22"/>
        <v>*</v>
      </c>
      <c r="GM19" s="10"/>
      <c r="GN19" s="88">
        <v>897</v>
      </c>
      <c r="GO19" s="88">
        <v>896.96482695000873</v>
      </c>
      <c r="GP19" s="28">
        <v>3.9742716132153451</v>
      </c>
      <c r="GQ19" s="29">
        <v>3.6970285287471677E-2</v>
      </c>
      <c r="GR19" s="9"/>
      <c r="GS19" s="3">
        <v>648</v>
      </c>
      <c r="GT19" s="3">
        <v>647.96355670999833</v>
      </c>
      <c r="GU19" s="69">
        <v>3.9213915572989588</v>
      </c>
      <c r="GV19" s="9">
        <v>4.5002113031253226E-2</v>
      </c>
      <c r="GW19" s="10">
        <f t="shared" si="23"/>
        <v>0.90795533553663155</v>
      </c>
      <c r="GX19" s="10" t="str">
        <f t="shared" si="68"/>
        <v xml:space="preserve"> </v>
      </c>
      <c r="GY19" s="9"/>
      <c r="GZ19" s="27">
        <v>678</v>
      </c>
      <c r="HA19" s="27">
        <v>678.13575041000422</v>
      </c>
      <c r="HB19" s="28">
        <v>4.1717109567953008</v>
      </c>
      <c r="HC19" s="29">
        <v>3.6786114267764278E-2</v>
      </c>
      <c r="HD19" s="10">
        <f t="shared" si="24"/>
        <v>-3.7857125434332022</v>
      </c>
      <c r="HE19" s="10" t="str">
        <f t="shared" si="69"/>
        <v>*</v>
      </c>
      <c r="HF19" s="9"/>
      <c r="HG19" s="27">
        <v>1335</v>
      </c>
      <c r="HH19" s="27">
        <v>1336.493344049991</v>
      </c>
      <c r="HI19" s="28">
        <v>3.8182190885412166</v>
      </c>
      <c r="HJ19" s="29">
        <v>3.1648681440011088E-2</v>
      </c>
      <c r="HK19" s="10">
        <f t="shared" si="25"/>
        <v>3.2065610367711965</v>
      </c>
      <c r="HL19" s="10" t="str">
        <f t="shared" si="70"/>
        <v>*</v>
      </c>
      <c r="HM19" s="29"/>
      <c r="HN19" s="8">
        <v>1358</v>
      </c>
      <c r="HO19" s="8">
        <v>1363.228341460007</v>
      </c>
      <c r="HP19" s="69">
        <v>3.9689745077374901</v>
      </c>
      <c r="HQ19" s="9">
        <v>2.9782438552638849E-2</v>
      </c>
      <c r="HR19" s="10">
        <f t="shared" si="26"/>
        <v>0.11157871450487218</v>
      </c>
      <c r="HS19" s="10" t="str">
        <f t="shared" si="71"/>
        <v xml:space="preserve"> </v>
      </c>
      <c r="HT19" s="9"/>
      <c r="HU19" s="88">
        <v>4554</v>
      </c>
      <c r="HV19" s="88">
        <v>4555.3015704800137</v>
      </c>
      <c r="HW19" s="28">
        <v>4.0917442702999631</v>
      </c>
      <c r="HX19" s="29">
        <v>1.5228002454515416E-2</v>
      </c>
      <c r="HY19" s="30">
        <f t="shared" si="27"/>
        <v>-2.9380157008868757</v>
      </c>
      <c r="HZ19" s="30" t="str">
        <f t="shared" si="72"/>
        <v>*</v>
      </c>
      <c r="IA19" s="30"/>
      <c r="IB19" s="88">
        <v>1073</v>
      </c>
      <c r="IC19" s="88">
        <v>1072.975017820004</v>
      </c>
      <c r="ID19" s="28">
        <v>4.056809729628049</v>
      </c>
      <c r="IE19" s="29">
        <v>3.0005423684133951E-2</v>
      </c>
      <c r="IF19" s="30">
        <f t="shared" si="28"/>
        <v>-1.7334710239098792</v>
      </c>
      <c r="IG19" s="30" t="str">
        <f t="shared" si="29"/>
        <v xml:space="preserve"> </v>
      </c>
      <c r="IH19" s="30"/>
      <c r="II19" s="88">
        <v>558</v>
      </c>
      <c r="IJ19" s="88">
        <v>557.83311956000296</v>
      </c>
      <c r="IK19" s="28">
        <v>4.1496664724494154</v>
      </c>
      <c r="IL19" s="29">
        <v>4.4104876304250543E-2</v>
      </c>
      <c r="IM19" s="30">
        <f t="shared" si="30"/>
        <v>-3.0476769847938114</v>
      </c>
      <c r="IN19" s="30" t="str">
        <f t="shared" si="84"/>
        <v>*</v>
      </c>
      <c r="IO19" s="30"/>
      <c r="IP19" s="88">
        <v>769</v>
      </c>
      <c r="IQ19" s="88">
        <v>768.74719598000934</v>
      </c>
      <c r="IR19" s="28">
        <v>4.2038106305418985</v>
      </c>
      <c r="IS19" s="29">
        <v>3.6504841298461127E-2</v>
      </c>
      <c r="IT19" s="30">
        <f t="shared" si="32"/>
        <v>-4.4179669155696901</v>
      </c>
      <c r="IU19" s="30" t="str">
        <f t="shared" si="33"/>
        <v>*</v>
      </c>
      <c r="IV19" s="30"/>
      <c r="IW19" s="88">
        <v>284</v>
      </c>
      <c r="IX19" s="88">
        <v>283.92537235999902</v>
      </c>
      <c r="IY19" s="28">
        <v>4.0421655934110055</v>
      </c>
      <c r="IZ19" s="29">
        <v>6.3247053594216493E-2</v>
      </c>
      <c r="JA19" s="30">
        <f t="shared" si="34"/>
        <v>-0.92675684883347642</v>
      </c>
      <c r="JB19" s="30" t="str">
        <f t="shared" si="73"/>
        <v xml:space="preserve"> </v>
      </c>
      <c r="JC19" s="30"/>
      <c r="JD19" s="88">
        <v>973</v>
      </c>
      <c r="JE19" s="88">
        <v>974.85603781000975</v>
      </c>
      <c r="JF19" s="28">
        <v>4.1312042016350876</v>
      </c>
      <c r="JG19" s="29">
        <v>3.1422739110838635E-2</v>
      </c>
      <c r="JH19" s="30">
        <f t="shared" si="35"/>
        <v>-3.2343896160609531</v>
      </c>
      <c r="JI19" s="30" t="str">
        <f t="shared" si="36"/>
        <v>*</v>
      </c>
      <c r="JK19" s="27"/>
      <c r="JL19" s="27"/>
      <c r="JM19" s="28"/>
      <c r="JN19" s="29"/>
    </row>
    <row r="20" spans="1:274" x14ac:dyDescent="0.2">
      <c r="B20" s="7" t="s">
        <v>23</v>
      </c>
      <c r="C20" s="27">
        <v>2899</v>
      </c>
      <c r="D20" s="27">
        <v>2898.1254901399202</v>
      </c>
      <c r="E20" s="28">
        <v>4.0960073563641846</v>
      </c>
      <c r="F20" s="29">
        <v>1.8014746452239445E-2</v>
      </c>
      <c r="G20" s="29"/>
      <c r="H20" s="3">
        <v>942</v>
      </c>
      <c r="I20" s="3">
        <v>941.90760312001498</v>
      </c>
      <c r="J20" s="28">
        <v>4.0756994871087349</v>
      </c>
      <c r="K20" s="29">
        <v>3.2342371604601863E-2</v>
      </c>
      <c r="L20" s="30">
        <f t="shared" si="37"/>
        <v>0.54854886142097492</v>
      </c>
      <c r="M20" s="30" t="str">
        <f t="shared" si="38"/>
        <v xml:space="preserve"> </v>
      </c>
      <c r="N20" s="9"/>
      <c r="O20" s="27">
        <v>1024</v>
      </c>
      <c r="P20" s="27">
        <v>1024.1118418800068</v>
      </c>
      <c r="Q20" s="28">
        <v>4.1352719523052146</v>
      </c>
      <c r="R20" s="29">
        <v>2.5645279898548489E-2</v>
      </c>
      <c r="S20" s="30">
        <f t="shared" si="39"/>
        <v>-1.2528487146226046</v>
      </c>
      <c r="T20" s="30" t="str">
        <f t="shared" si="40"/>
        <v xml:space="preserve"> </v>
      </c>
      <c r="U20" s="30"/>
      <c r="V20" s="27">
        <v>1045</v>
      </c>
      <c r="W20" s="27">
        <v>1045.7926072300202</v>
      </c>
      <c r="X20" s="28">
        <v>4.1152001549897204</v>
      </c>
      <c r="Y20" s="29">
        <v>2.812027750345442E-2</v>
      </c>
      <c r="Z20" s="30">
        <f t="shared" si="41"/>
        <v>-0.57470653564428864</v>
      </c>
      <c r="AA20" s="30" t="str">
        <f t="shared" si="42"/>
        <v xml:space="preserve"> </v>
      </c>
      <c r="AB20" s="9"/>
      <c r="AC20" s="8">
        <v>1190</v>
      </c>
      <c r="AD20" s="8">
        <v>1191.7852994800044</v>
      </c>
      <c r="AE20" s="69">
        <v>3.8676701599115102</v>
      </c>
      <c r="AF20" s="9">
        <v>2.7010574494182385E-2</v>
      </c>
      <c r="AG20" s="30">
        <f t="shared" si="43"/>
        <v>7.0329138830053948</v>
      </c>
      <c r="AH20" s="30" t="str">
        <f t="shared" si="44"/>
        <v>*</v>
      </c>
      <c r="AI20" s="9"/>
      <c r="AJ20" s="81">
        <v>5229</v>
      </c>
      <c r="AK20" s="83">
        <v>4.1971186486295746</v>
      </c>
      <c r="AL20" s="84">
        <v>1.2988822984795208E-2</v>
      </c>
      <c r="AM20" s="30">
        <f t="shared" si="45"/>
        <v>-4.5527127206607529</v>
      </c>
      <c r="AN20" s="30" t="str">
        <f t="shared" si="46"/>
        <v>*</v>
      </c>
      <c r="AO20" s="9"/>
      <c r="AP20" s="78">
        <v>564</v>
      </c>
      <c r="AQ20" s="79">
        <v>4.3860012946004261</v>
      </c>
      <c r="AR20" s="80">
        <v>3.7246492985627142E-2</v>
      </c>
      <c r="AS20" s="30">
        <f t="shared" si="74"/>
        <v>-7.0090362776635509</v>
      </c>
      <c r="AT20" s="30" t="str">
        <f t="shared" si="75"/>
        <v>*</v>
      </c>
      <c r="AU20" s="80"/>
      <c r="AV20" s="78">
        <v>748</v>
      </c>
      <c r="AW20" s="79">
        <v>4.2801816623797313</v>
      </c>
      <c r="AX20" s="80">
        <v>3.2333331711567458E-2</v>
      </c>
      <c r="AY20" s="30">
        <f t="shared" si="76"/>
        <v>-4.9759115629794453</v>
      </c>
      <c r="AZ20" s="30" t="str">
        <f t="shared" si="77"/>
        <v>*</v>
      </c>
      <c r="BA20" s="80"/>
      <c r="BB20" s="78">
        <v>772</v>
      </c>
      <c r="BC20" s="79">
        <v>4.3764971237410029</v>
      </c>
      <c r="BD20" s="80">
        <v>2.9971744136722357E-2</v>
      </c>
      <c r="BE20" s="30">
        <f t="shared" si="78"/>
        <v>-8.0210794689883471</v>
      </c>
      <c r="BF20" s="30" t="str">
        <f t="shared" si="79"/>
        <v>*</v>
      </c>
      <c r="BG20" s="80"/>
      <c r="BH20" s="78">
        <v>1161</v>
      </c>
      <c r="BI20" s="79">
        <v>4.2006760267235057</v>
      </c>
      <c r="BJ20" s="80">
        <v>2.7306691490504815E-2</v>
      </c>
      <c r="BK20" s="30">
        <f t="shared" si="80"/>
        <v>-3.1995358092412487</v>
      </c>
      <c r="BL20" s="30" t="str">
        <f t="shared" si="81"/>
        <v>*</v>
      </c>
      <c r="BM20" s="80"/>
      <c r="BN20" s="78">
        <v>1256</v>
      </c>
      <c r="BO20" s="79">
        <v>4.0960472841147144</v>
      </c>
      <c r="BP20" s="80">
        <v>2.7439494028891974E-2</v>
      </c>
      <c r="BQ20" s="30">
        <f t="shared" si="82"/>
        <v>-1.2163957260514432E-3</v>
      </c>
      <c r="BR20" s="30" t="str">
        <f t="shared" si="83"/>
        <v xml:space="preserve"> </v>
      </c>
      <c r="BS20" s="9"/>
      <c r="BT20" s="27">
        <v>11359</v>
      </c>
      <c r="BU20" s="27">
        <v>11398.284961659152</v>
      </c>
      <c r="BV20" s="28">
        <v>4.2886289389268732</v>
      </c>
      <c r="BW20" s="29">
        <v>8.5394412991226399E-3</v>
      </c>
      <c r="BX20" s="30">
        <f t="shared" si="57"/>
        <v>-9.6618875003315807</v>
      </c>
      <c r="BY20" s="30" t="str">
        <f t="shared" si="58"/>
        <v>*</v>
      </c>
      <c r="BZ20" s="30"/>
      <c r="CA20" s="27">
        <v>472</v>
      </c>
      <c r="CB20" s="27">
        <v>472</v>
      </c>
      <c r="CC20" s="28">
        <v>4.2457627118644012</v>
      </c>
      <c r="CD20" s="29">
        <v>3.8847164466961855E-2</v>
      </c>
      <c r="CE20" s="30">
        <f t="shared" si="59"/>
        <v>-3.4972455114770971</v>
      </c>
      <c r="CF20" s="30" t="str">
        <f t="shared" si="0"/>
        <v>*</v>
      </c>
      <c r="CG20" s="30"/>
      <c r="CH20" s="27">
        <v>3054</v>
      </c>
      <c r="CI20" s="27">
        <v>3094.3356252898939</v>
      </c>
      <c r="CJ20" s="28">
        <v>4.0649963754145642</v>
      </c>
      <c r="CK20" s="29">
        <v>1.7577241457864809E-2</v>
      </c>
      <c r="CL20" s="30">
        <f t="shared" si="60"/>
        <v>1.2320985559398874</v>
      </c>
      <c r="CM20" s="30" t="str">
        <f t="shared" si="1"/>
        <v xml:space="preserve"> </v>
      </c>
      <c r="CN20" s="30"/>
      <c r="CO20" s="27">
        <v>2923</v>
      </c>
      <c r="CP20" s="27">
        <v>2922.8345294599339</v>
      </c>
      <c r="CQ20" s="28">
        <v>4.2701482279210019</v>
      </c>
      <c r="CR20" s="29">
        <v>1.6074481312818693E-2</v>
      </c>
      <c r="CS20" s="30">
        <f t="shared" si="61"/>
        <v>-7.212672633288709</v>
      </c>
      <c r="CT20" s="30" t="str">
        <f t="shared" si="2"/>
        <v>*</v>
      </c>
      <c r="CU20" s="30"/>
      <c r="CV20" s="27">
        <v>594</v>
      </c>
      <c r="CW20" s="27">
        <v>593.97596104000468</v>
      </c>
      <c r="CX20" s="28">
        <v>4.9560518238578322</v>
      </c>
      <c r="CY20" s="29">
        <v>9.3787401976693861E-3</v>
      </c>
      <c r="CZ20" s="30">
        <f t="shared" si="62"/>
        <v>-42.346080273365651</v>
      </c>
      <c r="DA20" s="30" t="str">
        <f t="shared" si="3"/>
        <v>*</v>
      </c>
      <c r="DB20" s="30"/>
      <c r="DC20" s="27">
        <v>875</v>
      </c>
      <c r="DD20" s="27">
        <v>875.0133557299888</v>
      </c>
      <c r="DE20" s="28">
        <v>4.9108918768503287</v>
      </c>
      <c r="DF20" s="29">
        <v>1.0035284478859981E-2</v>
      </c>
      <c r="DG20" s="30">
        <f t="shared" si="63"/>
        <v>-39.516641060964304</v>
      </c>
      <c r="DH20" s="30" t="str">
        <f t="shared" si="4"/>
        <v>*</v>
      </c>
      <c r="DI20" s="30"/>
      <c r="DJ20" s="27">
        <v>542</v>
      </c>
      <c r="DK20" s="27">
        <v>542</v>
      </c>
      <c r="DL20" s="28">
        <v>4.9963099630996268</v>
      </c>
      <c r="DM20" s="29">
        <v>2.6068374930979651E-3</v>
      </c>
      <c r="DN20" s="30">
        <f t="shared" si="64"/>
        <v>-49.460704240614049</v>
      </c>
      <c r="DO20" s="30" t="str">
        <f t="shared" si="5"/>
        <v>*</v>
      </c>
      <c r="DP20" s="8"/>
      <c r="DQ20" s="27">
        <v>943</v>
      </c>
      <c r="DR20" s="27">
        <v>943.63516271000901</v>
      </c>
      <c r="DS20" s="28">
        <v>4.0290904181772635</v>
      </c>
      <c r="DT20" s="29">
        <v>3.3272733176854218E-2</v>
      </c>
      <c r="DU20" s="29"/>
      <c r="DV20" s="27">
        <v>643</v>
      </c>
      <c r="DW20" s="27">
        <v>643.18601310999622</v>
      </c>
      <c r="DX20" s="28">
        <v>3.9839943664038602</v>
      </c>
      <c r="DY20" s="29">
        <v>4.0700412448911184E-2</v>
      </c>
      <c r="DZ20" s="10">
        <f t="shared" si="6"/>
        <v>0.85782966030815766</v>
      </c>
      <c r="EA20" s="10" t="str">
        <f t="shared" si="7"/>
        <v xml:space="preserve"> </v>
      </c>
      <c r="EB20" s="29"/>
      <c r="EC20" s="27">
        <v>671</v>
      </c>
      <c r="ED20" s="27">
        <v>670.62430167000286</v>
      </c>
      <c r="EE20" s="28">
        <v>4.0395632376636694</v>
      </c>
      <c r="EF20" s="29">
        <v>4.0010532025952873E-2</v>
      </c>
      <c r="EG20" s="10">
        <f t="shared" si="8"/>
        <v>-0.20125464270061205</v>
      </c>
      <c r="EH20" s="10" t="str">
        <f t="shared" si="9"/>
        <v xml:space="preserve"> </v>
      </c>
      <c r="EI20" s="29"/>
      <c r="EJ20" s="27">
        <v>634</v>
      </c>
      <c r="EK20" s="27">
        <v>629.01513254000201</v>
      </c>
      <c r="EL20" s="28">
        <v>4.0285994280890423</v>
      </c>
      <c r="EM20" s="29">
        <v>4.0282011019502725E-2</v>
      </c>
      <c r="EN20" s="10">
        <f t="shared" si="10"/>
        <v>9.3975372780226475E-3</v>
      </c>
      <c r="EO20" s="10" t="str">
        <f t="shared" si="65"/>
        <v xml:space="preserve"> </v>
      </c>
      <c r="EP20" s="29"/>
      <c r="EQ20" s="8">
        <v>722</v>
      </c>
      <c r="ER20" s="8">
        <v>722.22228607</v>
      </c>
      <c r="ES20" s="69">
        <v>4.0243644812952946</v>
      </c>
      <c r="ET20" s="9">
        <v>3.832493449223353E-2</v>
      </c>
      <c r="EU20" s="10">
        <f t="shared" si="11"/>
        <v>9.3116253338957469E-2</v>
      </c>
      <c r="EV20" s="10" t="str">
        <f t="shared" si="66"/>
        <v xml:space="preserve"> </v>
      </c>
      <c r="EW20" s="29"/>
      <c r="EX20" s="88">
        <v>4413</v>
      </c>
      <c r="EY20" s="88">
        <v>4413.52711376964</v>
      </c>
      <c r="EZ20" s="28">
        <v>4.1984952433455627</v>
      </c>
      <c r="FA20" s="29">
        <v>1.3929415534481987E-2</v>
      </c>
      <c r="FB20" s="30">
        <f t="shared" si="12"/>
        <v>-4.6964518266690112</v>
      </c>
      <c r="FC20" s="30" t="str">
        <f t="shared" si="67"/>
        <v>*</v>
      </c>
      <c r="FD20" s="30"/>
      <c r="FE20" s="27">
        <v>1041</v>
      </c>
      <c r="FF20" s="27">
        <v>1040.9664147800022</v>
      </c>
      <c r="FG20" s="28">
        <v>4.204572875624434</v>
      </c>
      <c r="FH20" s="29">
        <v>2.7311546169039625E-2</v>
      </c>
      <c r="FI20" s="30">
        <f t="shared" si="13"/>
        <v>-4.0765854074656973</v>
      </c>
      <c r="FJ20" s="30" t="str">
        <f t="shared" si="14"/>
        <v>*</v>
      </c>
      <c r="FK20" s="30"/>
      <c r="FL20" s="88">
        <v>312</v>
      </c>
      <c r="FM20" s="88">
        <v>311.96899346999891</v>
      </c>
      <c r="FN20" s="28">
        <v>4.3939787295297945</v>
      </c>
      <c r="FO20" s="29">
        <v>4.7910014309506976E-2</v>
      </c>
      <c r="FP20" s="30">
        <f t="shared" si="15"/>
        <v>-6.2555347797330842</v>
      </c>
      <c r="FQ20" s="30" t="str">
        <f t="shared" si="16"/>
        <v>*</v>
      </c>
      <c r="FR20" s="30"/>
      <c r="FS20" s="88">
        <v>627</v>
      </c>
      <c r="FT20" s="88">
        <v>626.96977831000049</v>
      </c>
      <c r="FU20" s="28">
        <v>4.2134638024032851</v>
      </c>
      <c r="FV20" s="29">
        <v>3.2761983131408746E-2</v>
      </c>
      <c r="FW20" s="30">
        <f t="shared" si="17"/>
        <v>-3.948461599341667</v>
      </c>
      <c r="FX20" s="30" t="str">
        <f t="shared" si="18"/>
        <v>*</v>
      </c>
      <c r="FY20" s="30"/>
      <c r="FZ20" s="88">
        <v>1126</v>
      </c>
      <c r="GA20" s="88">
        <v>1125.9867262200064</v>
      </c>
      <c r="GB20" s="28">
        <v>4.1731018490904637</v>
      </c>
      <c r="GC20" s="29">
        <v>2.9162347434621816E-2</v>
      </c>
      <c r="GD20" s="30">
        <f t="shared" si="19"/>
        <v>-3.2549488127815147</v>
      </c>
      <c r="GE20" s="30" t="str">
        <f t="shared" si="20"/>
        <v>*</v>
      </c>
      <c r="GF20" s="30"/>
      <c r="GG20" s="88">
        <v>364</v>
      </c>
      <c r="GH20" s="88">
        <v>364.00003827999922</v>
      </c>
      <c r="GI20" s="28">
        <v>4.5055082411789691</v>
      </c>
      <c r="GJ20" s="29">
        <v>3.8019268906969474E-2</v>
      </c>
      <c r="GK20" s="30">
        <f t="shared" si="21"/>
        <v>-9.4297842778781522</v>
      </c>
      <c r="GL20" s="30" t="str">
        <f t="shared" si="22"/>
        <v>*</v>
      </c>
      <c r="GM20" s="10"/>
      <c r="GN20" s="88">
        <v>911</v>
      </c>
      <c r="GO20" s="88">
        <v>910.97467815000891</v>
      </c>
      <c r="GP20" s="28">
        <v>4.1195058854885875</v>
      </c>
      <c r="GQ20" s="29">
        <v>3.2583684067428322E-2</v>
      </c>
      <c r="GR20" s="9"/>
      <c r="GS20" s="3">
        <v>645</v>
      </c>
      <c r="GT20" s="3">
        <v>644.97890684999822</v>
      </c>
      <c r="GU20" s="69">
        <v>4.1255213566058906</v>
      </c>
      <c r="GV20" s="9">
        <v>3.9164572894957873E-2</v>
      </c>
      <c r="GW20" s="10">
        <f t="shared" si="23"/>
        <v>-0.11807394932518887</v>
      </c>
      <c r="GX20" s="10" t="str">
        <f t="shared" si="68"/>
        <v xml:space="preserve"> </v>
      </c>
      <c r="GY20" s="9"/>
      <c r="GZ20" s="27">
        <v>684</v>
      </c>
      <c r="HA20" s="27">
        <v>684.07646675000433</v>
      </c>
      <c r="HB20" s="28">
        <v>4.2175186368520077</v>
      </c>
      <c r="HC20" s="29">
        <v>3.452101720338021E-2</v>
      </c>
      <c r="HD20" s="10">
        <f t="shared" si="24"/>
        <v>-2.0647321274152404</v>
      </c>
      <c r="HE20" s="10" t="str">
        <f t="shared" si="69"/>
        <v>*</v>
      </c>
      <c r="HF20" s="9"/>
      <c r="HG20" s="27">
        <v>1363</v>
      </c>
      <c r="HH20" s="27">
        <v>1363.7800247099906</v>
      </c>
      <c r="HI20" s="28">
        <v>3.9848232023017043</v>
      </c>
      <c r="HJ20" s="29">
        <v>2.7535072985623792E-2</v>
      </c>
      <c r="HK20" s="10">
        <f t="shared" si="25"/>
        <v>3.1571177226740548</v>
      </c>
      <c r="HL20" s="10" t="str">
        <f t="shared" si="70"/>
        <v>*</v>
      </c>
      <c r="HM20" s="29"/>
      <c r="HN20" s="8">
        <v>1368</v>
      </c>
      <c r="HO20" s="8">
        <v>1372.370225900007</v>
      </c>
      <c r="HP20" s="69">
        <v>4.028024929092866</v>
      </c>
      <c r="HQ20" s="9">
        <v>2.7230809963377636E-2</v>
      </c>
      <c r="HR20" s="10">
        <f t="shared" si="26"/>
        <v>2.1543046746989085</v>
      </c>
      <c r="HS20" s="10" t="str">
        <f t="shared" si="71"/>
        <v>*</v>
      </c>
      <c r="HT20" s="9"/>
      <c r="HU20" s="88">
        <v>4623</v>
      </c>
      <c r="HV20" s="88">
        <v>4624.1086305400213</v>
      </c>
      <c r="HW20" s="28">
        <v>4.2371615957348228</v>
      </c>
      <c r="HX20" s="29">
        <v>1.3301974293501592E-2</v>
      </c>
      <c r="HY20" s="30">
        <f t="shared" si="27"/>
        <v>-3.3430327946332667</v>
      </c>
      <c r="HZ20" s="30" t="str">
        <f t="shared" si="72"/>
        <v>*</v>
      </c>
      <c r="IA20" s="30"/>
      <c r="IB20" s="88">
        <v>1041</v>
      </c>
      <c r="IC20" s="88">
        <v>1040.9664147800022</v>
      </c>
      <c r="ID20" s="28">
        <v>4.204572875624434</v>
      </c>
      <c r="IE20" s="29">
        <v>2.7311546169039625E-2</v>
      </c>
      <c r="IF20" s="30">
        <f t="shared" si="28"/>
        <v>-2.000819243139492</v>
      </c>
      <c r="IG20" s="30" t="str">
        <f t="shared" si="29"/>
        <v>*</v>
      </c>
      <c r="IH20" s="30"/>
      <c r="II20" s="88">
        <v>574</v>
      </c>
      <c r="IJ20" s="88">
        <v>573.76297456000304</v>
      </c>
      <c r="IK20" s="28">
        <v>4.3154812439732835</v>
      </c>
      <c r="IL20" s="29">
        <v>3.6581032553652408E-2</v>
      </c>
      <c r="IM20" s="30">
        <f t="shared" si="30"/>
        <v>-4.0004399255368819</v>
      </c>
      <c r="IN20" s="30" t="str">
        <f t="shared" si="84"/>
        <v>*</v>
      </c>
      <c r="IO20" s="30"/>
      <c r="IP20" s="88">
        <v>773</v>
      </c>
      <c r="IQ20" s="88">
        <v>772.78427466000937</v>
      </c>
      <c r="IR20" s="28">
        <v>4.3159226072857333</v>
      </c>
      <c r="IS20" s="29">
        <v>3.2615182273766745E-2</v>
      </c>
      <c r="IT20" s="30">
        <f t="shared" si="32"/>
        <v>-4.2604292837406659</v>
      </c>
      <c r="IU20" s="30" t="str">
        <f t="shared" si="33"/>
        <v>*</v>
      </c>
      <c r="IV20" s="30"/>
      <c r="IW20" s="88">
        <v>312</v>
      </c>
      <c r="IX20" s="88">
        <v>311.96899346999891</v>
      </c>
      <c r="IY20" s="28">
        <v>4.3939787295297945</v>
      </c>
      <c r="IZ20" s="29">
        <v>4.7910014309506976E-2</v>
      </c>
      <c r="JA20" s="30">
        <f t="shared" si="34"/>
        <v>-4.737175195770261</v>
      </c>
      <c r="JB20" s="30" t="str">
        <f t="shared" si="73"/>
        <v>*</v>
      </c>
      <c r="JC20" s="30"/>
      <c r="JD20" s="88">
        <v>1012</v>
      </c>
      <c r="JE20" s="88">
        <v>1013.6512949200115</v>
      </c>
      <c r="JF20" s="28">
        <v>4.2237258776825106</v>
      </c>
      <c r="JG20" s="29">
        <v>2.7357401832280571E-2</v>
      </c>
      <c r="JH20" s="30">
        <f t="shared" si="35"/>
        <v>-2.4496096527015672</v>
      </c>
      <c r="JI20" s="30" t="str">
        <f t="shared" si="36"/>
        <v>*</v>
      </c>
      <c r="JK20" s="27"/>
      <c r="JL20" s="27"/>
      <c r="JM20" s="28"/>
      <c r="JN20" s="29"/>
    </row>
    <row r="21" spans="1:274" x14ac:dyDescent="0.2">
      <c r="A21" s="73"/>
      <c r="B21" s="7" t="s">
        <v>24</v>
      </c>
      <c r="C21" s="27">
        <v>3071</v>
      </c>
      <c r="D21" s="27">
        <v>3071.2769156799181</v>
      </c>
      <c r="E21" s="28">
        <v>4.0839415541802184</v>
      </c>
      <c r="F21" s="29">
        <v>1.8378187955919282E-2</v>
      </c>
      <c r="G21" s="29"/>
      <c r="H21" s="3">
        <v>990</v>
      </c>
      <c r="I21" s="3">
        <v>990.00724512001693</v>
      </c>
      <c r="J21" s="28">
        <v>4.04628001383408</v>
      </c>
      <c r="K21" s="29">
        <v>3.3183748492696057E-2</v>
      </c>
      <c r="L21" s="30">
        <f t="shared" si="37"/>
        <v>0.99284147593356631</v>
      </c>
      <c r="M21" s="30" t="str">
        <f t="shared" si="38"/>
        <v xml:space="preserve"> </v>
      </c>
      <c r="N21" s="9"/>
      <c r="O21" s="27">
        <v>1067</v>
      </c>
      <c r="P21" s="27">
        <v>1067.1332636700083</v>
      </c>
      <c r="Q21" s="28">
        <v>3.804508417877873</v>
      </c>
      <c r="R21" s="29">
        <v>2.773690622164706E-2</v>
      </c>
      <c r="S21" s="30">
        <f t="shared" si="39"/>
        <v>8.3981901553219007</v>
      </c>
      <c r="T21" s="30" t="str">
        <f t="shared" si="40"/>
        <v>*</v>
      </c>
      <c r="U21" s="30"/>
      <c r="V21" s="27">
        <v>1080</v>
      </c>
      <c r="W21" s="27">
        <v>1080.9756570700195</v>
      </c>
      <c r="X21" s="28">
        <v>3.9219176536326641</v>
      </c>
      <c r="Y21" s="29">
        <v>2.6739441923398836E-2</v>
      </c>
      <c r="Z21" s="30">
        <f t="shared" si="41"/>
        <v>4.9936179672865348</v>
      </c>
      <c r="AA21" s="30" t="str">
        <f t="shared" si="42"/>
        <v>*</v>
      </c>
      <c r="AB21" s="9"/>
      <c r="AC21" s="8">
        <v>1231</v>
      </c>
      <c r="AD21" s="8">
        <v>1230.5873691400056</v>
      </c>
      <c r="AE21" s="69">
        <v>3.6144823791166156</v>
      </c>
      <c r="AF21" s="9">
        <v>2.9764165307128235E-2</v>
      </c>
      <c r="AG21" s="30">
        <f t="shared" si="43"/>
        <v>13.420443211524486</v>
      </c>
      <c r="AH21" s="30" t="str">
        <f t="shared" si="44"/>
        <v>*</v>
      </c>
      <c r="AI21" s="9"/>
      <c r="AJ21" s="81">
        <v>6180</v>
      </c>
      <c r="AK21" s="83">
        <v>4.1390310369578103</v>
      </c>
      <c r="AL21" s="84">
        <v>1.2625196346869308E-2</v>
      </c>
      <c r="AM21" s="30">
        <f t="shared" si="45"/>
        <v>-2.4707198177359802</v>
      </c>
      <c r="AN21" s="30" t="str">
        <f t="shared" si="46"/>
        <v>*</v>
      </c>
      <c r="AO21" s="9"/>
      <c r="AP21" s="78">
        <v>777</v>
      </c>
      <c r="AQ21" s="79">
        <v>4.3443192694784667</v>
      </c>
      <c r="AR21" s="80">
        <v>3.2141617553223548E-2</v>
      </c>
      <c r="AS21" s="30">
        <f t="shared" si="74"/>
        <v>-7.032507605775562</v>
      </c>
      <c r="AT21" s="30" t="str">
        <f t="shared" si="75"/>
        <v>*</v>
      </c>
      <c r="AU21" s="80"/>
      <c r="AV21" s="78">
        <v>985</v>
      </c>
      <c r="AW21" s="79">
        <v>4.2786858721145355</v>
      </c>
      <c r="AX21" s="80">
        <v>2.8450897227461219E-2</v>
      </c>
      <c r="AY21" s="30">
        <f t="shared" si="76"/>
        <v>-5.7496721070244261</v>
      </c>
      <c r="AZ21" s="30" t="str">
        <f t="shared" si="77"/>
        <v>*</v>
      </c>
      <c r="BA21" s="80"/>
      <c r="BB21" s="78">
        <v>1002</v>
      </c>
      <c r="BC21" s="79">
        <v>4.3495404985450339</v>
      </c>
      <c r="BD21" s="80">
        <v>2.8476952488568959E-2</v>
      </c>
      <c r="BE21" s="30">
        <f t="shared" si="78"/>
        <v>-7.8365345361900394</v>
      </c>
      <c r="BF21" s="30" t="str">
        <f t="shared" si="79"/>
        <v>*</v>
      </c>
      <c r="BG21" s="80"/>
      <c r="BH21" s="78">
        <v>1356</v>
      </c>
      <c r="BI21" s="79">
        <v>4.1814074905688399</v>
      </c>
      <c r="BJ21" s="80">
        <v>2.6076672437663404E-2</v>
      </c>
      <c r="BK21" s="30">
        <f t="shared" si="80"/>
        <v>-3.0551473976906385</v>
      </c>
      <c r="BL21" s="30" t="str">
        <f t="shared" si="81"/>
        <v>*</v>
      </c>
      <c r="BM21" s="80"/>
      <c r="BN21" s="78">
        <v>1413</v>
      </c>
      <c r="BO21" s="79">
        <v>4.2266227136787871</v>
      </c>
      <c r="BP21" s="80">
        <v>2.4213637951249894E-2</v>
      </c>
      <c r="BQ21" s="30">
        <f t="shared" si="82"/>
        <v>-4.6937180845463695</v>
      </c>
      <c r="BR21" s="30" t="str">
        <f t="shared" si="83"/>
        <v>*</v>
      </c>
      <c r="BS21" s="9"/>
      <c r="BT21" s="27">
        <v>11955</v>
      </c>
      <c r="BU21" s="27">
        <v>11958.482134989197</v>
      </c>
      <c r="BV21" s="28">
        <v>4.206224253615277</v>
      </c>
      <c r="BW21" s="29">
        <v>9.052153380449051E-3</v>
      </c>
      <c r="BX21" s="30">
        <f t="shared" si="57"/>
        <v>-5.9689220688441917</v>
      </c>
      <c r="BY21" s="30" t="str">
        <f t="shared" si="58"/>
        <v>*</v>
      </c>
      <c r="BZ21" s="30"/>
      <c r="CA21" s="27">
        <v>538</v>
      </c>
      <c r="CB21" s="27">
        <v>538</v>
      </c>
      <c r="CC21" s="28">
        <v>4.1356877323420109</v>
      </c>
      <c r="CD21" s="29">
        <v>4.0295080397619663E-2</v>
      </c>
      <c r="CE21" s="30">
        <f t="shared" si="59"/>
        <v>-1.1683945296298217</v>
      </c>
      <c r="CF21" s="30" t="str">
        <f t="shared" si="0"/>
        <v xml:space="preserve"> </v>
      </c>
      <c r="CG21" s="30"/>
      <c r="CH21" s="27">
        <v>3328</v>
      </c>
      <c r="CI21" s="27">
        <v>3331.2823299998558</v>
      </c>
      <c r="CJ21" s="28">
        <v>3.911284553504057</v>
      </c>
      <c r="CK21" s="29">
        <v>1.8818738447273602E-2</v>
      </c>
      <c r="CL21" s="30">
        <f t="shared" si="60"/>
        <v>6.5638957779348184</v>
      </c>
      <c r="CM21" s="30" t="str">
        <f t="shared" si="1"/>
        <v>*</v>
      </c>
      <c r="CN21" s="30"/>
      <c r="CO21" s="27">
        <v>2997</v>
      </c>
      <c r="CP21" s="27">
        <v>2996.9633967599261</v>
      </c>
      <c r="CQ21" s="28">
        <v>4.2022405628861721</v>
      </c>
      <c r="CR21" s="29">
        <v>1.6877019984257734E-2</v>
      </c>
      <c r="CS21" s="30">
        <f t="shared" si="61"/>
        <v>-4.7411039599883926</v>
      </c>
      <c r="CT21" s="30" t="str">
        <f t="shared" si="2"/>
        <v>*</v>
      </c>
      <c r="CU21" s="30"/>
      <c r="CV21" s="27">
        <v>589</v>
      </c>
      <c r="CW21" s="27">
        <v>588.95593024000459</v>
      </c>
      <c r="CX21" s="28">
        <v>4.8806694565901427</v>
      </c>
      <c r="CY21" s="29">
        <v>1.6652895800079795E-2</v>
      </c>
      <c r="CZ21" s="30">
        <f t="shared" si="62"/>
        <v>-32.12516583099405</v>
      </c>
      <c r="DA21" s="30" t="str">
        <f t="shared" si="3"/>
        <v>*</v>
      </c>
      <c r="DB21" s="30"/>
      <c r="DC21" s="27">
        <v>885</v>
      </c>
      <c r="DD21" s="27">
        <v>885.0035623099883</v>
      </c>
      <c r="DE21" s="28">
        <v>4.8633574637887849</v>
      </c>
      <c r="DF21" s="29">
        <v>1.3773114072756403E-2</v>
      </c>
      <c r="DG21" s="30">
        <f t="shared" si="63"/>
        <v>-33.937196030041598</v>
      </c>
      <c r="DH21" s="30" t="str">
        <f t="shared" si="4"/>
        <v>*</v>
      </c>
      <c r="DI21" s="30"/>
      <c r="DJ21" s="27">
        <v>547</v>
      </c>
      <c r="DK21" s="27">
        <v>547</v>
      </c>
      <c r="DL21" s="28">
        <v>4.9908592321755023</v>
      </c>
      <c r="DM21" s="29">
        <v>4.8254365168889351E-3</v>
      </c>
      <c r="DN21" s="30">
        <f t="shared" si="64"/>
        <v>-47.729691276097988</v>
      </c>
      <c r="DO21" s="30" t="str">
        <f t="shared" si="5"/>
        <v>*</v>
      </c>
      <c r="DP21" s="8"/>
      <c r="DQ21" s="27">
        <v>1015</v>
      </c>
      <c r="DR21" s="27">
        <v>1015.38184615001</v>
      </c>
      <c r="DS21" s="28">
        <v>3.9176219262072136</v>
      </c>
      <c r="DT21" s="29">
        <v>3.3641424935131274E-2</v>
      </c>
      <c r="DU21" s="29"/>
      <c r="DV21" s="27">
        <v>705</v>
      </c>
      <c r="DW21" s="27">
        <v>705.01812973999745</v>
      </c>
      <c r="DX21" s="28">
        <v>3.9954495523098377</v>
      </c>
      <c r="DY21" s="29">
        <v>3.9924883351771676E-2</v>
      </c>
      <c r="DZ21" s="10">
        <f t="shared" si="6"/>
        <v>-1.4907040387277601</v>
      </c>
      <c r="EA21" s="10" t="str">
        <f t="shared" si="7"/>
        <v xml:space="preserve"> </v>
      </c>
      <c r="EB21" s="29"/>
      <c r="EC21" s="27">
        <v>734</v>
      </c>
      <c r="ED21" s="27">
        <v>733.4034829900047</v>
      </c>
      <c r="EE21" s="28">
        <v>3.9638984850166552</v>
      </c>
      <c r="EF21" s="29">
        <v>3.9046562075125947E-2</v>
      </c>
      <c r="EG21" s="10">
        <f t="shared" si="8"/>
        <v>-0.89787524558525422</v>
      </c>
      <c r="EH21" s="10" t="str">
        <f t="shared" si="9"/>
        <v xml:space="preserve"> </v>
      </c>
      <c r="EI21" s="29"/>
      <c r="EJ21" s="27">
        <v>710</v>
      </c>
      <c r="EK21" s="27">
        <v>711.30883610000228</v>
      </c>
      <c r="EL21" s="28">
        <v>3.9431380053961345</v>
      </c>
      <c r="EM21" s="29">
        <v>3.8602259151775231E-2</v>
      </c>
      <c r="EN21" s="10">
        <f t="shared" si="10"/>
        <v>-0.49831911390125933</v>
      </c>
      <c r="EO21" s="10" t="str">
        <f t="shared" si="65"/>
        <v xml:space="preserve"> </v>
      </c>
      <c r="EP21" s="29"/>
      <c r="EQ21" s="8">
        <v>781</v>
      </c>
      <c r="ER21" s="8">
        <v>780.96228606000125</v>
      </c>
      <c r="ES21" s="69">
        <v>3.9930971606488335</v>
      </c>
      <c r="ET21" s="9">
        <v>3.7335403377986472E-2</v>
      </c>
      <c r="EU21" s="10">
        <f t="shared" si="11"/>
        <v>-1.5018117427354076</v>
      </c>
      <c r="EV21" s="10" t="str">
        <f t="shared" si="66"/>
        <v xml:space="preserve"> </v>
      </c>
      <c r="EW21" s="29"/>
      <c r="EX21" s="88">
        <v>4985</v>
      </c>
      <c r="EY21" s="88">
        <v>4985.3594542997671</v>
      </c>
      <c r="EZ21" s="28">
        <v>4.1211088700713914</v>
      </c>
      <c r="FA21" s="29">
        <v>1.3652156844426352E-2</v>
      </c>
      <c r="FB21" s="30">
        <f t="shared" si="12"/>
        <v>-5.6047719255033792</v>
      </c>
      <c r="FC21" s="30" t="str">
        <f t="shared" si="67"/>
        <v>*</v>
      </c>
      <c r="FD21" s="30"/>
      <c r="FE21" s="27">
        <v>1132</v>
      </c>
      <c r="FF21" s="27">
        <v>1132.0005079200007</v>
      </c>
      <c r="FG21" s="28">
        <v>4.2588646449624239</v>
      </c>
      <c r="FH21" s="29">
        <v>2.5293759282415295E-2</v>
      </c>
      <c r="FI21" s="30">
        <f t="shared" si="13"/>
        <v>-8.1075642048182441</v>
      </c>
      <c r="FJ21" s="30" t="str">
        <f t="shared" si="14"/>
        <v>*</v>
      </c>
      <c r="FK21" s="30"/>
      <c r="FL21" s="88">
        <v>384</v>
      </c>
      <c r="FM21" s="88">
        <v>384.00881474999858</v>
      </c>
      <c r="FN21" s="28">
        <v>4.2994138125054588</v>
      </c>
      <c r="FO21" s="29">
        <v>4.6684909064981107E-2</v>
      </c>
      <c r="FP21" s="30">
        <f t="shared" si="15"/>
        <v>-6.6348677306717825</v>
      </c>
      <c r="FQ21" s="30" t="str">
        <f t="shared" si="16"/>
        <v>*</v>
      </c>
      <c r="FR21" s="30"/>
      <c r="FS21" s="88">
        <v>715</v>
      </c>
      <c r="FT21" s="88">
        <v>714.95331785000485</v>
      </c>
      <c r="FU21" s="28">
        <v>4.0791943123367362</v>
      </c>
      <c r="FV21" s="29">
        <v>3.4524568743899746E-2</v>
      </c>
      <c r="FW21" s="30">
        <f t="shared" si="17"/>
        <v>-3.3517986448262356</v>
      </c>
      <c r="FX21" s="30" t="str">
        <f t="shared" si="18"/>
        <v>*</v>
      </c>
      <c r="FY21" s="30"/>
      <c r="FZ21" s="88">
        <v>1346</v>
      </c>
      <c r="GA21" s="88">
        <v>1346.0118332099867</v>
      </c>
      <c r="GB21" s="28">
        <v>4.0734747601171835</v>
      </c>
      <c r="GC21" s="29">
        <v>2.7467544597983094E-2</v>
      </c>
      <c r="GD21" s="30">
        <f t="shared" si="19"/>
        <v>-3.5885542157800772</v>
      </c>
      <c r="GE21" s="30" t="str">
        <f t="shared" si="20"/>
        <v>*</v>
      </c>
      <c r="GF21" s="30"/>
      <c r="GG21" s="88">
        <v>393</v>
      </c>
      <c r="GH21" s="88">
        <v>393.00313441999913</v>
      </c>
      <c r="GI21" s="28">
        <v>4.315228695269397</v>
      </c>
      <c r="GJ21" s="29">
        <v>4.0832649750471746E-2</v>
      </c>
      <c r="GK21" s="30">
        <f t="shared" si="21"/>
        <v>-7.5153356613458104</v>
      </c>
      <c r="GL21" s="30" t="str">
        <f t="shared" si="22"/>
        <v>*</v>
      </c>
      <c r="GM21" s="10"/>
      <c r="GN21" s="88">
        <v>952</v>
      </c>
      <c r="GO21" s="88">
        <v>951.96216822000929</v>
      </c>
      <c r="GP21" s="28">
        <v>3.9874837450396998</v>
      </c>
      <c r="GQ21" s="29">
        <v>3.4759690015022313E-2</v>
      </c>
      <c r="GR21" s="9"/>
      <c r="GS21" s="3">
        <v>688</v>
      </c>
      <c r="GT21" s="3">
        <v>687.98142780999956</v>
      </c>
      <c r="GU21" s="69">
        <v>3.9301880868893679</v>
      </c>
      <c r="GV21" s="9">
        <v>4.2283026796671952E-2</v>
      </c>
      <c r="GW21" s="10">
        <f t="shared" si="23"/>
        <v>1.0467530996714234</v>
      </c>
      <c r="GX21" s="10" t="str">
        <f t="shared" si="68"/>
        <v xml:space="preserve"> </v>
      </c>
      <c r="GY21" s="9"/>
      <c r="GZ21" s="27">
        <v>728</v>
      </c>
      <c r="HA21" s="27">
        <v>728.11856670000498</v>
      </c>
      <c r="HB21" s="28">
        <v>4.0215390212902751</v>
      </c>
      <c r="HC21" s="29">
        <v>3.8279526481712761E-2</v>
      </c>
      <c r="HD21" s="10">
        <f t="shared" si="24"/>
        <v>-0.65862708505966927</v>
      </c>
      <c r="HE21" s="10" t="str">
        <f t="shared" si="69"/>
        <v xml:space="preserve"> </v>
      </c>
      <c r="HF21" s="9"/>
      <c r="HG21" s="27">
        <v>1469</v>
      </c>
      <c r="HH21" s="27">
        <v>1468.8821150499905</v>
      </c>
      <c r="HI21" s="28">
        <v>3.8847904934330035</v>
      </c>
      <c r="HJ21" s="29">
        <v>2.8570955158091122E-2</v>
      </c>
      <c r="HK21" s="10">
        <f t="shared" si="25"/>
        <v>2.282334020816418</v>
      </c>
      <c r="HL21" s="10" t="str">
        <f t="shared" si="70"/>
        <v>*</v>
      </c>
      <c r="HM21" s="29"/>
      <c r="HN21" s="8">
        <v>1464</v>
      </c>
      <c r="HO21" s="8">
        <v>1464.002963710012</v>
      </c>
      <c r="HP21" s="69">
        <v>3.8660857560334558</v>
      </c>
      <c r="HQ21" s="9">
        <v>2.889247435512346E-2</v>
      </c>
      <c r="HR21" s="10">
        <f t="shared" si="26"/>
        <v>2.6858151972617419</v>
      </c>
      <c r="HS21" s="10" t="str">
        <f t="shared" si="71"/>
        <v>*</v>
      </c>
      <c r="HT21" s="9"/>
      <c r="HU21" s="88">
        <v>5265</v>
      </c>
      <c r="HV21" s="88">
        <v>5264.7495025502667</v>
      </c>
      <c r="HW21" s="28">
        <v>4.2371247704862807</v>
      </c>
      <c r="HX21" s="29">
        <v>1.2793951145943059E-2</v>
      </c>
      <c r="HY21" s="30">
        <f t="shared" si="27"/>
        <v>-6.7398676522761374</v>
      </c>
      <c r="HZ21" s="30" t="str">
        <f t="shared" si="72"/>
        <v>*</v>
      </c>
      <c r="IA21" s="30"/>
      <c r="IB21" s="88">
        <v>1132</v>
      </c>
      <c r="IC21" s="88">
        <v>1132.0005079200007</v>
      </c>
      <c r="ID21" s="28">
        <v>4.2588646449624239</v>
      </c>
      <c r="IE21" s="29">
        <v>2.5293759282415295E-2</v>
      </c>
      <c r="IF21" s="30">
        <f t="shared" si="28"/>
        <v>-6.3128734522261167</v>
      </c>
      <c r="IG21" s="30" t="str">
        <f t="shared" si="29"/>
        <v>*</v>
      </c>
      <c r="IH21" s="30"/>
      <c r="II21" s="88">
        <v>709</v>
      </c>
      <c r="IJ21" s="88">
        <v>708.92827826000416</v>
      </c>
      <c r="IK21" s="28">
        <v>4.4501495682232619</v>
      </c>
      <c r="IL21" s="29">
        <v>2.910788320062789E-2</v>
      </c>
      <c r="IM21" s="30">
        <f t="shared" si="30"/>
        <v>-10.204886056297653</v>
      </c>
      <c r="IN21" s="30" t="str">
        <f t="shared" si="84"/>
        <v>*</v>
      </c>
      <c r="IO21" s="30"/>
      <c r="IP21" s="88">
        <v>808</v>
      </c>
      <c r="IQ21" s="88">
        <v>807.94357484001</v>
      </c>
      <c r="IR21" s="28">
        <v>4.3068244796786601</v>
      </c>
      <c r="IS21" s="29">
        <v>3.3175992139183146E-2</v>
      </c>
      <c r="IT21" s="30">
        <f t="shared" si="32"/>
        <v>-6.6458939001765565</v>
      </c>
      <c r="IU21" s="30" t="str">
        <f t="shared" si="33"/>
        <v>*</v>
      </c>
      <c r="IV21" s="30"/>
      <c r="IW21" s="88">
        <v>384</v>
      </c>
      <c r="IX21" s="88">
        <v>384.00881474999858</v>
      </c>
      <c r="IY21" s="28">
        <v>4.2994138125054588</v>
      </c>
      <c r="IZ21" s="29">
        <v>4.6684909064981107E-2</v>
      </c>
      <c r="JA21" s="30">
        <f t="shared" si="34"/>
        <v>-5.3592459846856375</v>
      </c>
      <c r="JB21" s="30" t="str">
        <f t="shared" si="73"/>
        <v>*</v>
      </c>
      <c r="JC21" s="30"/>
      <c r="JD21" s="88">
        <v>1280</v>
      </c>
      <c r="JE21" s="88">
        <v>1279.9061585600105</v>
      </c>
      <c r="JF21" s="28">
        <v>4.2228948103749797</v>
      </c>
      <c r="JG21" s="29">
        <v>2.5473163148012151E-2</v>
      </c>
      <c r="JH21" s="30">
        <f t="shared" si="35"/>
        <v>-5.4626970034741582</v>
      </c>
      <c r="JI21" s="30" t="str">
        <f t="shared" si="36"/>
        <v>*</v>
      </c>
      <c r="JK21" s="27"/>
      <c r="JL21" s="27"/>
      <c r="JM21" s="28"/>
      <c r="JN21" s="29"/>
    </row>
    <row r="22" spans="1:274" x14ac:dyDescent="0.2">
      <c r="B22" s="7" t="s">
        <v>25</v>
      </c>
      <c r="C22" s="27">
        <v>2928</v>
      </c>
      <c r="D22" s="27">
        <v>2928.4297980499214</v>
      </c>
      <c r="E22" s="28">
        <v>4.05807099424519</v>
      </c>
      <c r="F22" s="29">
        <v>1.8690763751225595E-2</v>
      </c>
      <c r="G22" s="29"/>
      <c r="H22" s="3">
        <v>959</v>
      </c>
      <c r="I22" s="3">
        <v>959.03739302001566</v>
      </c>
      <c r="J22" s="28">
        <v>4.0452902273218143</v>
      </c>
      <c r="K22" s="29">
        <v>3.3689148551309243E-2</v>
      </c>
      <c r="L22" s="30">
        <f t="shared" si="37"/>
        <v>0.33173827094397434</v>
      </c>
      <c r="M22" s="30" t="str">
        <f t="shared" si="38"/>
        <v xml:space="preserve"> </v>
      </c>
      <c r="N22" s="9"/>
      <c r="O22" s="27">
        <v>1050</v>
      </c>
      <c r="P22" s="27">
        <v>1050.3013788600076</v>
      </c>
      <c r="Q22" s="28">
        <v>3.5025517587465362</v>
      </c>
      <c r="R22" s="29">
        <v>3.1063162003942508E-2</v>
      </c>
      <c r="S22" s="30">
        <f t="shared" si="39"/>
        <v>15.323489765243634</v>
      </c>
      <c r="T22" s="30" t="str">
        <f t="shared" si="40"/>
        <v>*</v>
      </c>
      <c r="U22" s="30"/>
      <c r="V22" s="27">
        <v>1043</v>
      </c>
      <c r="W22" s="27">
        <v>1042.6525636200199</v>
      </c>
      <c r="X22" s="28">
        <v>3.7253686991802613</v>
      </c>
      <c r="Y22" s="29">
        <v>2.8886669991633973E-2</v>
      </c>
      <c r="Z22" s="30">
        <f t="shared" si="41"/>
        <v>9.6698446975166021</v>
      </c>
      <c r="AA22" s="30" t="str">
        <f t="shared" si="42"/>
        <v>*</v>
      </c>
      <c r="AB22" s="9"/>
      <c r="AC22" s="8">
        <v>1214</v>
      </c>
      <c r="AD22" s="8">
        <v>1214.7379128400053</v>
      </c>
      <c r="AE22" s="69">
        <v>3.54640581203908</v>
      </c>
      <c r="AF22" s="9">
        <v>3.0340771421406162E-2</v>
      </c>
      <c r="AG22" s="30">
        <f t="shared" si="43"/>
        <v>14.35819662141925</v>
      </c>
      <c r="AH22" s="30" t="str">
        <f t="shared" si="44"/>
        <v>*</v>
      </c>
      <c r="AI22" s="9"/>
      <c r="AJ22" s="81">
        <v>5880</v>
      </c>
      <c r="AK22" s="83">
        <v>4.1997584752493209</v>
      </c>
      <c r="AL22" s="84">
        <v>1.230381730676877E-2</v>
      </c>
      <c r="AM22" s="30">
        <f t="shared" si="45"/>
        <v>-6.3318452689954183</v>
      </c>
      <c r="AN22" s="30" t="str">
        <f t="shared" si="46"/>
        <v>*</v>
      </c>
      <c r="AO22" s="9"/>
      <c r="AP22" s="78">
        <v>743</v>
      </c>
      <c r="AQ22" s="79">
        <v>4.3740635634403011</v>
      </c>
      <c r="AR22" s="80">
        <v>3.075039284373712E-2</v>
      </c>
      <c r="AS22" s="30">
        <f t="shared" si="74"/>
        <v>-8.7811926285839768</v>
      </c>
      <c r="AT22" s="30" t="str">
        <f t="shared" si="75"/>
        <v>*</v>
      </c>
      <c r="AU22" s="80"/>
      <c r="AV22" s="78">
        <v>937</v>
      </c>
      <c r="AW22" s="79">
        <v>4.3879291344021087</v>
      </c>
      <c r="AX22" s="80">
        <v>2.7144491174395765E-2</v>
      </c>
      <c r="AY22" s="30">
        <f t="shared" si="76"/>
        <v>-10.008723553309908</v>
      </c>
      <c r="AZ22" s="30" t="str">
        <f t="shared" si="77"/>
        <v>*</v>
      </c>
      <c r="BA22" s="80"/>
      <c r="BB22" s="78">
        <v>958</v>
      </c>
      <c r="BC22" s="79">
        <v>4.3430280331034732</v>
      </c>
      <c r="BD22" s="80">
        <v>2.8688538399495055E-2</v>
      </c>
      <c r="BE22" s="30">
        <f t="shared" si="78"/>
        <v>-8.322345962014591</v>
      </c>
      <c r="BF22" s="30" t="str">
        <f t="shared" si="79"/>
        <v>*</v>
      </c>
      <c r="BG22" s="80"/>
      <c r="BH22" s="78">
        <v>1275</v>
      </c>
      <c r="BI22" s="79">
        <v>4.205468892313406</v>
      </c>
      <c r="BJ22" s="80">
        <v>2.5954571745424232E-2</v>
      </c>
      <c r="BK22" s="30">
        <f t="shared" si="80"/>
        <v>-4.6084701154215013</v>
      </c>
      <c r="BL22" s="30" t="str">
        <f t="shared" si="81"/>
        <v>*</v>
      </c>
      <c r="BM22" s="80"/>
      <c r="BN22" s="78">
        <v>1336</v>
      </c>
      <c r="BO22" s="79">
        <v>4.2745094455662338</v>
      </c>
      <c r="BP22" s="80">
        <v>2.3716383570888407E-2</v>
      </c>
      <c r="BQ22" s="30">
        <f t="shared" si="82"/>
        <v>-7.1677340877308859</v>
      </c>
      <c r="BR22" s="30" t="str">
        <f t="shared" si="83"/>
        <v>*</v>
      </c>
      <c r="BS22" s="9"/>
      <c r="BT22" s="27">
        <v>11610</v>
      </c>
      <c r="BU22" s="27">
        <v>11612.469127269183</v>
      </c>
      <c r="BV22" s="28">
        <v>4.2415947931032107</v>
      </c>
      <c r="BW22" s="29">
        <v>8.8944264321303181E-3</v>
      </c>
      <c r="BX22" s="30">
        <f t="shared" si="57"/>
        <v>-8.8662412423962138</v>
      </c>
      <c r="BY22" s="30" t="str">
        <f t="shared" si="58"/>
        <v>*</v>
      </c>
      <c r="BZ22" s="30"/>
      <c r="CA22" s="27">
        <v>534</v>
      </c>
      <c r="CB22" s="27">
        <v>534</v>
      </c>
      <c r="CC22" s="28">
        <v>4.1086142322097405</v>
      </c>
      <c r="CD22" s="29">
        <v>4.0101110628259072E-2</v>
      </c>
      <c r="CE22" s="30">
        <f t="shared" si="59"/>
        <v>-1.1424005890189726</v>
      </c>
      <c r="CF22" s="30" t="str">
        <f t="shared" si="0"/>
        <v xml:space="preserve"> </v>
      </c>
      <c r="CG22" s="30"/>
      <c r="CH22" s="27">
        <v>3189</v>
      </c>
      <c r="CI22" s="27">
        <v>3191.2882156998785</v>
      </c>
      <c r="CJ22" s="28">
        <v>3.9683443333218817</v>
      </c>
      <c r="CK22" s="29">
        <v>1.8381891630834288E-2</v>
      </c>
      <c r="CL22" s="30">
        <f t="shared" si="60"/>
        <v>3.4226913505979346</v>
      </c>
      <c r="CM22" s="30" t="str">
        <f t="shared" si="1"/>
        <v>*</v>
      </c>
      <c r="CN22" s="30"/>
      <c r="CO22" s="27">
        <v>2979</v>
      </c>
      <c r="CP22" s="27">
        <v>2978.9607704899277</v>
      </c>
      <c r="CQ22" s="28">
        <v>4.296359468417835</v>
      </c>
      <c r="CR22" s="29">
        <v>1.6022569205291937E-2</v>
      </c>
      <c r="CS22" s="30">
        <f t="shared" si="61"/>
        <v>-9.6792695369221313</v>
      </c>
      <c r="CT22" s="30" t="str">
        <f t="shared" si="2"/>
        <v>*</v>
      </c>
      <c r="CU22" s="30"/>
      <c r="CV22" s="27">
        <v>549</v>
      </c>
      <c r="CW22" s="27">
        <v>548.7956838400039</v>
      </c>
      <c r="CX22" s="28">
        <v>4.9121853595079417</v>
      </c>
      <c r="CY22" s="29">
        <v>1.5483533699987045E-2</v>
      </c>
      <c r="CZ22" s="30">
        <f t="shared" si="62"/>
        <v>-35.190646149235945</v>
      </c>
      <c r="DA22" s="30" t="str">
        <f t="shared" si="3"/>
        <v>*</v>
      </c>
      <c r="DB22" s="30"/>
      <c r="DC22" s="27">
        <v>885</v>
      </c>
      <c r="DD22" s="27">
        <v>884.9946591899884</v>
      </c>
      <c r="DE22" s="28">
        <v>4.8497576521515988</v>
      </c>
      <c r="DF22" s="29">
        <v>1.5211214381595398E-2</v>
      </c>
      <c r="DG22" s="30">
        <f t="shared" si="63"/>
        <v>-32.852453227049459</v>
      </c>
      <c r="DH22" s="30" t="str">
        <f t="shared" si="4"/>
        <v>*</v>
      </c>
      <c r="DI22" s="30"/>
      <c r="DJ22" s="27">
        <v>546</v>
      </c>
      <c r="DK22" s="27">
        <v>546</v>
      </c>
      <c r="DL22" s="28">
        <v>4.9945054945054927</v>
      </c>
      <c r="DM22" s="29">
        <v>4.0923557215952512E-3</v>
      </c>
      <c r="DN22" s="30">
        <f t="shared" si="64"/>
        <v>-48.942062980911928</v>
      </c>
      <c r="DO22" s="30" t="str">
        <f t="shared" si="5"/>
        <v>*</v>
      </c>
      <c r="DP22" s="8"/>
      <c r="DQ22" s="27">
        <v>941</v>
      </c>
      <c r="DR22" s="27">
        <v>940.86634941000898</v>
      </c>
      <c r="DS22" s="28">
        <v>3.9552992234908029</v>
      </c>
      <c r="DT22" s="29">
        <v>3.3937424285579373E-2</v>
      </c>
      <c r="DU22" s="29"/>
      <c r="DV22" s="27">
        <v>652</v>
      </c>
      <c r="DW22" s="27">
        <v>651.92521408999676</v>
      </c>
      <c r="DX22" s="28">
        <v>4.0599397463780367</v>
      </c>
      <c r="DY22" s="29">
        <v>3.8476119756813351E-2</v>
      </c>
      <c r="DZ22" s="10">
        <f t="shared" si="6"/>
        <v>-2.0395939382102002</v>
      </c>
      <c r="EA22" s="10" t="str">
        <f t="shared" si="7"/>
        <v>*</v>
      </c>
      <c r="EB22" s="29"/>
      <c r="EC22" s="27">
        <v>696</v>
      </c>
      <c r="ED22" s="27">
        <v>696.43768290000355</v>
      </c>
      <c r="EE22" s="28">
        <v>4.0241472065382391</v>
      </c>
      <c r="EF22" s="29">
        <v>3.8132490460125769E-2</v>
      </c>
      <c r="EG22" s="10">
        <f t="shared" si="8"/>
        <v>-1.3487073232859734</v>
      </c>
      <c r="EH22" s="10" t="str">
        <f t="shared" si="9"/>
        <v xml:space="preserve"> </v>
      </c>
      <c r="EI22" s="29"/>
      <c r="EJ22" s="27">
        <v>666</v>
      </c>
      <c r="EK22" s="27">
        <v>668.37191065000218</v>
      </c>
      <c r="EL22" s="28">
        <v>4.0207604983077641</v>
      </c>
      <c r="EM22" s="29">
        <v>3.889241682018664E-2</v>
      </c>
      <c r="EN22" s="10">
        <f t="shared" si="10"/>
        <v>-1.2681986444149091</v>
      </c>
      <c r="EO22" s="10" t="str">
        <f t="shared" si="65"/>
        <v xml:space="preserve"> </v>
      </c>
      <c r="EP22" s="29"/>
      <c r="EQ22" s="8">
        <v>745</v>
      </c>
      <c r="ER22" s="8">
        <v>744.75200030000087</v>
      </c>
      <c r="ES22" s="69">
        <v>4.0769598470993165</v>
      </c>
      <c r="ET22" s="9">
        <v>3.6492527855424457E-2</v>
      </c>
      <c r="EU22" s="10">
        <f t="shared" si="11"/>
        <v>-2.4413049653878178</v>
      </c>
      <c r="EV22" s="10" t="str">
        <f t="shared" si="66"/>
        <v>*</v>
      </c>
      <c r="EW22" s="29"/>
      <c r="EX22" s="88">
        <v>4681</v>
      </c>
      <c r="EY22" s="88">
        <v>4680.6813895896566</v>
      </c>
      <c r="EZ22" s="28">
        <v>4.1529814339708109</v>
      </c>
      <c r="FA22" s="29">
        <v>1.3404465221675347E-2</v>
      </c>
      <c r="FB22" s="30">
        <f t="shared" si="12"/>
        <v>-5.4176216443182499</v>
      </c>
      <c r="FC22" s="30" t="str">
        <f t="shared" si="67"/>
        <v>*</v>
      </c>
      <c r="FD22" s="30"/>
      <c r="FE22" s="27">
        <v>1059</v>
      </c>
      <c r="FF22" s="27">
        <v>1059.0076273600043</v>
      </c>
      <c r="FG22" s="28">
        <v>4.2266679866115808</v>
      </c>
      <c r="FH22" s="29">
        <v>2.4735921102426763E-2</v>
      </c>
      <c r="FI22" s="30">
        <f t="shared" si="13"/>
        <v>-6.461867035354337</v>
      </c>
      <c r="FJ22" s="30" t="str">
        <f t="shared" si="14"/>
        <v>*</v>
      </c>
      <c r="FK22" s="30"/>
      <c r="FL22" s="88">
        <v>348</v>
      </c>
      <c r="FM22" s="88">
        <v>348.01869416999875</v>
      </c>
      <c r="FN22" s="28">
        <v>4.3731743331769435</v>
      </c>
      <c r="FO22" s="29">
        <v>4.3814112477951098E-2</v>
      </c>
      <c r="FP22" s="30">
        <f t="shared" si="15"/>
        <v>-7.5400900157711659</v>
      </c>
      <c r="FQ22" s="30" t="str">
        <f t="shared" si="16"/>
        <v>*</v>
      </c>
      <c r="FR22" s="30"/>
      <c r="FS22" s="88">
        <v>704</v>
      </c>
      <c r="FT22" s="88">
        <v>703.80500062000431</v>
      </c>
      <c r="FU22" s="28">
        <v>4.0859593391304481</v>
      </c>
      <c r="FV22" s="29">
        <v>3.3804849735411008E-2</v>
      </c>
      <c r="FW22" s="30">
        <f t="shared" si="17"/>
        <v>-2.7277052093755216</v>
      </c>
      <c r="FX22" s="30" t="str">
        <f t="shared" si="18"/>
        <v>*</v>
      </c>
      <c r="FY22" s="30"/>
      <c r="FZ22" s="88">
        <v>1245</v>
      </c>
      <c r="GA22" s="88">
        <v>1245.0030836099966</v>
      </c>
      <c r="GB22" s="28">
        <v>4.1388008307970905</v>
      </c>
      <c r="GC22" s="29">
        <v>2.719289647459858E-2</v>
      </c>
      <c r="GD22" s="30">
        <f t="shared" si="19"/>
        <v>-4.2195959720535301</v>
      </c>
      <c r="GE22" s="30" t="str">
        <f t="shared" si="20"/>
        <v>*</v>
      </c>
      <c r="GF22" s="30"/>
      <c r="GG22" s="88">
        <v>384</v>
      </c>
      <c r="GH22" s="88">
        <v>383.98063441999915</v>
      </c>
      <c r="GI22" s="28">
        <v>4.4033900346926762</v>
      </c>
      <c r="GJ22" s="29">
        <v>3.7104032821833104E-2</v>
      </c>
      <c r="GK22" s="30">
        <f t="shared" si="21"/>
        <v>-8.9112404953841651</v>
      </c>
      <c r="GL22" s="30" t="str">
        <f t="shared" si="22"/>
        <v>*</v>
      </c>
      <c r="GM22" s="10"/>
      <c r="GN22" s="88">
        <v>888</v>
      </c>
      <c r="GO22" s="88">
        <v>887.97228066000866</v>
      </c>
      <c r="GP22" s="28">
        <v>3.9910585499086784</v>
      </c>
      <c r="GQ22" s="29">
        <v>3.5950116181717569E-2</v>
      </c>
      <c r="GR22" s="9"/>
      <c r="GS22" s="3">
        <v>634</v>
      </c>
      <c r="GT22" s="3">
        <v>633.98282842999788</v>
      </c>
      <c r="GU22" s="69">
        <v>3.9652491715042819</v>
      </c>
      <c r="GV22" s="9">
        <v>4.1745216862900447E-2</v>
      </c>
      <c r="GW22" s="10">
        <f t="shared" si="23"/>
        <v>0.46848199452880435</v>
      </c>
      <c r="GX22" s="10" t="str">
        <f t="shared" si="68"/>
        <v xml:space="preserve"> </v>
      </c>
      <c r="GY22" s="9"/>
      <c r="GZ22" s="27">
        <v>678</v>
      </c>
      <c r="HA22" s="27">
        <v>677.34100576000446</v>
      </c>
      <c r="HB22" s="28">
        <v>4.0457843223520804</v>
      </c>
      <c r="HC22" s="29">
        <v>3.8100793899602053E-2</v>
      </c>
      <c r="HD22" s="10">
        <f t="shared" si="24"/>
        <v>-1.0447043649011278</v>
      </c>
      <c r="HE22" s="10" t="str">
        <f t="shared" si="69"/>
        <v xml:space="preserve"> </v>
      </c>
      <c r="HF22" s="9"/>
      <c r="HG22" s="27">
        <v>1334</v>
      </c>
      <c r="HH22" s="27">
        <v>1334.1687772199923</v>
      </c>
      <c r="HI22" s="28">
        <v>3.8942130591797528</v>
      </c>
      <c r="HJ22" s="29">
        <v>2.9420025360556011E-2</v>
      </c>
      <c r="HK22" s="10">
        <f t="shared" si="25"/>
        <v>2.0847733245318714</v>
      </c>
      <c r="HL22" s="10" t="str">
        <f t="shared" si="70"/>
        <v>*</v>
      </c>
      <c r="HM22" s="29"/>
      <c r="HN22" s="8">
        <v>1350</v>
      </c>
      <c r="HO22" s="8">
        <v>1348.7924992500061</v>
      </c>
      <c r="HP22" s="69">
        <v>3.8441563421157179</v>
      </c>
      <c r="HQ22" s="9">
        <v>3.0867458414262958E-2</v>
      </c>
      <c r="HR22" s="10">
        <f t="shared" si="26"/>
        <v>3.1002717104462287</v>
      </c>
      <c r="HS22" s="10" t="str">
        <f t="shared" si="71"/>
        <v>*</v>
      </c>
      <c r="HT22" s="9"/>
      <c r="HU22" s="88">
        <v>4960</v>
      </c>
      <c r="HV22" s="88">
        <v>4959.8926662301265</v>
      </c>
      <c r="HW22" s="28">
        <v>4.2365033947300343</v>
      </c>
      <c r="HX22" s="29">
        <v>1.2977142133728572E-2</v>
      </c>
      <c r="HY22" s="30">
        <f t="shared" si="27"/>
        <v>-6.4217884857955241</v>
      </c>
      <c r="HZ22" s="30" t="str">
        <f t="shared" si="72"/>
        <v>*</v>
      </c>
      <c r="IA22" s="30"/>
      <c r="IB22" s="88">
        <v>1059</v>
      </c>
      <c r="IC22" s="88">
        <v>1059.0076273600043</v>
      </c>
      <c r="ID22" s="28">
        <v>4.2266679866115808</v>
      </c>
      <c r="IE22" s="29">
        <v>2.4735921102426763E-2</v>
      </c>
      <c r="IF22" s="30">
        <f t="shared" si="28"/>
        <v>-5.3991781837300987</v>
      </c>
      <c r="IG22" s="30" t="str">
        <f t="shared" si="29"/>
        <v>*</v>
      </c>
      <c r="IH22" s="30"/>
      <c r="II22" s="88">
        <v>667</v>
      </c>
      <c r="IJ22" s="88">
        <v>667.16022902000384</v>
      </c>
      <c r="IK22" s="28">
        <v>4.3821541003343567</v>
      </c>
      <c r="IL22" s="29">
        <v>3.1384517348270566E-2</v>
      </c>
      <c r="IM22" s="30">
        <f t="shared" si="30"/>
        <v>-8.1952712549056432</v>
      </c>
      <c r="IN22" s="30" t="str">
        <f t="shared" si="84"/>
        <v>*</v>
      </c>
      <c r="IO22" s="30"/>
      <c r="IP22" s="88">
        <v>772</v>
      </c>
      <c r="IQ22" s="88">
        <v>772.07025220000912</v>
      </c>
      <c r="IR22" s="28">
        <v>4.2376083080228302</v>
      </c>
      <c r="IS22" s="29">
        <v>3.6120738178313037E-2</v>
      </c>
      <c r="IT22" s="30">
        <f t="shared" si="32"/>
        <v>-4.8379200957476378</v>
      </c>
      <c r="IU22" s="30" t="str">
        <f t="shared" si="33"/>
        <v>*</v>
      </c>
      <c r="IV22" s="30"/>
      <c r="IW22" s="88">
        <v>348</v>
      </c>
      <c r="IX22" s="88">
        <v>348.01869416999875</v>
      </c>
      <c r="IY22" s="28">
        <v>4.3731743331769435</v>
      </c>
      <c r="IZ22" s="29">
        <v>4.3814112477951098E-2</v>
      </c>
      <c r="JA22" s="30">
        <f t="shared" si="34"/>
        <v>-6.742194951319469</v>
      </c>
      <c r="JB22" s="30" t="str">
        <f t="shared" si="73"/>
        <v>*</v>
      </c>
      <c r="JC22" s="30"/>
      <c r="JD22" s="88">
        <v>1226</v>
      </c>
      <c r="JE22" s="88">
        <v>1225.6635828200097</v>
      </c>
      <c r="JF22" s="28">
        <v>4.3040378484629684</v>
      </c>
      <c r="JG22" s="29">
        <v>2.4654860452108733E-2</v>
      </c>
      <c r="JH22" s="30">
        <f t="shared" si="35"/>
        <v>-7.1797217635401926</v>
      </c>
      <c r="JI22" s="30" t="str">
        <f t="shared" si="36"/>
        <v>*</v>
      </c>
      <c r="JK22" s="27"/>
      <c r="JL22" s="27"/>
      <c r="JM22" s="28"/>
      <c r="JN22" s="29"/>
    </row>
    <row r="23" spans="1:274" x14ac:dyDescent="0.2">
      <c r="B23" s="7" t="s">
        <v>26</v>
      </c>
      <c r="C23" s="27">
        <v>3046</v>
      </c>
      <c r="D23" s="27">
        <v>3046.7040720199179</v>
      </c>
      <c r="E23" s="28">
        <v>3.7186345845851601</v>
      </c>
      <c r="F23" s="29">
        <v>2.1150977697430556E-2</v>
      </c>
      <c r="G23" s="29"/>
      <c r="H23" s="3">
        <v>990</v>
      </c>
      <c r="I23" s="3">
        <v>989.98056276001694</v>
      </c>
      <c r="J23" s="28">
        <v>3.7044099633793133</v>
      </c>
      <c r="K23" s="29">
        <v>3.6898646897024788E-2</v>
      </c>
      <c r="L23" s="30">
        <f t="shared" si="37"/>
        <v>0.33445412131598534</v>
      </c>
      <c r="M23" s="30" t="str">
        <f t="shared" si="38"/>
        <v xml:space="preserve"> </v>
      </c>
      <c r="N23" s="9"/>
      <c r="O23" s="27">
        <v>1070</v>
      </c>
      <c r="P23" s="27">
        <v>1070.1681130200079</v>
      </c>
      <c r="Q23" s="28">
        <v>2.8820230242763358</v>
      </c>
      <c r="R23" s="29">
        <v>4.0126185027551414E-2</v>
      </c>
      <c r="S23" s="30">
        <f t="shared" si="39"/>
        <v>18.444064062486429</v>
      </c>
      <c r="T23" s="30" t="str">
        <f t="shared" si="40"/>
        <v>*</v>
      </c>
      <c r="U23" s="30"/>
      <c r="V23" s="27">
        <v>1080</v>
      </c>
      <c r="W23" s="27">
        <v>1080.1223744800195</v>
      </c>
      <c r="X23" s="28">
        <v>3.1418478053597916</v>
      </c>
      <c r="Y23" s="29">
        <v>3.8493591864581768E-2</v>
      </c>
      <c r="Z23" s="30">
        <f t="shared" si="41"/>
        <v>13.132143574243026</v>
      </c>
      <c r="AA23" s="30" t="str">
        <f t="shared" si="42"/>
        <v>*</v>
      </c>
      <c r="AB23" s="9"/>
      <c r="AC23" s="8">
        <v>1234</v>
      </c>
      <c r="AD23" s="8">
        <v>1234.0136887600058</v>
      </c>
      <c r="AE23" s="69">
        <v>3.1762791068862355</v>
      </c>
      <c r="AF23" s="9">
        <v>3.3423446914416968E-2</v>
      </c>
      <c r="AG23" s="30">
        <f t="shared" si="43"/>
        <v>13.711897031001017</v>
      </c>
      <c r="AH23" s="30" t="str">
        <f t="shared" si="44"/>
        <v>*</v>
      </c>
      <c r="AI23" s="9"/>
      <c r="AJ23" s="81">
        <v>6175</v>
      </c>
      <c r="AK23" s="83">
        <v>3.958309323373034</v>
      </c>
      <c r="AL23" s="84">
        <v>1.332593801346057E-2</v>
      </c>
      <c r="AM23" s="30">
        <f t="shared" si="45"/>
        <v>-9.5874153841408347</v>
      </c>
      <c r="AN23" s="30" t="str">
        <f t="shared" si="46"/>
        <v>*</v>
      </c>
      <c r="AO23" s="9"/>
      <c r="AP23" s="78">
        <v>785</v>
      </c>
      <c r="AQ23" s="79">
        <v>4.1123643880858456</v>
      </c>
      <c r="AR23" s="80">
        <v>3.6852521971797003E-2</v>
      </c>
      <c r="AS23" s="30">
        <f t="shared" si="74"/>
        <v>-9.266225892332038</v>
      </c>
      <c r="AT23" s="30" t="str">
        <f t="shared" si="75"/>
        <v>*</v>
      </c>
      <c r="AU23" s="80"/>
      <c r="AV23" s="78">
        <v>982</v>
      </c>
      <c r="AW23" s="79">
        <v>3.9455756081137809</v>
      </c>
      <c r="AX23" s="80">
        <v>3.3069189943326659E-2</v>
      </c>
      <c r="AY23" s="30">
        <f t="shared" si="76"/>
        <v>-5.7812376711337858</v>
      </c>
      <c r="AZ23" s="30" t="str">
        <f t="shared" si="77"/>
        <v>*</v>
      </c>
      <c r="BA23" s="80"/>
      <c r="BB23" s="78">
        <v>996</v>
      </c>
      <c r="BC23" s="79">
        <v>4.0359170215497437</v>
      </c>
      <c r="BD23" s="80">
        <v>3.2256670930398697E-2</v>
      </c>
      <c r="BE23" s="30">
        <f t="shared" si="78"/>
        <v>-8.2255601670851171</v>
      </c>
      <c r="BF23" s="30" t="str">
        <f t="shared" si="79"/>
        <v>*</v>
      </c>
      <c r="BG23" s="80"/>
      <c r="BH23" s="78">
        <v>1360</v>
      </c>
      <c r="BI23" s="79">
        <v>3.8661978771211931</v>
      </c>
      <c r="BJ23" s="80">
        <v>2.9510205366001338E-2</v>
      </c>
      <c r="BK23" s="30">
        <f t="shared" si="80"/>
        <v>-4.0642932385468242</v>
      </c>
      <c r="BL23" s="30" t="str">
        <f t="shared" si="81"/>
        <v>*</v>
      </c>
      <c r="BM23" s="80"/>
      <c r="BN23" s="78">
        <v>1421</v>
      </c>
      <c r="BO23" s="79">
        <v>4.0552887756940059</v>
      </c>
      <c r="BP23" s="80">
        <v>2.5806397541916045E-2</v>
      </c>
      <c r="BQ23" s="30">
        <f t="shared" si="82"/>
        <v>-10.089538158163862</v>
      </c>
      <c r="BR23" s="30" t="str">
        <f t="shared" si="83"/>
        <v>*</v>
      </c>
      <c r="BS23" s="9"/>
      <c r="BT23" s="27">
        <v>11907</v>
      </c>
      <c r="BU23" s="27">
        <v>11910.130269189194</v>
      </c>
      <c r="BV23" s="28">
        <v>3.9633582832113401</v>
      </c>
      <c r="BW23" s="29">
        <v>1.014337379955778E-2</v>
      </c>
      <c r="BX23" s="30">
        <f t="shared" si="57"/>
        <v>-10.432664863155832</v>
      </c>
      <c r="BY23" s="30" t="str">
        <f t="shared" si="58"/>
        <v>*</v>
      </c>
      <c r="BZ23" s="30"/>
      <c r="CA23" s="27">
        <v>542</v>
      </c>
      <c r="CB23" s="27">
        <v>542</v>
      </c>
      <c r="CC23" s="28">
        <v>3.4630996309963096</v>
      </c>
      <c r="CD23" s="29">
        <v>4.5414440576254718E-2</v>
      </c>
      <c r="CE23" s="30">
        <f t="shared" si="59"/>
        <v>5.1006756156481172</v>
      </c>
      <c r="CF23" s="30" t="str">
        <f t="shared" si="0"/>
        <v>*</v>
      </c>
      <c r="CG23" s="30"/>
      <c r="CH23" s="27">
        <v>3313</v>
      </c>
      <c r="CI23" s="27">
        <v>3315.3112824698569</v>
      </c>
      <c r="CJ23" s="28">
        <v>3.8309672889350854</v>
      </c>
      <c r="CK23" s="29">
        <v>1.8938757643720883E-2</v>
      </c>
      <c r="CL23" s="30">
        <f t="shared" si="60"/>
        <v>-3.9566515943156433</v>
      </c>
      <c r="CM23" s="30" t="str">
        <f t="shared" si="1"/>
        <v>*</v>
      </c>
      <c r="CN23" s="30"/>
      <c r="CO23" s="27">
        <v>2998</v>
      </c>
      <c r="CP23" s="27">
        <v>2997.9364183799262</v>
      </c>
      <c r="CQ23" s="28">
        <v>3.8496161928598798</v>
      </c>
      <c r="CR23" s="29">
        <v>1.9644553563553678E-2</v>
      </c>
      <c r="CS23" s="30">
        <f t="shared" si="61"/>
        <v>-4.5375020590655879</v>
      </c>
      <c r="CT23" s="30" t="str">
        <f t="shared" si="2"/>
        <v>*</v>
      </c>
      <c r="CU23" s="30"/>
      <c r="CV23" s="27">
        <v>583</v>
      </c>
      <c r="CW23" s="27">
        <v>583.17226308000454</v>
      </c>
      <c r="CX23" s="28">
        <v>4.8282492969212685</v>
      </c>
      <c r="CY23" s="29">
        <v>1.888711460176043E-2</v>
      </c>
      <c r="CZ23" s="30">
        <f t="shared" si="62"/>
        <v>-39.130977610043551</v>
      </c>
      <c r="DA23" s="30" t="str">
        <f t="shared" si="3"/>
        <v>*</v>
      </c>
      <c r="DB23" s="30"/>
      <c r="DC23" s="27">
        <v>880</v>
      </c>
      <c r="DD23" s="27">
        <v>880.00623323998855</v>
      </c>
      <c r="DE23" s="28">
        <v>4.8080109425953168</v>
      </c>
      <c r="DF23" s="29">
        <v>1.7706214943884385E-2</v>
      </c>
      <c r="DG23" s="30">
        <f t="shared" si="63"/>
        <v>-39.493134192989046</v>
      </c>
      <c r="DH23" s="30" t="str">
        <f t="shared" si="4"/>
        <v>*</v>
      </c>
      <c r="DI23" s="30"/>
      <c r="DJ23" s="27">
        <v>545</v>
      </c>
      <c r="DK23" s="27">
        <v>545</v>
      </c>
      <c r="DL23" s="28">
        <v>4.9706422018348633</v>
      </c>
      <c r="DM23" s="29">
        <v>1.0634592623684002E-2</v>
      </c>
      <c r="DN23" s="30">
        <f t="shared" si="64"/>
        <v>-52.885336606992404</v>
      </c>
      <c r="DO23" s="30" t="str">
        <f t="shared" si="5"/>
        <v>*</v>
      </c>
      <c r="DP23" s="8"/>
      <c r="DQ23" s="27">
        <v>1009</v>
      </c>
      <c r="DR23" s="27">
        <v>1008.8431654500097</v>
      </c>
      <c r="DS23" s="28">
        <v>3.7364899390963151</v>
      </c>
      <c r="DT23" s="29">
        <v>3.4796056938258955E-2</v>
      </c>
      <c r="DU23" s="29"/>
      <c r="DV23" s="27">
        <v>700</v>
      </c>
      <c r="DW23" s="27">
        <v>699.9489396199973</v>
      </c>
      <c r="DX23" s="28">
        <v>3.7634243192083461</v>
      </c>
      <c r="DY23" s="29">
        <v>4.2907387908085702E-2</v>
      </c>
      <c r="DZ23" s="10">
        <f t="shared" si="6"/>
        <v>-0.48756023018302502</v>
      </c>
      <c r="EA23" s="10" t="str">
        <f t="shared" si="7"/>
        <v xml:space="preserve"> </v>
      </c>
      <c r="EB23" s="29"/>
      <c r="EC23" s="27">
        <v>732</v>
      </c>
      <c r="ED23" s="27">
        <v>732.02119999000479</v>
      </c>
      <c r="EE23" s="28">
        <v>3.764133332651626</v>
      </c>
      <c r="EF23" s="29">
        <v>4.1268349737924225E-2</v>
      </c>
      <c r="EG23" s="10">
        <f t="shared" si="8"/>
        <v>-0.51210419955451447</v>
      </c>
      <c r="EH23" s="10" t="str">
        <f t="shared" si="9"/>
        <v xml:space="preserve"> </v>
      </c>
      <c r="EI23" s="29"/>
      <c r="EJ23" s="27">
        <v>698</v>
      </c>
      <c r="EK23" s="27">
        <v>699.53670504000218</v>
      </c>
      <c r="EL23" s="28">
        <v>3.7816239903504956</v>
      </c>
      <c r="EM23" s="29">
        <v>4.1221082808806833E-2</v>
      </c>
      <c r="EN23" s="10">
        <f t="shared" si="10"/>
        <v>-0.83668514496106683</v>
      </c>
      <c r="EO23" s="10" t="str">
        <f t="shared" si="65"/>
        <v xml:space="preserve"> </v>
      </c>
      <c r="EP23" s="29"/>
      <c r="EQ23" s="8">
        <v>776</v>
      </c>
      <c r="ER23" s="8">
        <v>776.13085751000119</v>
      </c>
      <c r="ES23" s="69">
        <v>3.8085970776028799</v>
      </c>
      <c r="ET23" s="9">
        <v>3.8109342761616684E-2</v>
      </c>
      <c r="EU23" s="10">
        <f t="shared" si="11"/>
        <v>-1.3972867360782619</v>
      </c>
      <c r="EV23" s="10" t="str">
        <f t="shared" si="66"/>
        <v xml:space="preserve"> </v>
      </c>
      <c r="EW23" s="29"/>
      <c r="EX23" s="88">
        <v>4961</v>
      </c>
      <c r="EY23" s="88">
        <v>4960.7366967297576</v>
      </c>
      <c r="EZ23" s="28">
        <v>3.819210795922475</v>
      </c>
      <c r="FA23" s="29">
        <v>1.5137819889190135E-2</v>
      </c>
      <c r="FB23" s="30">
        <f t="shared" si="12"/>
        <v>-2.1799471633741434</v>
      </c>
      <c r="FC23" s="30" t="str">
        <f t="shared" si="67"/>
        <v>*</v>
      </c>
      <c r="FD23" s="30"/>
      <c r="FE23" s="27">
        <v>1127</v>
      </c>
      <c r="FF23" s="27">
        <v>1127.0045127200015</v>
      </c>
      <c r="FG23" s="28">
        <v>4.0408708016517485</v>
      </c>
      <c r="FH23" s="29">
        <v>2.7246087511575319E-2</v>
      </c>
      <c r="FI23" s="30">
        <f t="shared" si="13"/>
        <v>-6.8873705762441197</v>
      </c>
      <c r="FJ23" s="30" t="str">
        <f t="shared" si="14"/>
        <v>*</v>
      </c>
      <c r="FK23" s="30"/>
      <c r="FL23" s="88">
        <v>382</v>
      </c>
      <c r="FM23" s="88">
        <v>382.01101860999859</v>
      </c>
      <c r="FN23" s="28">
        <v>3.7745777994746406</v>
      </c>
      <c r="FO23" s="29">
        <v>6.0157223834614179E-2</v>
      </c>
      <c r="FP23" s="30">
        <f t="shared" si="15"/>
        <v>-0.54806040223758146</v>
      </c>
      <c r="FQ23" s="30" t="str">
        <f t="shared" si="16"/>
        <v xml:space="preserve"> </v>
      </c>
      <c r="FR23" s="30"/>
      <c r="FS23" s="88">
        <v>707</v>
      </c>
      <c r="FT23" s="88">
        <v>706.87998661000461</v>
      </c>
      <c r="FU23" s="28">
        <v>3.5899887248754356</v>
      </c>
      <c r="FV23" s="29">
        <v>3.9409550970010664E-2</v>
      </c>
      <c r="FW23" s="30">
        <f t="shared" si="17"/>
        <v>2.7866457777264704</v>
      </c>
      <c r="FX23" s="30" t="str">
        <f t="shared" si="18"/>
        <v>*</v>
      </c>
      <c r="FY23" s="30"/>
      <c r="FZ23" s="88">
        <v>1342</v>
      </c>
      <c r="GA23" s="88">
        <v>1342.0078019999871</v>
      </c>
      <c r="GB23" s="28">
        <v>3.768242578607603</v>
      </c>
      <c r="GC23" s="29">
        <v>3.0068864605622726E-2</v>
      </c>
      <c r="GD23" s="30">
        <f t="shared" si="19"/>
        <v>-0.69045390256563322</v>
      </c>
      <c r="GE23" s="30" t="str">
        <f t="shared" si="20"/>
        <v xml:space="preserve"> </v>
      </c>
      <c r="GF23" s="30"/>
      <c r="GG23" s="88">
        <v>394</v>
      </c>
      <c r="GH23" s="88">
        <v>393.99021133999912</v>
      </c>
      <c r="GI23" s="28">
        <v>4.0251120549070212</v>
      </c>
      <c r="GJ23" s="29">
        <v>5.1821140320902744E-2</v>
      </c>
      <c r="GK23" s="30">
        <f t="shared" si="21"/>
        <v>-4.6239081533555284</v>
      </c>
      <c r="GL23" s="30" t="str">
        <f t="shared" si="22"/>
        <v>*</v>
      </c>
      <c r="GM23" s="10"/>
      <c r="GN23" s="88">
        <v>950</v>
      </c>
      <c r="GO23" s="88">
        <v>949.96382460000927</v>
      </c>
      <c r="GP23" s="28">
        <v>4.0264304489916523</v>
      </c>
      <c r="GQ23" s="29">
        <v>3.3478320058650958E-2</v>
      </c>
      <c r="GR23" s="9"/>
      <c r="GS23" s="3">
        <v>686</v>
      </c>
      <c r="GT23" s="3">
        <v>685.99820651999948</v>
      </c>
      <c r="GU23" s="69">
        <v>3.9841138080735181</v>
      </c>
      <c r="GV23" s="9">
        <v>3.9116071316529707E-2</v>
      </c>
      <c r="GW23" s="10">
        <f t="shared" si="23"/>
        <v>0.82189698035716596</v>
      </c>
      <c r="GX23" s="10" t="str">
        <f t="shared" si="68"/>
        <v xml:space="preserve"> </v>
      </c>
      <c r="GY23" s="9"/>
      <c r="GZ23" s="27">
        <v>723</v>
      </c>
      <c r="HA23" s="27">
        <v>723.16796975000489</v>
      </c>
      <c r="HB23" s="28">
        <v>4.0631499416045571</v>
      </c>
      <c r="HC23" s="29">
        <v>3.6064150975592492E-2</v>
      </c>
      <c r="HD23" s="10">
        <f t="shared" si="24"/>
        <v>-0.7462107964073208</v>
      </c>
      <c r="HE23" s="10" t="str">
        <f t="shared" si="69"/>
        <v xml:space="preserve"> </v>
      </c>
      <c r="HF23" s="9"/>
      <c r="HG23" s="27">
        <v>1454</v>
      </c>
      <c r="HH23" s="27">
        <v>1454.0710491699908</v>
      </c>
      <c r="HI23" s="28">
        <v>3.9569118554586655</v>
      </c>
      <c r="HJ23" s="29">
        <v>2.6401755347206454E-2</v>
      </c>
      <c r="HK23" s="10">
        <f t="shared" si="25"/>
        <v>1.6305040550511438</v>
      </c>
      <c r="HL23" s="10" t="str">
        <f t="shared" si="70"/>
        <v xml:space="preserve"> </v>
      </c>
      <c r="HM23" s="29"/>
      <c r="HN23" s="8">
        <v>1458</v>
      </c>
      <c r="HO23" s="8">
        <v>1458.0565084000118</v>
      </c>
      <c r="HP23" s="69">
        <v>3.9548415825170933</v>
      </c>
      <c r="HQ23" s="9">
        <v>2.6570734684530341E-2</v>
      </c>
      <c r="HR23" s="10">
        <f t="shared" si="26"/>
        <v>1.6749419654190061</v>
      </c>
      <c r="HS23" s="10" t="str">
        <f t="shared" si="71"/>
        <v xml:space="preserve"> </v>
      </c>
      <c r="HT23" s="9"/>
      <c r="HU23" s="88">
        <v>5260</v>
      </c>
      <c r="HV23" s="88">
        <v>5259.8781691202666</v>
      </c>
      <c r="HW23" s="28">
        <v>4.0055412692505303</v>
      </c>
      <c r="HX23" s="29">
        <v>1.4122952943770962E-2</v>
      </c>
      <c r="HY23" s="30">
        <f t="shared" si="27"/>
        <v>0.57490006659013349</v>
      </c>
      <c r="HZ23" s="30" t="str">
        <f t="shared" si="72"/>
        <v xml:space="preserve"> </v>
      </c>
      <c r="IA23" s="30"/>
      <c r="IB23" s="88">
        <v>1127</v>
      </c>
      <c r="IC23" s="88">
        <v>1127.0045127200015</v>
      </c>
      <c r="ID23" s="28">
        <v>4.0408708016517485</v>
      </c>
      <c r="IE23" s="29">
        <v>2.7246087511575319E-2</v>
      </c>
      <c r="IF23" s="30">
        <f t="shared" si="28"/>
        <v>-0.3345447475448986</v>
      </c>
      <c r="IG23" s="30" t="str">
        <f t="shared" si="29"/>
        <v xml:space="preserve"> </v>
      </c>
      <c r="IH23" s="30"/>
      <c r="II23" s="88">
        <v>713</v>
      </c>
      <c r="IJ23" s="88">
        <v>712.9426221000042</v>
      </c>
      <c r="IK23" s="28">
        <v>4.1643393352678038</v>
      </c>
      <c r="IL23" s="29">
        <v>3.4133882367609662E-2</v>
      </c>
      <c r="IM23" s="30">
        <f t="shared" si="30"/>
        <v>-2.8844416156321242</v>
      </c>
      <c r="IN23" s="30" t="str">
        <f t="shared" si="84"/>
        <v>*</v>
      </c>
      <c r="IO23" s="30"/>
      <c r="IP23" s="88">
        <v>813</v>
      </c>
      <c r="IQ23" s="88">
        <v>812.95489386001009</v>
      </c>
      <c r="IR23" s="28">
        <v>4.1339489564334357</v>
      </c>
      <c r="IS23" s="29">
        <v>3.6096772771283758E-2</v>
      </c>
      <c r="IT23" s="30">
        <f t="shared" si="32"/>
        <v>-2.183921799762218</v>
      </c>
      <c r="IU23" s="30" t="str">
        <f t="shared" si="33"/>
        <v>*</v>
      </c>
      <c r="IV23" s="30"/>
      <c r="IW23" s="88">
        <v>382</v>
      </c>
      <c r="IX23" s="88">
        <v>382.01101860999859</v>
      </c>
      <c r="IY23" s="28">
        <v>3.7745777994746406</v>
      </c>
      <c r="IZ23" s="29">
        <v>6.0157223834614179E-2</v>
      </c>
      <c r="JA23" s="30">
        <f t="shared" si="34"/>
        <v>3.6582348144509353</v>
      </c>
      <c r="JB23" s="30" t="str">
        <f t="shared" si="73"/>
        <v>*</v>
      </c>
      <c r="JC23" s="30"/>
      <c r="JD23" s="88">
        <v>1275</v>
      </c>
      <c r="JE23" s="88">
        <v>1275.0012972300108</v>
      </c>
      <c r="JF23" s="28">
        <v>3.8572798636634045</v>
      </c>
      <c r="JG23" s="29">
        <v>3.0438705829409697E-2</v>
      </c>
      <c r="JH23" s="30">
        <f t="shared" si="35"/>
        <v>3.7383625028540788</v>
      </c>
      <c r="JI23" s="30" t="str">
        <f t="shared" si="36"/>
        <v>*</v>
      </c>
      <c r="JK23" s="27"/>
      <c r="JL23" s="27"/>
      <c r="JM23" s="28"/>
      <c r="JN23" s="29"/>
    </row>
    <row r="24" spans="1:274" x14ac:dyDescent="0.2">
      <c r="B24" s="7" t="s">
        <v>27</v>
      </c>
      <c r="C24" s="27">
        <v>657</v>
      </c>
      <c r="D24" s="27">
        <v>660.52663431999804</v>
      </c>
      <c r="E24" s="28">
        <v>3.6604596190872947</v>
      </c>
      <c r="F24" s="29">
        <v>4.8789726542752113E-2</v>
      </c>
      <c r="G24" s="29"/>
      <c r="H24" s="3">
        <v>249</v>
      </c>
      <c r="I24" s="3">
        <v>249.03327510000133</v>
      </c>
      <c r="J24" s="28">
        <v>3.6467214583887539</v>
      </c>
      <c r="K24" s="29">
        <v>8.1958261985045022E-2</v>
      </c>
      <c r="L24" s="30">
        <f t="shared" si="37"/>
        <v>0.1440340967177843</v>
      </c>
      <c r="M24" s="30" t="str">
        <f t="shared" si="38"/>
        <v xml:space="preserve"> </v>
      </c>
      <c r="N24" s="9"/>
      <c r="O24" s="27">
        <v>588</v>
      </c>
      <c r="P24" s="27">
        <v>587.6591892000032</v>
      </c>
      <c r="Q24" s="28">
        <v>2.0624912231526475</v>
      </c>
      <c r="R24" s="29">
        <v>5.1857479813861768E-2</v>
      </c>
      <c r="S24" s="30">
        <f t="shared" si="39"/>
        <v>22.44294331703718</v>
      </c>
      <c r="T24" s="30" t="str">
        <f t="shared" si="40"/>
        <v>*</v>
      </c>
      <c r="U24" s="30"/>
      <c r="V24" s="27">
        <v>532</v>
      </c>
      <c r="W24" s="27">
        <v>520.67475208000201</v>
      </c>
      <c r="X24" s="28">
        <v>2.2743080176625399</v>
      </c>
      <c r="Y24" s="29">
        <v>5.5925050004189403E-2</v>
      </c>
      <c r="Z24" s="30">
        <f t="shared" si="41"/>
        <v>18.677203378887043</v>
      </c>
      <c r="AA24" s="30" t="str">
        <f t="shared" si="42"/>
        <v>*</v>
      </c>
      <c r="AB24" s="9"/>
      <c r="AC24" s="8">
        <v>604</v>
      </c>
      <c r="AD24" s="8">
        <v>598.89030071999423</v>
      </c>
      <c r="AE24" s="69">
        <v>2.5559354788677098</v>
      </c>
      <c r="AF24" s="9">
        <v>4.8779270457474384E-2</v>
      </c>
      <c r="AG24" s="30">
        <f t="shared" si="43"/>
        <v>16.00952206256418</v>
      </c>
      <c r="AH24" s="30" t="str">
        <f t="shared" si="44"/>
        <v>*</v>
      </c>
      <c r="AI24" s="9"/>
      <c r="AJ24" s="81">
        <v>2126</v>
      </c>
      <c r="AK24" s="83">
        <v>4.0010329213596494</v>
      </c>
      <c r="AL24" s="84">
        <v>2.4316088432438349E-2</v>
      </c>
      <c r="AM24" s="30">
        <f t="shared" si="45"/>
        <v>-6.2475166000377698</v>
      </c>
      <c r="AN24" s="30" t="str">
        <f t="shared" si="46"/>
        <v>*</v>
      </c>
      <c r="AO24" s="9"/>
      <c r="AP24" s="78">
        <v>419</v>
      </c>
      <c r="AQ24" s="79">
        <v>4.2712954979073707</v>
      </c>
      <c r="AR24" s="80">
        <v>4.6910900104404206E-2</v>
      </c>
      <c r="AS24" s="30">
        <f t="shared" si="74"/>
        <v>-9.0248725210913712</v>
      </c>
      <c r="AT24" s="30" t="str">
        <f t="shared" si="75"/>
        <v>*</v>
      </c>
      <c r="AU24" s="80"/>
      <c r="AV24" s="78">
        <v>347</v>
      </c>
      <c r="AW24" s="79">
        <v>4.258067530208506</v>
      </c>
      <c r="AX24" s="80">
        <v>5.0980946099278293E-2</v>
      </c>
      <c r="AY24" s="30">
        <f t="shared" si="76"/>
        <v>-8.4688359272955402</v>
      </c>
      <c r="AZ24" s="30" t="str">
        <f t="shared" si="77"/>
        <v>*</v>
      </c>
      <c r="BA24" s="80"/>
      <c r="BB24" s="78">
        <v>492</v>
      </c>
      <c r="BC24" s="79">
        <v>4.1707793826096147</v>
      </c>
      <c r="BD24" s="80">
        <v>4.5911256577771571E-2</v>
      </c>
      <c r="BE24" s="30">
        <f t="shared" si="78"/>
        <v>-7.6173230311607858</v>
      </c>
      <c r="BF24" s="30" t="str">
        <f t="shared" si="79"/>
        <v>*</v>
      </c>
      <c r="BG24" s="80"/>
      <c r="BH24" s="78">
        <v>425</v>
      </c>
      <c r="BI24" s="79">
        <v>4.1481049318704342</v>
      </c>
      <c r="BJ24" s="80">
        <v>4.8254241646987113E-2</v>
      </c>
      <c r="BK24" s="30">
        <f t="shared" si="80"/>
        <v>-7.1063058230861866</v>
      </c>
      <c r="BL24" s="30" t="str">
        <f t="shared" si="81"/>
        <v>*</v>
      </c>
      <c r="BM24" s="80"/>
      <c r="BN24" s="78">
        <v>330</v>
      </c>
      <c r="BO24" s="79">
        <v>4.046316522119505</v>
      </c>
      <c r="BP24" s="80">
        <v>5.8870344884420236E-2</v>
      </c>
      <c r="BQ24" s="30">
        <f t="shared" si="82"/>
        <v>-5.0465097221233064</v>
      </c>
      <c r="BR24" s="30" t="str">
        <f t="shared" si="83"/>
        <v>*</v>
      </c>
      <c r="BS24" s="9"/>
      <c r="BT24" s="27">
        <v>3037</v>
      </c>
      <c r="BU24" s="27">
        <v>2972.4625854899205</v>
      </c>
      <c r="BV24" s="28">
        <v>3.9292504073368142</v>
      </c>
      <c r="BW24" s="29">
        <v>2.1838824249708119E-2</v>
      </c>
      <c r="BX24" s="30">
        <f t="shared" si="57"/>
        <v>-5.028413854939803</v>
      </c>
      <c r="BY24" s="30" t="str">
        <f t="shared" si="58"/>
        <v>*</v>
      </c>
      <c r="BZ24" s="30"/>
      <c r="CA24" s="27">
        <v>200</v>
      </c>
      <c r="CB24" s="27">
        <v>200</v>
      </c>
      <c r="CC24" s="28">
        <v>4.0549999999999944</v>
      </c>
      <c r="CD24" s="29">
        <v>7.0958087990420679E-2</v>
      </c>
      <c r="CE24" s="30">
        <f t="shared" si="59"/>
        <v>-4.5816467446153268</v>
      </c>
      <c r="CF24" s="30" t="str">
        <f t="shared" si="0"/>
        <v>*</v>
      </c>
      <c r="CG24" s="30"/>
      <c r="CH24" s="27">
        <v>849</v>
      </c>
      <c r="CI24" s="27">
        <v>783.8021878699991</v>
      </c>
      <c r="CJ24" s="28">
        <v>3.5431717731956778</v>
      </c>
      <c r="CK24" s="29">
        <v>4.5119996003935729E-2</v>
      </c>
      <c r="CL24" s="30">
        <f t="shared" si="60"/>
        <v>1.76492442465582</v>
      </c>
      <c r="CM24" s="30" t="str">
        <f t="shared" si="1"/>
        <v xml:space="preserve"> </v>
      </c>
      <c r="CN24" s="30"/>
      <c r="CO24" s="27">
        <v>873</v>
      </c>
      <c r="CP24" s="27">
        <v>871.96422098001824</v>
      </c>
      <c r="CQ24" s="28">
        <v>3.921912279045725</v>
      </c>
      <c r="CR24" s="29">
        <v>3.7220965545365726E-2</v>
      </c>
      <c r="CS24" s="30">
        <f t="shared" si="61"/>
        <v>-4.2605166377702366</v>
      </c>
      <c r="CT24" s="30" t="str">
        <f t="shared" si="2"/>
        <v>*</v>
      </c>
      <c r="CU24" s="30"/>
      <c r="CV24" s="27">
        <v>71</v>
      </c>
      <c r="CW24" s="27">
        <v>69.121109160000074</v>
      </c>
      <c r="CX24" s="28">
        <v>4.898322767018513</v>
      </c>
      <c r="CY24" s="29">
        <v>4.6837416983064699E-2</v>
      </c>
      <c r="CZ24" s="30">
        <f t="shared" si="62"/>
        <v>-18.302733616090766</v>
      </c>
      <c r="DA24" s="30" t="str">
        <f t="shared" si="3"/>
        <v>*</v>
      </c>
      <c r="DB24" s="30"/>
      <c r="DC24" s="27">
        <v>156</v>
      </c>
      <c r="DD24" s="27">
        <v>156.04843316000014</v>
      </c>
      <c r="DE24" s="28">
        <v>4.8781539262845133</v>
      </c>
      <c r="DF24" s="29">
        <v>3.3219858917890678E-2</v>
      </c>
      <c r="DG24" s="30">
        <f t="shared" si="63"/>
        <v>-20.630009323019099</v>
      </c>
      <c r="DH24" s="30" t="str">
        <f t="shared" si="4"/>
        <v>*</v>
      </c>
      <c r="DI24" s="30"/>
      <c r="DJ24" s="27">
        <v>231</v>
      </c>
      <c r="DK24" s="27">
        <v>231</v>
      </c>
      <c r="DL24" s="28">
        <v>4.9956709956709933</v>
      </c>
      <c r="DM24" s="29">
        <v>4.3290043290043307E-3</v>
      </c>
      <c r="DN24" s="30">
        <f t="shared" si="64"/>
        <v>-27.259558428776977</v>
      </c>
      <c r="DO24" s="30" t="str">
        <f t="shared" si="5"/>
        <v>*</v>
      </c>
      <c r="DP24" s="8"/>
      <c r="DQ24" s="27">
        <v>208</v>
      </c>
      <c r="DR24" s="27">
        <v>206.55127203999916</v>
      </c>
      <c r="DS24" s="28">
        <v>3.5362890082736875</v>
      </c>
      <c r="DT24" s="29">
        <v>8.5670562370670444E-2</v>
      </c>
      <c r="DU24" s="29"/>
      <c r="DV24" s="27">
        <v>175</v>
      </c>
      <c r="DW24" s="27">
        <v>174.9742166200005</v>
      </c>
      <c r="DX24" s="28">
        <v>3.5809805329820241</v>
      </c>
      <c r="DY24" s="29">
        <v>9.7801848379495196E-2</v>
      </c>
      <c r="DZ24" s="10">
        <f t="shared" si="6"/>
        <v>-0.34373370624287525</v>
      </c>
      <c r="EA24" s="10" t="str">
        <f t="shared" si="7"/>
        <v xml:space="preserve"> </v>
      </c>
      <c r="EB24" s="29"/>
      <c r="EC24" s="27">
        <v>171</v>
      </c>
      <c r="ED24" s="27">
        <v>171.83278566000027</v>
      </c>
      <c r="EE24" s="28">
        <v>3.6370147876586549</v>
      </c>
      <c r="EF24" s="29">
        <v>9.2974218161804248E-2</v>
      </c>
      <c r="EG24" s="10">
        <f t="shared" si="8"/>
        <v>-0.79671436772704296</v>
      </c>
      <c r="EH24" s="10" t="str">
        <f t="shared" si="9"/>
        <v xml:space="preserve"> </v>
      </c>
      <c r="EI24" s="29"/>
      <c r="EJ24" s="27">
        <v>184</v>
      </c>
      <c r="EK24" s="27">
        <v>186.87755248000033</v>
      </c>
      <c r="EL24" s="28">
        <v>3.6632078114532463</v>
      </c>
      <c r="EM24" s="29">
        <v>8.8869831963692733E-2</v>
      </c>
      <c r="EN24" s="10">
        <f t="shared" si="10"/>
        <v>-1.0281869061674382</v>
      </c>
      <c r="EO24" s="10" t="str">
        <f t="shared" si="65"/>
        <v xml:space="preserve"> </v>
      </c>
      <c r="EP24" s="29"/>
      <c r="EQ24" s="8">
        <v>201</v>
      </c>
      <c r="ER24" s="8">
        <v>200.32628571000021</v>
      </c>
      <c r="ES24" s="69">
        <v>3.6956080222129524</v>
      </c>
      <c r="ET24" s="9">
        <v>8.4875184043416471E-2</v>
      </c>
      <c r="EU24" s="10">
        <f t="shared" si="11"/>
        <v>-1.3211039544484517</v>
      </c>
      <c r="EV24" s="10" t="str">
        <f t="shared" si="66"/>
        <v xml:space="preserve"> </v>
      </c>
      <c r="EW24" s="29"/>
      <c r="EX24" s="88">
        <v>1241</v>
      </c>
      <c r="EY24" s="88">
        <v>1239.513956910012</v>
      </c>
      <c r="EZ24" s="28">
        <v>3.9512956834302244</v>
      </c>
      <c r="FA24" s="29">
        <v>3.152573764860938E-2</v>
      </c>
      <c r="FB24" s="30">
        <f t="shared" si="12"/>
        <v>-4.5461746985156761</v>
      </c>
      <c r="FC24" s="30" t="str">
        <f t="shared" si="67"/>
        <v>*</v>
      </c>
      <c r="FD24" s="30"/>
      <c r="FE24" s="27">
        <v>86</v>
      </c>
      <c r="FF24" s="27">
        <v>86.055214819999904</v>
      </c>
      <c r="FG24" s="28">
        <v>3.9882894083512777</v>
      </c>
      <c r="FH24" s="29">
        <v>0.12536847773411633</v>
      </c>
      <c r="FI24" s="30">
        <f t="shared" si="13"/>
        <v>-2.976735456168214</v>
      </c>
      <c r="FJ24" s="30" t="str">
        <f t="shared" si="14"/>
        <v>*</v>
      </c>
      <c r="FK24" s="30"/>
      <c r="FL24" s="88">
        <v>139</v>
      </c>
      <c r="FM24" s="88">
        <v>139.02557208999971</v>
      </c>
      <c r="FN24" s="28">
        <v>4.0790349473468579</v>
      </c>
      <c r="FO24" s="29">
        <v>9.0204088909525595E-2</v>
      </c>
      <c r="FP24" s="30">
        <f t="shared" si="15"/>
        <v>-4.3627878442877313</v>
      </c>
      <c r="FQ24" s="30" t="str">
        <f t="shared" si="16"/>
        <v>*</v>
      </c>
      <c r="FR24" s="30"/>
      <c r="FS24" s="88">
        <v>261</v>
      </c>
      <c r="FT24" s="88">
        <v>260.65402768000052</v>
      </c>
      <c r="FU24" s="28">
        <v>4.0249762204633601</v>
      </c>
      <c r="FV24" s="29">
        <v>6.6480819812947345E-2</v>
      </c>
      <c r="FW24" s="30">
        <f t="shared" si="17"/>
        <v>-4.5065387336306237</v>
      </c>
      <c r="FX24" s="30" t="str">
        <f t="shared" si="18"/>
        <v>*</v>
      </c>
      <c r="FY24" s="30"/>
      <c r="FZ24" s="88">
        <v>420</v>
      </c>
      <c r="GA24" s="88">
        <v>420.14942802000371</v>
      </c>
      <c r="GB24" s="28">
        <v>3.983251441818779</v>
      </c>
      <c r="GC24" s="29">
        <v>5.2701329240296975E-2</v>
      </c>
      <c r="GD24" s="30">
        <f t="shared" si="19"/>
        <v>-4.4437316342878859</v>
      </c>
      <c r="GE24" s="30" t="str">
        <f t="shared" si="20"/>
        <v>*</v>
      </c>
      <c r="GF24" s="30"/>
      <c r="GG24" s="88">
        <v>127</v>
      </c>
      <c r="GH24" s="88">
        <v>127.07844225999982</v>
      </c>
      <c r="GI24" s="28">
        <v>4.2042599671381886</v>
      </c>
      <c r="GJ24" s="29">
        <v>8.1636344290881832E-2</v>
      </c>
      <c r="GK24" s="30">
        <f t="shared" si="21"/>
        <v>-5.6445911704186935</v>
      </c>
      <c r="GL24" s="30" t="str">
        <f t="shared" si="22"/>
        <v>*</v>
      </c>
      <c r="GM24" s="10"/>
      <c r="GN24" s="88">
        <v>95</v>
      </c>
      <c r="GO24" s="88">
        <v>95.071442970000021</v>
      </c>
      <c r="GP24" s="28">
        <v>3.8533154311710565</v>
      </c>
      <c r="GQ24" s="29">
        <v>0.13374138579049044</v>
      </c>
      <c r="GR24" s="9"/>
      <c r="GS24" s="3">
        <v>69</v>
      </c>
      <c r="GT24" s="3">
        <v>68.961120380000082</v>
      </c>
      <c r="GU24" s="69">
        <v>3.9871867877851908</v>
      </c>
      <c r="GV24" s="9">
        <v>0.14955432928612034</v>
      </c>
      <c r="GW24" s="10">
        <f t="shared" si="23"/>
        <v>-0.66724781224202601</v>
      </c>
      <c r="GX24" s="10" t="str">
        <f t="shared" si="68"/>
        <v xml:space="preserve"> </v>
      </c>
      <c r="GY24" s="9"/>
      <c r="GZ24" s="27">
        <v>66</v>
      </c>
      <c r="HA24" s="27">
        <v>65.824726529999907</v>
      </c>
      <c r="HB24" s="28">
        <v>4.1028775531169703</v>
      </c>
      <c r="HC24" s="29">
        <v>0.11099981946868114</v>
      </c>
      <c r="HD24" s="10">
        <f t="shared" si="24"/>
        <v>-1.4358851666437515</v>
      </c>
      <c r="HE24" s="10" t="str">
        <f t="shared" si="69"/>
        <v xml:space="preserve"> </v>
      </c>
      <c r="HF24" s="9"/>
      <c r="HG24" s="27">
        <v>167</v>
      </c>
      <c r="HH24" s="27">
        <v>166.14261626000038</v>
      </c>
      <c r="HI24" s="28">
        <v>3.925191297393861</v>
      </c>
      <c r="HJ24" s="29">
        <v>7.8901858633178404E-2</v>
      </c>
      <c r="HK24" s="10">
        <f t="shared" si="25"/>
        <v>-0.46287541943184302</v>
      </c>
      <c r="HL24" s="10" t="str">
        <f t="shared" si="70"/>
        <v xml:space="preserve"> </v>
      </c>
      <c r="HM24" s="29"/>
      <c r="HN24" s="8">
        <v>162</v>
      </c>
      <c r="HO24" s="8">
        <v>155.88165124000017</v>
      </c>
      <c r="HP24" s="69">
        <v>3.5613602045135742</v>
      </c>
      <c r="HQ24" s="9">
        <v>0.10181082081099703</v>
      </c>
      <c r="HR24" s="10">
        <f t="shared" si="26"/>
        <v>1.7369611583115208</v>
      </c>
      <c r="HS24" s="10" t="str">
        <f t="shared" si="71"/>
        <v xml:space="preserve"> </v>
      </c>
      <c r="HT24" s="9"/>
      <c r="HU24" s="88">
        <v>1145</v>
      </c>
      <c r="HV24" s="88">
        <v>1143.4460450400102</v>
      </c>
      <c r="HW24" s="28">
        <v>4.0422794679728966</v>
      </c>
      <c r="HX24" s="29">
        <v>3.3420065072435924E-2</v>
      </c>
      <c r="HY24" s="30">
        <f t="shared" si="27"/>
        <v>-1.3707572242934027</v>
      </c>
      <c r="HZ24" s="30" t="str">
        <f t="shared" si="72"/>
        <v xml:space="preserve"> </v>
      </c>
      <c r="IA24" s="30"/>
      <c r="IB24" s="88">
        <v>86</v>
      </c>
      <c r="IC24" s="88">
        <v>86.055214819999904</v>
      </c>
      <c r="ID24" s="28">
        <v>3.9882894083512777</v>
      </c>
      <c r="IE24" s="29">
        <v>0.12536847773411633</v>
      </c>
      <c r="IF24" s="30">
        <f t="shared" si="28"/>
        <v>-0.73629943966535016</v>
      </c>
      <c r="IG24" s="30" t="str">
        <f t="shared" si="29"/>
        <v xml:space="preserve"> </v>
      </c>
      <c r="IH24" s="30"/>
      <c r="II24" s="88">
        <v>201</v>
      </c>
      <c r="IJ24" s="88">
        <v>201.0194159800005</v>
      </c>
      <c r="IK24" s="28">
        <v>4.2024715020764445</v>
      </c>
      <c r="IL24" s="29">
        <v>7.0669943558014328E-2</v>
      </c>
      <c r="IM24" s="30">
        <f t="shared" si="30"/>
        <v>-2.3082460697506937</v>
      </c>
      <c r="IN24" s="30" t="str">
        <f t="shared" si="84"/>
        <v>*</v>
      </c>
      <c r="IO24" s="30"/>
      <c r="IP24" s="88">
        <v>182</v>
      </c>
      <c r="IQ24" s="88">
        <v>182.6762335600001</v>
      </c>
      <c r="IR24" s="28">
        <v>3.9634349530323214</v>
      </c>
      <c r="IS24" s="29">
        <v>9.2032910877187929E-2</v>
      </c>
      <c r="IT24" s="30">
        <f t="shared" si="32"/>
        <v>-0.67829380916098347</v>
      </c>
      <c r="IU24" s="30" t="str">
        <f t="shared" si="33"/>
        <v xml:space="preserve"> </v>
      </c>
      <c r="IV24" s="30"/>
      <c r="IW24" s="88">
        <v>139</v>
      </c>
      <c r="IX24" s="88">
        <v>139.02557208999971</v>
      </c>
      <c r="IY24" s="28">
        <v>4.0790349473468579</v>
      </c>
      <c r="IZ24" s="29">
        <v>9.0204088909525595E-2</v>
      </c>
      <c r="JA24" s="30">
        <f t="shared" si="34"/>
        <v>-1.3992198507556777</v>
      </c>
      <c r="JB24" s="30" t="str">
        <f t="shared" si="73"/>
        <v xml:space="preserve"> </v>
      </c>
      <c r="JC24" s="30"/>
      <c r="JD24" s="88">
        <v>442</v>
      </c>
      <c r="JE24" s="88">
        <v>439.59816562000179</v>
      </c>
      <c r="JF24" s="28">
        <v>4.041602868620263</v>
      </c>
      <c r="JG24" s="29">
        <v>5.2718059681014957E-2</v>
      </c>
      <c r="JH24" s="30">
        <f t="shared" si="35"/>
        <v>-1.3097657685493351</v>
      </c>
      <c r="JI24" s="30" t="str">
        <f t="shared" si="36"/>
        <v xml:space="preserve"> </v>
      </c>
      <c r="JK24" s="27"/>
      <c r="JL24" s="27"/>
      <c r="JM24" s="28"/>
      <c r="JN24" s="29"/>
    </row>
    <row r="25" spans="1:274" x14ac:dyDescent="0.2">
      <c r="A25" s="73"/>
      <c r="B25" s="7" t="s">
        <v>28</v>
      </c>
      <c r="C25" s="27">
        <v>2688</v>
      </c>
      <c r="D25" s="27">
        <v>2687.0343579099299</v>
      </c>
      <c r="E25" s="28">
        <v>4.0024501892320838</v>
      </c>
      <c r="F25" s="29">
        <v>1.9366686304725107E-2</v>
      </c>
      <c r="G25" s="29"/>
      <c r="H25" s="3">
        <v>862</v>
      </c>
      <c r="I25" s="3">
        <v>862.05727438001168</v>
      </c>
      <c r="J25" s="28">
        <v>3.9167388152815938</v>
      </c>
      <c r="K25" s="29">
        <v>3.5838837009696645E-2</v>
      </c>
      <c r="L25" s="30">
        <f t="shared" si="37"/>
        <v>2.1040256763585532</v>
      </c>
      <c r="M25" s="30" t="str">
        <f t="shared" si="38"/>
        <v>*</v>
      </c>
      <c r="N25" s="9"/>
      <c r="O25" s="27">
        <v>514</v>
      </c>
      <c r="P25" s="27">
        <v>513.16516674000138</v>
      </c>
      <c r="Q25" s="28">
        <v>3.9590374299885984</v>
      </c>
      <c r="R25" s="29">
        <v>4.5325778400359534E-2</v>
      </c>
      <c r="S25" s="30">
        <f t="shared" si="39"/>
        <v>0.88076370451247099</v>
      </c>
      <c r="T25" s="30" t="str">
        <f t="shared" si="40"/>
        <v xml:space="preserve"> </v>
      </c>
      <c r="U25" s="30"/>
      <c r="V25" s="27">
        <v>673</v>
      </c>
      <c r="W25" s="27">
        <v>675.63399833000619</v>
      </c>
      <c r="X25" s="28">
        <v>3.9022251778873107</v>
      </c>
      <c r="Y25" s="29">
        <v>3.85685579136264E-2</v>
      </c>
      <c r="Z25" s="30">
        <f t="shared" si="41"/>
        <v>2.3222878956377788</v>
      </c>
      <c r="AA25" s="30" t="str">
        <f t="shared" si="42"/>
        <v>*</v>
      </c>
      <c r="AB25" s="9"/>
      <c r="AC25" s="8">
        <v>1127</v>
      </c>
      <c r="AD25" s="8">
        <v>1126.9652972200024</v>
      </c>
      <c r="AE25" s="69">
        <v>3.7755778469098451</v>
      </c>
      <c r="AF25" s="9">
        <v>2.8340631392775338E-2</v>
      </c>
      <c r="AG25" s="30">
        <f t="shared" si="43"/>
        <v>6.609384252124987</v>
      </c>
      <c r="AH25" s="30" t="str">
        <f t="shared" si="44"/>
        <v>*</v>
      </c>
      <c r="AI25" s="9"/>
      <c r="AJ25" s="81">
        <v>5316</v>
      </c>
      <c r="AK25" s="83">
        <v>4.2215167459034957</v>
      </c>
      <c r="AL25" s="84">
        <v>1.2382404373172753E-2</v>
      </c>
      <c r="AM25" s="30">
        <f t="shared" si="45"/>
        <v>-9.5301068375490186</v>
      </c>
      <c r="AN25" s="30" t="str">
        <f t="shared" si="46"/>
        <v>*</v>
      </c>
      <c r="AO25" s="9"/>
      <c r="AP25" s="78">
        <v>700</v>
      </c>
      <c r="AQ25" s="79">
        <v>4.5025983210898772</v>
      </c>
      <c r="AR25" s="80">
        <v>3.1171402712093319E-2</v>
      </c>
      <c r="AS25" s="30">
        <f t="shared" si="74"/>
        <v>-13.628849894402613</v>
      </c>
      <c r="AT25" s="30" t="str">
        <f t="shared" si="75"/>
        <v>*</v>
      </c>
      <c r="AU25" s="80"/>
      <c r="AV25" s="78">
        <v>763</v>
      </c>
      <c r="AW25" s="79">
        <v>4.3587223693287145</v>
      </c>
      <c r="AX25" s="80">
        <v>2.817180723976051E-2</v>
      </c>
      <c r="AY25" s="30">
        <f t="shared" si="76"/>
        <v>-10.421417875394855</v>
      </c>
      <c r="AZ25" s="30" t="str">
        <f t="shared" si="77"/>
        <v>*</v>
      </c>
      <c r="BA25" s="80"/>
      <c r="BB25" s="78">
        <v>877</v>
      </c>
      <c r="BC25" s="79">
        <v>4.3773460759610776</v>
      </c>
      <c r="BD25" s="80">
        <v>2.7036170099008751E-2</v>
      </c>
      <c r="BE25" s="30">
        <f t="shared" si="78"/>
        <v>-11.272716631001483</v>
      </c>
      <c r="BF25" s="30" t="str">
        <f t="shared" si="79"/>
        <v>*</v>
      </c>
      <c r="BG25" s="80"/>
      <c r="BH25" s="78">
        <v>1085</v>
      </c>
      <c r="BI25" s="79">
        <v>4.2368542574999273</v>
      </c>
      <c r="BJ25" s="80">
        <v>2.6725888993151287E-2</v>
      </c>
      <c r="BK25" s="30">
        <f t="shared" si="80"/>
        <v>-7.1020395154904055</v>
      </c>
      <c r="BL25" s="30" t="str">
        <f t="shared" si="81"/>
        <v>*</v>
      </c>
      <c r="BM25" s="80"/>
      <c r="BN25" s="78">
        <v>1136</v>
      </c>
      <c r="BO25" s="79">
        <v>4.1870660637770252</v>
      </c>
      <c r="BP25" s="80">
        <v>2.6271752981217124E-2</v>
      </c>
      <c r="BQ25" s="30">
        <f t="shared" si="82"/>
        <v>-5.6563786110269456</v>
      </c>
      <c r="BR25" s="30" t="str">
        <f t="shared" si="83"/>
        <v>*</v>
      </c>
      <c r="BS25" s="9"/>
      <c r="BT25" s="27">
        <v>10530</v>
      </c>
      <c r="BU25" s="27">
        <v>10546.388211129091</v>
      </c>
      <c r="BV25" s="28">
        <v>4.2119579359397266</v>
      </c>
      <c r="BW25" s="29">
        <v>9.3023968603640692E-3</v>
      </c>
      <c r="BX25" s="30">
        <f t="shared" si="57"/>
        <v>-9.7513717986948141</v>
      </c>
      <c r="BY25" s="30" t="str">
        <f t="shared" si="58"/>
        <v>*</v>
      </c>
      <c r="BZ25" s="30"/>
      <c r="CA25" s="27">
        <v>453</v>
      </c>
      <c r="CB25" s="27">
        <v>453</v>
      </c>
      <c r="CC25" s="28">
        <v>4.1169977924944794</v>
      </c>
      <c r="CD25" s="29">
        <v>4.0194242872845357E-2</v>
      </c>
      <c r="CE25" s="30">
        <f t="shared" si="59"/>
        <v>-2.5673733083756307</v>
      </c>
      <c r="CF25" s="30" t="str">
        <f t="shared" si="0"/>
        <v>*</v>
      </c>
      <c r="CG25" s="30"/>
      <c r="CH25" s="27">
        <v>2890</v>
      </c>
      <c r="CI25" s="27">
        <v>2906.8310269399039</v>
      </c>
      <c r="CJ25" s="28">
        <v>3.9054605271950358</v>
      </c>
      <c r="CK25" s="29">
        <v>1.9480519365628359E-2</v>
      </c>
      <c r="CL25" s="30">
        <f t="shared" si="60"/>
        <v>3.5308461501524038</v>
      </c>
      <c r="CM25" s="30" t="str">
        <f t="shared" si="1"/>
        <v>*</v>
      </c>
      <c r="CN25" s="30"/>
      <c r="CO25" s="27">
        <v>2542</v>
      </c>
      <c r="CP25" s="27">
        <v>2542.0900715699963</v>
      </c>
      <c r="CQ25" s="28">
        <v>4.2361209468826102</v>
      </c>
      <c r="CR25" s="29">
        <v>1.6749194259201794E-2</v>
      </c>
      <c r="CS25" s="30">
        <f t="shared" si="61"/>
        <v>-9.1260649203898883</v>
      </c>
      <c r="CT25" s="30" t="str">
        <f t="shared" si="2"/>
        <v>*</v>
      </c>
      <c r="CU25" s="30"/>
      <c r="CV25" s="27">
        <v>525</v>
      </c>
      <c r="CW25" s="27">
        <v>525.42064540000354</v>
      </c>
      <c r="CX25" s="28">
        <v>4.9579610437591697</v>
      </c>
      <c r="CY25" s="29">
        <v>1.0292850408887942E-2</v>
      </c>
      <c r="CZ25" s="30">
        <f t="shared" si="62"/>
        <v>-43.567032721722313</v>
      </c>
      <c r="DA25" s="30" t="str">
        <f t="shared" si="3"/>
        <v>*</v>
      </c>
      <c r="DB25" s="30"/>
      <c r="DC25" s="27">
        <v>889</v>
      </c>
      <c r="DD25" s="27">
        <v>889.0121093099882</v>
      </c>
      <c r="DE25" s="28">
        <v>4.9066737943599064</v>
      </c>
      <c r="DF25" s="29">
        <v>1.0390330540517502E-2</v>
      </c>
      <c r="DG25" s="30">
        <f t="shared" si="63"/>
        <v>-41.142427127656383</v>
      </c>
      <c r="DH25" s="30" t="str">
        <f t="shared" si="4"/>
        <v>*</v>
      </c>
      <c r="DI25" s="30"/>
      <c r="DJ25" s="27">
        <v>543</v>
      </c>
      <c r="DK25" s="27">
        <v>543</v>
      </c>
      <c r="DL25" s="28">
        <v>4.9963167587476951</v>
      </c>
      <c r="DM25" s="29">
        <v>2.6020411325883151E-3</v>
      </c>
      <c r="DN25" s="30">
        <f t="shared" si="64"/>
        <v>-50.861346279447488</v>
      </c>
      <c r="DO25" s="30" t="str">
        <f t="shared" si="5"/>
        <v>*</v>
      </c>
      <c r="DP25" s="8"/>
      <c r="DQ25" s="27">
        <v>831</v>
      </c>
      <c r="DR25" s="27">
        <v>829.41685543000392</v>
      </c>
      <c r="DS25" s="28">
        <v>3.904442962533107</v>
      </c>
      <c r="DT25" s="29">
        <v>3.6356290021278742E-2</v>
      </c>
      <c r="DU25" s="29"/>
      <c r="DV25" s="27">
        <v>584</v>
      </c>
      <c r="DW25" s="27">
        <v>583.83302063999508</v>
      </c>
      <c r="DX25" s="28">
        <v>3.9379847353609594</v>
      </c>
      <c r="DY25" s="29">
        <v>4.2609409830115158E-2</v>
      </c>
      <c r="DZ25" s="10">
        <f t="shared" si="6"/>
        <v>-0.59883214785483951</v>
      </c>
      <c r="EA25" s="10" t="str">
        <f t="shared" si="7"/>
        <v xml:space="preserve"> </v>
      </c>
      <c r="EB25" s="29"/>
      <c r="EC25" s="27">
        <v>610</v>
      </c>
      <c r="ED25" s="27">
        <v>610.44666674000086</v>
      </c>
      <c r="EE25" s="28">
        <v>3.9735194784233556</v>
      </c>
      <c r="EF25" s="29">
        <v>4.1914785254285172E-2</v>
      </c>
      <c r="EG25" s="10">
        <f t="shared" si="8"/>
        <v>-1.2449495226053002</v>
      </c>
      <c r="EH25" s="10" t="str">
        <f t="shared" si="9"/>
        <v xml:space="preserve"> </v>
      </c>
      <c r="EI25" s="29"/>
      <c r="EJ25" s="27">
        <v>588</v>
      </c>
      <c r="EK25" s="27">
        <v>592.53572407000172</v>
      </c>
      <c r="EL25" s="28">
        <v>4.0164410043213685</v>
      </c>
      <c r="EM25" s="29">
        <v>4.0397973435331407E-2</v>
      </c>
      <c r="EN25" s="10">
        <f t="shared" si="10"/>
        <v>-2.0607326148362928</v>
      </c>
      <c r="EO25" s="10" t="str">
        <f t="shared" si="65"/>
        <v>*</v>
      </c>
      <c r="EP25" s="29"/>
      <c r="EQ25" s="8">
        <v>664</v>
      </c>
      <c r="ER25" s="8">
        <v>663.48228593999897</v>
      </c>
      <c r="ES25" s="69">
        <v>3.9726352902635864</v>
      </c>
      <c r="ET25" s="9">
        <v>4.0185910062353544E-2</v>
      </c>
      <c r="EU25" s="10">
        <f t="shared" si="11"/>
        <v>-1.258365116898283</v>
      </c>
      <c r="EV25" s="10" t="str">
        <f t="shared" si="66"/>
        <v xml:space="preserve"> </v>
      </c>
      <c r="EW25" s="29"/>
      <c r="EX25" s="88">
        <v>4063</v>
      </c>
      <c r="EY25" s="88">
        <v>4061.3264213898083</v>
      </c>
      <c r="EZ25" s="28">
        <v>4.1689878658546942</v>
      </c>
      <c r="FA25" s="29">
        <v>1.4020725948143407E-2</v>
      </c>
      <c r="FB25" s="30">
        <f t="shared" si="12"/>
        <v>-6.7890958295663744</v>
      </c>
      <c r="FC25" s="30" t="str">
        <f t="shared" si="67"/>
        <v>*</v>
      </c>
      <c r="FD25" s="30"/>
      <c r="FE25" s="27">
        <v>909</v>
      </c>
      <c r="FF25" s="27">
        <v>908.98227788000145</v>
      </c>
      <c r="FG25" s="28">
        <v>4.2123106617987087</v>
      </c>
      <c r="FH25" s="29">
        <v>2.7759586262905572E-2</v>
      </c>
      <c r="FI25" s="30">
        <f t="shared" si="13"/>
        <v>-6.7304549502805875</v>
      </c>
      <c r="FJ25" s="30" t="str">
        <f t="shared" si="14"/>
        <v>*</v>
      </c>
      <c r="FK25" s="30"/>
      <c r="FL25" s="88">
        <v>316</v>
      </c>
      <c r="FM25" s="88">
        <v>315.97948077999882</v>
      </c>
      <c r="FN25" s="28">
        <v>4.3416062695386017</v>
      </c>
      <c r="FO25" s="29">
        <v>4.5825525485002468E-2</v>
      </c>
      <c r="FP25" s="30">
        <f t="shared" si="15"/>
        <v>-7.4734136038471055</v>
      </c>
      <c r="FQ25" s="30" t="str">
        <f t="shared" si="16"/>
        <v>*</v>
      </c>
      <c r="FR25" s="30"/>
      <c r="FS25" s="88">
        <v>535</v>
      </c>
      <c r="FT25" s="88">
        <v>534.88625744999717</v>
      </c>
      <c r="FU25" s="28">
        <v>4.1601841230478991</v>
      </c>
      <c r="FV25" s="29">
        <v>3.3595873219039708E-2</v>
      </c>
      <c r="FW25" s="30">
        <f t="shared" si="17"/>
        <v>-5.1662640491350915</v>
      </c>
      <c r="FX25" s="30" t="str">
        <f t="shared" si="18"/>
        <v>*</v>
      </c>
      <c r="FY25" s="30"/>
      <c r="FZ25" s="88">
        <v>1109</v>
      </c>
      <c r="GA25" s="88">
        <v>1109.048588490009</v>
      </c>
      <c r="GB25" s="28">
        <v>4.195668870464428</v>
      </c>
      <c r="GC25" s="29">
        <v>2.6585734286382008E-2</v>
      </c>
      <c r="GD25" s="30">
        <f t="shared" si="19"/>
        <v>-6.4659720255465229</v>
      </c>
      <c r="GE25" s="30" t="str">
        <f t="shared" si="20"/>
        <v>*</v>
      </c>
      <c r="GF25" s="30"/>
      <c r="GG25" s="88">
        <v>363</v>
      </c>
      <c r="GH25" s="88">
        <v>363.01296135999922</v>
      </c>
      <c r="GI25" s="28">
        <v>4.4461486170445177</v>
      </c>
      <c r="GJ25" s="29">
        <v>3.89819554197018E-2</v>
      </c>
      <c r="GK25" s="30">
        <f t="shared" si="21"/>
        <v>-10.16246983075469</v>
      </c>
      <c r="GL25" s="30" t="str">
        <f t="shared" si="22"/>
        <v>*</v>
      </c>
      <c r="GM25" s="10"/>
      <c r="GN25" s="88">
        <v>809</v>
      </c>
      <c r="GO25" s="88">
        <v>808.9626471600078</v>
      </c>
      <c r="GP25" s="28">
        <v>3.9542207607730537</v>
      </c>
      <c r="GQ25" s="29">
        <v>3.7380158978277685E-2</v>
      </c>
      <c r="GR25" s="9"/>
      <c r="GS25" s="3">
        <v>563</v>
      </c>
      <c r="GT25" s="3">
        <v>562.99921505999566</v>
      </c>
      <c r="GU25" s="69">
        <v>4.0214843749625979</v>
      </c>
      <c r="GV25" s="9">
        <v>4.3181926729826368E-2</v>
      </c>
      <c r="GW25" s="10">
        <f t="shared" si="23"/>
        <v>-1.177717723583281</v>
      </c>
      <c r="GX25" s="10" t="str">
        <f t="shared" si="68"/>
        <v xml:space="preserve"> </v>
      </c>
      <c r="GY25" s="9"/>
      <c r="GZ25" s="27">
        <v>632</v>
      </c>
      <c r="HA25" s="27">
        <v>632.27236061000349</v>
      </c>
      <c r="HB25" s="28">
        <v>4.132489420523112</v>
      </c>
      <c r="HC25" s="29">
        <v>3.7775584043525358E-2</v>
      </c>
      <c r="HD25" s="10">
        <f t="shared" si="24"/>
        <v>-3.3544537888094723</v>
      </c>
      <c r="HE25" s="10" t="str">
        <f t="shared" si="69"/>
        <v>*</v>
      </c>
      <c r="HF25" s="9"/>
      <c r="HG25" s="27">
        <v>1199</v>
      </c>
      <c r="HH25" s="27">
        <v>1199.3490833599949</v>
      </c>
      <c r="HI25" s="28">
        <v>3.9414274761913375</v>
      </c>
      <c r="HJ25" s="29">
        <v>2.9753504317230887E-2</v>
      </c>
      <c r="HK25" s="10">
        <f t="shared" si="25"/>
        <v>0.26777631906147448</v>
      </c>
      <c r="HL25" s="10" t="str">
        <f t="shared" si="70"/>
        <v xml:space="preserve"> </v>
      </c>
      <c r="HM25" s="29"/>
      <c r="HN25" s="8">
        <v>1198</v>
      </c>
      <c r="HO25" s="8">
        <v>1198.251422219997</v>
      </c>
      <c r="HP25" s="69">
        <v>3.9030302118776343</v>
      </c>
      <c r="HQ25" s="9">
        <v>2.9968621997112449E-2</v>
      </c>
      <c r="HR25" s="10">
        <f t="shared" si="26"/>
        <v>1.0684669905291444</v>
      </c>
      <c r="HS25" s="10" t="str">
        <f t="shared" si="71"/>
        <v xml:space="preserve"> </v>
      </c>
      <c r="HT25" s="9"/>
      <c r="HU25" s="88">
        <v>4318</v>
      </c>
      <c r="HV25" s="88">
        <v>4318.1325071398924</v>
      </c>
      <c r="HW25" s="28">
        <v>4.1728054181167948</v>
      </c>
      <c r="HX25" s="29">
        <v>1.4351046606979133E-2</v>
      </c>
      <c r="HY25" s="30">
        <f t="shared" si="27"/>
        <v>-5.4591109259486119</v>
      </c>
      <c r="HZ25" s="30" t="str">
        <f t="shared" si="72"/>
        <v>*</v>
      </c>
      <c r="IA25" s="30"/>
      <c r="IB25" s="88">
        <v>909</v>
      </c>
      <c r="IC25" s="88">
        <v>908.98227788000145</v>
      </c>
      <c r="ID25" s="28">
        <v>4.2123106617987087</v>
      </c>
      <c r="IE25" s="29">
        <v>2.7759586262905572E-2</v>
      </c>
      <c r="IF25" s="30">
        <f t="shared" si="28"/>
        <v>-5.5431202709396805</v>
      </c>
      <c r="IG25" s="30" t="str">
        <f t="shared" si="29"/>
        <v>*</v>
      </c>
      <c r="IH25" s="30"/>
      <c r="II25" s="88">
        <v>547</v>
      </c>
      <c r="IJ25" s="88">
        <v>547.11247490000301</v>
      </c>
      <c r="IK25" s="28">
        <v>4.333615358328947</v>
      </c>
      <c r="IL25" s="29">
        <v>3.6627896513550411E-2</v>
      </c>
      <c r="IM25" s="30">
        <f t="shared" si="30"/>
        <v>-7.2494442159380297</v>
      </c>
      <c r="IN25" s="30" t="str">
        <f t="shared" si="84"/>
        <v>*</v>
      </c>
      <c r="IO25" s="30"/>
      <c r="IP25" s="88">
        <v>697</v>
      </c>
      <c r="IQ25" s="88">
        <v>697.10063450000746</v>
      </c>
      <c r="IR25" s="28">
        <v>4.2179423487528025</v>
      </c>
      <c r="IS25" s="29">
        <v>3.6503080284173858E-2</v>
      </c>
      <c r="IT25" s="30">
        <f t="shared" si="32"/>
        <v>-5.0475909486509272</v>
      </c>
      <c r="IU25" s="30" t="str">
        <f t="shared" si="33"/>
        <v>*</v>
      </c>
      <c r="IV25" s="30"/>
      <c r="IW25" s="88">
        <v>316</v>
      </c>
      <c r="IX25" s="88">
        <v>315.97948077999882</v>
      </c>
      <c r="IY25" s="28">
        <v>4.3416062695386017</v>
      </c>
      <c r="IZ25" s="29">
        <v>4.5825525485002468E-2</v>
      </c>
      <c r="JA25" s="30">
        <f t="shared" si="34"/>
        <v>-6.5505794191838058</v>
      </c>
      <c r="JB25" s="30" t="str">
        <f t="shared" si="73"/>
        <v>*</v>
      </c>
      <c r="JC25" s="30"/>
      <c r="JD25" s="88">
        <v>1040</v>
      </c>
      <c r="JE25" s="88">
        <v>1039.9949919200105</v>
      </c>
      <c r="JF25" s="28">
        <v>4.1421644473855066</v>
      </c>
      <c r="JG25" s="29">
        <v>2.9930875070846748E-2</v>
      </c>
      <c r="JH25" s="30">
        <f t="shared" si="35"/>
        <v>-3.9247596471888322</v>
      </c>
      <c r="JI25" s="30" t="str">
        <f t="shared" si="36"/>
        <v>*</v>
      </c>
      <c r="JK25" s="27"/>
      <c r="JL25" s="27"/>
      <c r="JM25" s="28"/>
      <c r="JN25" s="29"/>
    </row>
    <row r="26" spans="1:274" x14ac:dyDescent="0.2">
      <c r="B26" s="7" t="s">
        <v>29</v>
      </c>
      <c r="C26" s="27">
        <v>2437</v>
      </c>
      <c r="D26" s="27">
        <v>2434.7867659599397</v>
      </c>
      <c r="E26" s="28">
        <v>3.5876324990643984</v>
      </c>
      <c r="F26" s="29">
        <v>2.3386126886303722E-2</v>
      </c>
      <c r="G26" s="29"/>
      <c r="H26" s="3">
        <v>791</v>
      </c>
      <c r="I26" s="3">
        <v>790.99549316000878</v>
      </c>
      <c r="J26" s="28">
        <v>3.478946744116743</v>
      </c>
      <c r="K26" s="29">
        <v>4.3280585149048041E-2</v>
      </c>
      <c r="L26" s="30">
        <f t="shared" si="37"/>
        <v>2.2092973808326755</v>
      </c>
      <c r="M26" s="30" t="str">
        <f t="shared" si="38"/>
        <v>*</v>
      </c>
      <c r="N26" s="9"/>
      <c r="O26" s="27">
        <v>936</v>
      </c>
      <c r="P26" s="27">
        <v>937.50814476000471</v>
      </c>
      <c r="Q26" s="28">
        <v>3.7074288123755781</v>
      </c>
      <c r="R26" s="29">
        <v>2.9629139842518457E-2</v>
      </c>
      <c r="S26" s="30">
        <f t="shared" si="39"/>
        <v>-3.1737080874365109</v>
      </c>
      <c r="T26" s="30" t="str">
        <f t="shared" si="40"/>
        <v>*</v>
      </c>
      <c r="U26" s="30"/>
      <c r="V26" s="27">
        <v>888</v>
      </c>
      <c r="W26" s="27">
        <v>888.75164203001327</v>
      </c>
      <c r="X26" s="28">
        <v>3.6811336218825987</v>
      </c>
      <c r="Y26" s="29">
        <v>3.2583641624977767E-2</v>
      </c>
      <c r="Z26" s="30">
        <f t="shared" si="41"/>
        <v>-2.3312678189305327</v>
      </c>
      <c r="AA26" s="30" t="str">
        <f t="shared" si="42"/>
        <v>*</v>
      </c>
      <c r="AB26" s="9"/>
      <c r="AC26" s="8">
        <v>980</v>
      </c>
      <c r="AD26" s="8">
        <v>982.85133504000044</v>
      </c>
      <c r="AE26" s="69">
        <v>3.4326107478326766</v>
      </c>
      <c r="AF26" s="9">
        <v>3.2787310279986222E-2</v>
      </c>
      <c r="AG26" s="30">
        <f t="shared" si="43"/>
        <v>3.8492676104367258</v>
      </c>
      <c r="AH26" s="30" t="str">
        <f t="shared" si="44"/>
        <v>*</v>
      </c>
      <c r="AI26" s="9"/>
      <c r="AJ26" s="81">
        <v>4834</v>
      </c>
      <c r="AK26" s="83">
        <v>3.9199655739567176</v>
      </c>
      <c r="AL26" s="84">
        <v>1.502146934061685E-2</v>
      </c>
      <c r="AM26" s="30">
        <f t="shared" si="45"/>
        <v>-11.956628327991083</v>
      </c>
      <c r="AN26" s="30" t="str">
        <f t="shared" si="46"/>
        <v>*</v>
      </c>
      <c r="AO26" s="9"/>
      <c r="AP26" s="78">
        <v>635</v>
      </c>
      <c r="AQ26" s="79">
        <v>4.3605194961347422</v>
      </c>
      <c r="AR26" s="80">
        <v>3.521946867672212E-2</v>
      </c>
      <c r="AS26" s="30">
        <f t="shared" si="74"/>
        <v>-18.281617238687282</v>
      </c>
      <c r="AT26" s="30" t="str">
        <f t="shared" si="75"/>
        <v>*</v>
      </c>
      <c r="AU26" s="80"/>
      <c r="AV26" s="78">
        <v>736</v>
      </c>
      <c r="AW26" s="79">
        <v>4.0031809537569432</v>
      </c>
      <c r="AX26" s="80">
        <v>3.6637274314545533E-2</v>
      </c>
      <c r="AY26" s="30">
        <f t="shared" si="76"/>
        <v>-9.5605441467807228</v>
      </c>
      <c r="AZ26" s="30" t="str">
        <f t="shared" si="77"/>
        <v>*</v>
      </c>
      <c r="BA26" s="80"/>
      <c r="BB26" s="78">
        <v>778</v>
      </c>
      <c r="BC26" s="79">
        <v>4.218856211277326</v>
      </c>
      <c r="BD26" s="80">
        <v>3.2272497018030727E-2</v>
      </c>
      <c r="BE26" s="30">
        <f t="shared" si="78"/>
        <v>-15.837985785699663</v>
      </c>
      <c r="BF26" s="30" t="str">
        <f t="shared" si="79"/>
        <v>*</v>
      </c>
      <c r="BG26" s="80"/>
      <c r="BH26" s="78">
        <v>1032</v>
      </c>
      <c r="BI26" s="79">
        <v>3.7460747500550693</v>
      </c>
      <c r="BJ26" s="80">
        <v>3.3125160655886061E-2</v>
      </c>
      <c r="BK26" s="30">
        <f t="shared" si="80"/>
        <v>-3.9074674815880805</v>
      </c>
      <c r="BL26" s="30" t="str">
        <f t="shared" si="81"/>
        <v>*</v>
      </c>
      <c r="BM26" s="80"/>
      <c r="BN26" s="78">
        <v>1032</v>
      </c>
      <c r="BO26" s="79">
        <v>3.7890825248035367</v>
      </c>
      <c r="BP26" s="80">
        <v>3.3851565543017124E-2</v>
      </c>
      <c r="BQ26" s="30">
        <f t="shared" si="82"/>
        <v>-4.8962033347826495</v>
      </c>
      <c r="BR26" s="30" t="str">
        <f t="shared" si="83"/>
        <v>*</v>
      </c>
      <c r="BS26" s="9"/>
      <c r="BT26" s="27">
        <v>9676</v>
      </c>
      <c r="BU26" s="27">
        <v>9687.2607126690418</v>
      </c>
      <c r="BV26" s="28">
        <v>3.9112928557465239</v>
      </c>
      <c r="BW26" s="29">
        <v>1.1216549296882178E-2</v>
      </c>
      <c r="BX26" s="30">
        <f t="shared" si="57"/>
        <v>-12.478768342717919</v>
      </c>
      <c r="BY26" s="30" t="str">
        <f t="shared" si="58"/>
        <v>*</v>
      </c>
      <c r="BZ26" s="30"/>
      <c r="CA26" s="27">
        <v>405</v>
      </c>
      <c r="CB26" s="27">
        <v>405</v>
      </c>
      <c r="CC26" s="28">
        <v>3.728395061728393</v>
      </c>
      <c r="CD26" s="29">
        <v>4.8326312148258249E-2</v>
      </c>
      <c r="CE26" s="30">
        <f t="shared" si="59"/>
        <v>-2.6218890275193205</v>
      </c>
      <c r="CF26" s="30" t="str">
        <f t="shared" si="0"/>
        <v>*</v>
      </c>
      <c r="CG26" s="30"/>
      <c r="CH26" s="27">
        <v>2692</v>
      </c>
      <c r="CI26" s="27">
        <v>2704.8267577499209</v>
      </c>
      <c r="CJ26" s="28">
        <v>3.5658490398080604</v>
      </c>
      <c r="CK26" s="29">
        <v>2.1666002433441151E-2</v>
      </c>
      <c r="CL26" s="30">
        <f t="shared" si="60"/>
        <v>0.68329808439880491</v>
      </c>
      <c r="CM26" s="30" t="str">
        <f t="shared" si="1"/>
        <v xml:space="preserve"> </v>
      </c>
      <c r="CN26" s="30"/>
      <c r="CO26" s="27">
        <v>2333</v>
      </c>
      <c r="CP26" s="27">
        <v>2332.9271473300323</v>
      </c>
      <c r="CQ26" s="28">
        <v>3.925224149562645</v>
      </c>
      <c r="CR26" s="29">
        <v>1.9866208810896978E-2</v>
      </c>
      <c r="CS26" s="30">
        <f t="shared" si="61"/>
        <v>-11.00179970095925</v>
      </c>
      <c r="CT26" s="30" t="str">
        <f t="shared" si="2"/>
        <v>*</v>
      </c>
      <c r="CU26" s="30"/>
      <c r="CV26" s="27">
        <v>416</v>
      </c>
      <c r="CW26" s="27">
        <v>416.70508336000165</v>
      </c>
      <c r="CX26" s="28">
        <v>4.8217049447994977</v>
      </c>
      <c r="CY26" s="29">
        <v>2.6019204005927155E-2</v>
      </c>
      <c r="CZ26" s="30">
        <f t="shared" si="62"/>
        <v>-35.274911291382701</v>
      </c>
      <c r="DA26" s="30" t="str">
        <f t="shared" si="3"/>
        <v>*</v>
      </c>
      <c r="DB26" s="30"/>
      <c r="DC26" s="27">
        <v>857</v>
      </c>
      <c r="DD26" s="27">
        <v>857.01495826998928</v>
      </c>
      <c r="DE26" s="28">
        <v>4.8623406293652627</v>
      </c>
      <c r="DF26" s="29">
        <v>1.4093394402251762E-2</v>
      </c>
      <c r="DG26" s="30">
        <f t="shared" si="63"/>
        <v>-46.684942243319256</v>
      </c>
      <c r="DH26" s="30" t="str">
        <f t="shared" si="4"/>
        <v>*</v>
      </c>
      <c r="DI26" s="30"/>
      <c r="DJ26" s="27">
        <v>536</v>
      </c>
      <c r="DK26" s="27">
        <v>536</v>
      </c>
      <c r="DL26" s="28">
        <v>4.9738805970149249</v>
      </c>
      <c r="DM26" s="29">
        <v>8.6858519516183515E-3</v>
      </c>
      <c r="DN26" s="30">
        <f t="shared" si="64"/>
        <v>-55.567631702019554</v>
      </c>
      <c r="DO26" s="30" t="str">
        <f t="shared" si="5"/>
        <v>*</v>
      </c>
      <c r="DP26" s="8"/>
      <c r="DQ26" s="27">
        <v>768</v>
      </c>
      <c r="DR26" s="27">
        <v>767.65496896000343</v>
      </c>
      <c r="DS26" s="28">
        <v>3.5402871859370597</v>
      </c>
      <c r="DT26" s="29">
        <v>4.3786986816339718E-2</v>
      </c>
      <c r="DU26" s="29"/>
      <c r="DV26" s="27">
        <v>551</v>
      </c>
      <c r="DW26" s="27">
        <v>550.91271918999564</v>
      </c>
      <c r="DX26" s="28">
        <v>3.4841194054879301</v>
      </c>
      <c r="DY26" s="29">
        <v>5.3107207325303593E-2</v>
      </c>
      <c r="DZ26" s="10">
        <f t="shared" si="6"/>
        <v>0.8160271313620131</v>
      </c>
      <c r="EA26" s="10" t="str">
        <f t="shared" si="7"/>
        <v xml:space="preserve"> </v>
      </c>
      <c r="EB26" s="29"/>
      <c r="EC26" s="27">
        <v>537</v>
      </c>
      <c r="ED26" s="27">
        <v>538.31754363999914</v>
      </c>
      <c r="EE26" s="28">
        <v>3.5599996116634043</v>
      </c>
      <c r="EF26" s="29">
        <v>5.1712276283503271E-2</v>
      </c>
      <c r="EG26" s="10">
        <f t="shared" si="8"/>
        <v>-0.2909140389906264</v>
      </c>
      <c r="EH26" s="10" t="str">
        <f t="shared" si="9"/>
        <v xml:space="preserve"> </v>
      </c>
      <c r="EI26" s="29"/>
      <c r="EJ26" s="27">
        <v>545</v>
      </c>
      <c r="EK26" s="27">
        <v>545.68737482000222</v>
      </c>
      <c r="EL26" s="28">
        <v>3.6229120773998558</v>
      </c>
      <c r="EM26" s="29">
        <v>5.111691608745228E-2</v>
      </c>
      <c r="EN26" s="10">
        <f t="shared" si="10"/>
        <v>-1.2275814839047905</v>
      </c>
      <c r="EO26" s="10" t="str">
        <f t="shared" si="65"/>
        <v xml:space="preserve"> </v>
      </c>
      <c r="EP26" s="29"/>
      <c r="EQ26" s="8">
        <v>574</v>
      </c>
      <c r="ER26" s="8">
        <v>573.9737145399971</v>
      </c>
      <c r="ES26" s="69">
        <v>3.6003012580918243</v>
      </c>
      <c r="ET26" s="9">
        <v>4.9601768092609577E-2</v>
      </c>
      <c r="EU26" s="10">
        <f t="shared" si="11"/>
        <v>-0.90705431093346234</v>
      </c>
      <c r="EV26" s="10" t="str">
        <f t="shared" si="66"/>
        <v xml:space="preserve"> </v>
      </c>
      <c r="EW26" s="29"/>
      <c r="EX26" s="88">
        <v>3706</v>
      </c>
      <c r="EY26" s="88">
        <v>3705.7871947798544</v>
      </c>
      <c r="EZ26" s="28">
        <v>3.761232848862361</v>
      </c>
      <c r="FA26" s="29">
        <v>1.7500107211979775E-2</v>
      </c>
      <c r="FB26" s="30">
        <f t="shared" si="12"/>
        <v>-4.6855615125364363</v>
      </c>
      <c r="FC26" s="30" t="str">
        <f t="shared" si="67"/>
        <v>*</v>
      </c>
      <c r="FD26" s="30"/>
      <c r="FE26" s="27">
        <v>878</v>
      </c>
      <c r="FF26" s="27">
        <v>878.00710764000155</v>
      </c>
      <c r="FG26" s="28">
        <v>3.8337110523029345</v>
      </c>
      <c r="FH26" s="29">
        <v>3.2307844174717527E-2</v>
      </c>
      <c r="FI26" s="30">
        <f t="shared" si="13"/>
        <v>-5.3922388056290069</v>
      </c>
      <c r="FJ26" s="30" t="str">
        <f t="shared" si="14"/>
        <v>*</v>
      </c>
      <c r="FK26" s="30"/>
      <c r="FL26" s="88">
        <v>267</v>
      </c>
      <c r="FM26" s="88">
        <v>266.97389522999913</v>
      </c>
      <c r="FN26" s="28">
        <v>4.1572011897786609</v>
      </c>
      <c r="FO26" s="29">
        <v>5.4295030353963436E-2</v>
      </c>
      <c r="FP26" s="30">
        <f t="shared" si="15"/>
        <v>-8.844474297710569</v>
      </c>
      <c r="FQ26" s="30" t="str">
        <f t="shared" si="16"/>
        <v>*</v>
      </c>
      <c r="FR26" s="30"/>
      <c r="FS26" s="88">
        <v>467</v>
      </c>
      <c r="FT26" s="88">
        <v>467.08604600999683</v>
      </c>
      <c r="FU26" s="28">
        <v>3.7864775521085376</v>
      </c>
      <c r="FV26" s="29">
        <v>4.3182853345591479E-2</v>
      </c>
      <c r="FW26" s="30">
        <f t="shared" si="17"/>
        <v>-4.0031964451130495</v>
      </c>
      <c r="FX26" s="30" t="str">
        <f t="shared" si="18"/>
        <v>*</v>
      </c>
      <c r="FY26" s="30"/>
      <c r="FZ26" s="88">
        <v>1022</v>
      </c>
      <c r="GA26" s="88">
        <v>1022.0223501600078</v>
      </c>
      <c r="GB26" s="28">
        <v>3.6750257378931037</v>
      </c>
      <c r="GC26" s="29">
        <v>3.4778841589314373E-2</v>
      </c>
      <c r="GD26" s="30">
        <f t="shared" si="19"/>
        <v>-2.4095564161134031</v>
      </c>
      <c r="GE26" s="30" t="str">
        <f t="shared" si="20"/>
        <v>*</v>
      </c>
      <c r="GF26" s="30"/>
      <c r="GG26" s="88">
        <v>304</v>
      </c>
      <c r="GH26" s="88">
        <v>304.04282677999936</v>
      </c>
      <c r="GI26" s="28">
        <v>4.0130874781100498</v>
      </c>
      <c r="GJ26" s="29">
        <v>5.5506186853939633E-2</v>
      </c>
      <c r="GK26" s="30">
        <f t="shared" si="21"/>
        <v>-6.6875849843669801</v>
      </c>
      <c r="GL26" s="30" t="str">
        <f t="shared" si="22"/>
        <v>*</v>
      </c>
      <c r="GM26" s="10"/>
      <c r="GN26" s="88">
        <v>739</v>
      </c>
      <c r="GO26" s="88">
        <v>738.96700581000709</v>
      </c>
      <c r="GP26" s="28">
        <v>3.2486013766590736</v>
      </c>
      <c r="GQ26" s="29">
        <v>4.784161299623739E-2</v>
      </c>
      <c r="GR26" s="9"/>
      <c r="GS26" s="3">
        <v>538</v>
      </c>
      <c r="GT26" s="3">
        <v>537.9831366599949</v>
      </c>
      <c r="GU26" s="69">
        <v>3.2048689684480878</v>
      </c>
      <c r="GV26" s="9">
        <v>5.840349819222803E-2</v>
      </c>
      <c r="GW26" s="10">
        <f t="shared" si="23"/>
        <v>0.57926064240008535</v>
      </c>
      <c r="GX26" s="10" t="str">
        <f t="shared" si="68"/>
        <v xml:space="preserve"> </v>
      </c>
      <c r="GY26" s="9"/>
      <c r="GZ26" s="27">
        <v>551</v>
      </c>
      <c r="HA26" s="27">
        <v>550.16530286000261</v>
      </c>
      <c r="HB26" s="28">
        <v>3.454541624271855</v>
      </c>
      <c r="HC26" s="29">
        <v>5.2151748026522615E-2</v>
      </c>
      <c r="HD26" s="10">
        <f t="shared" si="24"/>
        <v>-2.9099262530078613</v>
      </c>
      <c r="HE26" s="10" t="str">
        <f t="shared" si="69"/>
        <v>*</v>
      </c>
      <c r="HF26" s="9"/>
      <c r="HG26" s="27">
        <v>1111</v>
      </c>
      <c r="HH26" s="27">
        <v>1110.9402855099966</v>
      </c>
      <c r="HI26" s="28">
        <v>3.2411493505584921</v>
      </c>
      <c r="HJ26" s="29">
        <v>3.8584117156802281E-2</v>
      </c>
      <c r="HK26" s="10">
        <f t="shared" si="25"/>
        <v>0.12124644811826668</v>
      </c>
      <c r="HL26" s="10" t="str">
        <f t="shared" si="70"/>
        <v xml:space="preserve"> </v>
      </c>
      <c r="HM26" s="29"/>
      <c r="HN26" s="8">
        <v>1147</v>
      </c>
      <c r="HO26" s="8">
        <v>1146.5288475899956</v>
      </c>
      <c r="HP26" s="69">
        <v>3.2153419292667347</v>
      </c>
      <c r="HQ26" s="9">
        <v>3.8165803658824146E-2</v>
      </c>
      <c r="HR26" s="10">
        <f t="shared" si="26"/>
        <v>0.54345440586807026</v>
      </c>
      <c r="HS26" s="10" t="str">
        <f t="shared" si="71"/>
        <v xml:space="preserve"> </v>
      </c>
      <c r="HT26" s="9"/>
      <c r="HU26" s="88">
        <v>4048</v>
      </c>
      <c r="HV26" s="88">
        <v>4048.4780567298308</v>
      </c>
      <c r="HW26" s="28">
        <v>3.7898842604800795</v>
      </c>
      <c r="HX26" s="29">
        <v>1.7210376068476627E-2</v>
      </c>
      <c r="HY26" s="30">
        <f t="shared" si="27"/>
        <v>-10.646150328383818</v>
      </c>
      <c r="HZ26" s="30" t="str">
        <f t="shared" si="72"/>
        <v>*</v>
      </c>
      <c r="IA26" s="30"/>
      <c r="IB26" s="88">
        <v>878</v>
      </c>
      <c r="IC26" s="88">
        <v>878.00710764000155</v>
      </c>
      <c r="ID26" s="28">
        <v>3.8337110523029345</v>
      </c>
      <c r="IE26" s="29">
        <v>3.2307844174717527E-2</v>
      </c>
      <c r="IF26" s="30">
        <f t="shared" si="28"/>
        <v>-10.135486390277997</v>
      </c>
      <c r="IG26" s="30" t="str">
        <f t="shared" si="29"/>
        <v>*</v>
      </c>
      <c r="IH26" s="30"/>
      <c r="II26" s="88">
        <v>547</v>
      </c>
      <c r="IJ26" s="88">
        <v>547.55879616000311</v>
      </c>
      <c r="IK26" s="28">
        <v>4.0489043737545449</v>
      </c>
      <c r="IL26" s="29">
        <v>4.0234727688441246E-2</v>
      </c>
      <c r="IM26" s="30">
        <f t="shared" si="30"/>
        <v>-12.802548623586889</v>
      </c>
      <c r="IN26" s="30" t="str">
        <f t="shared" si="84"/>
        <v>*</v>
      </c>
      <c r="IO26" s="30"/>
      <c r="IP26" s="88">
        <v>632</v>
      </c>
      <c r="IQ26" s="88">
        <v>632.31378892000589</v>
      </c>
      <c r="IR26" s="28">
        <v>3.7063602850775554</v>
      </c>
      <c r="IS26" s="29">
        <v>4.6615776649131795E-2</v>
      </c>
      <c r="IT26" s="30">
        <f t="shared" si="32"/>
        <v>-6.8529773163953642</v>
      </c>
      <c r="IU26" s="30" t="str">
        <f t="shared" si="33"/>
        <v>*</v>
      </c>
      <c r="IV26" s="30"/>
      <c r="IW26" s="88">
        <v>267</v>
      </c>
      <c r="IX26" s="88">
        <v>266.97389522999913</v>
      </c>
      <c r="IY26" s="28">
        <v>4.1572011897786609</v>
      </c>
      <c r="IZ26" s="29">
        <v>5.4295030353963436E-2</v>
      </c>
      <c r="JA26" s="30">
        <f t="shared" si="34"/>
        <v>-12.555698619154187</v>
      </c>
      <c r="JB26" s="30" t="str">
        <f t="shared" si="73"/>
        <v>*</v>
      </c>
      <c r="JC26" s="30"/>
      <c r="JD26" s="88">
        <v>985</v>
      </c>
      <c r="JE26" s="88">
        <v>984.65746297001169</v>
      </c>
      <c r="JF26" s="28">
        <v>3.9670327129476197</v>
      </c>
      <c r="JG26" s="29">
        <v>3.0720731874274321E-2</v>
      </c>
      <c r="JH26" s="30">
        <f t="shared" si="35"/>
        <v>-12.636022903789179</v>
      </c>
      <c r="JI26" s="30" t="str">
        <f t="shared" si="36"/>
        <v>*</v>
      </c>
      <c r="JK26" s="27"/>
      <c r="JL26" s="27"/>
      <c r="JM26" s="28"/>
      <c r="JN26" s="29"/>
    </row>
    <row r="27" spans="1:274" x14ac:dyDescent="0.2">
      <c r="B27" s="7" t="s">
        <v>30</v>
      </c>
      <c r="C27" s="27">
        <v>2379</v>
      </c>
      <c r="D27" s="27">
        <v>2377.3036380499402</v>
      </c>
      <c r="E27" s="28">
        <v>2.9094621405633529</v>
      </c>
      <c r="F27" s="29">
        <v>2.6019430112321815E-2</v>
      </c>
      <c r="G27" s="29"/>
      <c r="H27" s="3">
        <v>787</v>
      </c>
      <c r="I27" s="3">
        <v>786.97829554000862</v>
      </c>
      <c r="J27" s="28">
        <v>2.819914567093933</v>
      </c>
      <c r="K27" s="29">
        <v>4.4310554577170917E-2</v>
      </c>
      <c r="L27" s="30">
        <f t="shared" si="37"/>
        <v>1.7426733915187884</v>
      </c>
      <c r="M27" s="30" t="str">
        <f t="shared" si="38"/>
        <v xml:space="preserve"> </v>
      </c>
      <c r="N27" s="9"/>
      <c r="O27" s="27">
        <v>928</v>
      </c>
      <c r="P27" s="27">
        <v>928.93712760000426</v>
      </c>
      <c r="Q27" s="28">
        <v>2.6195733782833917</v>
      </c>
      <c r="R27" s="29">
        <v>3.2366577976244114E-2</v>
      </c>
      <c r="S27" s="30">
        <f t="shared" si="39"/>
        <v>6.9804981988704204</v>
      </c>
      <c r="T27" s="30" t="str">
        <f t="shared" si="40"/>
        <v>*</v>
      </c>
      <c r="U27" s="30"/>
      <c r="V27" s="27">
        <v>888</v>
      </c>
      <c r="W27" s="27">
        <v>889.3204970900133</v>
      </c>
      <c r="X27" s="28">
        <v>2.6059691610880109</v>
      </c>
      <c r="Y27" s="29">
        <v>3.5863402772067773E-2</v>
      </c>
      <c r="Z27" s="30">
        <f t="shared" si="41"/>
        <v>6.8496281571499411</v>
      </c>
      <c r="AA27" s="30" t="str">
        <f t="shared" si="42"/>
        <v>*</v>
      </c>
      <c r="AB27" s="9"/>
      <c r="AC27" s="8">
        <v>958</v>
      </c>
      <c r="AD27" s="8">
        <v>959.21097236000082</v>
      </c>
      <c r="AE27" s="69">
        <v>2.6190851470755807</v>
      </c>
      <c r="AF27" s="9">
        <v>3.5500158722038058E-2</v>
      </c>
      <c r="AG27" s="30">
        <f t="shared" si="43"/>
        <v>6.5973101608611886</v>
      </c>
      <c r="AH27" s="30" t="str">
        <f t="shared" si="44"/>
        <v>*</v>
      </c>
      <c r="AI27" s="9"/>
      <c r="AJ27" s="81">
        <v>4811</v>
      </c>
      <c r="AK27" s="83">
        <v>3.378286949667491</v>
      </c>
      <c r="AL27" s="84">
        <v>1.7742641116805298E-2</v>
      </c>
      <c r="AM27" s="30">
        <f t="shared" si="45"/>
        <v>-14.886612838722337</v>
      </c>
      <c r="AN27" s="30" t="str">
        <f t="shared" si="46"/>
        <v>*</v>
      </c>
      <c r="AO27" s="9"/>
      <c r="AP27" s="78">
        <v>636</v>
      </c>
      <c r="AQ27" s="79">
        <v>3.9014630835854835</v>
      </c>
      <c r="AR27" s="80">
        <v>4.8397124129158128E-2</v>
      </c>
      <c r="AS27" s="30">
        <f t="shared" si="74"/>
        <v>-18.053420607761261</v>
      </c>
      <c r="AT27" s="30" t="str">
        <f t="shared" si="75"/>
        <v>*</v>
      </c>
      <c r="AU27" s="80"/>
      <c r="AV27" s="78">
        <v>748</v>
      </c>
      <c r="AW27" s="79">
        <v>3.3795645496922169</v>
      </c>
      <c r="AX27" s="80">
        <v>4.1727430080880507E-2</v>
      </c>
      <c r="AY27" s="30">
        <f t="shared" si="76"/>
        <v>-9.5597677493637061</v>
      </c>
      <c r="AZ27" s="30" t="str">
        <f t="shared" si="77"/>
        <v>*</v>
      </c>
      <c r="BA27" s="80"/>
      <c r="BB27" s="78">
        <v>774</v>
      </c>
      <c r="BC27" s="79">
        <v>3.6495032419401823</v>
      </c>
      <c r="BD27" s="80">
        <v>4.0102966310774958E-2</v>
      </c>
      <c r="BE27" s="30">
        <f t="shared" si="78"/>
        <v>-15.480613221321949</v>
      </c>
      <c r="BF27" s="30" t="str">
        <f t="shared" si="79"/>
        <v>*</v>
      </c>
      <c r="BG27" s="80"/>
      <c r="BH27" s="78">
        <v>1010</v>
      </c>
      <c r="BI27" s="79">
        <v>3.1762774157045008</v>
      </c>
      <c r="BJ27" s="80">
        <v>3.7072935230496935E-2</v>
      </c>
      <c r="BK27" s="30">
        <f t="shared" si="80"/>
        <v>-5.8909333479489616</v>
      </c>
      <c r="BL27" s="30" t="str">
        <f t="shared" si="81"/>
        <v>*</v>
      </c>
      <c r="BM27" s="80"/>
      <c r="BN27" s="78">
        <v>1025</v>
      </c>
      <c r="BO27" s="79">
        <v>2.9758021018031728</v>
      </c>
      <c r="BP27" s="80">
        <v>3.6549278837079154E-2</v>
      </c>
      <c r="BQ27" s="30">
        <f t="shared" si="82"/>
        <v>-1.4786601604192062</v>
      </c>
      <c r="BR27" s="30" t="str">
        <f t="shared" si="83"/>
        <v xml:space="preserve"> </v>
      </c>
      <c r="BS27" s="9"/>
      <c r="BT27" s="27">
        <v>9548</v>
      </c>
      <c r="BU27" s="27">
        <v>9562.0447157790804</v>
      </c>
      <c r="BV27" s="28">
        <v>3.4226921948911322</v>
      </c>
      <c r="BW27" s="29">
        <v>1.3430521678008542E-2</v>
      </c>
      <c r="BX27" s="30">
        <f t="shared" si="57"/>
        <v>-17.527620462116779</v>
      </c>
      <c r="BY27" s="30" t="str">
        <f t="shared" si="58"/>
        <v>*</v>
      </c>
      <c r="BZ27" s="30"/>
      <c r="CA27" s="27">
        <v>407</v>
      </c>
      <c r="CB27" s="27">
        <v>407</v>
      </c>
      <c r="CC27" s="28">
        <v>2.8525798525798516</v>
      </c>
      <c r="CD27" s="29">
        <v>5.9202099068516069E-2</v>
      </c>
      <c r="CE27" s="30">
        <f t="shared" si="59"/>
        <v>0.87961023180312048</v>
      </c>
      <c r="CF27" s="30" t="str">
        <f t="shared" si="0"/>
        <v xml:space="preserve"> </v>
      </c>
      <c r="CG27" s="30"/>
      <c r="CH27" s="27">
        <v>2676</v>
      </c>
      <c r="CI27" s="27">
        <v>2691.11145982992</v>
      </c>
      <c r="CJ27" s="28">
        <v>3.0500405014099621</v>
      </c>
      <c r="CK27" s="29">
        <v>2.3891673086093336E-2</v>
      </c>
      <c r="CL27" s="30">
        <f t="shared" si="60"/>
        <v>-3.9796237968844022</v>
      </c>
      <c r="CM27" s="30" t="str">
        <f t="shared" si="1"/>
        <v>*</v>
      </c>
      <c r="CN27" s="30"/>
      <c r="CO27" s="27">
        <v>2281</v>
      </c>
      <c r="CP27" s="27">
        <v>2280.9227514200415</v>
      </c>
      <c r="CQ27" s="28">
        <v>3.3948109994340525</v>
      </c>
      <c r="CR27" s="29">
        <v>2.3170975646624611E-2</v>
      </c>
      <c r="CS27" s="30">
        <f t="shared" si="61"/>
        <v>-13.930339104790011</v>
      </c>
      <c r="CT27" s="30" t="str">
        <f t="shared" si="2"/>
        <v>*</v>
      </c>
      <c r="CU27" s="30"/>
      <c r="CV27" s="27">
        <v>410</v>
      </c>
      <c r="CW27" s="27">
        <v>410.68104640000155</v>
      </c>
      <c r="CX27" s="28">
        <v>4.6626266264427283</v>
      </c>
      <c r="CY27" s="29">
        <v>3.5183720727691201E-2</v>
      </c>
      <c r="CZ27" s="30">
        <f t="shared" si="62"/>
        <v>-40.063515380109919</v>
      </c>
      <c r="DA27" s="30" t="str">
        <f t="shared" si="3"/>
        <v>*</v>
      </c>
      <c r="DB27" s="30"/>
      <c r="DC27" s="27">
        <v>860</v>
      </c>
      <c r="DD27" s="27">
        <v>860.02582007998922</v>
      </c>
      <c r="DE27" s="28">
        <v>4.8116089240147133</v>
      </c>
      <c r="DF27" s="29">
        <v>1.8079439635288345E-2</v>
      </c>
      <c r="DG27" s="30">
        <f t="shared" si="63"/>
        <v>-60.034901289741377</v>
      </c>
      <c r="DH27" s="30" t="str">
        <f t="shared" si="4"/>
        <v>*</v>
      </c>
      <c r="DI27" s="30"/>
      <c r="DJ27" s="27">
        <v>535</v>
      </c>
      <c r="DK27" s="27">
        <v>535</v>
      </c>
      <c r="DL27" s="28">
        <v>4.9457943925233643</v>
      </c>
      <c r="DM27" s="29">
        <v>1.2884573795111789E-2</v>
      </c>
      <c r="DN27" s="30">
        <f t="shared" si="64"/>
        <v>-70.134052128180713</v>
      </c>
      <c r="DO27" s="30" t="str">
        <f t="shared" si="5"/>
        <v>*</v>
      </c>
      <c r="DP27" s="8"/>
      <c r="DQ27" s="27">
        <v>782</v>
      </c>
      <c r="DR27" s="27">
        <v>782.35210018000362</v>
      </c>
      <c r="DS27" s="28">
        <v>2.8669595100006062</v>
      </c>
      <c r="DT27" s="29">
        <v>4.3748558228982194E-2</v>
      </c>
      <c r="DU27" s="29"/>
      <c r="DV27" s="27">
        <v>532</v>
      </c>
      <c r="DW27" s="27">
        <v>531.82684540999594</v>
      </c>
      <c r="DX27" s="28">
        <v>2.8570869064509026</v>
      </c>
      <c r="DY27" s="29">
        <v>5.3532001677527023E-2</v>
      </c>
      <c r="DZ27" s="10">
        <f t="shared" si="6"/>
        <v>0.1428023638708075</v>
      </c>
      <c r="EA27" s="10" t="str">
        <f t="shared" si="7"/>
        <v xml:space="preserve"> </v>
      </c>
      <c r="EB27" s="29"/>
      <c r="EC27" s="27">
        <v>543</v>
      </c>
      <c r="ED27" s="27">
        <v>544.22555086999887</v>
      </c>
      <c r="EE27" s="28">
        <v>2.8397281194156268</v>
      </c>
      <c r="EF27" s="29">
        <v>5.5784115982810405E-2</v>
      </c>
      <c r="EG27" s="10">
        <f t="shared" si="8"/>
        <v>0.38412011305167054</v>
      </c>
      <c r="EH27" s="10" t="str">
        <f t="shared" si="9"/>
        <v xml:space="preserve"> </v>
      </c>
      <c r="EI27" s="29"/>
      <c r="EJ27" s="27">
        <v>529</v>
      </c>
      <c r="EK27" s="27">
        <v>528.39831435000269</v>
      </c>
      <c r="EL27" s="28">
        <v>2.9227224586432876</v>
      </c>
      <c r="EM27" s="29">
        <v>5.2646149656121265E-2</v>
      </c>
      <c r="EN27" s="10">
        <f t="shared" si="10"/>
        <v>-0.81463916112188328</v>
      </c>
      <c r="EO27" s="10" t="str">
        <f t="shared" si="65"/>
        <v xml:space="preserve"> </v>
      </c>
      <c r="EP27" s="29"/>
      <c r="EQ27" s="8">
        <v>571</v>
      </c>
      <c r="ER27" s="8">
        <v>570.92228595999688</v>
      </c>
      <c r="ES27" s="69">
        <v>2.8473187243454214</v>
      </c>
      <c r="ET27" s="9">
        <v>4.99678470646331E-2</v>
      </c>
      <c r="EU27" s="10">
        <f t="shared" si="11"/>
        <v>0.29573587360871256</v>
      </c>
      <c r="EV27" s="10" t="str">
        <f t="shared" si="66"/>
        <v xml:space="preserve"> </v>
      </c>
      <c r="EW27" s="29"/>
      <c r="EX27" s="88">
        <v>3701</v>
      </c>
      <c r="EY27" s="88">
        <v>3701.3752022198519</v>
      </c>
      <c r="EZ27" s="28">
        <v>3.1403216192156096</v>
      </c>
      <c r="FA27" s="29">
        <v>1.9123819260714589E-2</v>
      </c>
      <c r="FB27" s="30">
        <f t="shared" si="12"/>
        <v>-5.7253703039976989</v>
      </c>
      <c r="FC27" s="30" t="str">
        <f t="shared" si="67"/>
        <v>*</v>
      </c>
      <c r="FD27" s="30"/>
      <c r="FE27" s="27">
        <v>866</v>
      </c>
      <c r="FF27" s="27">
        <v>866.00388150000151</v>
      </c>
      <c r="FG27" s="28">
        <v>3.3498596657964304</v>
      </c>
      <c r="FH27" s="29">
        <v>3.5291758285223504E-2</v>
      </c>
      <c r="FI27" s="30">
        <f t="shared" si="13"/>
        <v>-8.5911633503583396</v>
      </c>
      <c r="FJ27" s="30" t="str">
        <f t="shared" si="14"/>
        <v>*</v>
      </c>
      <c r="FK27" s="30"/>
      <c r="FL27" s="88">
        <v>269</v>
      </c>
      <c r="FM27" s="88">
        <v>268.98658639999911</v>
      </c>
      <c r="FN27" s="28">
        <v>3.5239997093029762</v>
      </c>
      <c r="FO27" s="29">
        <v>6.2881605891893788E-2</v>
      </c>
      <c r="FP27" s="30">
        <f t="shared" si="15"/>
        <v>-8.5772027992819115</v>
      </c>
      <c r="FQ27" s="30" t="str">
        <f t="shared" si="16"/>
        <v>*</v>
      </c>
      <c r="FR27" s="30"/>
      <c r="FS27" s="88">
        <v>476</v>
      </c>
      <c r="FT27" s="88">
        <v>475.99442547999655</v>
      </c>
      <c r="FU27" s="28">
        <v>2.8497706052799048</v>
      </c>
      <c r="FV27" s="29">
        <v>5.2048755597943606E-2</v>
      </c>
      <c r="FW27" s="30">
        <f t="shared" si="17"/>
        <v>0.25280509383844307</v>
      </c>
      <c r="FX27" s="30" t="str">
        <f t="shared" si="18"/>
        <v xml:space="preserve"> </v>
      </c>
      <c r="FY27" s="30"/>
      <c r="FZ27" s="88">
        <v>1005</v>
      </c>
      <c r="GA27" s="88">
        <v>1005.0210165000078</v>
      </c>
      <c r="GB27" s="28">
        <v>3.067658597933411</v>
      </c>
      <c r="GC27" s="29">
        <v>3.6378491783409184E-2</v>
      </c>
      <c r="GD27" s="30">
        <f t="shared" si="19"/>
        <v>-3.5273767262454325</v>
      </c>
      <c r="GE27" s="30" t="str">
        <f t="shared" si="20"/>
        <v>*</v>
      </c>
      <c r="GF27" s="30"/>
      <c r="GG27" s="88">
        <v>303</v>
      </c>
      <c r="GH27" s="88">
        <v>303.01719215999941</v>
      </c>
      <c r="GI27" s="28">
        <v>3.6040871380107879</v>
      </c>
      <c r="GJ27" s="29">
        <v>6.8261355668511436E-2</v>
      </c>
      <c r="GK27" s="30">
        <f t="shared" si="21"/>
        <v>-9.0916505785365977</v>
      </c>
      <c r="GL27" s="30" t="str">
        <f t="shared" si="22"/>
        <v>*</v>
      </c>
      <c r="GM27" s="10"/>
      <c r="GN27" s="88">
        <v>741</v>
      </c>
      <c r="GO27" s="88">
        <v>740.96534943000711</v>
      </c>
      <c r="GP27" s="28">
        <v>2.6908234091564047</v>
      </c>
      <c r="GQ27" s="29">
        <v>4.3930510247621707E-2</v>
      </c>
      <c r="GR27" s="9"/>
      <c r="GS27" s="3">
        <v>530</v>
      </c>
      <c r="GT27" s="3">
        <v>529.99134394999464</v>
      </c>
      <c r="GU27" s="69">
        <v>2.6717424326529904</v>
      </c>
      <c r="GV27" s="9">
        <v>5.6249462482172351E-2</v>
      </c>
      <c r="GW27" s="10">
        <f t="shared" si="23"/>
        <v>0.26734726189939406</v>
      </c>
      <c r="GX27" s="10" t="str">
        <f t="shared" si="68"/>
        <v xml:space="preserve"> </v>
      </c>
      <c r="GY27" s="9"/>
      <c r="GZ27" s="27">
        <v>539</v>
      </c>
      <c r="HA27" s="27">
        <v>538.28387018000285</v>
      </c>
      <c r="HB27" s="28">
        <v>2.8997188609015008</v>
      </c>
      <c r="HC27" s="29">
        <v>5.2096220532491147E-2</v>
      </c>
      <c r="HD27" s="10">
        <f t="shared" si="24"/>
        <v>-3.0654008790361669</v>
      </c>
      <c r="HE27" s="10" t="str">
        <f t="shared" si="69"/>
        <v>*</v>
      </c>
      <c r="HF27" s="9"/>
      <c r="HG27" s="27">
        <v>1086</v>
      </c>
      <c r="HH27" s="27">
        <v>1086.3633523499991</v>
      </c>
      <c r="HI27" s="28">
        <v>2.7916722353433308</v>
      </c>
      <c r="HJ27" s="29">
        <v>3.6307559222205306E-2</v>
      </c>
      <c r="HK27" s="10">
        <f t="shared" si="25"/>
        <v>-1.7695149686904224</v>
      </c>
      <c r="HL27" s="10" t="str">
        <f t="shared" si="70"/>
        <v xml:space="preserve"> </v>
      </c>
      <c r="HM27" s="29"/>
      <c r="HN27" s="8">
        <v>1111</v>
      </c>
      <c r="HO27" s="8">
        <v>1109.6221888799939</v>
      </c>
      <c r="HP27" s="69">
        <v>2.7248718603688538</v>
      </c>
      <c r="HQ27" s="9">
        <v>3.6148611851107119E-2</v>
      </c>
      <c r="HR27" s="10">
        <f t="shared" si="26"/>
        <v>-0.59848331926205001</v>
      </c>
      <c r="HS27" s="10" t="str">
        <f t="shared" si="71"/>
        <v xml:space="preserve"> </v>
      </c>
      <c r="HT27" s="9"/>
      <c r="HU27" s="88">
        <v>4008</v>
      </c>
      <c r="HV27" s="88">
        <v>4008.1274776498362</v>
      </c>
      <c r="HW27" s="28">
        <v>3.2326307424575003</v>
      </c>
      <c r="HX27" s="29">
        <v>1.8615004646288607E-2</v>
      </c>
      <c r="HY27" s="30">
        <f t="shared" si="27"/>
        <v>-11.3558543858005</v>
      </c>
      <c r="HZ27" s="30" t="str">
        <f t="shared" si="72"/>
        <v>*</v>
      </c>
      <c r="IA27" s="30"/>
      <c r="IB27" s="88">
        <v>866</v>
      </c>
      <c r="IC27" s="88">
        <v>866.00388150000151</v>
      </c>
      <c r="ID27" s="28">
        <v>3.3498596657964304</v>
      </c>
      <c r="IE27" s="29">
        <v>3.5291758285223504E-2</v>
      </c>
      <c r="IF27" s="30">
        <f t="shared" si="28"/>
        <v>-11.695269364562794</v>
      </c>
      <c r="IG27" s="30" t="str">
        <f t="shared" si="29"/>
        <v>*</v>
      </c>
      <c r="IH27" s="30"/>
      <c r="II27" s="88">
        <v>533</v>
      </c>
      <c r="IJ27" s="88">
        <v>533.44483254000295</v>
      </c>
      <c r="IK27" s="28">
        <v>3.544510076884507</v>
      </c>
      <c r="IL27" s="29">
        <v>4.7117378937567102E-2</v>
      </c>
      <c r="IM27" s="30">
        <f t="shared" si="30"/>
        <v>-13.25188750064439</v>
      </c>
      <c r="IN27" s="30" t="str">
        <f t="shared" si="84"/>
        <v>*</v>
      </c>
      <c r="IO27" s="30"/>
      <c r="IP27" s="88">
        <v>631</v>
      </c>
      <c r="IQ27" s="88">
        <v>631.29951506000589</v>
      </c>
      <c r="IR27" s="28">
        <v>3.1517751271690631</v>
      </c>
      <c r="IS27" s="29">
        <v>5.0655893657334472E-2</v>
      </c>
      <c r="IT27" s="30">
        <f t="shared" si="32"/>
        <v>-6.8745878743419411</v>
      </c>
      <c r="IU27" s="30" t="str">
        <f t="shared" si="33"/>
        <v>*</v>
      </c>
      <c r="IV27" s="30"/>
      <c r="IW27" s="88">
        <v>269</v>
      </c>
      <c r="IX27" s="88">
        <v>268.98658639999911</v>
      </c>
      <c r="IY27" s="28">
        <v>3.5239997093029762</v>
      </c>
      <c r="IZ27" s="29">
        <v>6.2881605891893788E-2</v>
      </c>
      <c r="JA27" s="30">
        <f t="shared" si="34"/>
        <v>-10.861782177163134</v>
      </c>
      <c r="JB27" s="30" t="str">
        <f t="shared" si="73"/>
        <v>*</v>
      </c>
      <c r="JC27" s="30"/>
      <c r="JD27" s="88">
        <v>968</v>
      </c>
      <c r="JE27" s="88">
        <v>967.42731272001106</v>
      </c>
      <c r="JF27" s="28">
        <v>3.3424468533233203</v>
      </c>
      <c r="JG27" s="29">
        <v>3.7542519894925575E-2</v>
      </c>
      <c r="JH27" s="30">
        <f t="shared" si="35"/>
        <v>-11.276309747311387</v>
      </c>
      <c r="JI27" s="30" t="str">
        <f t="shared" si="36"/>
        <v>*</v>
      </c>
      <c r="JK27" s="27"/>
      <c r="JL27" s="27"/>
      <c r="JM27" s="28"/>
      <c r="JN27" s="29"/>
    </row>
    <row r="28" spans="1:274" x14ac:dyDescent="0.2">
      <c r="B28" s="7" t="s">
        <v>31</v>
      </c>
      <c r="C28" s="27">
        <v>988</v>
      </c>
      <c r="D28" s="27">
        <v>983.17490876999625</v>
      </c>
      <c r="E28" s="28">
        <v>3.625923630475766</v>
      </c>
      <c r="F28" s="29">
        <v>3.4435570680484293E-2</v>
      </c>
      <c r="G28" s="29"/>
      <c r="H28" s="3">
        <v>315</v>
      </c>
      <c r="I28" s="3">
        <v>314.85676512000055</v>
      </c>
      <c r="J28" s="28">
        <v>3.5836849678931242</v>
      </c>
      <c r="K28" s="29">
        <v>6.5212910233082844E-2</v>
      </c>
      <c r="L28" s="30">
        <f t="shared" si="37"/>
        <v>0.57275555087128571</v>
      </c>
      <c r="M28" s="30" t="str">
        <f t="shared" si="38"/>
        <v xml:space="preserve"> </v>
      </c>
      <c r="N28" s="9"/>
      <c r="O28" s="27">
        <v>147</v>
      </c>
      <c r="P28" s="27">
        <v>147.02025734999989</v>
      </c>
      <c r="Q28" s="28">
        <v>3.6395260500474156</v>
      </c>
      <c r="R28" s="29">
        <v>8.2945539913355168E-2</v>
      </c>
      <c r="S28" s="30">
        <f t="shared" si="39"/>
        <v>-0.15145834945135672</v>
      </c>
      <c r="T28" s="30" t="str">
        <f t="shared" si="40"/>
        <v xml:space="preserve"> </v>
      </c>
      <c r="U28" s="30"/>
      <c r="V28" s="27">
        <v>188</v>
      </c>
      <c r="W28" s="27">
        <v>193.3390435999994</v>
      </c>
      <c r="X28" s="28">
        <v>3.6968045666902221</v>
      </c>
      <c r="Y28" s="29">
        <v>7.5383189708503301E-2</v>
      </c>
      <c r="Z28" s="30">
        <f t="shared" si="41"/>
        <v>-0.85526477641605603</v>
      </c>
      <c r="AA28" s="30" t="str">
        <f t="shared" si="42"/>
        <v xml:space="preserve"> </v>
      </c>
      <c r="AB28" s="9"/>
      <c r="AC28" s="8">
        <v>281</v>
      </c>
      <c r="AD28" s="8">
        <v>285.56558517999923</v>
      </c>
      <c r="AE28" s="69">
        <v>3.4574253931812682</v>
      </c>
      <c r="AF28" s="9">
        <v>6.1932649776537577E-2</v>
      </c>
      <c r="AG28" s="30">
        <f t="shared" si="43"/>
        <v>2.3778271823658956</v>
      </c>
      <c r="AH28" s="30" t="str">
        <f t="shared" si="44"/>
        <v>*</v>
      </c>
      <c r="AI28" s="9"/>
      <c r="AJ28" s="81">
        <v>1975</v>
      </c>
      <c r="AK28" s="83">
        <v>3.9041775491586628</v>
      </c>
      <c r="AL28" s="84">
        <v>2.2740037912279919E-2</v>
      </c>
      <c r="AM28" s="30">
        <f t="shared" si="45"/>
        <v>-6.7428646180000733</v>
      </c>
      <c r="AN28" s="30" t="str">
        <f t="shared" si="46"/>
        <v>*</v>
      </c>
      <c r="AO28" s="9"/>
      <c r="AP28" s="78">
        <v>263</v>
      </c>
      <c r="AQ28" s="79">
        <v>4.2062147959845797</v>
      </c>
      <c r="AR28" s="80">
        <v>5.9800507254500743E-2</v>
      </c>
      <c r="AS28" s="30">
        <f t="shared" si="74"/>
        <v>-8.409213986724815</v>
      </c>
      <c r="AT28" s="30" t="str">
        <f t="shared" si="75"/>
        <v>*</v>
      </c>
      <c r="AU28" s="80"/>
      <c r="AV28" s="78">
        <v>187</v>
      </c>
      <c r="AW28" s="79">
        <v>3.8893073782434242</v>
      </c>
      <c r="AX28" s="80">
        <v>7.2544420122199707E-2</v>
      </c>
      <c r="AY28" s="30">
        <f t="shared" si="76"/>
        <v>-3.2798922241448629</v>
      </c>
      <c r="AZ28" s="30" t="str">
        <f t="shared" si="77"/>
        <v>*</v>
      </c>
      <c r="BA28" s="80"/>
      <c r="BB28" s="78">
        <v>268</v>
      </c>
      <c r="BC28" s="79">
        <v>3.9622656426789682</v>
      </c>
      <c r="BD28" s="80">
        <v>5.9772259312187062E-2</v>
      </c>
      <c r="BE28" s="30">
        <f t="shared" si="78"/>
        <v>-4.875786081392361</v>
      </c>
      <c r="BF28" s="30" t="str">
        <f t="shared" si="79"/>
        <v>*</v>
      </c>
      <c r="BG28" s="80"/>
      <c r="BH28" s="78">
        <v>302</v>
      </c>
      <c r="BI28" s="79">
        <v>3.6787852719340415</v>
      </c>
      <c r="BJ28" s="80">
        <v>5.8949313820900871E-2</v>
      </c>
      <c r="BK28" s="30">
        <f t="shared" si="80"/>
        <v>-0.7742995509531686</v>
      </c>
      <c r="BL28" s="30" t="str">
        <f t="shared" si="81"/>
        <v xml:space="preserve"> </v>
      </c>
      <c r="BM28" s="80"/>
      <c r="BN28" s="78">
        <v>331</v>
      </c>
      <c r="BO28" s="79">
        <v>3.6943375475251923</v>
      </c>
      <c r="BP28" s="80">
        <v>5.9656889824065952E-2</v>
      </c>
      <c r="BQ28" s="30">
        <f t="shared" si="82"/>
        <v>-0.99320214942707696</v>
      </c>
      <c r="BR28" s="30" t="str">
        <f t="shared" si="83"/>
        <v xml:space="preserve"> </v>
      </c>
      <c r="BS28" s="9"/>
      <c r="BT28" s="27">
        <v>4823</v>
      </c>
      <c r="BU28" s="27">
        <v>4857.8289074997829</v>
      </c>
      <c r="BV28" s="28">
        <v>4.1096932657379917</v>
      </c>
      <c r="BW28" s="29">
        <v>1.4685189636913865E-2</v>
      </c>
      <c r="BX28" s="30">
        <f t="shared" si="57"/>
        <v>-12.922535601329983</v>
      </c>
      <c r="BY28" s="30" t="str">
        <f t="shared" si="58"/>
        <v>*</v>
      </c>
      <c r="BZ28" s="30"/>
      <c r="CA28" s="27">
        <v>194</v>
      </c>
      <c r="CB28" s="27">
        <v>194</v>
      </c>
      <c r="CC28" s="28">
        <v>3.7783505154639183</v>
      </c>
      <c r="CD28" s="29">
        <v>6.6478145603465849E-2</v>
      </c>
      <c r="CE28" s="30">
        <f t="shared" si="59"/>
        <v>-2.035953538412155</v>
      </c>
      <c r="CF28" s="30" t="str">
        <f t="shared" si="0"/>
        <v>*</v>
      </c>
      <c r="CG28" s="30"/>
      <c r="CH28" s="27">
        <v>1163</v>
      </c>
      <c r="CI28" s="27">
        <v>1202.0269486099985</v>
      </c>
      <c r="CJ28" s="28">
        <v>3.720208614558179</v>
      </c>
      <c r="CK28" s="29">
        <v>3.0205774642209769E-2</v>
      </c>
      <c r="CL28" s="30">
        <f t="shared" si="60"/>
        <v>-2.0583506695036586</v>
      </c>
      <c r="CM28" s="30" t="str">
        <f t="shared" si="1"/>
        <v>*</v>
      </c>
      <c r="CN28" s="30"/>
      <c r="CO28" s="27">
        <v>1002</v>
      </c>
      <c r="CP28" s="27">
        <v>1001.9355836100252</v>
      </c>
      <c r="CQ28" s="28">
        <v>3.9394131201416345</v>
      </c>
      <c r="CR28" s="29">
        <v>2.947442462983059E-2</v>
      </c>
      <c r="CS28" s="30">
        <f t="shared" si="61"/>
        <v>-6.9161531648386934</v>
      </c>
      <c r="CT28" s="30" t="str">
        <f t="shared" si="2"/>
        <v>*</v>
      </c>
      <c r="CU28" s="30"/>
      <c r="CV28" s="27">
        <v>163</v>
      </c>
      <c r="CW28" s="27">
        <v>163.65300407999987</v>
      </c>
      <c r="CX28" s="28">
        <v>4.9141104294478577</v>
      </c>
      <c r="CY28" s="29">
        <v>2.5170861100044361E-2</v>
      </c>
      <c r="CZ28" s="30">
        <f t="shared" si="62"/>
        <v>-30.200702377194091</v>
      </c>
      <c r="DA28" s="30" t="str">
        <f t="shared" si="3"/>
        <v>*</v>
      </c>
      <c r="DB28" s="30"/>
      <c r="DC28" s="27">
        <v>793</v>
      </c>
      <c r="DD28" s="27">
        <v>793.03846242999066</v>
      </c>
      <c r="DE28" s="28">
        <v>4.8550375147533886</v>
      </c>
      <c r="DF28" s="29">
        <v>1.5773935470561919E-2</v>
      </c>
      <c r="DG28" s="30">
        <f t="shared" si="63"/>
        <v>-32.450608223517776</v>
      </c>
      <c r="DH28" s="30" t="str">
        <f t="shared" si="4"/>
        <v>*</v>
      </c>
      <c r="DI28" s="30"/>
      <c r="DJ28" s="27">
        <v>520</v>
      </c>
      <c r="DK28" s="27">
        <v>520</v>
      </c>
      <c r="DL28" s="28">
        <v>4.9865384615384558</v>
      </c>
      <c r="DM28" s="29">
        <v>5.0584874866671991E-3</v>
      </c>
      <c r="DN28" s="30">
        <f t="shared" si="64"/>
        <v>-39.092368618708328</v>
      </c>
      <c r="DO28" s="30" t="str">
        <f t="shared" si="5"/>
        <v>*</v>
      </c>
      <c r="DP28" s="8"/>
      <c r="DQ28" s="27">
        <v>280</v>
      </c>
      <c r="DR28" s="27">
        <v>278.29795547999913</v>
      </c>
      <c r="DS28" s="28">
        <v>3.4812170572328349</v>
      </c>
      <c r="DT28" s="29">
        <v>6.7036672796296951E-2</v>
      </c>
      <c r="DU28" s="29"/>
      <c r="DV28" s="27">
        <v>158</v>
      </c>
      <c r="DW28" s="27">
        <v>157.64523856000045</v>
      </c>
      <c r="DX28" s="28">
        <v>3.5823495622105885</v>
      </c>
      <c r="DY28" s="29">
        <v>9.213776885509703E-2</v>
      </c>
      <c r="DZ28" s="10">
        <f t="shared" si="6"/>
        <v>-0.8875615641356065</v>
      </c>
      <c r="EA28" s="10" t="str">
        <f t="shared" si="7"/>
        <v xml:space="preserve"> </v>
      </c>
      <c r="EB28" s="29"/>
      <c r="EC28" s="27">
        <v>210</v>
      </c>
      <c r="ED28" s="27">
        <v>212.33467516000059</v>
      </c>
      <c r="EE28" s="28">
        <v>3.5750481170726931</v>
      </c>
      <c r="EF28" s="29">
        <v>7.1705510066858685E-2</v>
      </c>
      <c r="EG28" s="10">
        <f t="shared" si="8"/>
        <v>-0.95588872239434919</v>
      </c>
      <c r="EH28" s="10" t="str">
        <f t="shared" si="9"/>
        <v xml:space="preserve"> </v>
      </c>
      <c r="EI28" s="29"/>
      <c r="EJ28" s="27">
        <v>176</v>
      </c>
      <c r="EK28" s="27">
        <v>185.40100800000022</v>
      </c>
      <c r="EL28" s="28">
        <v>3.5310521742147172</v>
      </c>
      <c r="EM28" s="29">
        <v>7.8350456959625156E-2</v>
      </c>
      <c r="EN28" s="10">
        <f t="shared" si="10"/>
        <v>-0.48329633932577915</v>
      </c>
      <c r="EO28" s="10" t="str">
        <f t="shared" si="65"/>
        <v xml:space="preserve"> </v>
      </c>
      <c r="EP28" s="29"/>
      <c r="EQ28" s="8">
        <v>224</v>
      </c>
      <c r="ER28" s="8">
        <v>223.21199999000032</v>
      </c>
      <c r="ES28" s="69">
        <v>3.551834130537419</v>
      </c>
      <c r="ET28" s="9">
        <v>7.2916699883475905E-2</v>
      </c>
      <c r="EU28" s="10">
        <f t="shared" si="11"/>
        <v>-0.71294885328447055</v>
      </c>
      <c r="EV28" s="10" t="str">
        <f t="shared" si="66"/>
        <v xml:space="preserve"> </v>
      </c>
      <c r="EW28" s="29"/>
      <c r="EX28" s="88">
        <v>1459</v>
      </c>
      <c r="EY28" s="88">
        <v>1457.4374612900017</v>
      </c>
      <c r="EZ28" s="28">
        <v>3.7572654502534379</v>
      </c>
      <c r="FA28" s="29">
        <v>2.5319312055181897E-2</v>
      </c>
      <c r="FB28" s="30">
        <f t="shared" si="12"/>
        <v>-3.8522611031125229</v>
      </c>
      <c r="FC28" s="30" t="str">
        <f t="shared" si="67"/>
        <v>*</v>
      </c>
      <c r="FD28" s="30"/>
      <c r="FE28" s="27">
        <v>383</v>
      </c>
      <c r="FF28" s="27">
        <v>382.99705694000164</v>
      </c>
      <c r="FG28" s="28">
        <v>3.8642033932700728</v>
      </c>
      <c r="FH28" s="29">
        <v>4.2397362969027921E-2</v>
      </c>
      <c r="FI28" s="30">
        <f t="shared" si="13"/>
        <v>-4.8284511270375816</v>
      </c>
      <c r="FJ28" s="30" t="str">
        <f t="shared" si="14"/>
        <v>*</v>
      </c>
      <c r="FK28" s="30"/>
      <c r="FL28" s="88">
        <v>78</v>
      </c>
      <c r="FM28" s="88">
        <v>77.958734550000017</v>
      </c>
      <c r="FN28" s="28">
        <v>3.8460509660748463</v>
      </c>
      <c r="FO28" s="29">
        <v>0.10335919224678461</v>
      </c>
      <c r="FP28" s="30">
        <f t="shared" si="15"/>
        <v>-2.9614314469234579</v>
      </c>
      <c r="FQ28" s="30" t="str">
        <f t="shared" si="16"/>
        <v>*</v>
      </c>
      <c r="FR28" s="30"/>
      <c r="FS28" s="88">
        <v>239</v>
      </c>
      <c r="FT28" s="88">
        <v>239.18049732000048</v>
      </c>
      <c r="FU28" s="28">
        <v>3.7730860938574442</v>
      </c>
      <c r="FV28" s="29">
        <v>5.6459374611378045E-2</v>
      </c>
      <c r="FW28" s="30">
        <f t="shared" si="17"/>
        <v>-3.3301427099763137</v>
      </c>
      <c r="FX28" s="30" t="str">
        <f t="shared" si="18"/>
        <v>*</v>
      </c>
      <c r="FY28" s="30"/>
      <c r="FZ28" s="88">
        <v>326</v>
      </c>
      <c r="GA28" s="88">
        <v>326.03714016000254</v>
      </c>
      <c r="GB28" s="28">
        <v>3.6470908850643986</v>
      </c>
      <c r="GC28" s="29">
        <v>5.799886108509663E-2</v>
      </c>
      <c r="GD28" s="30">
        <f t="shared" si="19"/>
        <v>-1.8712328826402835</v>
      </c>
      <c r="GE28" s="30" t="str">
        <f t="shared" si="20"/>
        <v xml:space="preserve"> </v>
      </c>
      <c r="GF28" s="30"/>
      <c r="GG28" s="88">
        <v>153</v>
      </c>
      <c r="GH28" s="88">
        <v>152.9660768399998</v>
      </c>
      <c r="GI28" s="28">
        <v>4.1565839886516329</v>
      </c>
      <c r="GJ28" s="29">
        <v>6.3658722217665886E-2</v>
      </c>
      <c r="GK28" s="30">
        <f t="shared" si="21"/>
        <v>-7.3054924303111397</v>
      </c>
      <c r="GL28" s="30" t="str">
        <f t="shared" si="22"/>
        <v>*</v>
      </c>
      <c r="GM28" s="10"/>
      <c r="GN28" s="88">
        <v>224</v>
      </c>
      <c r="GO28" s="88">
        <v>224.09328162000077</v>
      </c>
      <c r="GP28" s="28">
        <v>3.4775149405034629</v>
      </c>
      <c r="GQ28" s="29">
        <v>8.0282805297861873E-2</v>
      </c>
      <c r="GR28" s="9"/>
      <c r="GS28" s="3">
        <v>162</v>
      </c>
      <c r="GT28" s="3">
        <v>162.01543399000008</v>
      </c>
      <c r="GU28" s="69">
        <v>3.413768028076495</v>
      </c>
      <c r="GV28" s="9">
        <v>9.4560581013561157E-2</v>
      </c>
      <c r="GW28" s="10">
        <f t="shared" si="23"/>
        <v>0.51390367308911711</v>
      </c>
      <c r="GX28" s="10" t="str">
        <f t="shared" si="68"/>
        <v xml:space="preserve"> </v>
      </c>
      <c r="GY28" s="9"/>
      <c r="GZ28" s="27">
        <v>201</v>
      </c>
      <c r="HA28" s="27">
        <v>201.23928240999953</v>
      </c>
      <c r="HB28" s="28">
        <v>3.6099126228244822</v>
      </c>
      <c r="HC28" s="29">
        <v>7.7372697738163701E-2</v>
      </c>
      <c r="HD28" s="10">
        <f t="shared" si="24"/>
        <v>-1.1874416330601565</v>
      </c>
      <c r="HE28" s="10" t="str">
        <f t="shared" si="69"/>
        <v xml:space="preserve"> </v>
      </c>
      <c r="HF28" s="9"/>
      <c r="HG28" s="27">
        <v>345</v>
      </c>
      <c r="HH28" s="27">
        <v>346.5057907199996</v>
      </c>
      <c r="HI28" s="28">
        <v>3.2779119133042567</v>
      </c>
      <c r="HJ28" s="29">
        <v>6.0824019391532168E-2</v>
      </c>
      <c r="HK28" s="10">
        <f t="shared" si="25"/>
        <v>1.981725277206015</v>
      </c>
      <c r="HL28" s="10" t="str">
        <f t="shared" si="70"/>
        <v>*</v>
      </c>
      <c r="HM28" s="29"/>
      <c r="HN28" s="8">
        <v>332</v>
      </c>
      <c r="HO28" s="8">
        <v>336.62863480999914</v>
      </c>
      <c r="HP28" s="69">
        <v>3.3075504531527291</v>
      </c>
      <c r="HQ28" s="9">
        <v>6.5200364870503402E-2</v>
      </c>
      <c r="HR28" s="10">
        <f t="shared" si="26"/>
        <v>1.6433839379391919</v>
      </c>
      <c r="HS28" s="10" t="str">
        <f t="shared" si="71"/>
        <v xml:space="preserve"> </v>
      </c>
      <c r="HT28" s="9"/>
      <c r="HU28" s="88">
        <v>1367</v>
      </c>
      <c r="HV28" s="88">
        <v>1366.5555002500078</v>
      </c>
      <c r="HW28" s="28">
        <v>3.8044332901655942</v>
      </c>
      <c r="HX28" s="29">
        <v>2.7619857650157877E-2</v>
      </c>
      <c r="HY28" s="30">
        <f t="shared" si="27"/>
        <v>-3.8505815423941323</v>
      </c>
      <c r="HZ28" s="30" t="str">
        <f t="shared" si="72"/>
        <v>*</v>
      </c>
      <c r="IA28" s="30"/>
      <c r="IB28" s="88">
        <v>383</v>
      </c>
      <c r="IC28" s="88">
        <v>382.99705694000164</v>
      </c>
      <c r="ID28" s="28">
        <v>3.8642033932700728</v>
      </c>
      <c r="IE28" s="29">
        <v>4.2397362969027921E-2</v>
      </c>
      <c r="IF28" s="30">
        <f t="shared" si="28"/>
        <v>-4.2591418483948642</v>
      </c>
      <c r="IG28" s="30" t="str">
        <f t="shared" si="29"/>
        <v>*</v>
      </c>
      <c r="IH28" s="30"/>
      <c r="II28" s="88">
        <v>117</v>
      </c>
      <c r="IJ28" s="88">
        <v>116.84571569999986</v>
      </c>
      <c r="IK28" s="28">
        <v>3.9382400782367757</v>
      </c>
      <c r="IL28" s="29">
        <v>9.4367538141171894E-2</v>
      </c>
      <c r="IM28" s="30">
        <f t="shared" si="30"/>
        <v>-3.718602710358955</v>
      </c>
      <c r="IN28" s="30" t="str">
        <f t="shared" si="84"/>
        <v>*</v>
      </c>
      <c r="IO28" s="30"/>
      <c r="IP28" s="88">
        <v>251</v>
      </c>
      <c r="IQ28" s="88">
        <v>251.62025838000014</v>
      </c>
      <c r="IR28" s="28">
        <v>3.69818066904093</v>
      </c>
      <c r="IS28" s="29">
        <v>7.0328082753566792E-2</v>
      </c>
      <c r="IT28" s="30">
        <f t="shared" si="32"/>
        <v>-2.0675067989927114</v>
      </c>
      <c r="IU28" s="30" t="str">
        <f t="shared" si="33"/>
        <v>*</v>
      </c>
      <c r="IV28" s="30"/>
      <c r="IW28" s="88">
        <v>78</v>
      </c>
      <c r="IX28" s="88">
        <v>77.958734550000017</v>
      </c>
      <c r="IY28" s="28">
        <v>3.8460509660748463</v>
      </c>
      <c r="IZ28" s="29">
        <v>0.10335919224678461</v>
      </c>
      <c r="JA28" s="30">
        <f t="shared" si="34"/>
        <v>-2.8159237935157031</v>
      </c>
      <c r="JB28" s="30" t="str">
        <f t="shared" si="73"/>
        <v>*</v>
      </c>
      <c r="JC28" s="30"/>
      <c r="JD28" s="88">
        <v>314</v>
      </c>
      <c r="JE28" s="88">
        <v>313.04045306000143</v>
      </c>
      <c r="JF28" s="28">
        <v>3.9904301233571675</v>
      </c>
      <c r="JG28" s="29">
        <v>5.5474382446424046E-2</v>
      </c>
      <c r="JH28" s="30">
        <f t="shared" si="35"/>
        <v>-5.2561128868146065</v>
      </c>
      <c r="JI28" s="30" t="str">
        <f t="shared" si="36"/>
        <v>*</v>
      </c>
      <c r="JK28" s="27"/>
      <c r="JL28" s="27"/>
      <c r="JM28" s="28"/>
      <c r="JN28" s="29"/>
    </row>
    <row r="29" spans="1:274" x14ac:dyDescent="0.2">
      <c r="B29" s="7" t="s">
        <v>32</v>
      </c>
      <c r="C29" s="27">
        <v>1803</v>
      </c>
      <c r="D29" s="27">
        <v>1795.8198144999658</v>
      </c>
      <c r="E29" s="28">
        <v>3.6492491395884423</v>
      </c>
      <c r="F29" s="29">
        <v>2.4765992905567302E-2</v>
      </c>
      <c r="G29" s="29"/>
      <c r="H29" s="3">
        <v>601</v>
      </c>
      <c r="I29" s="3">
        <v>600.33202978000111</v>
      </c>
      <c r="J29" s="28">
        <v>3.5789269327964468</v>
      </c>
      <c r="K29" s="29">
        <v>4.557274690661943E-2</v>
      </c>
      <c r="L29" s="30">
        <f t="shared" si="37"/>
        <v>1.35580681403936</v>
      </c>
      <c r="M29" s="30" t="str">
        <f t="shared" si="38"/>
        <v xml:space="preserve"> </v>
      </c>
      <c r="N29" s="9"/>
      <c r="O29" s="27">
        <v>675</v>
      </c>
      <c r="P29" s="27">
        <v>678.79143783000245</v>
      </c>
      <c r="Q29" s="28">
        <v>3.4755340116868716</v>
      </c>
      <c r="R29" s="29">
        <v>3.3904344621189866E-2</v>
      </c>
      <c r="S29" s="30">
        <f t="shared" si="39"/>
        <v>4.1374127952808779</v>
      </c>
      <c r="T29" s="30" t="str">
        <f t="shared" si="40"/>
        <v>*</v>
      </c>
      <c r="U29" s="30"/>
      <c r="V29" s="27">
        <v>701</v>
      </c>
      <c r="W29" s="27">
        <v>713.90605827000695</v>
      </c>
      <c r="X29" s="28">
        <v>3.5500753135386303</v>
      </c>
      <c r="Y29" s="29">
        <v>3.5475670156396737E-2</v>
      </c>
      <c r="Z29" s="30">
        <f t="shared" si="41"/>
        <v>2.2922308186544491</v>
      </c>
      <c r="AA29" s="30" t="str">
        <f t="shared" si="42"/>
        <v>*</v>
      </c>
      <c r="AB29" s="9"/>
      <c r="AC29" s="8">
        <v>656</v>
      </c>
      <c r="AD29" s="8">
        <v>666.30413927999575</v>
      </c>
      <c r="AE29" s="69">
        <v>3.4839484705414594</v>
      </c>
      <c r="AF29" s="9">
        <v>3.7738318900155603E-2</v>
      </c>
      <c r="AG29" s="30">
        <f t="shared" si="43"/>
        <v>3.6620313675014438</v>
      </c>
      <c r="AH29" s="30" t="str">
        <f t="shared" si="44"/>
        <v>*</v>
      </c>
      <c r="AI29" s="9"/>
      <c r="AJ29" s="81">
        <v>3119</v>
      </c>
      <c r="AK29" s="83">
        <v>3.8202003190469829</v>
      </c>
      <c r="AL29" s="84">
        <v>1.8021464199048376E-2</v>
      </c>
      <c r="AM29" s="30">
        <f t="shared" si="45"/>
        <v>-5.5813743262815354</v>
      </c>
      <c r="AN29" s="30" t="str">
        <f t="shared" si="46"/>
        <v>*</v>
      </c>
      <c r="AO29" s="9"/>
      <c r="AP29" s="78">
        <v>360</v>
      </c>
      <c r="AQ29" s="79">
        <v>4.2199965796930083</v>
      </c>
      <c r="AR29" s="80">
        <v>4.694488551374313E-2</v>
      </c>
      <c r="AS29" s="30">
        <f t="shared" si="74"/>
        <v>-10.753180353010285</v>
      </c>
      <c r="AT29" s="30" t="str">
        <f t="shared" si="75"/>
        <v>*</v>
      </c>
      <c r="AU29" s="80"/>
      <c r="AV29" s="78">
        <v>421</v>
      </c>
      <c r="AW29" s="79">
        <v>3.8966618749127329</v>
      </c>
      <c r="AX29" s="80">
        <v>4.6899037283398066E-2</v>
      </c>
      <c r="AY29" s="30">
        <f t="shared" si="76"/>
        <v>-4.6649490351856855</v>
      </c>
      <c r="AZ29" s="30" t="str">
        <f t="shared" si="77"/>
        <v>*</v>
      </c>
      <c r="BA29" s="80"/>
      <c r="BB29" s="78">
        <v>510</v>
      </c>
      <c r="BC29" s="79">
        <v>3.9656674249875237</v>
      </c>
      <c r="BD29" s="80">
        <v>4.1123661221065366E-2</v>
      </c>
      <c r="BE29" s="30">
        <f t="shared" si="78"/>
        <v>-6.5913182639285637</v>
      </c>
      <c r="BF29" s="30" t="str">
        <f t="shared" si="79"/>
        <v>*</v>
      </c>
      <c r="BG29" s="80"/>
      <c r="BH29" s="78">
        <v>678</v>
      </c>
      <c r="BI29" s="79">
        <v>3.7713040650505998</v>
      </c>
      <c r="BJ29" s="80">
        <v>3.7153717383060315E-2</v>
      </c>
      <c r="BK29" s="30">
        <f t="shared" si="80"/>
        <v>-2.7335034088603005</v>
      </c>
      <c r="BL29" s="30" t="str">
        <f t="shared" si="81"/>
        <v>*</v>
      </c>
      <c r="BM29" s="80"/>
      <c r="BN29" s="78">
        <v>685</v>
      </c>
      <c r="BO29" s="79">
        <v>3.6155528843650568</v>
      </c>
      <c r="BP29" s="80">
        <v>4.0795287499068592E-2</v>
      </c>
      <c r="BQ29" s="30">
        <f t="shared" si="82"/>
        <v>0.70606058678973593</v>
      </c>
      <c r="BR29" s="30" t="str">
        <f t="shared" si="83"/>
        <v xml:space="preserve"> </v>
      </c>
      <c r="BS29" s="9"/>
      <c r="BT29" s="27">
        <v>7798</v>
      </c>
      <c r="BU29" s="27">
        <v>7846.5871497197149</v>
      </c>
      <c r="BV29" s="28">
        <v>4.0280715017786841</v>
      </c>
      <c r="BW29" s="29">
        <v>1.1616301668882143E-2</v>
      </c>
      <c r="BX29" s="30">
        <f t="shared" si="57"/>
        <v>-13.848406544855928</v>
      </c>
      <c r="BY29" s="30" t="str">
        <f t="shared" si="58"/>
        <v>*</v>
      </c>
      <c r="BZ29" s="30"/>
      <c r="CA29" s="27">
        <v>355</v>
      </c>
      <c r="CB29" s="27">
        <v>355</v>
      </c>
      <c r="CC29" s="28">
        <v>3.87042253521127</v>
      </c>
      <c r="CD29" s="29">
        <v>4.6183148861871581E-2</v>
      </c>
      <c r="CE29" s="30">
        <f t="shared" si="59"/>
        <v>-4.2204992525451575</v>
      </c>
      <c r="CF29" s="30" t="str">
        <f t="shared" si="0"/>
        <v>*</v>
      </c>
      <c r="CG29" s="30"/>
      <c r="CH29" s="27">
        <v>1831</v>
      </c>
      <c r="CI29" s="27">
        <v>1885.7336425899889</v>
      </c>
      <c r="CJ29" s="28">
        <v>3.6238472301762839</v>
      </c>
      <c r="CK29" s="29">
        <v>2.4778647671805883E-2</v>
      </c>
      <c r="CL29" s="30">
        <f t="shared" si="60"/>
        <v>0.72507789360004193</v>
      </c>
      <c r="CM29" s="30" t="str">
        <f t="shared" si="1"/>
        <v xml:space="preserve"> </v>
      </c>
      <c r="CN29" s="30"/>
      <c r="CO29" s="27">
        <v>2049</v>
      </c>
      <c r="CP29" s="27">
        <v>2049.2367307700815</v>
      </c>
      <c r="CQ29" s="28">
        <v>3.9974296841155854</v>
      </c>
      <c r="CR29" s="29">
        <v>2.0298969551553032E-2</v>
      </c>
      <c r="CS29" s="30">
        <f t="shared" si="61"/>
        <v>-10.873198072654542</v>
      </c>
      <c r="CT29" s="30" t="str">
        <f t="shared" si="2"/>
        <v>*</v>
      </c>
      <c r="CU29" s="30"/>
      <c r="CV29" s="27">
        <v>368</v>
      </c>
      <c r="CW29" s="27">
        <v>368.75315748000077</v>
      </c>
      <c r="CX29" s="28">
        <v>4.9074280212994505</v>
      </c>
      <c r="CY29" s="29">
        <v>1.9018039312921276E-2</v>
      </c>
      <c r="CZ29" s="30">
        <f t="shared" si="62"/>
        <v>-40.293141152974407</v>
      </c>
      <c r="DA29" s="30" t="str">
        <f t="shared" si="3"/>
        <v>*</v>
      </c>
      <c r="DB29" s="30"/>
      <c r="DC29" s="27">
        <v>858</v>
      </c>
      <c r="DD29" s="27">
        <v>858.0438043799893</v>
      </c>
      <c r="DE29" s="28">
        <v>4.8695651630969277</v>
      </c>
      <c r="DF29" s="29">
        <v>1.3361456542953065E-2</v>
      </c>
      <c r="DG29" s="30">
        <f t="shared" si="63"/>
        <v>-43.365247003612225</v>
      </c>
      <c r="DH29" s="30" t="str">
        <f t="shared" si="4"/>
        <v>*</v>
      </c>
      <c r="DI29" s="30"/>
      <c r="DJ29" s="27">
        <v>534</v>
      </c>
      <c r="DK29" s="27">
        <v>534</v>
      </c>
      <c r="DL29" s="28">
        <v>4.9925093632958788</v>
      </c>
      <c r="DM29" s="29">
        <v>3.7347631830624249E-3</v>
      </c>
      <c r="DN29" s="30">
        <f t="shared" si="64"/>
        <v>-53.631694739954938</v>
      </c>
      <c r="DO29" s="30" t="str">
        <f t="shared" si="5"/>
        <v>*</v>
      </c>
      <c r="DP29" s="8"/>
      <c r="DQ29" s="27">
        <v>494</v>
      </c>
      <c r="DR29" s="27">
        <v>491.47629617999951</v>
      </c>
      <c r="DS29" s="28">
        <v>3.3975586918609761</v>
      </c>
      <c r="DT29" s="29">
        <v>5.2187027449419207E-2</v>
      </c>
      <c r="DU29" s="29"/>
      <c r="DV29" s="27">
        <v>360</v>
      </c>
      <c r="DW29" s="27">
        <v>359.38382608999956</v>
      </c>
      <c r="DX29" s="28">
        <v>3.4125447727101421</v>
      </c>
      <c r="DY29" s="29">
        <v>6.2417838004576384E-2</v>
      </c>
      <c r="DZ29" s="10">
        <f t="shared" si="6"/>
        <v>-0.18419438438574084</v>
      </c>
      <c r="EA29" s="10" t="str">
        <f t="shared" si="7"/>
        <v xml:space="preserve"> </v>
      </c>
      <c r="EB29" s="29"/>
      <c r="EC29" s="27">
        <v>372</v>
      </c>
      <c r="ED29" s="27">
        <v>374.96676570000085</v>
      </c>
      <c r="EE29" s="28">
        <v>3.3639085367346202</v>
      </c>
      <c r="EF29" s="29">
        <v>5.8931686738663343E-2</v>
      </c>
      <c r="EG29" s="10">
        <f t="shared" si="8"/>
        <v>0.42748050420524536</v>
      </c>
      <c r="EH29" s="10" t="str">
        <f t="shared" si="9"/>
        <v xml:space="preserve"> </v>
      </c>
      <c r="EI29" s="29"/>
      <c r="EJ29" s="27">
        <v>342</v>
      </c>
      <c r="EK29" s="27">
        <v>356.66835982000174</v>
      </c>
      <c r="EL29" s="28">
        <v>3.4577359658210018</v>
      </c>
      <c r="EM29" s="29">
        <v>6.1387241948064705E-2</v>
      </c>
      <c r="EN29" s="10">
        <f t="shared" si="10"/>
        <v>-0.74687391489812593</v>
      </c>
      <c r="EO29" s="10" t="str">
        <f t="shared" si="65"/>
        <v xml:space="preserve"> </v>
      </c>
      <c r="EP29" s="29"/>
      <c r="EQ29" s="8">
        <v>371</v>
      </c>
      <c r="ER29" s="8">
        <v>369.78228571000011</v>
      </c>
      <c r="ES29" s="69">
        <v>3.4791638016942712</v>
      </c>
      <c r="ET29" s="9">
        <v>5.8982881023919194E-2</v>
      </c>
      <c r="EU29" s="10">
        <f t="shared" si="11"/>
        <v>-1.0361798783176133</v>
      </c>
      <c r="EV29" s="10" t="str">
        <f t="shared" si="66"/>
        <v xml:space="preserve"> </v>
      </c>
      <c r="EW29" s="29"/>
      <c r="EX29" s="88">
        <v>2602</v>
      </c>
      <c r="EY29" s="88">
        <v>2599.719733799966</v>
      </c>
      <c r="EZ29" s="28">
        <v>3.7154181411591658</v>
      </c>
      <c r="FA29" s="29">
        <v>1.9745735541381211E-2</v>
      </c>
      <c r="FB29" s="30">
        <f t="shared" si="12"/>
        <v>-5.6966438372880797</v>
      </c>
      <c r="FC29" s="30" t="str">
        <f t="shared" si="67"/>
        <v>*</v>
      </c>
      <c r="FD29" s="30"/>
      <c r="FE29" s="27">
        <v>575</v>
      </c>
      <c r="FF29" s="27">
        <v>575.02727908000145</v>
      </c>
      <c r="FG29" s="28">
        <v>3.643386306492999</v>
      </c>
      <c r="FH29" s="29">
        <v>3.8054603303635658E-2</v>
      </c>
      <c r="FI29" s="30">
        <f t="shared" si="13"/>
        <v>-3.8060748505988657</v>
      </c>
      <c r="FJ29" s="30" t="str">
        <f t="shared" si="14"/>
        <v>*</v>
      </c>
      <c r="FK29" s="30"/>
      <c r="FL29" s="88">
        <v>171</v>
      </c>
      <c r="FM29" s="88">
        <v>171.00520535999959</v>
      </c>
      <c r="FN29" s="28">
        <v>4.0235395310424984</v>
      </c>
      <c r="FO29" s="29">
        <v>7.0847781138759891E-2</v>
      </c>
      <c r="FP29" s="30">
        <f t="shared" si="15"/>
        <v>-7.1139266854467964</v>
      </c>
      <c r="FQ29" s="30" t="str">
        <f t="shared" si="16"/>
        <v>*</v>
      </c>
      <c r="FR29" s="30"/>
      <c r="FS29" s="88">
        <v>455</v>
      </c>
      <c r="FT29" s="88">
        <v>455.10268054999699</v>
      </c>
      <c r="FU29" s="28">
        <v>3.9398854443640303</v>
      </c>
      <c r="FV29" s="29">
        <v>4.0178819226137828E-2</v>
      </c>
      <c r="FW29" s="30">
        <f t="shared" si="17"/>
        <v>-8.2342698861929531</v>
      </c>
      <c r="FX29" s="30" t="str">
        <f t="shared" si="18"/>
        <v>*</v>
      </c>
      <c r="FY29" s="30"/>
      <c r="FZ29" s="88">
        <v>682</v>
      </c>
      <c r="GA29" s="88">
        <v>682.10100351000551</v>
      </c>
      <c r="GB29" s="28">
        <v>3.7108156199815521</v>
      </c>
      <c r="GC29" s="29">
        <v>3.9267203835709676E-2</v>
      </c>
      <c r="GD29" s="30">
        <f t="shared" si="19"/>
        <v>-4.7964602176864499</v>
      </c>
      <c r="GE29" s="30" t="str">
        <f t="shared" si="20"/>
        <v>*</v>
      </c>
      <c r="GF29" s="30"/>
      <c r="GG29" s="88">
        <v>225</v>
      </c>
      <c r="GH29" s="88">
        <v>225.00726911999962</v>
      </c>
      <c r="GI29" s="28">
        <v>3.919562684126674</v>
      </c>
      <c r="GJ29" s="29">
        <v>6.3383143277719586E-2</v>
      </c>
      <c r="GK29" s="30">
        <f t="shared" si="21"/>
        <v>-6.3579133159384495</v>
      </c>
      <c r="GL29" s="30" t="str">
        <f t="shared" si="22"/>
        <v>*</v>
      </c>
      <c r="GM29" s="10"/>
      <c r="GN29" s="88">
        <v>400</v>
      </c>
      <c r="GO29" s="88">
        <v>400.11908706000179</v>
      </c>
      <c r="GP29" s="28">
        <v>2.9646374048437294</v>
      </c>
      <c r="GQ29" s="29">
        <v>6.2389014261761841E-2</v>
      </c>
      <c r="GR29" s="9"/>
      <c r="GS29" s="3">
        <v>287</v>
      </c>
      <c r="GT29" s="3">
        <v>286.86019578999992</v>
      </c>
      <c r="GU29" s="69">
        <v>2.9457183924485677</v>
      </c>
      <c r="GV29" s="9">
        <v>7.7052336679461847E-2</v>
      </c>
      <c r="GW29" s="10">
        <f t="shared" si="23"/>
        <v>0.19082436044880102</v>
      </c>
      <c r="GX29" s="10" t="str">
        <f t="shared" si="68"/>
        <v xml:space="preserve"> </v>
      </c>
      <c r="GY29" s="9"/>
      <c r="GZ29" s="27">
        <v>360</v>
      </c>
      <c r="HA29" s="27">
        <v>358.82721435000076</v>
      </c>
      <c r="HB29" s="28">
        <v>3.3017534145957685</v>
      </c>
      <c r="HC29" s="29">
        <v>6.2685357294111191E-2</v>
      </c>
      <c r="HD29" s="10">
        <f t="shared" si="24"/>
        <v>-3.8117536708069606</v>
      </c>
      <c r="HE29" s="10" t="str">
        <f t="shared" si="69"/>
        <v>*</v>
      </c>
      <c r="HF29" s="9"/>
      <c r="HG29" s="27">
        <v>634</v>
      </c>
      <c r="HH29" s="27">
        <v>637.87677151000321</v>
      </c>
      <c r="HI29" s="28">
        <v>2.9412241755860653</v>
      </c>
      <c r="HJ29" s="29">
        <v>4.6920313106781894E-2</v>
      </c>
      <c r="HK29" s="10">
        <f t="shared" si="25"/>
        <v>0.29992556252720259</v>
      </c>
      <c r="HL29" s="10" t="str">
        <f t="shared" si="70"/>
        <v xml:space="preserve"> </v>
      </c>
      <c r="HM29" s="29"/>
      <c r="HN29" s="8">
        <v>612</v>
      </c>
      <c r="HO29" s="8">
        <v>613.68130724000093</v>
      </c>
      <c r="HP29" s="69">
        <v>2.9366474746561031</v>
      </c>
      <c r="HQ29" s="9">
        <v>4.9549887446728384E-2</v>
      </c>
      <c r="HR29" s="10">
        <f t="shared" si="26"/>
        <v>0.35131582130197991</v>
      </c>
      <c r="HS29" s="10" t="str">
        <f t="shared" si="71"/>
        <v xml:space="preserve"> </v>
      </c>
      <c r="HT29" s="9"/>
      <c r="HU29" s="88">
        <v>2467</v>
      </c>
      <c r="HV29" s="88">
        <v>2465.9428755399363</v>
      </c>
      <c r="HW29" s="28">
        <v>3.6645196201924097</v>
      </c>
      <c r="HX29" s="29">
        <v>2.1901909957159005E-2</v>
      </c>
      <c r="HY29" s="30">
        <f t="shared" si="27"/>
        <v>-10.584754040687114</v>
      </c>
      <c r="HZ29" s="30" t="str">
        <f t="shared" si="72"/>
        <v>*</v>
      </c>
      <c r="IA29" s="30"/>
      <c r="IB29" s="88">
        <v>575</v>
      </c>
      <c r="IC29" s="88">
        <v>575.02727908000145</v>
      </c>
      <c r="ID29" s="28">
        <v>3.643386306492999</v>
      </c>
      <c r="IE29" s="29">
        <v>3.8054603303635658E-2</v>
      </c>
      <c r="IF29" s="30">
        <f t="shared" si="28"/>
        <v>-9.2878774219464226</v>
      </c>
      <c r="IG29" s="30" t="str">
        <f t="shared" si="29"/>
        <v>*</v>
      </c>
      <c r="IH29" s="30"/>
      <c r="II29" s="88">
        <v>297</v>
      </c>
      <c r="IJ29" s="88">
        <v>296.85358670000124</v>
      </c>
      <c r="IK29" s="28">
        <v>3.9087199140114004</v>
      </c>
      <c r="IL29" s="29">
        <v>5.6490550987525527E-2</v>
      </c>
      <c r="IM29" s="30">
        <f t="shared" si="30"/>
        <v>-11.217183181234619</v>
      </c>
      <c r="IN29" s="30" t="str">
        <f t="shared" si="84"/>
        <v>*</v>
      </c>
      <c r="IO29" s="30"/>
      <c r="IP29" s="88">
        <v>438</v>
      </c>
      <c r="IQ29" s="88">
        <v>438.36702324000225</v>
      </c>
      <c r="IR29" s="28">
        <v>3.6115475073343464</v>
      </c>
      <c r="IS29" s="29">
        <v>5.550474568472144E-2</v>
      </c>
      <c r="IT29" s="30">
        <f t="shared" si="32"/>
        <v>-7.7469175655633524</v>
      </c>
      <c r="IU29" s="30" t="str">
        <f t="shared" si="33"/>
        <v>*</v>
      </c>
      <c r="IV29" s="30"/>
      <c r="IW29" s="88">
        <v>171</v>
      </c>
      <c r="IX29" s="88">
        <v>171.00520535999959</v>
      </c>
      <c r="IY29" s="28">
        <v>4.0235395310424984</v>
      </c>
      <c r="IZ29" s="29">
        <v>7.0847781138759891E-2</v>
      </c>
      <c r="JA29" s="30">
        <f t="shared" si="34"/>
        <v>-11.216908391897423</v>
      </c>
      <c r="JB29" s="30" t="str">
        <f t="shared" si="73"/>
        <v>*</v>
      </c>
      <c r="JC29" s="30"/>
      <c r="JD29" s="88">
        <v>586</v>
      </c>
      <c r="JE29" s="88">
        <v>584.57069410000463</v>
      </c>
      <c r="JF29" s="28">
        <v>3.9750443993391449</v>
      </c>
      <c r="JG29" s="29">
        <v>3.8502599000135848E-2</v>
      </c>
      <c r="JH29" s="30">
        <f t="shared" si="35"/>
        <v>-13.782043132539238</v>
      </c>
      <c r="JI29" s="30" t="str">
        <f t="shared" si="36"/>
        <v>*</v>
      </c>
      <c r="JK29" s="27"/>
      <c r="JL29" s="27"/>
      <c r="JM29" s="28"/>
      <c r="JN29" s="29"/>
    </row>
    <row r="30" spans="1:274" x14ac:dyDescent="0.2">
      <c r="B30" s="7" t="s">
        <v>33</v>
      </c>
      <c r="C30" s="27">
        <v>1679</v>
      </c>
      <c r="D30" s="27">
        <v>1671.9264033899726</v>
      </c>
      <c r="E30" s="28">
        <v>3.0319728310717577</v>
      </c>
      <c r="F30" s="29">
        <v>2.82982659460502E-2</v>
      </c>
      <c r="G30" s="29"/>
      <c r="H30" s="3">
        <v>555</v>
      </c>
      <c r="I30" s="3">
        <v>554.50113959999919</v>
      </c>
      <c r="J30" s="28">
        <v>2.9601420882273701</v>
      </c>
      <c r="K30" s="29">
        <v>5.1961188638268513E-2</v>
      </c>
      <c r="L30" s="30">
        <f t="shared" si="37"/>
        <v>1.2140298805671814</v>
      </c>
      <c r="M30" s="30" t="str">
        <f t="shared" si="38"/>
        <v xml:space="preserve"> </v>
      </c>
      <c r="N30" s="9"/>
      <c r="O30" s="27">
        <v>503</v>
      </c>
      <c r="P30" s="27">
        <v>505.44023006999976</v>
      </c>
      <c r="Q30" s="28">
        <v>2.8006333459723924</v>
      </c>
      <c r="R30" s="29">
        <v>4.3074751908106571E-2</v>
      </c>
      <c r="S30" s="30">
        <f t="shared" si="39"/>
        <v>4.4886655165565612</v>
      </c>
      <c r="T30" s="30" t="str">
        <f t="shared" si="40"/>
        <v>*</v>
      </c>
      <c r="U30" s="30"/>
      <c r="V30" s="27">
        <v>554</v>
      </c>
      <c r="W30" s="27">
        <v>568.01447064000149</v>
      </c>
      <c r="X30" s="28">
        <v>2.8187253573417181</v>
      </c>
      <c r="Y30" s="29">
        <v>4.3943375691697782E-2</v>
      </c>
      <c r="Z30" s="30">
        <f t="shared" si="41"/>
        <v>4.0799841972517816</v>
      </c>
      <c r="AA30" s="30" t="str">
        <f t="shared" si="42"/>
        <v>*</v>
      </c>
      <c r="AB30" s="9"/>
      <c r="AC30" s="8">
        <v>558</v>
      </c>
      <c r="AD30" s="8">
        <v>564.18517427999473</v>
      </c>
      <c r="AE30" s="69">
        <v>2.768493521180019</v>
      </c>
      <c r="AF30" s="9">
        <v>4.7427620763891461E-2</v>
      </c>
      <c r="AG30" s="30">
        <f t="shared" si="43"/>
        <v>4.7707253904075726</v>
      </c>
      <c r="AH30" s="30" t="str">
        <f t="shared" si="44"/>
        <v>*</v>
      </c>
      <c r="AI30" s="9"/>
      <c r="AJ30" s="81">
        <v>2946</v>
      </c>
      <c r="AK30" s="83">
        <v>3.3445082723856596</v>
      </c>
      <c r="AL30" s="84">
        <v>2.1688309859249397E-2</v>
      </c>
      <c r="AM30" s="30">
        <f t="shared" si="45"/>
        <v>-8.7659030505733853</v>
      </c>
      <c r="AN30" s="30" t="str">
        <f t="shared" si="46"/>
        <v>*</v>
      </c>
      <c r="AO30" s="9"/>
      <c r="AP30" s="78">
        <v>346</v>
      </c>
      <c r="AQ30" s="79">
        <v>3.6632036318777152</v>
      </c>
      <c r="AR30" s="80">
        <v>6.784978171502451E-2</v>
      </c>
      <c r="AS30" s="30">
        <f t="shared" si="74"/>
        <v>-8.5864778268238613</v>
      </c>
      <c r="AT30" s="30" t="str">
        <f t="shared" si="75"/>
        <v>*</v>
      </c>
      <c r="AU30" s="80"/>
      <c r="AV30" s="78">
        <v>386</v>
      </c>
      <c r="AW30" s="79">
        <v>3.2370735797847621</v>
      </c>
      <c r="AX30" s="80">
        <v>5.6660344344372067E-2</v>
      </c>
      <c r="AY30" s="30">
        <f t="shared" si="76"/>
        <v>-3.2384024510242648</v>
      </c>
      <c r="AZ30" s="30" t="str">
        <f t="shared" si="77"/>
        <v>*</v>
      </c>
      <c r="BA30" s="80"/>
      <c r="BB30" s="78">
        <v>453</v>
      </c>
      <c r="BC30" s="79">
        <v>3.4461070950855501</v>
      </c>
      <c r="BD30" s="80">
        <v>5.1609598923544997E-2</v>
      </c>
      <c r="BE30" s="30">
        <f t="shared" si="78"/>
        <v>-7.0360796898468321</v>
      </c>
      <c r="BF30" s="30" t="str">
        <f t="shared" si="79"/>
        <v>*</v>
      </c>
      <c r="BG30" s="80"/>
      <c r="BH30" s="78">
        <v>640</v>
      </c>
      <c r="BI30" s="79">
        <v>3.1485006792878654</v>
      </c>
      <c r="BJ30" s="80">
        <v>4.3527567290606514E-2</v>
      </c>
      <c r="BK30" s="30">
        <f t="shared" si="80"/>
        <v>-2.2444752166497555</v>
      </c>
      <c r="BL30" s="30" t="str">
        <f t="shared" si="81"/>
        <v>*</v>
      </c>
      <c r="BM30" s="80"/>
      <c r="BN30" s="78">
        <v>624</v>
      </c>
      <c r="BO30" s="79">
        <v>2.9871354826366332</v>
      </c>
      <c r="BP30" s="80">
        <v>4.376156869401425E-2</v>
      </c>
      <c r="BQ30" s="30">
        <f t="shared" si="82"/>
        <v>0.86037085954332237</v>
      </c>
      <c r="BR30" s="30" t="str">
        <f t="shared" si="83"/>
        <v xml:space="preserve"> </v>
      </c>
      <c r="BS30" s="9"/>
      <c r="BT30" s="27">
        <v>7400</v>
      </c>
      <c r="BU30" s="27">
        <v>7441.1802610496907</v>
      </c>
      <c r="BV30" s="28">
        <v>3.5883701045823591</v>
      </c>
      <c r="BW30" s="29">
        <v>1.4459923344346072E-2</v>
      </c>
      <c r="BX30" s="30">
        <f t="shared" si="57"/>
        <v>-17.508536308876543</v>
      </c>
      <c r="BY30" s="30" t="str">
        <f t="shared" si="58"/>
        <v>*</v>
      </c>
      <c r="BZ30" s="30"/>
      <c r="CA30" s="27">
        <v>315</v>
      </c>
      <c r="CB30" s="27">
        <v>315</v>
      </c>
      <c r="CC30" s="28">
        <v>2.9999999999999982</v>
      </c>
      <c r="CD30" s="29">
        <v>5.999359653087432E-2</v>
      </c>
      <c r="CE30" s="30">
        <f t="shared" si="59"/>
        <v>0.48200727822446537</v>
      </c>
      <c r="CF30" s="30" t="str">
        <f t="shared" si="0"/>
        <v xml:space="preserve"> </v>
      </c>
      <c r="CG30" s="30"/>
      <c r="CH30" s="27">
        <v>1735</v>
      </c>
      <c r="CI30" s="27">
        <v>1782.1331998299929</v>
      </c>
      <c r="CJ30" s="28">
        <v>3.2306618062551182</v>
      </c>
      <c r="CK30" s="29">
        <v>2.8147317886003966E-2</v>
      </c>
      <c r="CL30" s="30">
        <f t="shared" si="60"/>
        <v>-4.9780269701746027</v>
      </c>
      <c r="CM30" s="30" t="str">
        <f t="shared" si="1"/>
        <v>*</v>
      </c>
      <c r="CN30" s="30"/>
      <c r="CO30" s="27">
        <v>1919</v>
      </c>
      <c r="CP30" s="27">
        <v>1919.3837000600747</v>
      </c>
      <c r="CQ30" s="28">
        <v>3.3336170316388523</v>
      </c>
      <c r="CR30" s="29">
        <v>2.4967078352254719E-2</v>
      </c>
      <c r="CS30" s="30">
        <f t="shared" si="61"/>
        <v>-7.9931431724657163</v>
      </c>
      <c r="CT30" s="30" t="str">
        <f t="shared" si="2"/>
        <v>*</v>
      </c>
      <c r="CU30" s="30"/>
      <c r="CV30" s="27">
        <v>356</v>
      </c>
      <c r="CW30" s="27">
        <v>356.70508356000056</v>
      </c>
      <c r="CX30" s="28">
        <v>4.8480079619305974</v>
      </c>
      <c r="CY30" s="29">
        <v>2.4164310590613074E-2</v>
      </c>
      <c r="CZ30" s="30">
        <f t="shared" si="62"/>
        <v>-48.80288496688123</v>
      </c>
      <c r="DA30" s="30" t="str">
        <f t="shared" si="3"/>
        <v>*</v>
      </c>
      <c r="DB30" s="30"/>
      <c r="DC30" s="27">
        <v>867</v>
      </c>
      <c r="DD30" s="27">
        <v>867.03187420998904</v>
      </c>
      <c r="DE30" s="28">
        <v>4.8201277772606694</v>
      </c>
      <c r="DF30" s="29">
        <v>1.6559385796747681E-2</v>
      </c>
      <c r="DG30" s="30">
        <f t="shared" si="63"/>
        <v>-54.538084853212403</v>
      </c>
      <c r="DH30" s="30" t="str">
        <f t="shared" si="4"/>
        <v>*</v>
      </c>
      <c r="DI30" s="30"/>
      <c r="DJ30" s="27">
        <v>529</v>
      </c>
      <c r="DK30" s="27">
        <v>529</v>
      </c>
      <c r="DL30" s="28">
        <v>4.9584120982986768</v>
      </c>
      <c r="DM30" s="29">
        <v>1.1829343103524738E-2</v>
      </c>
      <c r="DN30" s="30">
        <f t="shared" si="64"/>
        <v>-62.80929660998649</v>
      </c>
      <c r="DO30" s="30" t="str">
        <f t="shared" si="5"/>
        <v>*</v>
      </c>
      <c r="DP30" s="8"/>
      <c r="DQ30" s="27">
        <v>465</v>
      </c>
      <c r="DR30" s="27">
        <v>462.55377424999921</v>
      </c>
      <c r="DS30" s="28">
        <v>2.9716034432941409</v>
      </c>
      <c r="DT30" s="29">
        <v>5.4995020229817504E-2</v>
      </c>
      <c r="DU30" s="29"/>
      <c r="DV30" s="27">
        <v>324</v>
      </c>
      <c r="DW30" s="27">
        <v>323.38555937000007</v>
      </c>
      <c r="DX30" s="28">
        <v>2.9238774709422479</v>
      </c>
      <c r="DY30" s="29">
        <v>6.1989563663891523E-2</v>
      </c>
      <c r="DZ30" s="10">
        <f t="shared" si="6"/>
        <v>0.5759254328890725</v>
      </c>
      <c r="EA30" s="10" t="str">
        <f t="shared" si="7"/>
        <v xml:space="preserve"> </v>
      </c>
      <c r="EB30" s="29"/>
      <c r="EC30" s="27">
        <v>332</v>
      </c>
      <c r="ED30" s="27">
        <v>334.18015583000118</v>
      </c>
      <c r="EE30" s="28">
        <v>2.9712516854086126</v>
      </c>
      <c r="EF30" s="29">
        <v>6.4381312028933907E-2</v>
      </c>
      <c r="EG30" s="10">
        <f t="shared" si="8"/>
        <v>4.1543421976910962E-3</v>
      </c>
      <c r="EH30" s="10" t="str">
        <f t="shared" si="9"/>
        <v xml:space="preserve"> </v>
      </c>
      <c r="EI30" s="29"/>
      <c r="EJ30" s="27">
        <v>308</v>
      </c>
      <c r="EK30" s="27">
        <v>317.62511090000135</v>
      </c>
      <c r="EL30" s="28">
        <v>2.8770775748511541</v>
      </c>
      <c r="EM30" s="29">
        <v>6.450991944843551E-2</v>
      </c>
      <c r="EN30" s="10">
        <f t="shared" si="10"/>
        <v>1.1150840784456004</v>
      </c>
      <c r="EO30" s="10" t="str">
        <f t="shared" si="65"/>
        <v xml:space="preserve"> </v>
      </c>
      <c r="EP30" s="29"/>
      <c r="EQ30" s="8">
        <v>358</v>
      </c>
      <c r="ER30" s="8">
        <v>356.7119999800002</v>
      </c>
      <c r="ES30" s="69">
        <v>2.9950099801237413</v>
      </c>
      <c r="ET30" s="9">
        <v>6.2860878702532125E-2</v>
      </c>
      <c r="EU30" s="10">
        <f t="shared" si="11"/>
        <v>-0.28024361131892128</v>
      </c>
      <c r="EV30" s="10" t="str">
        <f t="shared" si="66"/>
        <v xml:space="preserve"> </v>
      </c>
      <c r="EW30" s="29"/>
      <c r="EX30" s="88">
        <v>2389</v>
      </c>
      <c r="EY30" s="88">
        <v>2386.7239056799717</v>
      </c>
      <c r="EZ30" s="28">
        <v>3.1571098705709595</v>
      </c>
      <c r="FA30" s="29">
        <v>2.2451631160577797E-2</v>
      </c>
      <c r="FB30" s="30">
        <f t="shared" si="12"/>
        <v>-3.1229294828239524</v>
      </c>
      <c r="FC30" s="30" t="str">
        <f t="shared" si="67"/>
        <v>*</v>
      </c>
      <c r="FD30" s="30"/>
      <c r="FE30" s="27">
        <v>529</v>
      </c>
      <c r="FF30" s="27">
        <v>529.03844792000189</v>
      </c>
      <c r="FG30" s="28">
        <v>3.2381146895377446</v>
      </c>
      <c r="FH30" s="29">
        <v>4.1884491648344277E-2</v>
      </c>
      <c r="FI30" s="30">
        <f t="shared" si="13"/>
        <v>-3.8552966314220525</v>
      </c>
      <c r="FJ30" s="30" t="str">
        <f t="shared" si="14"/>
        <v>*</v>
      </c>
      <c r="FK30" s="30"/>
      <c r="FL30" s="88">
        <v>151</v>
      </c>
      <c r="FM30" s="88">
        <v>150.95276880999967</v>
      </c>
      <c r="FN30" s="28">
        <v>3.4168891959127223</v>
      </c>
      <c r="FO30" s="29">
        <v>7.7687574327602302E-2</v>
      </c>
      <c r="FP30" s="30">
        <f t="shared" si="15"/>
        <v>-4.6782046884024728</v>
      </c>
      <c r="FQ30" s="30" t="str">
        <f t="shared" si="16"/>
        <v>*</v>
      </c>
      <c r="FR30" s="30"/>
      <c r="FS30" s="88">
        <v>403</v>
      </c>
      <c r="FT30" s="88">
        <v>403.10089523999807</v>
      </c>
      <c r="FU30" s="28">
        <v>3.1770326242205749</v>
      </c>
      <c r="FV30" s="29">
        <v>5.3019371966617136E-2</v>
      </c>
      <c r="FW30" s="30">
        <f t="shared" si="17"/>
        <v>-2.6891985758932315</v>
      </c>
      <c r="FX30" s="30" t="str">
        <f t="shared" si="18"/>
        <v>*</v>
      </c>
      <c r="FY30" s="30"/>
      <c r="FZ30" s="88">
        <v>623</v>
      </c>
      <c r="GA30" s="88">
        <v>623.09596188000489</v>
      </c>
      <c r="GB30" s="28">
        <v>3.0320399795719526</v>
      </c>
      <c r="GC30" s="29">
        <v>4.6148959992204065E-2</v>
      </c>
      <c r="GD30" s="30">
        <f t="shared" si="19"/>
        <v>-0.84182114034026567</v>
      </c>
      <c r="GE30" s="30" t="str">
        <f t="shared" si="20"/>
        <v xml:space="preserve"> </v>
      </c>
      <c r="GF30" s="30"/>
      <c r="GG30" s="88">
        <v>218</v>
      </c>
      <c r="GH30" s="88">
        <v>217.98205757999963</v>
      </c>
      <c r="GI30" s="28">
        <v>3.4949234088241696</v>
      </c>
      <c r="GJ30" s="29">
        <v>7.3039033749387999E-2</v>
      </c>
      <c r="GK30" s="30">
        <f t="shared" si="21"/>
        <v>-5.7238227269141779</v>
      </c>
      <c r="GL30" s="30" t="str">
        <f t="shared" si="22"/>
        <v>*</v>
      </c>
      <c r="GM30" s="10"/>
      <c r="GN30" s="88">
        <v>371</v>
      </c>
      <c r="GO30" s="88">
        <v>371.08948992000165</v>
      </c>
      <c r="GP30" s="28">
        <v>2.8005211697158052</v>
      </c>
      <c r="GQ30" s="29">
        <v>6.3249276153445819E-2</v>
      </c>
      <c r="GR30" s="9"/>
      <c r="GS30" s="3">
        <v>260</v>
      </c>
      <c r="GT30" s="3">
        <v>259.93943950000011</v>
      </c>
      <c r="GU30" s="69">
        <v>2.70093669718019</v>
      </c>
      <c r="GV30" s="9">
        <v>7.9051418152635305E-2</v>
      </c>
      <c r="GW30" s="10">
        <f t="shared" si="23"/>
        <v>0.98364461511383994</v>
      </c>
      <c r="GX30" s="10" t="str">
        <f t="shared" si="68"/>
        <v xml:space="preserve"> </v>
      </c>
      <c r="GY30" s="9"/>
      <c r="GZ30" s="27">
        <v>322</v>
      </c>
      <c r="HA30" s="27">
        <v>321.36162646000008</v>
      </c>
      <c r="HB30" s="28">
        <v>2.9677060363294769</v>
      </c>
      <c r="HC30" s="29">
        <v>6.7402678472411784E-2</v>
      </c>
      <c r="HD30" s="10">
        <f t="shared" si="24"/>
        <v>-1.8087423731122731</v>
      </c>
      <c r="HE30" s="10" t="str">
        <f t="shared" si="69"/>
        <v xml:space="preserve"> </v>
      </c>
      <c r="HF30" s="9"/>
      <c r="HG30" s="27">
        <v>553</v>
      </c>
      <c r="HH30" s="27">
        <v>557.0064444900006</v>
      </c>
      <c r="HI30" s="28">
        <v>2.7098529350087226</v>
      </c>
      <c r="HJ30" s="29">
        <v>4.8565147075285808E-2</v>
      </c>
      <c r="HK30" s="10">
        <f t="shared" si="25"/>
        <v>1.136996767567535</v>
      </c>
      <c r="HL30" s="10" t="str">
        <f t="shared" si="70"/>
        <v xml:space="preserve"> </v>
      </c>
      <c r="HM30" s="29"/>
      <c r="HN30" s="8">
        <v>572</v>
      </c>
      <c r="HO30" s="8">
        <v>574.36404172000084</v>
      </c>
      <c r="HP30" s="69">
        <v>2.7318033790404046</v>
      </c>
      <c r="HQ30" s="9">
        <v>4.8200368385531038E-2</v>
      </c>
      <c r="HR30" s="10">
        <f t="shared" si="26"/>
        <v>0.86413573283021761</v>
      </c>
      <c r="HS30" s="10" t="str">
        <f t="shared" si="71"/>
        <v xml:space="preserve"> </v>
      </c>
      <c r="HT30" s="9"/>
      <c r="HU30" s="88">
        <v>2245</v>
      </c>
      <c r="HV30" s="88">
        <v>2243.9189395399694</v>
      </c>
      <c r="HW30" s="28">
        <v>3.2056316463528773</v>
      </c>
      <c r="HX30" s="29">
        <v>2.3872219573010812E-2</v>
      </c>
      <c r="HY30" s="30">
        <f t="shared" si="27"/>
        <v>-5.9923692141847242</v>
      </c>
      <c r="HZ30" s="30" t="str">
        <f t="shared" si="72"/>
        <v>*</v>
      </c>
      <c r="IA30" s="30"/>
      <c r="IB30" s="88">
        <v>529</v>
      </c>
      <c r="IC30" s="88">
        <v>529.03844792000189</v>
      </c>
      <c r="ID30" s="28">
        <v>3.2381146895377446</v>
      </c>
      <c r="IE30" s="29">
        <v>4.1884491648344277E-2</v>
      </c>
      <c r="IF30" s="30">
        <f t="shared" si="28"/>
        <v>-5.7684144996828968</v>
      </c>
      <c r="IG30" s="30" t="str">
        <f t="shared" si="29"/>
        <v>*</v>
      </c>
      <c r="IH30" s="30"/>
      <c r="II30" s="88">
        <v>261</v>
      </c>
      <c r="IJ30" s="88">
        <v>260.91577268000094</v>
      </c>
      <c r="IK30" s="28">
        <v>3.4098540128930921</v>
      </c>
      <c r="IL30" s="29">
        <v>7.1942114651344188E-2</v>
      </c>
      <c r="IM30" s="30">
        <f t="shared" si="30"/>
        <v>-6.3609883529079072</v>
      </c>
      <c r="IN30" s="30" t="str">
        <f t="shared" si="84"/>
        <v>*</v>
      </c>
      <c r="IO30" s="30"/>
      <c r="IP30" s="88">
        <v>412</v>
      </c>
      <c r="IQ30" s="88">
        <v>412.33618780000165</v>
      </c>
      <c r="IR30" s="28">
        <v>3.1560693911037814</v>
      </c>
      <c r="IS30" s="29">
        <v>5.9413271158020378E-2</v>
      </c>
      <c r="IT30" s="30">
        <f t="shared" si="32"/>
        <v>-4.0972198197037804</v>
      </c>
      <c r="IU30" s="30" t="str">
        <f t="shared" si="33"/>
        <v>*</v>
      </c>
      <c r="IV30" s="30"/>
      <c r="IW30" s="88">
        <v>151</v>
      </c>
      <c r="IX30" s="88">
        <v>150.95276880999967</v>
      </c>
      <c r="IY30" s="28">
        <v>3.4168891959127223</v>
      </c>
      <c r="IZ30" s="29">
        <v>7.7687574327602302E-2</v>
      </c>
      <c r="JA30" s="30">
        <f t="shared" si="34"/>
        <v>-6.1526675711387036</v>
      </c>
      <c r="JB30" s="30" t="str">
        <f t="shared" si="73"/>
        <v>*</v>
      </c>
      <c r="JC30" s="30"/>
      <c r="JD30" s="88">
        <v>521</v>
      </c>
      <c r="JE30" s="88">
        <v>519.58627241000318</v>
      </c>
      <c r="JF30" s="28">
        <v>3.3372922151640507</v>
      </c>
      <c r="JG30" s="29">
        <v>4.9239247562771704E-2</v>
      </c>
      <c r="JH30" s="30">
        <f t="shared" si="35"/>
        <v>-6.6965848976565843</v>
      </c>
      <c r="JI30" s="30" t="str">
        <f t="shared" si="36"/>
        <v>*</v>
      </c>
      <c r="JK30" s="27"/>
      <c r="JL30" s="27"/>
      <c r="JM30" s="28"/>
      <c r="JN30" s="29"/>
    </row>
    <row r="31" spans="1:274" x14ac:dyDescent="0.2">
      <c r="B31" s="7" t="s">
        <v>34</v>
      </c>
      <c r="C31" s="27">
        <v>2187</v>
      </c>
      <c r="D31" s="27">
        <v>2184.0457544099527</v>
      </c>
      <c r="E31" s="28">
        <v>3.4348352979292542</v>
      </c>
      <c r="F31" s="29">
        <v>2.8835837775030401E-2</v>
      </c>
      <c r="G31" s="29"/>
      <c r="H31" s="3">
        <v>683</v>
      </c>
      <c r="I31" s="3">
        <v>682.65122804000441</v>
      </c>
      <c r="J31" s="28">
        <v>3.2264143726273993</v>
      </c>
      <c r="K31" s="29">
        <v>5.4767426416101786E-2</v>
      </c>
      <c r="L31" s="30">
        <f t="shared" si="37"/>
        <v>3.3673369322310358</v>
      </c>
      <c r="M31" s="30" t="str">
        <f t="shared" si="38"/>
        <v>*</v>
      </c>
      <c r="N31" s="9"/>
      <c r="O31" s="27">
        <v>736</v>
      </c>
      <c r="P31" s="27">
        <v>737.99712276000207</v>
      </c>
      <c r="Q31" s="28">
        <v>2.7484215917730914</v>
      </c>
      <c r="R31" s="29">
        <v>4.3113958393669605E-2</v>
      </c>
      <c r="S31" s="30">
        <f t="shared" si="39"/>
        <v>13.233784600647898</v>
      </c>
      <c r="T31" s="30" t="str">
        <f t="shared" si="40"/>
        <v>*</v>
      </c>
      <c r="U31" s="30"/>
      <c r="V31" s="27">
        <v>807</v>
      </c>
      <c r="W31" s="27">
        <v>805.23950168001079</v>
      </c>
      <c r="X31" s="28">
        <v>2.7486449293561419</v>
      </c>
      <c r="Y31" s="29">
        <v>4.2720339864578016E-2</v>
      </c>
      <c r="Z31" s="30">
        <f t="shared" si="41"/>
        <v>13.313339658613</v>
      </c>
      <c r="AA31" s="30" t="str">
        <f t="shared" si="42"/>
        <v>*</v>
      </c>
      <c r="AB31" s="9"/>
      <c r="AC31" s="8">
        <v>943</v>
      </c>
      <c r="AD31" s="8">
        <v>946.2401216200002</v>
      </c>
      <c r="AE31" s="69">
        <v>2.4761988581593379</v>
      </c>
      <c r="AF31" s="9">
        <v>3.9576098358027841E-2</v>
      </c>
      <c r="AG31" s="30">
        <f t="shared" si="43"/>
        <v>19.577169070506784</v>
      </c>
      <c r="AH31" s="30" t="str">
        <f t="shared" si="44"/>
        <v>*</v>
      </c>
      <c r="AI31" s="9"/>
      <c r="AJ31" s="81">
        <v>4010</v>
      </c>
      <c r="AK31" s="83">
        <v>3.7759309991838159</v>
      </c>
      <c r="AL31" s="84">
        <v>1.9280624185745384E-2</v>
      </c>
      <c r="AM31" s="30">
        <f t="shared" si="45"/>
        <v>-9.8332859883924293</v>
      </c>
      <c r="AN31" s="30" t="str">
        <f t="shared" si="46"/>
        <v>*</v>
      </c>
      <c r="AO31" s="9"/>
      <c r="AP31" s="78">
        <v>489</v>
      </c>
      <c r="AQ31" s="79">
        <v>4.0343181788560374</v>
      </c>
      <c r="AR31" s="80">
        <v>5.6021968118280335E-2</v>
      </c>
      <c r="AS31" s="30">
        <f t="shared" si="74"/>
        <v>-9.5144429709890446</v>
      </c>
      <c r="AT31" s="30" t="str">
        <f t="shared" si="75"/>
        <v>*</v>
      </c>
      <c r="AU31" s="80"/>
      <c r="AV31" s="78">
        <v>590</v>
      </c>
      <c r="AW31" s="79">
        <v>4.0923056260060635</v>
      </c>
      <c r="AX31" s="80">
        <v>4.1503357735997719E-2</v>
      </c>
      <c r="AY31" s="30">
        <f t="shared" si="76"/>
        <v>-13.009565732822789</v>
      </c>
      <c r="AZ31" s="30" t="str">
        <f t="shared" si="77"/>
        <v>*</v>
      </c>
      <c r="BA31" s="80"/>
      <c r="BB31" s="78">
        <v>639</v>
      </c>
      <c r="BC31" s="79">
        <v>3.7913109254430264</v>
      </c>
      <c r="BD31" s="80">
        <v>4.8699536950391135E-2</v>
      </c>
      <c r="BE31" s="30">
        <f t="shared" si="78"/>
        <v>-6.2985585970978946</v>
      </c>
      <c r="BF31" s="30" t="str">
        <f t="shared" si="79"/>
        <v>*</v>
      </c>
      <c r="BG31" s="80"/>
      <c r="BH31" s="78">
        <v>823</v>
      </c>
      <c r="BI31" s="79">
        <v>3.8213882407282473</v>
      </c>
      <c r="BJ31" s="80">
        <v>4.1059356037169481E-2</v>
      </c>
      <c r="BK31" s="30">
        <f t="shared" si="80"/>
        <v>-7.7043307307619751</v>
      </c>
      <c r="BL31" s="30" t="str">
        <f t="shared" si="81"/>
        <v>*</v>
      </c>
      <c r="BM31" s="80"/>
      <c r="BN31" s="78">
        <v>941</v>
      </c>
      <c r="BO31" s="79">
        <v>3.8569652273962443</v>
      </c>
      <c r="BP31" s="80">
        <v>3.7526559033404253E-2</v>
      </c>
      <c r="BQ31" s="30">
        <f t="shared" si="82"/>
        <v>-8.9196240467860033</v>
      </c>
      <c r="BR31" s="30" t="str">
        <f t="shared" si="83"/>
        <v>*</v>
      </c>
      <c r="BS31" s="9"/>
      <c r="BT31" s="27">
        <v>8673</v>
      </c>
      <c r="BU31" s="27">
        <v>8701.1304668098128</v>
      </c>
      <c r="BV31" s="28">
        <v>3.8407606024889422</v>
      </c>
      <c r="BW31" s="29">
        <v>1.3853213156067076E-2</v>
      </c>
      <c r="BX31" s="30">
        <f t="shared" si="57"/>
        <v>-12.688778029968191</v>
      </c>
      <c r="BY31" s="30" t="str">
        <f t="shared" si="58"/>
        <v>*</v>
      </c>
      <c r="BZ31" s="30"/>
      <c r="CA31" s="27">
        <v>367</v>
      </c>
      <c r="CB31" s="27">
        <v>367</v>
      </c>
      <c r="CC31" s="28">
        <v>3.6948228882833787</v>
      </c>
      <c r="CD31" s="29">
        <v>6.351173935874635E-2</v>
      </c>
      <c r="CE31" s="30">
        <f t="shared" si="59"/>
        <v>-3.7273501361076922</v>
      </c>
      <c r="CF31" s="30" t="str">
        <f t="shared" si="0"/>
        <v>*</v>
      </c>
      <c r="CG31" s="30"/>
      <c r="CH31" s="27">
        <v>2248</v>
      </c>
      <c r="CI31" s="27">
        <v>2278.717401549985</v>
      </c>
      <c r="CJ31" s="28">
        <v>3.5284092801726752</v>
      </c>
      <c r="CK31" s="29">
        <v>2.7461336202155878E-2</v>
      </c>
      <c r="CL31" s="30">
        <f t="shared" si="60"/>
        <v>-2.3499256035535185</v>
      </c>
      <c r="CM31" s="30" t="str">
        <f t="shared" si="1"/>
        <v>*</v>
      </c>
      <c r="CN31" s="30"/>
      <c r="CO31" s="27">
        <v>2035</v>
      </c>
      <c r="CP31" s="27">
        <v>2035.528268600081</v>
      </c>
      <c r="CQ31" s="28">
        <v>3.7547100697877305</v>
      </c>
      <c r="CR31" s="29">
        <v>2.7404325117614335E-2</v>
      </c>
      <c r="CS31" s="30">
        <f t="shared" si="61"/>
        <v>-8.0409576802549214</v>
      </c>
      <c r="CT31" s="30" t="str">
        <f t="shared" si="2"/>
        <v>*</v>
      </c>
      <c r="CU31" s="30"/>
      <c r="CV31" s="27">
        <v>434</v>
      </c>
      <c r="CW31" s="27">
        <v>433.81571504000198</v>
      </c>
      <c r="CX31" s="28">
        <v>4.9097399220856115</v>
      </c>
      <c r="CY31" s="29">
        <v>2.0089983136705715E-2</v>
      </c>
      <c r="CZ31" s="30">
        <f t="shared" si="62"/>
        <v>-41.96725825050892</v>
      </c>
      <c r="DA31" s="30" t="str">
        <f t="shared" si="3"/>
        <v>*</v>
      </c>
      <c r="DB31" s="30"/>
      <c r="DC31" s="27">
        <v>863</v>
      </c>
      <c r="DD31" s="27">
        <v>863.02332720998925</v>
      </c>
      <c r="DE31" s="28">
        <v>4.7265619212832997</v>
      </c>
      <c r="DF31" s="29">
        <v>2.3518674595566242E-2</v>
      </c>
      <c r="DG31" s="30">
        <f t="shared" si="63"/>
        <v>-34.713881650297495</v>
      </c>
      <c r="DH31" s="30" t="str">
        <f t="shared" si="4"/>
        <v>*</v>
      </c>
      <c r="DI31" s="30"/>
      <c r="DJ31" s="27">
        <v>539</v>
      </c>
      <c r="DK31" s="27">
        <v>539</v>
      </c>
      <c r="DL31" s="28">
        <v>4.9517625231910962</v>
      </c>
      <c r="DM31" s="29">
        <v>1.5171430581111917E-2</v>
      </c>
      <c r="DN31" s="30">
        <f t="shared" si="64"/>
        <v>-46.555218408296987</v>
      </c>
      <c r="DO31" s="30" t="str">
        <f t="shared" si="5"/>
        <v>*</v>
      </c>
      <c r="DP31" s="8"/>
      <c r="DQ31" s="27">
        <v>630</v>
      </c>
      <c r="DR31" s="27">
        <v>626.81121253999959</v>
      </c>
      <c r="DS31" s="28">
        <v>3.3061271682624147</v>
      </c>
      <c r="DT31" s="29">
        <v>5.4271740839525448E-2</v>
      </c>
      <c r="DU31" s="29"/>
      <c r="DV31" s="27">
        <v>440</v>
      </c>
      <c r="DW31" s="27">
        <v>439.44940520999808</v>
      </c>
      <c r="DX31" s="28">
        <v>3.2825921782751184</v>
      </c>
      <c r="DY31" s="29">
        <v>6.915225259601683E-2</v>
      </c>
      <c r="DZ31" s="10">
        <f t="shared" si="6"/>
        <v>0.26772920626643237</v>
      </c>
      <c r="EA31" s="10" t="str">
        <f t="shared" si="7"/>
        <v xml:space="preserve"> </v>
      </c>
      <c r="EB31" s="29"/>
      <c r="EC31" s="27">
        <v>465</v>
      </c>
      <c r="ED31" s="27">
        <v>468.23429914000064</v>
      </c>
      <c r="EE31" s="28">
        <v>3.1062077908673897</v>
      </c>
      <c r="EF31" s="29">
        <v>6.615716039995885E-2</v>
      </c>
      <c r="EG31" s="10">
        <f t="shared" si="8"/>
        <v>2.3363308434472869</v>
      </c>
      <c r="EH31" s="10" t="str">
        <f t="shared" si="9"/>
        <v>*</v>
      </c>
      <c r="EI31" s="29"/>
      <c r="EJ31" s="27">
        <v>435</v>
      </c>
      <c r="EK31" s="27">
        <v>442.78238571000247</v>
      </c>
      <c r="EL31" s="28">
        <v>2.8926137006246186</v>
      </c>
      <c r="EM31" s="29">
        <v>6.9999402210704553E-2</v>
      </c>
      <c r="EN31" s="10">
        <f t="shared" si="10"/>
        <v>4.6685694580995811</v>
      </c>
      <c r="EO31" s="10" t="str">
        <f t="shared" si="65"/>
        <v>*</v>
      </c>
      <c r="EP31" s="29"/>
      <c r="EQ31" s="8">
        <v>493</v>
      </c>
      <c r="ER31" s="8">
        <v>491.94114292999933</v>
      </c>
      <c r="ES31" s="69">
        <v>2.806161480818512</v>
      </c>
      <c r="ET31" s="9">
        <v>6.7213158278482024E-2</v>
      </c>
      <c r="EU31" s="10">
        <f t="shared" si="11"/>
        <v>5.7873878948913537</v>
      </c>
      <c r="EV31" s="10" t="str">
        <f t="shared" si="66"/>
        <v>*</v>
      </c>
      <c r="EW31" s="29"/>
      <c r="EX31" s="88">
        <v>3281</v>
      </c>
      <c r="EY31" s="88">
        <v>3277.9509641699251</v>
      </c>
      <c r="EZ31" s="28">
        <v>3.7463611394441587</v>
      </c>
      <c r="FA31" s="29">
        <v>2.093908666240606E-2</v>
      </c>
      <c r="FB31" s="30">
        <f t="shared" si="12"/>
        <v>-7.5679263462912063</v>
      </c>
      <c r="FC31" s="30" t="str">
        <f t="shared" si="67"/>
        <v>*</v>
      </c>
      <c r="FD31" s="30"/>
      <c r="FE31" s="27">
        <v>775</v>
      </c>
      <c r="FF31" s="27">
        <v>775.03825588000109</v>
      </c>
      <c r="FG31" s="28">
        <v>3.9496926011533056</v>
      </c>
      <c r="FH31" s="29">
        <v>3.5384707390208971E-2</v>
      </c>
      <c r="FI31" s="30">
        <f t="shared" si="13"/>
        <v>-9.9333877711896044</v>
      </c>
      <c r="FJ31" s="30" t="str">
        <f t="shared" si="14"/>
        <v>*</v>
      </c>
      <c r="FK31" s="30"/>
      <c r="FL31" s="88">
        <v>240</v>
      </c>
      <c r="FM31" s="88">
        <v>240.06322745999924</v>
      </c>
      <c r="FN31" s="28">
        <v>4.0792447415678028</v>
      </c>
      <c r="FO31" s="29">
        <v>6.9789717145148228E-2</v>
      </c>
      <c r="FP31" s="30">
        <f t="shared" si="15"/>
        <v>-8.744853419192081</v>
      </c>
      <c r="FQ31" s="30" t="str">
        <f t="shared" si="16"/>
        <v>*</v>
      </c>
      <c r="FR31" s="30"/>
      <c r="FS31" s="88">
        <v>492</v>
      </c>
      <c r="FT31" s="88">
        <v>491.85616730999618</v>
      </c>
      <c r="FU31" s="28">
        <v>3.6126774991113786</v>
      </c>
      <c r="FV31" s="29">
        <v>5.6229833327229008E-2</v>
      </c>
      <c r="FW31" s="30">
        <f t="shared" si="17"/>
        <v>-3.9226553188825202</v>
      </c>
      <c r="FX31" s="30" t="str">
        <f t="shared" si="18"/>
        <v>*</v>
      </c>
      <c r="FY31" s="30"/>
      <c r="FZ31" s="88">
        <v>823</v>
      </c>
      <c r="GA31" s="88">
        <v>823.14304344000618</v>
      </c>
      <c r="GB31" s="28">
        <v>3.7983482440836562</v>
      </c>
      <c r="GC31" s="29">
        <v>4.1380025203560031E-2</v>
      </c>
      <c r="GD31" s="30">
        <f t="shared" si="19"/>
        <v>-7.212289117443313</v>
      </c>
      <c r="GE31" s="30" t="str">
        <f t="shared" si="20"/>
        <v>*</v>
      </c>
      <c r="GF31" s="30"/>
      <c r="GG31" s="88">
        <v>321</v>
      </c>
      <c r="GH31" s="88">
        <v>321.03905753999936</v>
      </c>
      <c r="GI31" s="28">
        <v>3.9376186015076864</v>
      </c>
      <c r="GJ31" s="29">
        <v>6.2283402318967424E-2</v>
      </c>
      <c r="GK31" s="30">
        <f t="shared" si="21"/>
        <v>-7.6441193740220141</v>
      </c>
      <c r="GL31" s="30" t="str">
        <f t="shared" si="22"/>
        <v>*</v>
      </c>
      <c r="GM31" s="10"/>
      <c r="GN31" s="88">
        <v>567</v>
      </c>
      <c r="GO31" s="88">
        <v>567.07728570000575</v>
      </c>
      <c r="GP31" s="28">
        <v>3.4122436934877922</v>
      </c>
      <c r="GQ31" s="29">
        <v>5.5416453674470588E-2</v>
      </c>
      <c r="GR31" s="9"/>
      <c r="GS31" s="3">
        <v>374</v>
      </c>
      <c r="GT31" s="3">
        <v>373.88630212999766</v>
      </c>
      <c r="GU31" s="69">
        <v>3.4307546871936507</v>
      </c>
      <c r="GV31" s="9">
        <v>6.9800849541973672E-2</v>
      </c>
      <c r="GW31" s="10">
        <f t="shared" si="23"/>
        <v>-0.20769860119621</v>
      </c>
      <c r="GX31" s="10" t="str">
        <f t="shared" si="68"/>
        <v xml:space="preserve"> </v>
      </c>
      <c r="GY31" s="9"/>
      <c r="GZ31" s="27">
        <v>423</v>
      </c>
      <c r="HA31" s="27">
        <v>422.95317415000198</v>
      </c>
      <c r="HB31" s="28">
        <v>3.2840086122805592</v>
      </c>
      <c r="HC31" s="29">
        <v>6.8383507324994597E-2</v>
      </c>
      <c r="HD31" s="10">
        <f t="shared" si="24"/>
        <v>1.456907628173586</v>
      </c>
      <c r="HE31" s="10" t="str">
        <f t="shared" si="69"/>
        <v xml:space="preserve"> </v>
      </c>
      <c r="HF31" s="9"/>
      <c r="HG31" s="27">
        <v>820</v>
      </c>
      <c r="HH31" s="27">
        <v>822.38006117000202</v>
      </c>
      <c r="HI31" s="28">
        <v>2.7449483158898711</v>
      </c>
      <c r="HJ31" s="29">
        <v>4.9248502910014813E-2</v>
      </c>
      <c r="HK31" s="10">
        <f t="shared" si="25"/>
        <v>9.0007565489772396</v>
      </c>
      <c r="HL31" s="10" t="str">
        <f t="shared" si="70"/>
        <v>*</v>
      </c>
      <c r="HM31" s="29"/>
      <c r="HN31" s="8">
        <v>871</v>
      </c>
      <c r="HO31" s="8">
        <v>869.46770388000232</v>
      </c>
      <c r="HP31" s="69">
        <v>2.6726661322439664</v>
      </c>
      <c r="HQ31" s="9">
        <v>4.8016761809513135E-2</v>
      </c>
      <c r="HR31" s="10">
        <f t="shared" si="26"/>
        <v>10.086259907259299</v>
      </c>
      <c r="HS31" s="10" t="str">
        <f t="shared" si="71"/>
        <v>*</v>
      </c>
      <c r="HT31" s="9"/>
      <c r="HU31" s="88">
        <v>3321</v>
      </c>
      <c r="HV31" s="88">
        <v>3320.0891496298691</v>
      </c>
      <c r="HW31" s="28">
        <v>3.718190583730475</v>
      </c>
      <c r="HX31" s="29">
        <v>2.1364019940771372E-2</v>
      </c>
      <c r="HY31" s="30">
        <f t="shared" si="27"/>
        <v>-5.1513184625746042</v>
      </c>
      <c r="HZ31" s="30" t="str">
        <f t="shared" si="72"/>
        <v>*</v>
      </c>
      <c r="IA31" s="30"/>
      <c r="IB31" s="88">
        <v>775</v>
      </c>
      <c r="IC31" s="88">
        <v>775.03825588000109</v>
      </c>
      <c r="ID31" s="28">
        <v>3.9496926011533056</v>
      </c>
      <c r="IE31" s="29">
        <v>3.5384707390208971E-2</v>
      </c>
      <c r="IF31" s="30">
        <f t="shared" si="28"/>
        <v>-8.1741294284902271</v>
      </c>
      <c r="IG31" s="30" t="str">
        <f t="shared" si="29"/>
        <v>*</v>
      </c>
      <c r="IH31" s="30"/>
      <c r="II31" s="88">
        <v>396</v>
      </c>
      <c r="IJ31" s="88">
        <v>396.27235692000215</v>
      </c>
      <c r="IK31" s="28">
        <v>3.6231303423212289</v>
      </c>
      <c r="IL31" s="29">
        <v>6.2057861251058749E-2</v>
      </c>
      <c r="IM31" s="30">
        <f t="shared" si="30"/>
        <v>-2.5347096741476927</v>
      </c>
      <c r="IN31" s="30" t="str">
        <f t="shared" si="84"/>
        <v>*</v>
      </c>
      <c r="IO31" s="30"/>
      <c r="IP31" s="88">
        <v>564</v>
      </c>
      <c r="IQ31" s="88">
        <v>564.30397092000487</v>
      </c>
      <c r="IR31" s="28">
        <v>3.7670366888510922</v>
      </c>
      <c r="IS31" s="29">
        <v>5.2993519046488947E-2</v>
      </c>
      <c r="IT31" s="30">
        <f t="shared" si="32"/>
        <v>-4.6271370120838888</v>
      </c>
      <c r="IU31" s="30" t="str">
        <f t="shared" si="33"/>
        <v>*</v>
      </c>
      <c r="IV31" s="30"/>
      <c r="IW31" s="88">
        <v>240</v>
      </c>
      <c r="IX31" s="88">
        <v>240.06322745999924</v>
      </c>
      <c r="IY31" s="28">
        <v>4.0792447415678028</v>
      </c>
      <c r="IZ31" s="29">
        <v>6.9789717145148228E-2</v>
      </c>
      <c r="JA31" s="30">
        <f t="shared" si="34"/>
        <v>-7.484673174304012</v>
      </c>
      <c r="JB31" s="30" t="str">
        <f t="shared" si="73"/>
        <v>*</v>
      </c>
      <c r="JC31" s="30"/>
      <c r="JD31" s="88">
        <v>779</v>
      </c>
      <c r="JE31" s="88">
        <v>777.33405275000734</v>
      </c>
      <c r="JF31" s="28">
        <v>3.6120617977519824</v>
      </c>
      <c r="JG31" s="29">
        <v>4.7778993523088481E-2</v>
      </c>
      <c r="JH31" s="30">
        <f t="shared" si="35"/>
        <v>-2.73088323672998</v>
      </c>
      <c r="JI31" s="30" t="str">
        <f t="shared" si="36"/>
        <v>*</v>
      </c>
      <c r="JK31" s="27"/>
      <c r="JL31" s="27"/>
      <c r="JM31" s="28"/>
      <c r="JN31" s="29"/>
    </row>
    <row r="32" spans="1:274" x14ac:dyDescent="0.2">
      <c r="B32" s="7" t="s">
        <v>35</v>
      </c>
      <c r="C32" s="27">
        <v>711</v>
      </c>
      <c r="D32" s="27">
        <v>707.91440919999616</v>
      </c>
      <c r="E32" s="28">
        <v>3.5599593798747051</v>
      </c>
      <c r="F32" s="29">
        <v>4.4104491287943991E-2</v>
      </c>
      <c r="G32" s="29"/>
      <c r="H32" s="3">
        <v>198</v>
      </c>
      <c r="I32" s="3">
        <v>197.99077608000073</v>
      </c>
      <c r="J32" s="28">
        <v>3.5052914497369132</v>
      </c>
      <c r="K32" s="29">
        <v>8.8226389670106528E-2</v>
      </c>
      <c r="L32" s="30">
        <f t="shared" si="37"/>
        <v>0.55423794123154924</v>
      </c>
      <c r="M32" s="30" t="str">
        <f t="shared" si="38"/>
        <v xml:space="preserve"> </v>
      </c>
      <c r="N32" s="9"/>
      <c r="O32" s="27">
        <v>105</v>
      </c>
      <c r="P32" s="27">
        <v>104.78547057000004</v>
      </c>
      <c r="Q32" s="28">
        <v>3.4719730228912029</v>
      </c>
      <c r="R32" s="29">
        <v>0.11510151070870579</v>
      </c>
      <c r="S32" s="30">
        <f t="shared" si="39"/>
        <v>0.71381473349026392</v>
      </c>
      <c r="T32" s="30" t="str">
        <f t="shared" si="40"/>
        <v xml:space="preserve"> </v>
      </c>
      <c r="U32" s="30"/>
      <c r="V32" s="27">
        <v>120</v>
      </c>
      <c r="W32" s="27">
        <v>120.70886445999992</v>
      </c>
      <c r="X32" s="28">
        <v>3.5237510051380694</v>
      </c>
      <c r="Y32" s="29">
        <v>0.1054061527068148</v>
      </c>
      <c r="Z32" s="30">
        <f t="shared" si="41"/>
        <v>0.31689075023048174</v>
      </c>
      <c r="AA32" s="30" t="str">
        <f t="shared" si="42"/>
        <v xml:space="preserve"> </v>
      </c>
      <c r="AB32" s="9"/>
      <c r="AC32" s="8">
        <v>211</v>
      </c>
      <c r="AD32" s="8">
        <v>211.26485593999962</v>
      </c>
      <c r="AE32" s="69">
        <v>3.33547657183516</v>
      </c>
      <c r="AF32" s="9">
        <v>7.1172803876315249E-2</v>
      </c>
      <c r="AG32" s="30">
        <f t="shared" si="43"/>
        <v>2.6810202701557411</v>
      </c>
      <c r="AH32" s="30" t="str">
        <f t="shared" si="44"/>
        <v>*</v>
      </c>
      <c r="AI32" s="9"/>
      <c r="AJ32" s="81">
        <v>1381</v>
      </c>
      <c r="AK32" s="83">
        <v>3.9320148069682066</v>
      </c>
      <c r="AL32" s="84">
        <v>2.8265751176628891E-2</v>
      </c>
      <c r="AM32" s="30">
        <f t="shared" si="45"/>
        <v>-7.102365543928097</v>
      </c>
      <c r="AN32" s="30" t="str">
        <f t="shared" si="46"/>
        <v>*</v>
      </c>
      <c r="AO32" s="9"/>
      <c r="AP32" s="78">
        <v>170</v>
      </c>
      <c r="AQ32" s="79">
        <v>4.4559800688537043</v>
      </c>
      <c r="AR32" s="80">
        <v>6.1994128213451502E-2</v>
      </c>
      <c r="AS32" s="30">
        <f t="shared" si="74"/>
        <v>-11.777031614340448</v>
      </c>
      <c r="AT32" s="30" t="str">
        <f t="shared" si="75"/>
        <v>*</v>
      </c>
      <c r="AU32" s="80"/>
      <c r="AV32" s="78">
        <v>107</v>
      </c>
      <c r="AW32" s="79">
        <v>3.7881520719891779</v>
      </c>
      <c r="AX32" s="80">
        <v>0.10392953902924187</v>
      </c>
      <c r="AY32" s="30">
        <f t="shared" si="76"/>
        <v>-2.0211815065888525</v>
      </c>
      <c r="AZ32" s="30" t="str">
        <f t="shared" si="77"/>
        <v>*</v>
      </c>
      <c r="BA32" s="80"/>
      <c r="BB32" s="78">
        <v>174</v>
      </c>
      <c r="BC32" s="79">
        <v>4.0083912535287256</v>
      </c>
      <c r="BD32" s="80">
        <v>8.2506534545791113E-2</v>
      </c>
      <c r="BE32" s="30">
        <f t="shared" si="78"/>
        <v>-4.7932442590652506</v>
      </c>
      <c r="BF32" s="30" t="str">
        <f t="shared" si="79"/>
        <v>*</v>
      </c>
      <c r="BG32" s="80"/>
      <c r="BH32" s="78">
        <v>229</v>
      </c>
      <c r="BI32" s="79">
        <v>3.7249291493399506</v>
      </c>
      <c r="BJ32" s="80">
        <v>7.47378466496115E-2</v>
      </c>
      <c r="BK32" s="30">
        <f t="shared" si="80"/>
        <v>-1.9009882450624849</v>
      </c>
      <c r="BL32" s="30" t="str">
        <f t="shared" si="81"/>
        <v xml:space="preserve"> </v>
      </c>
      <c r="BM32" s="80"/>
      <c r="BN32" s="78">
        <v>230</v>
      </c>
      <c r="BO32" s="79">
        <v>3.6537391185331485</v>
      </c>
      <c r="BP32" s="80">
        <v>7.7689715821652322E-2</v>
      </c>
      <c r="BQ32" s="30">
        <f t="shared" si="82"/>
        <v>-1.049743357807039</v>
      </c>
      <c r="BR32" s="30" t="str">
        <f t="shared" si="83"/>
        <v xml:space="preserve"> </v>
      </c>
      <c r="BS32" s="9"/>
      <c r="BT32" s="27">
        <v>3524</v>
      </c>
      <c r="BU32" s="27">
        <v>3537.8891915599265</v>
      </c>
      <c r="BV32" s="28">
        <v>4.1909292806177971</v>
      </c>
      <c r="BW32" s="29">
        <v>1.8042984564988544E-2</v>
      </c>
      <c r="BX32" s="30">
        <f t="shared" si="57"/>
        <v>-13.241081555528629</v>
      </c>
      <c r="BY32" s="30" t="str">
        <f t="shared" si="58"/>
        <v>*</v>
      </c>
      <c r="BZ32" s="30"/>
      <c r="CA32" s="27">
        <v>98</v>
      </c>
      <c r="CB32" s="27">
        <v>98</v>
      </c>
      <c r="CC32" s="28">
        <v>3.693877551020408</v>
      </c>
      <c r="CD32" s="29">
        <v>0.10600342902538148</v>
      </c>
      <c r="CE32" s="30">
        <f t="shared" si="59"/>
        <v>-1.1664065717100156</v>
      </c>
      <c r="CF32" s="30" t="str">
        <f t="shared" si="0"/>
        <v xml:space="preserve"> </v>
      </c>
      <c r="CG32" s="30"/>
      <c r="CH32" s="27">
        <v>810</v>
      </c>
      <c r="CI32" s="27">
        <v>826.6858711500023</v>
      </c>
      <c r="CJ32" s="28">
        <v>3.7334541993762711</v>
      </c>
      <c r="CK32" s="29">
        <v>3.809342601451067E-2</v>
      </c>
      <c r="CL32" s="30">
        <f t="shared" si="60"/>
        <v>-2.9770252170597336</v>
      </c>
      <c r="CM32" s="30" t="str">
        <f t="shared" si="1"/>
        <v>*</v>
      </c>
      <c r="CN32" s="30"/>
      <c r="CO32" s="27">
        <v>612</v>
      </c>
      <c r="CP32" s="27">
        <v>612.14673284000412</v>
      </c>
      <c r="CQ32" s="28">
        <v>4.0183761735324675</v>
      </c>
      <c r="CR32" s="29">
        <v>4.2207243190543989E-2</v>
      </c>
      <c r="CS32" s="30">
        <f t="shared" si="61"/>
        <v>-7.5093228630542974</v>
      </c>
      <c r="CT32" s="30" t="str">
        <f t="shared" si="2"/>
        <v>*</v>
      </c>
      <c r="CU32" s="30"/>
      <c r="CV32" s="27">
        <v>81</v>
      </c>
      <c r="CW32" s="27">
        <v>81.084129160000131</v>
      </c>
      <c r="CX32" s="28">
        <v>4.8637949513127641</v>
      </c>
      <c r="CY32" s="29">
        <v>6.5208941836350329E-2</v>
      </c>
      <c r="CZ32" s="30">
        <f t="shared" si="62"/>
        <v>-16.562185034869529</v>
      </c>
      <c r="DA32" s="30" t="str">
        <f t="shared" si="3"/>
        <v>*</v>
      </c>
      <c r="DB32" s="30"/>
      <c r="DC32" s="27">
        <v>723</v>
      </c>
      <c r="DD32" s="27">
        <v>723.05804920999276</v>
      </c>
      <c r="DE32" s="28">
        <v>4.9253176919902915</v>
      </c>
      <c r="DF32" s="29">
        <v>1.1241254260399488E-2</v>
      </c>
      <c r="DG32" s="30">
        <f t="shared" si="63"/>
        <v>-29.998298878496101</v>
      </c>
      <c r="DH32" s="30" t="str">
        <f t="shared" si="4"/>
        <v>*</v>
      </c>
      <c r="DI32" s="30"/>
      <c r="DJ32" s="27">
        <v>489</v>
      </c>
      <c r="DK32" s="27">
        <v>489</v>
      </c>
      <c r="DL32" s="28">
        <v>4.9959100204498963</v>
      </c>
      <c r="DM32" s="29">
        <v>2.8890875869033751E-3</v>
      </c>
      <c r="DN32" s="30">
        <f t="shared" si="64"/>
        <v>-32.488294626182061</v>
      </c>
      <c r="DO32" s="30" t="str">
        <f t="shared" si="5"/>
        <v>*</v>
      </c>
      <c r="DP32" s="8"/>
      <c r="DQ32" s="27">
        <v>194</v>
      </c>
      <c r="DR32" s="27">
        <v>193.44512409999936</v>
      </c>
      <c r="DS32" s="28">
        <v>3.5555738375418673</v>
      </c>
      <c r="DT32" s="29">
        <v>8.8177208666823867E-2</v>
      </c>
      <c r="DU32" s="29"/>
      <c r="DV32" s="27">
        <v>127</v>
      </c>
      <c r="DW32" s="27">
        <v>127.00256423000029</v>
      </c>
      <c r="DX32" s="28">
        <v>3.2598247630673054</v>
      </c>
      <c r="DY32" s="29">
        <v>0.12308313788532926</v>
      </c>
      <c r="DZ32" s="10">
        <f t="shared" si="6"/>
        <v>1.9533126514807471</v>
      </c>
      <c r="EA32" s="10" t="str">
        <f t="shared" si="7"/>
        <v xml:space="preserve"> </v>
      </c>
      <c r="EB32" s="29"/>
      <c r="EC32" s="27">
        <v>163</v>
      </c>
      <c r="ED32" s="27">
        <v>164.27154801000015</v>
      </c>
      <c r="EE32" s="28">
        <v>3.4157417471091378</v>
      </c>
      <c r="EF32" s="29">
        <v>0.10576326747087759</v>
      </c>
      <c r="EG32" s="10">
        <f t="shared" si="8"/>
        <v>1.0154889763976016</v>
      </c>
      <c r="EH32" s="10" t="str">
        <f t="shared" si="9"/>
        <v xml:space="preserve"> </v>
      </c>
      <c r="EI32" s="29"/>
      <c r="EJ32" s="27">
        <v>126</v>
      </c>
      <c r="EK32" s="27">
        <v>128.38603329999972</v>
      </c>
      <c r="EL32" s="28">
        <v>3.4458226564742689</v>
      </c>
      <c r="EM32" s="29">
        <v>0.11704718133260125</v>
      </c>
      <c r="EN32" s="10">
        <f t="shared" si="10"/>
        <v>0.74892781260328867</v>
      </c>
      <c r="EO32" s="10" t="str">
        <f t="shared" si="65"/>
        <v xml:space="preserve"> </v>
      </c>
      <c r="EP32" s="29"/>
      <c r="EQ32" s="8">
        <v>163</v>
      </c>
      <c r="ER32" s="8">
        <v>162.5902857300002</v>
      </c>
      <c r="ES32" s="69">
        <v>3.4763841098023756</v>
      </c>
      <c r="ET32" s="9">
        <v>9.5984303409935107E-2</v>
      </c>
      <c r="EU32" s="10">
        <f t="shared" si="11"/>
        <v>0.60756826655115537</v>
      </c>
      <c r="EV32" s="10" t="str">
        <f t="shared" si="66"/>
        <v xml:space="preserve"> </v>
      </c>
      <c r="EW32" s="29"/>
      <c r="EX32" s="88">
        <v>800</v>
      </c>
      <c r="EY32" s="88">
        <v>799.57594777000259</v>
      </c>
      <c r="EZ32" s="28">
        <v>3.8150147433492538</v>
      </c>
      <c r="FA32" s="29">
        <v>3.8539866728188557E-2</v>
      </c>
      <c r="FB32" s="30">
        <f t="shared" si="12"/>
        <v>-2.6960023215351163</v>
      </c>
      <c r="FC32" s="30" t="str">
        <f t="shared" si="67"/>
        <v>*</v>
      </c>
      <c r="FD32" s="30"/>
      <c r="FE32" s="27">
        <v>158</v>
      </c>
      <c r="FF32" s="27">
        <v>157.97614959999987</v>
      </c>
      <c r="FG32" s="28">
        <v>3.7150499771390808</v>
      </c>
      <c r="FH32" s="29">
        <v>9.3806649780267426E-2</v>
      </c>
      <c r="FI32" s="30">
        <f t="shared" si="13"/>
        <v>-1.2387114594100794</v>
      </c>
      <c r="FJ32" s="30" t="str">
        <f t="shared" si="14"/>
        <v xml:space="preserve"> </v>
      </c>
      <c r="FK32" s="30"/>
      <c r="FL32" s="88">
        <v>55</v>
      </c>
      <c r="FM32" s="88">
        <v>54.998973970000044</v>
      </c>
      <c r="FN32" s="28">
        <v>4.0181621219069443</v>
      </c>
      <c r="FO32" s="29">
        <v>0.12304190825402923</v>
      </c>
      <c r="FP32" s="30">
        <f t="shared" si="15"/>
        <v>-3.0559000116856492</v>
      </c>
      <c r="FQ32" s="30" t="str">
        <f t="shared" si="16"/>
        <v>*</v>
      </c>
      <c r="FR32" s="30"/>
      <c r="FS32" s="88">
        <v>109</v>
      </c>
      <c r="FT32" s="88">
        <v>109.1285472699998</v>
      </c>
      <c r="FU32" s="28">
        <v>4.0284677466869763</v>
      </c>
      <c r="FV32" s="29">
        <v>7.6410784834119061E-2</v>
      </c>
      <c r="FW32" s="30">
        <f t="shared" si="17"/>
        <v>-4.0529718562536692</v>
      </c>
      <c r="FX32" s="30" t="str">
        <f t="shared" si="18"/>
        <v>*</v>
      </c>
      <c r="FY32" s="30"/>
      <c r="FZ32" s="88">
        <v>203</v>
      </c>
      <c r="GA32" s="88">
        <v>203.00972979000093</v>
      </c>
      <c r="GB32" s="28">
        <v>3.8275504258529165</v>
      </c>
      <c r="GC32" s="29">
        <v>7.50592177957978E-2</v>
      </c>
      <c r="GD32" s="30">
        <f t="shared" si="19"/>
        <v>-2.3487219406300675</v>
      </c>
      <c r="GE32" s="30" t="str">
        <f t="shared" si="20"/>
        <v>*</v>
      </c>
      <c r="GF32" s="30"/>
      <c r="GG32" s="88">
        <v>81</v>
      </c>
      <c r="GH32" s="88">
        <v>81.017423039999912</v>
      </c>
      <c r="GI32" s="28">
        <v>4.1725680562944722</v>
      </c>
      <c r="GJ32" s="29">
        <v>9.9052827767630691E-2</v>
      </c>
      <c r="GK32" s="30">
        <f t="shared" si="21"/>
        <v>-4.6525294325047417</v>
      </c>
      <c r="GL32" s="30" t="str">
        <f t="shared" si="22"/>
        <v>*</v>
      </c>
      <c r="GM32" s="10"/>
      <c r="GN32" s="88">
        <v>166</v>
      </c>
      <c r="GO32" s="88">
        <v>165.99119562000055</v>
      </c>
      <c r="GP32" s="28">
        <v>3.2225249841838575</v>
      </c>
      <c r="GQ32" s="29">
        <v>0.10233782012948212</v>
      </c>
      <c r="GR32" s="9"/>
      <c r="GS32" s="3">
        <v>118</v>
      </c>
      <c r="GT32" s="3">
        <v>117.97221276000016</v>
      </c>
      <c r="GU32" s="69">
        <v>3.30625832197877</v>
      </c>
      <c r="GV32" s="9">
        <v>0.12709812614530838</v>
      </c>
      <c r="GW32" s="10">
        <f t="shared" si="23"/>
        <v>-0.51314202686712129</v>
      </c>
      <c r="GX32" s="10" t="str">
        <f t="shared" si="68"/>
        <v xml:space="preserve"> </v>
      </c>
      <c r="GY32" s="9"/>
      <c r="GZ32" s="27">
        <v>158</v>
      </c>
      <c r="HA32" s="27">
        <v>157.71045505999993</v>
      </c>
      <c r="HB32" s="28">
        <v>3.4309410825943232</v>
      </c>
      <c r="HC32" s="29">
        <v>0.10160726600004405</v>
      </c>
      <c r="HD32" s="10">
        <f t="shared" si="24"/>
        <v>-1.445207568309453</v>
      </c>
      <c r="HE32" s="10" t="str">
        <f t="shared" si="69"/>
        <v xml:space="preserve"> </v>
      </c>
      <c r="HF32" s="9"/>
      <c r="HG32" s="27">
        <v>281</v>
      </c>
      <c r="HH32" s="27">
        <v>281.53695181999984</v>
      </c>
      <c r="HI32" s="28">
        <v>3.2389856109297428</v>
      </c>
      <c r="HJ32" s="29">
        <v>7.3959147181286905E-2</v>
      </c>
      <c r="HK32" s="10">
        <f t="shared" si="25"/>
        <v>-0.13036516241158622</v>
      </c>
      <c r="HL32" s="10" t="str">
        <f t="shared" si="70"/>
        <v xml:space="preserve"> </v>
      </c>
      <c r="HM32" s="29"/>
      <c r="HN32" s="8">
        <v>253</v>
      </c>
      <c r="HO32" s="8">
        <v>254.16508866999905</v>
      </c>
      <c r="HP32" s="69">
        <v>3.0729673681269385</v>
      </c>
      <c r="HQ32" s="9">
        <v>8.4799413645325145E-2</v>
      </c>
      <c r="HR32" s="10">
        <f t="shared" si="26"/>
        <v>1.125289780762061</v>
      </c>
      <c r="HS32" s="10" t="str">
        <f t="shared" si="71"/>
        <v xml:space="preserve"> </v>
      </c>
      <c r="HT32" s="9"/>
      <c r="HU32" s="88">
        <v>820</v>
      </c>
      <c r="HV32" s="88">
        <v>819.65319358000852</v>
      </c>
      <c r="HW32" s="28">
        <v>3.6255491399728892</v>
      </c>
      <c r="HX32" s="29">
        <v>4.3216690618292607E-2</v>
      </c>
      <c r="HY32" s="30">
        <f t="shared" si="27"/>
        <v>-3.6279473207110997</v>
      </c>
      <c r="HZ32" s="30" t="str">
        <f t="shared" si="72"/>
        <v>*</v>
      </c>
      <c r="IA32" s="30"/>
      <c r="IB32" s="88">
        <v>158</v>
      </c>
      <c r="IC32" s="88">
        <v>157.97614959999987</v>
      </c>
      <c r="ID32" s="28">
        <v>3.7150499771390808</v>
      </c>
      <c r="IE32" s="29">
        <v>9.3806649780267426E-2</v>
      </c>
      <c r="IF32" s="30">
        <f t="shared" si="28"/>
        <v>-3.5477809844848487</v>
      </c>
      <c r="IG32" s="30" t="str">
        <f t="shared" si="29"/>
        <v>*</v>
      </c>
      <c r="IH32" s="30"/>
      <c r="II32" s="88">
        <v>83</v>
      </c>
      <c r="IJ32" s="88">
        <v>83.042593960000005</v>
      </c>
      <c r="IK32" s="28">
        <v>3.7076519118406397</v>
      </c>
      <c r="IL32" s="29">
        <v>0.13336071771271552</v>
      </c>
      <c r="IM32" s="30">
        <f t="shared" si="30"/>
        <v>-2.8859169053089437</v>
      </c>
      <c r="IN32" s="30" t="str">
        <f t="shared" si="84"/>
        <v>*</v>
      </c>
      <c r="IO32" s="30"/>
      <c r="IP32" s="88">
        <v>201</v>
      </c>
      <c r="IQ32" s="88">
        <v>201.28688382000004</v>
      </c>
      <c r="IR32" s="28">
        <v>3.5335984263934832</v>
      </c>
      <c r="IS32" s="29">
        <v>9.2933180340349142E-2</v>
      </c>
      <c r="IT32" s="30">
        <f t="shared" si="32"/>
        <v>-2.2502826664134097</v>
      </c>
      <c r="IU32" s="30" t="str">
        <f t="shared" si="33"/>
        <v>*</v>
      </c>
      <c r="IV32" s="30"/>
      <c r="IW32" s="88">
        <v>55</v>
      </c>
      <c r="IX32" s="88">
        <v>54.998973970000044</v>
      </c>
      <c r="IY32" s="28">
        <v>4.0181621219069443</v>
      </c>
      <c r="IZ32" s="29">
        <v>0.12304190825402923</v>
      </c>
      <c r="JA32" s="30">
        <f t="shared" si="34"/>
        <v>-4.9715339779950343</v>
      </c>
      <c r="JB32" s="30" t="str">
        <f t="shared" si="73"/>
        <v>*</v>
      </c>
      <c r="JC32" s="30"/>
      <c r="JD32" s="88">
        <v>157</v>
      </c>
      <c r="JE32" s="88">
        <v>156.35739661000017</v>
      </c>
      <c r="JF32" s="28">
        <v>3.8996429727648936</v>
      </c>
      <c r="JG32" s="29">
        <v>8.6834470550082449E-2</v>
      </c>
      <c r="JH32" s="30">
        <f t="shared" si="35"/>
        <v>-5.0450823161380756</v>
      </c>
      <c r="JI32" s="30" t="str">
        <f t="shared" si="36"/>
        <v>*</v>
      </c>
      <c r="JK32" s="27"/>
      <c r="JL32" s="27"/>
      <c r="JM32" s="28"/>
      <c r="JN32" s="29"/>
    </row>
    <row r="33" spans="1:274" x14ac:dyDescent="0.2">
      <c r="B33" s="7" t="s">
        <v>36</v>
      </c>
      <c r="C33" s="27">
        <v>2833</v>
      </c>
      <c r="D33" s="27">
        <v>2832.1280072299223</v>
      </c>
      <c r="E33" s="28">
        <v>3.9894738253059541</v>
      </c>
      <c r="F33" s="29">
        <v>1.7961366627445581E-2</v>
      </c>
      <c r="G33" s="29"/>
      <c r="H33" s="3">
        <v>909</v>
      </c>
      <c r="I33" s="3">
        <v>908.93582280001363</v>
      </c>
      <c r="J33" s="28">
        <v>3.9509061732845598</v>
      </c>
      <c r="K33" s="29">
        <v>3.327612290348194E-2</v>
      </c>
      <c r="L33" s="30">
        <f t="shared" si="37"/>
        <v>1.0199260620844766</v>
      </c>
      <c r="M33" s="30" t="str">
        <f t="shared" si="38"/>
        <v xml:space="preserve"> </v>
      </c>
      <c r="N33" s="9"/>
      <c r="O33" s="27">
        <v>1034</v>
      </c>
      <c r="P33" s="27">
        <v>1034.509233180007</v>
      </c>
      <c r="Q33" s="28">
        <v>3.5331237325689804</v>
      </c>
      <c r="R33" s="29">
        <v>2.9219534646811141E-2</v>
      </c>
      <c r="S33" s="30">
        <f t="shared" si="39"/>
        <v>13.305222179165147</v>
      </c>
      <c r="T33" s="30" t="str">
        <f t="shared" si="40"/>
        <v>*</v>
      </c>
      <c r="U33" s="30"/>
      <c r="V33" s="27">
        <v>1013</v>
      </c>
      <c r="W33" s="27">
        <v>1011.1954236200188</v>
      </c>
      <c r="X33" s="28">
        <v>3.8396290891532532</v>
      </c>
      <c r="Y33" s="29">
        <v>2.5323513289948064E-2</v>
      </c>
      <c r="Z33" s="30">
        <f t="shared" si="41"/>
        <v>4.8264468171518979</v>
      </c>
      <c r="AA33" s="30" t="str">
        <f t="shared" si="42"/>
        <v>*</v>
      </c>
      <c r="AB33" s="9"/>
      <c r="AC33" s="8">
        <v>1154</v>
      </c>
      <c r="AD33" s="8">
        <v>1151.5610527600036</v>
      </c>
      <c r="AE33" s="69">
        <v>3.5310995074504823</v>
      </c>
      <c r="AF33" s="9">
        <v>2.9983884115748313E-2</v>
      </c>
      <c r="AG33" s="30">
        <f t="shared" si="43"/>
        <v>13.114385445485365</v>
      </c>
      <c r="AH33" s="30" t="str">
        <f t="shared" si="44"/>
        <v>*</v>
      </c>
      <c r="AI33" s="9"/>
      <c r="AJ33" s="81">
        <v>5723</v>
      </c>
      <c r="AK33" s="83">
        <v>4.1215840172840652</v>
      </c>
      <c r="AL33" s="84">
        <v>1.225957936063175E-2</v>
      </c>
      <c r="AM33" s="30">
        <f t="shared" si="45"/>
        <v>-6.0750240795834829</v>
      </c>
      <c r="AN33" s="30" t="str">
        <f t="shared" si="46"/>
        <v>*</v>
      </c>
      <c r="AO33" s="9"/>
      <c r="AP33" s="78">
        <v>727</v>
      </c>
      <c r="AQ33" s="79">
        <v>4.3927886294594751</v>
      </c>
      <c r="AR33" s="80">
        <v>3.2487185449896434E-2</v>
      </c>
      <c r="AS33" s="30">
        <f t="shared" si="74"/>
        <v>-10.864635404050901</v>
      </c>
      <c r="AT33" s="30" t="str">
        <f t="shared" si="75"/>
        <v>*</v>
      </c>
      <c r="AU33" s="80"/>
      <c r="AV33" s="78">
        <v>921</v>
      </c>
      <c r="AW33" s="79">
        <v>4.2253405786582041</v>
      </c>
      <c r="AX33" s="80">
        <v>2.908693139522537E-2</v>
      </c>
      <c r="AY33" s="30">
        <f t="shared" si="76"/>
        <v>-6.899578962770188</v>
      </c>
      <c r="AZ33" s="30" t="str">
        <f t="shared" si="77"/>
        <v>*</v>
      </c>
      <c r="BA33" s="80"/>
      <c r="BB33" s="78">
        <v>940</v>
      </c>
      <c r="BC33" s="79">
        <v>4.2652247396104173</v>
      </c>
      <c r="BD33" s="80">
        <v>2.8320446349711204E-2</v>
      </c>
      <c r="BE33" s="30">
        <f t="shared" si="78"/>
        <v>-8.2225524177748603</v>
      </c>
      <c r="BF33" s="30" t="str">
        <f t="shared" si="79"/>
        <v>*</v>
      </c>
      <c r="BG33" s="80"/>
      <c r="BH33" s="78">
        <v>1269</v>
      </c>
      <c r="BI33" s="79">
        <v>4.048058488952134</v>
      </c>
      <c r="BJ33" s="80">
        <v>2.5325763248877569E-2</v>
      </c>
      <c r="BK33" s="30">
        <f t="shared" si="80"/>
        <v>-1.8868800955112908</v>
      </c>
      <c r="BL33" s="30" t="str">
        <f t="shared" si="81"/>
        <v xml:space="preserve"> </v>
      </c>
      <c r="BM33" s="80"/>
      <c r="BN33" s="78">
        <v>1291</v>
      </c>
      <c r="BO33" s="79">
        <v>4.2018963949584656</v>
      </c>
      <c r="BP33" s="80">
        <v>2.2839863774755286E-2</v>
      </c>
      <c r="BQ33" s="30">
        <f t="shared" si="82"/>
        <v>-7.3107168192138081</v>
      </c>
      <c r="BR33" s="30" t="str">
        <f t="shared" si="83"/>
        <v>*</v>
      </c>
      <c r="BS33" s="9"/>
      <c r="BT33" s="27">
        <v>11127</v>
      </c>
      <c r="BU33" s="27">
        <v>11135.233544069129</v>
      </c>
      <c r="BV33" s="28">
        <v>4.1778989299021214</v>
      </c>
      <c r="BW33" s="29">
        <v>8.828534066054463E-3</v>
      </c>
      <c r="BX33" s="30">
        <f t="shared" si="57"/>
        <v>-9.4147412480654555</v>
      </c>
      <c r="BY33" s="30" t="str">
        <f t="shared" si="58"/>
        <v>*</v>
      </c>
      <c r="BZ33" s="30"/>
      <c r="CA33" s="27">
        <v>506</v>
      </c>
      <c r="CB33" s="27">
        <v>506</v>
      </c>
      <c r="CC33" s="28">
        <v>3.946640316205531</v>
      </c>
      <c r="CD33" s="29">
        <v>4.1380668872553976E-2</v>
      </c>
      <c r="CE33" s="30">
        <f t="shared" si="59"/>
        <v>0.94952106021926541</v>
      </c>
      <c r="CF33" s="30" t="str">
        <f t="shared" si="0"/>
        <v xml:space="preserve"> </v>
      </c>
      <c r="CG33" s="30"/>
      <c r="CH33" s="27">
        <v>3077</v>
      </c>
      <c r="CI33" s="27">
        <v>3086.1909345298955</v>
      </c>
      <c r="CJ33" s="28">
        <v>3.9600347381881043</v>
      </c>
      <c r="CK33" s="29">
        <v>1.7392474235977475E-2</v>
      </c>
      <c r="CL33" s="30">
        <f t="shared" si="60"/>
        <v>1.1774609547715693</v>
      </c>
      <c r="CM33" s="30" t="str">
        <f t="shared" si="1"/>
        <v xml:space="preserve"> </v>
      </c>
      <c r="CN33" s="30"/>
      <c r="CO33" s="27">
        <v>2727</v>
      </c>
      <c r="CP33" s="27">
        <v>2727.0388820299677</v>
      </c>
      <c r="CQ33" s="28">
        <v>4.1137901233843044</v>
      </c>
      <c r="CR33" s="29">
        <v>1.7071808903962097E-2</v>
      </c>
      <c r="CS33" s="30">
        <f t="shared" si="61"/>
        <v>-5.0167631989555739</v>
      </c>
      <c r="CT33" s="30" t="str">
        <f t="shared" si="2"/>
        <v>*</v>
      </c>
      <c r="CU33" s="30"/>
      <c r="CV33" s="27">
        <v>564</v>
      </c>
      <c r="CW33" s="27">
        <v>563.85577624000416</v>
      </c>
      <c r="CX33" s="28">
        <v>4.939459324745</v>
      </c>
      <c r="CY33" s="29">
        <v>1.2315213558393143E-2</v>
      </c>
      <c r="CZ33" s="30">
        <f t="shared" si="62"/>
        <v>-43.62161890651921</v>
      </c>
      <c r="DA33" s="30" t="str">
        <f t="shared" si="3"/>
        <v>*</v>
      </c>
      <c r="DB33" s="30"/>
      <c r="DC33" s="27">
        <v>876</v>
      </c>
      <c r="DD33" s="27">
        <v>876.0199440399889</v>
      </c>
      <c r="DE33" s="28">
        <v>4.8927517943179284</v>
      </c>
      <c r="DF33" s="29">
        <v>1.2399354833074548E-2</v>
      </c>
      <c r="DG33" s="30">
        <f t="shared" si="63"/>
        <v>-41.386261214627275</v>
      </c>
      <c r="DH33" s="30" t="str">
        <f t="shared" si="4"/>
        <v>*</v>
      </c>
      <c r="DI33" s="30"/>
      <c r="DJ33" s="27">
        <v>544</v>
      </c>
      <c r="DK33" s="27">
        <v>544</v>
      </c>
      <c r="DL33" s="28">
        <v>4.9908088235294157</v>
      </c>
      <c r="DM33" s="29">
        <v>4.8519839563739113E-3</v>
      </c>
      <c r="DN33" s="30">
        <f t="shared" si="64"/>
        <v>-53.8202483458033</v>
      </c>
      <c r="DO33" s="30" t="str">
        <f t="shared" si="5"/>
        <v>*</v>
      </c>
      <c r="DP33" s="8"/>
      <c r="DQ33" s="27">
        <v>932</v>
      </c>
      <c r="DR33" s="27">
        <v>931.41188020000891</v>
      </c>
      <c r="DS33" s="28">
        <v>3.6553875221335175</v>
      </c>
      <c r="DT33" s="29">
        <v>3.624735000306057E-2</v>
      </c>
      <c r="DU33" s="29"/>
      <c r="DV33" s="27">
        <v>643</v>
      </c>
      <c r="DW33" s="27">
        <v>642.8735742699962</v>
      </c>
      <c r="DX33" s="28">
        <v>3.6619293199494303</v>
      </c>
      <c r="DY33" s="29">
        <v>4.3498425017459673E-2</v>
      </c>
      <c r="DZ33" s="10">
        <f t="shared" si="6"/>
        <v>-0.11553577594439715</v>
      </c>
      <c r="EA33" s="10" t="str">
        <f t="shared" si="7"/>
        <v xml:space="preserve"> </v>
      </c>
      <c r="EB33" s="29"/>
      <c r="EC33" s="27">
        <v>650</v>
      </c>
      <c r="ED33" s="27">
        <v>650.55590806000293</v>
      </c>
      <c r="EE33" s="28">
        <v>3.7305770064671617</v>
      </c>
      <c r="EF33" s="29">
        <v>4.2939020674243877E-2</v>
      </c>
      <c r="EG33" s="10">
        <f t="shared" si="8"/>
        <v>-1.3380627939394203</v>
      </c>
      <c r="EH33" s="10" t="str">
        <f t="shared" si="9"/>
        <v xml:space="preserve"> </v>
      </c>
      <c r="EI33" s="29"/>
      <c r="EJ33" s="27">
        <v>643</v>
      </c>
      <c r="EK33" s="27">
        <v>647.74287783000193</v>
      </c>
      <c r="EL33" s="28">
        <v>3.5817970605597376</v>
      </c>
      <c r="EM33" s="29">
        <v>4.1761120466995413E-2</v>
      </c>
      <c r="EN33" s="10">
        <f t="shared" si="10"/>
        <v>1.3307994625798032</v>
      </c>
      <c r="EO33" s="10" t="str">
        <f t="shared" si="65"/>
        <v xml:space="preserve"> </v>
      </c>
      <c r="EP33" s="29"/>
      <c r="EQ33" s="8">
        <v>704</v>
      </c>
      <c r="ER33" s="8">
        <v>703.50685738999971</v>
      </c>
      <c r="ES33" s="69">
        <v>3.7132942958817741</v>
      </c>
      <c r="ET33" s="9">
        <v>4.125937837039273E-2</v>
      </c>
      <c r="EU33" s="10">
        <f t="shared" si="11"/>
        <v>-1.0543840314131623</v>
      </c>
      <c r="EV33" s="10" t="str">
        <f t="shared" si="66"/>
        <v xml:space="preserve"> </v>
      </c>
      <c r="EW33" s="29"/>
      <c r="EX33" s="88">
        <v>4585</v>
      </c>
      <c r="EY33" s="88">
        <v>4584.279866369624</v>
      </c>
      <c r="EZ33" s="28">
        <v>4.0315099102739573</v>
      </c>
      <c r="FA33" s="29">
        <v>1.4047839804907661E-2</v>
      </c>
      <c r="FB33" s="30">
        <f t="shared" si="12"/>
        <v>-9.6753450369721747</v>
      </c>
      <c r="FC33" s="30" t="str">
        <f t="shared" si="67"/>
        <v>*</v>
      </c>
      <c r="FD33" s="30"/>
      <c r="FE33" s="27">
        <v>1008</v>
      </c>
      <c r="FF33" s="27">
        <v>1007.9800088000004</v>
      </c>
      <c r="FG33" s="28">
        <v>4.1844942942880383</v>
      </c>
      <c r="FH33" s="29">
        <v>2.6217880847110832E-2</v>
      </c>
      <c r="FI33" s="30">
        <f t="shared" si="13"/>
        <v>-11.827498504763525</v>
      </c>
      <c r="FJ33" s="30" t="str">
        <f t="shared" si="14"/>
        <v>*</v>
      </c>
      <c r="FK33" s="30"/>
      <c r="FL33" s="88">
        <v>363</v>
      </c>
      <c r="FM33" s="88">
        <v>363.01706024999868</v>
      </c>
      <c r="FN33" s="28">
        <v>4.3167276578704508</v>
      </c>
      <c r="FO33" s="29">
        <v>4.4700920235461919E-2</v>
      </c>
      <c r="FP33" s="30">
        <f t="shared" si="15"/>
        <v>-11.491505247380498</v>
      </c>
      <c r="FQ33" s="30" t="str">
        <f t="shared" si="16"/>
        <v>*</v>
      </c>
      <c r="FR33" s="30"/>
      <c r="FS33" s="88">
        <v>659</v>
      </c>
      <c r="FT33" s="88">
        <v>658.81989337000255</v>
      </c>
      <c r="FU33" s="28">
        <v>4.1086542998782809</v>
      </c>
      <c r="FV33" s="29">
        <v>3.2217165930332081E-2</v>
      </c>
      <c r="FW33" s="30">
        <f t="shared" si="17"/>
        <v>-9.3465687144593819</v>
      </c>
      <c r="FX33" s="30" t="str">
        <f t="shared" si="18"/>
        <v>*</v>
      </c>
      <c r="FY33" s="30"/>
      <c r="FZ33" s="88">
        <v>1254</v>
      </c>
      <c r="GA33" s="88">
        <v>1254.0384854699962</v>
      </c>
      <c r="GB33" s="28">
        <v>3.9824417982182236</v>
      </c>
      <c r="GC33" s="29">
        <v>2.7001508749293086E-2</v>
      </c>
      <c r="GD33" s="30">
        <f t="shared" si="19"/>
        <v>-7.2358701631800866</v>
      </c>
      <c r="GE33" s="30" t="str">
        <f t="shared" si="20"/>
        <v>*</v>
      </c>
      <c r="GF33" s="30"/>
      <c r="GG33" s="88">
        <v>369</v>
      </c>
      <c r="GH33" s="88">
        <v>369.01253827999921</v>
      </c>
      <c r="GI33" s="28">
        <v>4.3114185404529524</v>
      </c>
      <c r="GJ33" s="29">
        <v>4.1265479848952999E-2</v>
      </c>
      <c r="GK33" s="30">
        <f t="shared" si="21"/>
        <v>-11.944214045838528</v>
      </c>
      <c r="GL33" s="30" t="str">
        <f t="shared" si="22"/>
        <v>*</v>
      </c>
      <c r="GM33" s="10"/>
      <c r="GN33" s="88">
        <v>815</v>
      </c>
      <c r="GO33" s="88">
        <v>814.96840095000789</v>
      </c>
      <c r="GP33" s="28">
        <v>3.5888999856565564</v>
      </c>
      <c r="GQ33" s="29">
        <v>3.9810568515258604E-2</v>
      </c>
      <c r="GR33" s="9"/>
      <c r="GS33" s="3">
        <v>592</v>
      </c>
      <c r="GT33" s="3">
        <v>592.00137188999656</v>
      </c>
      <c r="GU33" s="69">
        <v>3.6183289661160032</v>
      </c>
      <c r="GV33" s="9">
        <v>4.6846263541687312E-2</v>
      </c>
      <c r="GW33" s="10">
        <f t="shared" si="23"/>
        <v>-0.47869699111594194</v>
      </c>
      <c r="GX33" s="10" t="str">
        <f t="shared" si="68"/>
        <v xml:space="preserve"> </v>
      </c>
      <c r="GY33" s="9"/>
      <c r="GZ33" s="27">
        <v>597</v>
      </c>
      <c r="HA33" s="27">
        <v>596.5055394500032</v>
      </c>
      <c r="HB33" s="28">
        <v>3.6968995475604349</v>
      </c>
      <c r="HC33" s="29">
        <v>4.3152484729845217E-2</v>
      </c>
      <c r="HD33" s="10">
        <f t="shared" si="24"/>
        <v>-1.8395017232686441</v>
      </c>
      <c r="HE33" s="10" t="str">
        <f t="shared" si="69"/>
        <v xml:space="preserve"> </v>
      </c>
      <c r="HF33" s="9"/>
      <c r="HG33" s="27">
        <v>1230</v>
      </c>
      <c r="HH33" s="27">
        <v>1230.807900019995</v>
      </c>
      <c r="HI33" s="28">
        <v>3.5267426894233211</v>
      </c>
      <c r="HJ33" s="29">
        <v>3.1005573460207561E-2</v>
      </c>
      <c r="HK33" s="10">
        <f t="shared" si="25"/>
        <v>1.2318095295477181</v>
      </c>
      <c r="HL33" s="10" t="str">
        <f t="shared" si="70"/>
        <v xml:space="preserve"> </v>
      </c>
      <c r="HM33" s="29"/>
      <c r="HN33" s="8">
        <v>1280</v>
      </c>
      <c r="HO33" s="8">
        <v>1279.6300205600003</v>
      </c>
      <c r="HP33" s="69">
        <v>3.5188125574292624</v>
      </c>
      <c r="HQ33" s="9">
        <v>3.2244593714213329E-2</v>
      </c>
      <c r="HR33" s="10">
        <f t="shared" si="26"/>
        <v>1.3680720181178097</v>
      </c>
      <c r="HS33" s="10" t="str">
        <f t="shared" si="71"/>
        <v xml:space="preserve"> </v>
      </c>
      <c r="HT33" s="9"/>
      <c r="HU33" s="88">
        <v>4765</v>
      </c>
      <c r="HV33" s="88">
        <v>4764.2746795400508</v>
      </c>
      <c r="HW33" s="28">
        <v>4.0526799855595765</v>
      </c>
      <c r="HX33" s="29">
        <v>1.4160053072264108E-2</v>
      </c>
      <c r="HY33" s="30">
        <f t="shared" si="27"/>
        <v>-10.976039301668267</v>
      </c>
      <c r="HZ33" s="30" t="str">
        <f t="shared" si="72"/>
        <v>*</v>
      </c>
      <c r="IA33" s="30"/>
      <c r="IB33" s="88">
        <v>1008</v>
      </c>
      <c r="IC33" s="88">
        <v>1007.9800088000004</v>
      </c>
      <c r="ID33" s="28">
        <v>4.1844942942880383</v>
      </c>
      <c r="IE33" s="29">
        <v>2.6217880847110832E-2</v>
      </c>
      <c r="IF33" s="30">
        <f t="shared" si="28"/>
        <v>-12.494579859392179</v>
      </c>
      <c r="IG33" s="30" t="str">
        <f t="shared" si="29"/>
        <v>*</v>
      </c>
      <c r="IH33" s="30"/>
      <c r="II33" s="88">
        <v>654</v>
      </c>
      <c r="IJ33" s="88">
        <v>653.98609118000377</v>
      </c>
      <c r="IK33" s="28">
        <v>4.2213423863171382</v>
      </c>
      <c r="IL33" s="29">
        <v>3.3341911171507033E-2</v>
      </c>
      <c r="IM33" s="30">
        <f t="shared" si="30"/>
        <v>-12.179110749293958</v>
      </c>
      <c r="IN33" s="30" t="str">
        <f t="shared" si="84"/>
        <v>*</v>
      </c>
      <c r="IO33" s="30"/>
      <c r="IP33" s="88">
        <v>739</v>
      </c>
      <c r="IQ33" s="88">
        <v>739.11965058000828</v>
      </c>
      <c r="IR33" s="28">
        <v>4.0549179975503895</v>
      </c>
      <c r="IS33" s="29">
        <v>3.8850632575369283E-2</v>
      </c>
      <c r="IT33" s="30">
        <f t="shared" si="32"/>
        <v>-8.3776997442042074</v>
      </c>
      <c r="IU33" s="30" t="str">
        <f t="shared" si="33"/>
        <v>*</v>
      </c>
      <c r="IV33" s="30"/>
      <c r="IW33" s="88">
        <v>363</v>
      </c>
      <c r="IX33" s="88">
        <v>363.01706024999868</v>
      </c>
      <c r="IY33" s="28">
        <v>4.3167276578704508</v>
      </c>
      <c r="IZ33" s="29">
        <v>4.4700920235461919E-2</v>
      </c>
      <c r="JA33" s="30">
        <f t="shared" si="34"/>
        <v>-12.159113402251897</v>
      </c>
      <c r="JB33" s="30" t="str">
        <f t="shared" si="73"/>
        <v>*</v>
      </c>
      <c r="JC33" s="30"/>
      <c r="JD33" s="88">
        <v>1186</v>
      </c>
      <c r="JE33" s="88">
        <v>1185.2034677800093</v>
      </c>
      <c r="JF33" s="28">
        <v>4.0841421144225993</v>
      </c>
      <c r="JG33" s="29">
        <v>2.6725808479293192E-2</v>
      </c>
      <c r="JH33" s="30">
        <f t="shared" si="35"/>
        <v>-10.328420459460801</v>
      </c>
      <c r="JI33" s="30" t="str">
        <f t="shared" si="36"/>
        <v>*</v>
      </c>
      <c r="JK33" s="27"/>
      <c r="JL33" s="27"/>
      <c r="JM33" s="28"/>
      <c r="JN33" s="29"/>
    </row>
    <row r="34" spans="1:274" x14ac:dyDescent="0.2">
      <c r="B34" s="7" t="s">
        <v>37</v>
      </c>
      <c r="C34" s="27">
        <v>2774</v>
      </c>
      <c r="D34" s="27">
        <v>2772.7254986299258</v>
      </c>
      <c r="E34" s="28">
        <v>3.7012604067156052</v>
      </c>
      <c r="F34" s="29">
        <v>2.093106427466853E-2</v>
      </c>
      <c r="G34" s="29"/>
      <c r="H34" s="3">
        <v>901</v>
      </c>
      <c r="I34" s="3">
        <v>900.9414511000133</v>
      </c>
      <c r="J34" s="28">
        <v>3.7341844133960063</v>
      </c>
      <c r="K34" s="29">
        <v>3.6279871999362258E-2</v>
      </c>
      <c r="L34" s="30">
        <f t="shared" si="37"/>
        <v>-0.78606050503468483</v>
      </c>
      <c r="M34" s="30" t="str">
        <f t="shared" si="38"/>
        <v xml:space="preserve"> </v>
      </c>
      <c r="N34" s="9"/>
      <c r="O34" s="27">
        <v>1021</v>
      </c>
      <c r="P34" s="27">
        <v>1021.836304890007</v>
      </c>
      <c r="Q34" s="28">
        <v>3.2117708589765721</v>
      </c>
      <c r="R34" s="29">
        <v>3.2016607836589689E-2</v>
      </c>
      <c r="S34" s="30">
        <f t="shared" si="39"/>
        <v>12.796630748171882</v>
      </c>
      <c r="T34" s="30" t="str">
        <f t="shared" si="40"/>
        <v>*</v>
      </c>
      <c r="U34" s="30"/>
      <c r="V34" s="27">
        <v>998</v>
      </c>
      <c r="W34" s="27">
        <v>995.46685362001824</v>
      </c>
      <c r="X34" s="28">
        <v>3.4123134201981928</v>
      </c>
      <c r="Y34" s="29">
        <v>3.0271256918713612E-2</v>
      </c>
      <c r="Z34" s="30">
        <f t="shared" si="41"/>
        <v>7.8511870893328668</v>
      </c>
      <c r="AA34" s="30" t="str">
        <f t="shared" si="42"/>
        <v>*</v>
      </c>
      <c r="AB34" s="9"/>
      <c r="AC34" s="8">
        <v>1147</v>
      </c>
      <c r="AD34" s="8">
        <v>1144.7550919400035</v>
      </c>
      <c r="AE34" s="69">
        <v>3.2168880924034493</v>
      </c>
      <c r="AF34" s="9">
        <v>3.1848289696385861E-2</v>
      </c>
      <c r="AG34" s="30">
        <f t="shared" si="43"/>
        <v>12.709625438855042</v>
      </c>
      <c r="AH34" s="30" t="str">
        <f t="shared" si="44"/>
        <v>*</v>
      </c>
      <c r="AI34" s="9"/>
      <c r="AJ34" s="81">
        <v>5693</v>
      </c>
      <c r="AK34" s="83">
        <v>3.9913054821784097</v>
      </c>
      <c r="AL34" s="84">
        <v>1.3285458821427789E-2</v>
      </c>
      <c r="AM34" s="30">
        <f t="shared" si="45"/>
        <v>-11.699429154346706</v>
      </c>
      <c r="AN34" s="30" t="str">
        <f t="shared" si="46"/>
        <v>*</v>
      </c>
      <c r="AO34" s="9"/>
      <c r="AP34" s="78">
        <v>729</v>
      </c>
      <c r="AQ34" s="79">
        <v>4.3789495396719103</v>
      </c>
      <c r="AR34" s="80">
        <v>3.3736191414835436E-2</v>
      </c>
      <c r="AS34" s="30">
        <f t="shared" si="74"/>
        <v>-17.069442648741173</v>
      </c>
      <c r="AT34" s="30" t="str">
        <f t="shared" si="75"/>
        <v>*</v>
      </c>
      <c r="AU34" s="80"/>
      <c r="AV34" s="78">
        <v>918</v>
      </c>
      <c r="AW34" s="79">
        <v>4.026782299419807</v>
      </c>
      <c r="AX34" s="80">
        <v>3.2395971639895847E-2</v>
      </c>
      <c r="AY34" s="30">
        <f t="shared" si="76"/>
        <v>-8.4398725145568907</v>
      </c>
      <c r="AZ34" s="30" t="str">
        <f t="shared" si="77"/>
        <v>*</v>
      </c>
      <c r="BA34" s="80"/>
      <c r="BB34" s="78">
        <v>936</v>
      </c>
      <c r="BC34" s="79">
        <v>4.0897110362748785</v>
      </c>
      <c r="BD34" s="80">
        <v>3.2579159361988054E-2</v>
      </c>
      <c r="BE34" s="30">
        <f t="shared" si="78"/>
        <v>-10.03138712124205</v>
      </c>
      <c r="BF34" s="30" t="str">
        <f t="shared" si="79"/>
        <v>*</v>
      </c>
      <c r="BG34" s="80"/>
      <c r="BH34" s="78">
        <v>1261</v>
      </c>
      <c r="BI34" s="79">
        <v>3.8041311940273053</v>
      </c>
      <c r="BJ34" s="80">
        <v>2.8764663025488538E-2</v>
      </c>
      <c r="BK34" s="30">
        <f t="shared" si="80"/>
        <v>-2.8917341592780077</v>
      </c>
      <c r="BL34" s="30" t="str">
        <f t="shared" si="81"/>
        <v>*</v>
      </c>
      <c r="BM34" s="80"/>
      <c r="BN34" s="78">
        <v>1273</v>
      </c>
      <c r="BO34" s="79">
        <v>4.0352745692006584</v>
      </c>
      <c r="BP34" s="80">
        <v>2.5989703333136556E-2</v>
      </c>
      <c r="BQ34" s="30">
        <f t="shared" si="82"/>
        <v>-10.009337077380051</v>
      </c>
      <c r="BR34" s="30" t="str">
        <f t="shared" si="83"/>
        <v>*</v>
      </c>
      <c r="BS34" s="9"/>
      <c r="BT34" s="27">
        <v>11050</v>
      </c>
      <c r="BU34" s="27">
        <v>11066.468640919122</v>
      </c>
      <c r="BV34" s="28">
        <v>4.0419613149494555</v>
      </c>
      <c r="BW34" s="29">
        <v>9.7531043965289645E-3</v>
      </c>
      <c r="BX34" s="30">
        <f t="shared" si="57"/>
        <v>-14.754176918811298</v>
      </c>
      <c r="BY34" s="30" t="str">
        <f t="shared" si="58"/>
        <v>*</v>
      </c>
      <c r="BZ34" s="30"/>
      <c r="CA34" s="27">
        <v>511</v>
      </c>
      <c r="CB34" s="27">
        <v>511</v>
      </c>
      <c r="CC34" s="28">
        <v>3.726027397260276</v>
      </c>
      <c r="CD34" s="29">
        <v>4.6091378401498781E-2</v>
      </c>
      <c r="CE34" s="30">
        <f t="shared" si="59"/>
        <v>-0.48925944178281477</v>
      </c>
      <c r="CF34" s="30" t="str">
        <f t="shared" si="0"/>
        <v xml:space="preserve"> </v>
      </c>
      <c r="CG34" s="30"/>
      <c r="CH34" s="27">
        <v>3072</v>
      </c>
      <c r="CI34" s="27">
        <v>3089.8608400798976</v>
      </c>
      <c r="CJ34" s="28">
        <v>3.8253499134135649</v>
      </c>
      <c r="CK34" s="29">
        <v>1.8055062441713024E-2</v>
      </c>
      <c r="CL34" s="30">
        <f t="shared" si="60"/>
        <v>-4.4891224879116036</v>
      </c>
      <c r="CM34" s="30" t="str">
        <f t="shared" si="1"/>
        <v>*</v>
      </c>
      <c r="CN34" s="30"/>
      <c r="CO34" s="27">
        <v>2707</v>
      </c>
      <c r="CP34" s="27">
        <v>2706.97533319997</v>
      </c>
      <c r="CQ34" s="28">
        <v>4.0596644269746838</v>
      </c>
      <c r="CR34" s="29">
        <v>1.789404238206874E-2</v>
      </c>
      <c r="CS34" s="30">
        <f t="shared" si="61"/>
        <v>-13.015191659974931</v>
      </c>
      <c r="CT34" s="30" t="str">
        <f t="shared" si="2"/>
        <v>*</v>
      </c>
      <c r="CU34" s="30"/>
      <c r="CV34" s="27">
        <v>569</v>
      </c>
      <c r="CW34" s="27">
        <v>568.87580704000425</v>
      </c>
      <c r="CX34" s="28">
        <v>4.9399935644695097</v>
      </c>
      <c r="CY34" s="29">
        <v>1.270768466972357E-2</v>
      </c>
      <c r="CZ34" s="30">
        <f t="shared" si="62"/>
        <v>-50.588158379968299</v>
      </c>
      <c r="DA34" s="30" t="str">
        <f t="shared" si="3"/>
        <v>*</v>
      </c>
      <c r="DB34" s="30"/>
      <c r="DC34" s="27">
        <v>875</v>
      </c>
      <c r="DD34" s="27">
        <v>875.03116196998872</v>
      </c>
      <c r="DE34" s="28">
        <v>4.8434913285583097</v>
      </c>
      <c r="DF34" s="29">
        <v>1.5487487001528598E-2</v>
      </c>
      <c r="DG34" s="30">
        <f t="shared" si="63"/>
        <v>-43.868029650990884</v>
      </c>
      <c r="DH34" s="30" t="str">
        <f t="shared" si="4"/>
        <v>*</v>
      </c>
      <c r="DI34" s="30"/>
      <c r="DJ34" s="27">
        <v>542</v>
      </c>
      <c r="DK34" s="27">
        <v>542</v>
      </c>
      <c r="DL34" s="28">
        <v>4.9926199261992652</v>
      </c>
      <c r="DM34" s="29">
        <v>4.5123869793072457E-3</v>
      </c>
      <c r="DN34" s="30">
        <f t="shared" si="64"/>
        <v>-60.310258739039455</v>
      </c>
      <c r="DO34" s="30" t="str">
        <f t="shared" si="5"/>
        <v>*</v>
      </c>
      <c r="DP34" s="8"/>
      <c r="DQ34" s="27">
        <v>904</v>
      </c>
      <c r="DR34" s="27">
        <v>904.05054084000778</v>
      </c>
      <c r="DS34" s="28">
        <v>3.4186991810195622</v>
      </c>
      <c r="DT34" s="29">
        <v>3.8251904216402746E-2</v>
      </c>
      <c r="DU34" s="29"/>
      <c r="DV34" s="27">
        <v>634</v>
      </c>
      <c r="DW34" s="27">
        <v>633.97815386999594</v>
      </c>
      <c r="DX34" s="28">
        <v>3.3885715475781444</v>
      </c>
      <c r="DY34" s="29">
        <v>4.9451090695761431E-2</v>
      </c>
      <c r="DZ34" s="10">
        <f t="shared" si="6"/>
        <v>0.48189605882795894</v>
      </c>
      <c r="EA34" s="10" t="str">
        <f t="shared" si="7"/>
        <v xml:space="preserve"> </v>
      </c>
      <c r="EB34" s="29"/>
      <c r="EC34" s="27">
        <v>645</v>
      </c>
      <c r="ED34" s="27">
        <v>645.60998975000257</v>
      </c>
      <c r="EE34" s="28">
        <v>3.4695557901565155</v>
      </c>
      <c r="EF34" s="29">
        <v>4.6287057725002773E-2</v>
      </c>
      <c r="EG34" s="10">
        <f t="shared" si="8"/>
        <v>-0.84693993640473375</v>
      </c>
      <c r="EH34" s="10" t="str">
        <f t="shared" si="9"/>
        <v xml:space="preserve"> </v>
      </c>
      <c r="EI34" s="29"/>
      <c r="EJ34" s="27">
        <v>636</v>
      </c>
      <c r="EK34" s="27">
        <v>639.62424831000203</v>
      </c>
      <c r="EL34" s="28">
        <v>3.4187795147819018</v>
      </c>
      <c r="EM34" s="29">
        <v>4.4338820038389175E-2</v>
      </c>
      <c r="EN34" s="10">
        <f t="shared" si="10"/>
        <v>-1.3718466073210382E-3</v>
      </c>
      <c r="EO34" s="10" t="str">
        <f t="shared" si="65"/>
        <v xml:space="preserve"> </v>
      </c>
      <c r="EP34" s="29"/>
      <c r="EQ34" s="8">
        <v>698</v>
      </c>
      <c r="ER34" s="8">
        <v>697.50571452999975</v>
      </c>
      <c r="ES34" s="69">
        <v>3.4897557416575204</v>
      </c>
      <c r="ET34" s="9">
        <v>4.3513773953534875E-2</v>
      </c>
      <c r="EU34" s="10">
        <f t="shared" si="11"/>
        <v>-1.2264524617774284</v>
      </c>
      <c r="EV34" s="10" t="str">
        <f t="shared" si="66"/>
        <v xml:space="preserve"> </v>
      </c>
      <c r="EW34" s="29"/>
      <c r="EX34" s="88">
        <v>4503</v>
      </c>
      <c r="EY34" s="88">
        <v>4503.0015850096033</v>
      </c>
      <c r="EZ34" s="28">
        <v>3.8516365047607439</v>
      </c>
      <c r="FA34" s="29">
        <v>1.5379317186267701E-2</v>
      </c>
      <c r="FB34" s="30">
        <f t="shared" si="12"/>
        <v>-10.501101526024966</v>
      </c>
      <c r="FC34" s="30" t="str">
        <f t="shared" si="67"/>
        <v>*</v>
      </c>
      <c r="FD34" s="30"/>
      <c r="FE34" s="27">
        <v>980</v>
      </c>
      <c r="FF34" s="27">
        <v>979.98531880000041</v>
      </c>
      <c r="FG34" s="28">
        <v>3.9132636129446485</v>
      </c>
      <c r="FH34" s="29">
        <v>3.0586813476266614E-2</v>
      </c>
      <c r="FI34" s="30">
        <f t="shared" si="13"/>
        <v>-10.097860335036478</v>
      </c>
      <c r="FJ34" s="30" t="str">
        <f t="shared" si="14"/>
        <v>*</v>
      </c>
      <c r="FK34" s="30"/>
      <c r="FL34" s="88">
        <v>363</v>
      </c>
      <c r="FM34" s="88">
        <v>363.03195527999867</v>
      </c>
      <c r="FN34" s="28">
        <v>4.2397945445955525</v>
      </c>
      <c r="FO34" s="29">
        <v>4.4835207467604284E-2</v>
      </c>
      <c r="FP34" s="30">
        <f t="shared" si="15"/>
        <v>-13.932079676443857</v>
      </c>
      <c r="FQ34" s="30" t="str">
        <f t="shared" si="16"/>
        <v>*</v>
      </c>
      <c r="FR34" s="30"/>
      <c r="FS34" s="88">
        <v>662</v>
      </c>
      <c r="FT34" s="88">
        <v>661.86322151000275</v>
      </c>
      <c r="FU34" s="28">
        <v>4.0928116754544135</v>
      </c>
      <c r="FV34" s="29">
        <v>3.2510898320953205E-2</v>
      </c>
      <c r="FW34" s="30">
        <f t="shared" si="17"/>
        <v>-13.428198223120736</v>
      </c>
      <c r="FX34" s="30" t="str">
        <f t="shared" si="18"/>
        <v>*</v>
      </c>
      <c r="FY34" s="30"/>
      <c r="FZ34" s="88">
        <v>1233</v>
      </c>
      <c r="GA34" s="88">
        <v>1233.0471641399981</v>
      </c>
      <c r="GB34" s="28">
        <v>3.7729590808432216</v>
      </c>
      <c r="GC34" s="29">
        <v>3.0164979727772899E-2</v>
      </c>
      <c r="GD34" s="30">
        <f t="shared" si="19"/>
        <v>-7.2721168468035815</v>
      </c>
      <c r="GE34" s="30" t="str">
        <f t="shared" si="20"/>
        <v>*</v>
      </c>
      <c r="GF34" s="30"/>
      <c r="GG34" s="88">
        <v>361</v>
      </c>
      <c r="GH34" s="88">
        <v>361.02338443999923</v>
      </c>
      <c r="GI34" s="28">
        <v>4.2047376964643277</v>
      </c>
      <c r="GJ34" s="29">
        <v>4.5992077781561655E-2</v>
      </c>
      <c r="GK34" s="30">
        <f t="shared" si="21"/>
        <v>-13.139975828340054</v>
      </c>
      <c r="GL34" s="30" t="str">
        <f t="shared" si="22"/>
        <v>*</v>
      </c>
      <c r="GM34" s="10"/>
      <c r="GN34" s="88">
        <v>789</v>
      </c>
      <c r="GO34" s="88">
        <v>788.96848803000762</v>
      </c>
      <c r="GP34" s="28">
        <v>3.4789680267124079</v>
      </c>
      <c r="GQ34" s="29">
        <v>4.1198060232574822E-2</v>
      </c>
      <c r="GR34" s="9"/>
      <c r="GS34" s="3">
        <v>578</v>
      </c>
      <c r="GT34" s="3">
        <v>578.02064360999611</v>
      </c>
      <c r="GU34" s="69">
        <v>3.5208411183029122</v>
      </c>
      <c r="GV34" s="9">
        <v>4.8862635008183511E-2</v>
      </c>
      <c r="GW34" s="10">
        <f t="shared" si="23"/>
        <v>-0.65516041186125251</v>
      </c>
      <c r="GX34" s="10" t="str">
        <f t="shared" si="68"/>
        <v xml:space="preserve"> </v>
      </c>
      <c r="GY34" s="9"/>
      <c r="GZ34" s="27">
        <v>575</v>
      </c>
      <c r="HA34" s="27">
        <v>574.4050150100029</v>
      </c>
      <c r="HB34" s="28">
        <v>3.513481416566087</v>
      </c>
      <c r="HC34" s="29">
        <v>4.5656572727130453E-2</v>
      </c>
      <c r="HD34" s="10">
        <f t="shared" si="24"/>
        <v>-0.56122651065542628</v>
      </c>
      <c r="HE34" s="10" t="str">
        <f t="shared" si="69"/>
        <v xml:space="preserve"> </v>
      </c>
      <c r="HF34" s="9"/>
      <c r="HG34" s="27">
        <v>1235</v>
      </c>
      <c r="HH34" s="27">
        <v>1234.2417506899947</v>
      </c>
      <c r="HI34" s="28">
        <v>3.3367497329171081</v>
      </c>
      <c r="HJ34" s="29">
        <v>3.2846163992763674E-2</v>
      </c>
      <c r="HK34" s="10">
        <f t="shared" si="25"/>
        <v>2.6991930606813024</v>
      </c>
      <c r="HL34" s="10" t="str">
        <f t="shared" si="70"/>
        <v>*</v>
      </c>
      <c r="HM34" s="29"/>
      <c r="HN34" s="8">
        <v>1246</v>
      </c>
      <c r="HO34" s="8">
        <v>1246.413716629999</v>
      </c>
      <c r="HP34" s="69">
        <v>3.2623366596478633</v>
      </c>
      <c r="HQ34" s="9">
        <v>3.3629165578648722E-2</v>
      </c>
      <c r="HR34" s="10">
        <f t="shared" si="26"/>
        <v>4.0734858203080764</v>
      </c>
      <c r="HS34" s="10" t="str">
        <f t="shared" si="71"/>
        <v>*</v>
      </c>
      <c r="HT34" s="9"/>
      <c r="HU34" s="88">
        <v>4675</v>
      </c>
      <c r="HV34" s="88">
        <v>4674.2826635500151</v>
      </c>
      <c r="HW34" s="28">
        <v>3.7937465164338677</v>
      </c>
      <c r="HX34" s="29">
        <v>1.5941193334161694E-2</v>
      </c>
      <c r="HY34" s="30">
        <f t="shared" si="27"/>
        <v>-7.1257682766770021</v>
      </c>
      <c r="HZ34" s="30" t="str">
        <f t="shared" si="72"/>
        <v>*</v>
      </c>
      <c r="IA34" s="30"/>
      <c r="IB34" s="88">
        <v>980</v>
      </c>
      <c r="IC34" s="88">
        <v>979.98531880000041</v>
      </c>
      <c r="ID34" s="28">
        <v>3.9132636129446485</v>
      </c>
      <c r="IE34" s="29">
        <v>3.0586813476266614E-2</v>
      </c>
      <c r="IF34" s="30">
        <f t="shared" si="28"/>
        <v>-8.4639625361540372</v>
      </c>
      <c r="IG34" s="30" t="str">
        <f t="shared" si="29"/>
        <v>*</v>
      </c>
      <c r="IH34" s="30"/>
      <c r="II34" s="88">
        <v>642</v>
      </c>
      <c r="IJ34" s="88">
        <v>641.94305966000354</v>
      </c>
      <c r="IK34" s="28">
        <v>3.9295496264046337</v>
      </c>
      <c r="IL34" s="29">
        <v>4.0515011705401463E-2</v>
      </c>
      <c r="IM34" s="30">
        <f t="shared" si="30"/>
        <v>-7.7979732319546793</v>
      </c>
      <c r="IN34" s="30" t="str">
        <f t="shared" si="84"/>
        <v>*</v>
      </c>
      <c r="IO34" s="30"/>
      <c r="IP34" s="88">
        <v>729</v>
      </c>
      <c r="IQ34" s="88">
        <v>729.17707958000813</v>
      </c>
      <c r="IR34" s="28">
        <v>4.0100937551468796</v>
      </c>
      <c r="IS34" s="29">
        <v>3.7906382295530734E-2</v>
      </c>
      <c r="IT34" s="30">
        <f t="shared" si="32"/>
        <v>-9.4871504751238742</v>
      </c>
      <c r="IU34" s="30" t="str">
        <f t="shared" si="33"/>
        <v>*</v>
      </c>
      <c r="IV34" s="30"/>
      <c r="IW34" s="88">
        <v>363</v>
      </c>
      <c r="IX34" s="88">
        <v>363.03195527999867</v>
      </c>
      <c r="IY34" s="28">
        <v>4.2397945445955525</v>
      </c>
      <c r="IZ34" s="29">
        <v>4.4835207467604284E-2</v>
      </c>
      <c r="JA34" s="30">
        <f t="shared" si="34"/>
        <v>-12.495293659443496</v>
      </c>
      <c r="JB34" s="30" t="str">
        <f t="shared" si="73"/>
        <v>*</v>
      </c>
      <c r="JC34" s="30"/>
      <c r="JD34" s="88">
        <v>1172</v>
      </c>
      <c r="JE34" s="88">
        <v>1171.1767622000089</v>
      </c>
      <c r="JF34" s="28">
        <v>3.5583954582837953</v>
      </c>
      <c r="JG34" s="29">
        <v>3.4387490411043276E-2</v>
      </c>
      <c r="JH34" s="30">
        <f t="shared" si="35"/>
        <v>-1.480099421340487</v>
      </c>
      <c r="JI34" s="30" t="str">
        <f t="shared" si="36"/>
        <v xml:space="preserve"> </v>
      </c>
      <c r="JK34" s="27"/>
      <c r="JL34" s="27"/>
      <c r="JM34" s="28"/>
      <c r="JN34" s="29"/>
    </row>
    <row r="35" spans="1:274" x14ac:dyDescent="0.2">
      <c r="B35" s="7" t="s">
        <v>38</v>
      </c>
      <c r="C35" s="27">
        <v>2997</v>
      </c>
      <c r="D35" s="27">
        <v>2997.000963649919</v>
      </c>
      <c r="E35" s="28">
        <v>3.6696983031215344</v>
      </c>
      <c r="F35" s="29">
        <v>1.9337697847520298E-2</v>
      </c>
      <c r="G35" s="29"/>
      <c r="H35" s="3">
        <v>970</v>
      </c>
      <c r="I35" s="3">
        <v>969.88123348001614</v>
      </c>
      <c r="J35" s="28">
        <v>3.7027353635810472</v>
      </c>
      <c r="K35" s="29">
        <v>3.3553742604233182E-2</v>
      </c>
      <c r="L35" s="30">
        <f t="shared" si="37"/>
        <v>-0.85307004924738439</v>
      </c>
      <c r="M35" s="30" t="str">
        <f t="shared" si="38"/>
        <v xml:space="preserve"> </v>
      </c>
      <c r="N35" s="9"/>
      <c r="O35" s="27">
        <v>1057</v>
      </c>
      <c r="P35" s="27">
        <v>1057.410816690008</v>
      </c>
      <c r="Q35" s="28">
        <v>3.3333748854806253</v>
      </c>
      <c r="R35" s="29">
        <v>2.7296932585376382E-2</v>
      </c>
      <c r="S35" s="30">
        <f t="shared" si="39"/>
        <v>10.053763344049912</v>
      </c>
      <c r="T35" s="30" t="str">
        <f t="shared" si="40"/>
        <v>*</v>
      </c>
      <c r="U35" s="30"/>
      <c r="V35" s="27">
        <v>1059</v>
      </c>
      <c r="W35" s="27">
        <v>1059.24008660002</v>
      </c>
      <c r="X35" s="28">
        <v>3.4458538551216504</v>
      </c>
      <c r="Y35" s="29">
        <v>2.7874493945694041E-2</v>
      </c>
      <c r="Z35" s="30">
        <f t="shared" si="41"/>
        <v>6.5981338690369</v>
      </c>
      <c r="AA35" s="30" t="str">
        <f t="shared" si="42"/>
        <v>*</v>
      </c>
      <c r="AB35" s="9"/>
      <c r="AC35" s="8">
        <v>1222</v>
      </c>
      <c r="AD35" s="8">
        <v>1220.0112140400056</v>
      </c>
      <c r="AE35" s="69">
        <v>3.3938987392162203</v>
      </c>
      <c r="AF35" s="9">
        <v>2.8224040708350582E-2</v>
      </c>
      <c r="AG35" s="30">
        <f t="shared" si="43"/>
        <v>8.0612034691705343</v>
      </c>
      <c r="AH35" s="30" t="str">
        <f t="shared" si="44"/>
        <v>*</v>
      </c>
      <c r="AI35" s="9"/>
      <c r="AJ35" s="81">
        <v>6035</v>
      </c>
      <c r="AK35" s="83">
        <v>3.8828092664249789</v>
      </c>
      <c r="AL35" s="84">
        <v>1.3171798886873724E-2</v>
      </c>
      <c r="AM35" s="30">
        <f t="shared" si="45"/>
        <v>-9.1082805809282252</v>
      </c>
      <c r="AN35" s="30" t="str">
        <f t="shared" si="46"/>
        <v>*</v>
      </c>
      <c r="AO35" s="9"/>
      <c r="AP35" s="78">
        <v>763</v>
      </c>
      <c r="AQ35" s="79">
        <v>4.2576235816362189</v>
      </c>
      <c r="AR35" s="80">
        <v>3.5967393211336712E-2</v>
      </c>
      <c r="AS35" s="30">
        <f t="shared" si="74"/>
        <v>-14.39713904935199</v>
      </c>
      <c r="AT35" s="30" t="str">
        <f t="shared" si="75"/>
        <v>*</v>
      </c>
      <c r="AU35" s="80"/>
      <c r="AV35" s="78">
        <v>961</v>
      </c>
      <c r="AW35" s="79">
        <v>3.8626672819679264</v>
      </c>
      <c r="AX35" s="80">
        <v>3.2101693432492973E-2</v>
      </c>
      <c r="AY35" s="30">
        <f t="shared" si="76"/>
        <v>-5.149107929141949</v>
      </c>
      <c r="AZ35" s="30" t="str">
        <f t="shared" si="77"/>
        <v>*</v>
      </c>
      <c r="BA35" s="80"/>
      <c r="BB35" s="78">
        <v>984</v>
      </c>
      <c r="BC35" s="79">
        <v>4.1215721719648863</v>
      </c>
      <c r="BD35" s="80">
        <v>2.9284719895935875E-2</v>
      </c>
      <c r="BE35" s="30">
        <f t="shared" si="78"/>
        <v>-12.876348533826599</v>
      </c>
      <c r="BF35" s="30" t="str">
        <f t="shared" si="79"/>
        <v>*</v>
      </c>
      <c r="BG35" s="80"/>
      <c r="BH35" s="78">
        <v>1354</v>
      </c>
      <c r="BI35" s="79">
        <v>3.5923788350391894</v>
      </c>
      <c r="BJ35" s="80">
        <v>2.85660411470651E-2</v>
      </c>
      <c r="BK35" s="30">
        <f t="shared" si="80"/>
        <v>2.2414121170564107</v>
      </c>
      <c r="BL35" s="30" t="str">
        <f t="shared" si="81"/>
        <v>*</v>
      </c>
      <c r="BM35" s="80"/>
      <c r="BN35" s="78">
        <v>1370</v>
      </c>
      <c r="BO35" s="79">
        <v>3.9734953270916682</v>
      </c>
      <c r="BP35" s="80">
        <v>2.5903966098120582E-2</v>
      </c>
      <c r="BQ35" s="30">
        <f t="shared" si="82"/>
        <v>-9.397952868379738</v>
      </c>
      <c r="BR35" s="30" t="str">
        <f t="shared" si="83"/>
        <v>*</v>
      </c>
      <c r="BS35" s="9"/>
      <c r="BT35" s="27">
        <v>11696</v>
      </c>
      <c r="BU35" s="27">
        <v>11702.660075359201</v>
      </c>
      <c r="BV35" s="28">
        <v>3.889910385633379</v>
      </c>
      <c r="BW35" s="29">
        <v>9.7956216920494915E-3</v>
      </c>
      <c r="BX35" s="30">
        <f t="shared" si="57"/>
        <v>-10.158698455238865</v>
      </c>
      <c r="BY35" s="30" t="str">
        <f t="shared" si="58"/>
        <v>*</v>
      </c>
      <c r="BZ35" s="30"/>
      <c r="CA35" s="27">
        <v>533</v>
      </c>
      <c r="CB35" s="27">
        <v>533</v>
      </c>
      <c r="CC35" s="28">
        <v>3.4615384615384626</v>
      </c>
      <c r="CD35" s="29">
        <v>4.3496055556249795E-2</v>
      </c>
      <c r="CE35" s="30">
        <f t="shared" si="59"/>
        <v>4.3730157767500097</v>
      </c>
      <c r="CF35" s="30" t="str">
        <f t="shared" si="0"/>
        <v>*</v>
      </c>
      <c r="CG35" s="30"/>
      <c r="CH35" s="27">
        <v>3236</v>
      </c>
      <c r="CI35" s="27">
        <v>3242.678689139876</v>
      </c>
      <c r="CJ35" s="28">
        <v>3.6616820588656678</v>
      </c>
      <c r="CK35" s="29">
        <v>1.8702296016315019E-2</v>
      </c>
      <c r="CL35" s="30">
        <f t="shared" si="60"/>
        <v>0.2979784961900766</v>
      </c>
      <c r="CM35" s="30" t="str">
        <f t="shared" si="1"/>
        <v xml:space="preserve"> </v>
      </c>
      <c r="CN35" s="30"/>
      <c r="CO35" s="27">
        <v>2919</v>
      </c>
      <c r="CP35" s="27">
        <v>2918.9711628099349</v>
      </c>
      <c r="CQ35" s="28">
        <v>3.7340256566177938</v>
      </c>
      <c r="CR35" s="29">
        <v>1.7967890208468333E-2</v>
      </c>
      <c r="CS35" s="30">
        <f t="shared" si="61"/>
        <v>-2.4369365389263851</v>
      </c>
      <c r="CT35" s="30" t="str">
        <f t="shared" si="2"/>
        <v>*</v>
      </c>
      <c r="CU35" s="30"/>
      <c r="CV35" s="27">
        <v>594</v>
      </c>
      <c r="CW35" s="27">
        <v>593.97596104000468</v>
      </c>
      <c r="CX35" s="28">
        <v>4.9611227672588551</v>
      </c>
      <c r="CY35" s="29">
        <v>8.9508312384080826E-3</v>
      </c>
      <c r="CZ35" s="30">
        <f t="shared" si="62"/>
        <v>-60.605285797254702</v>
      </c>
      <c r="DA35" s="30" t="str">
        <f t="shared" si="3"/>
        <v>*</v>
      </c>
      <c r="DB35" s="30"/>
      <c r="DC35" s="27">
        <v>876</v>
      </c>
      <c r="DD35" s="27">
        <v>876.03329871998858</v>
      </c>
      <c r="DE35" s="28">
        <v>4.8665391681790764</v>
      </c>
      <c r="DF35" s="29">
        <v>1.3086524795452747E-2</v>
      </c>
      <c r="DG35" s="30">
        <f t="shared" si="63"/>
        <v>-51.257452321674066</v>
      </c>
      <c r="DH35" s="30" t="str">
        <f t="shared" si="4"/>
        <v>*</v>
      </c>
      <c r="DI35" s="30"/>
      <c r="DJ35" s="27">
        <v>541</v>
      </c>
      <c r="DK35" s="27">
        <v>541</v>
      </c>
      <c r="DL35" s="28">
        <v>4.9833641404805942</v>
      </c>
      <c r="DM35" s="29">
        <v>6.6322476832711939E-3</v>
      </c>
      <c r="DN35" s="30">
        <f t="shared" si="64"/>
        <v>-64.258625967005798</v>
      </c>
      <c r="DO35" s="30" t="str">
        <f t="shared" si="5"/>
        <v>*</v>
      </c>
      <c r="DP35" s="8"/>
      <c r="DQ35" s="27">
        <v>989</v>
      </c>
      <c r="DR35" s="27">
        <v>989.19833681001057</v>
      </c>
      <c r="DS35" s="28">
        <v>3.5738408128045931</v>
      </c>
      <c r="DT35" s="29">
        <v>3.5043911246408641E-2</v>
      </c>
      <c r="DU35" s="29"/>
      <c r="DV35" s="27">
        <v>692</v>
      </c>
      <c r="DW35" s="27">
        <v>691.9840402199975</v>
      </c>
      <c r="DX35" s="28">
        <v>3.531352140409338</v>
      </c>
      <c r="DY35" s="29">
        <v>4.2623841399270494E-2</v>
      </c>
      <c r="DZ35" s="10">
        <f t="shared" si="6"/>
        <v>0.76999686485207697</v>
      </c>
      <c r="EA35" s="10" t="str">
        <f t="shared" si="7"/>
        <v xml:space="preserve"> </v>
      </c>
      <c r="EB35" s="29"/>
      <c r="EC35" s="27">
        <v>698</v>
      </c>
      <c r="ED35" s="27">
        <v>697.95543961000396</v>
      </c>
      <c r="EE35" s="28">
        <v>3.5650777789343944</v>
      </c>
      <c r="EF35" s="29">
        <v>4.0778244543532453E-2</v>
      </c>
      <c r="EG35" s="10">
        <f t="shared" si="8"/>
        <v>0.16298021272871704</v>
      </c>
      <c r="EH35" s="10" t="str">
        <f t="shared" si="9"/>
        <v xml:space="preserve"> </v>
      </c>
      <c r="EI35" s="29"/>
      <c r="EJ35" s="27">
        <v>686</v>
      </c>
      <c r="EK35" s="27">
        <v>685.71657805000211</v>
      </c>
      <c r="EL35" s="28">
        <v>3.5737699259493696</v>
      </c>
      <c r="EM35" s="29">
        <v>3.9947266151542829E-2</v>
      </c>
      <c r="EN35" s="10">
        <f t="shared" si="10"/>
        <v>1.333964110998368E-3</v>
      </c>
      <c r="EO35" s="10" t="str">
        <f t="shared" si="65"/>
        <v xml:space="preserve"> </v>
      </c>
      <c r="EP35" s="29"/>
      <c r="EQ35" s="8">
        <v>754</v>
      </c>
      <c r="ER35" s="8">
        <v>754.10971464000045</v>
      </c>
      <c r="ES35" s="69">
        <v>3.5773536551214544</v>
      </c>
      <c r="ET35" s="9">
        <v>3.8415971305271052E-2</v>
      </c>
      <c r="EU35" s="10">
        <f t="shared" si="11"/>
        <v>-6.7556376768191456E-2</v>
      </c>
      <c r="EV35" s="10" t="str">
        <f t="shared" si="66"/>
        <v xml:space="preserve"> </v>
      </c>
      <c r="EW35" s="29"/>
      <c r="EX35" s="88">
        <v>4872</v>
      </c>
      <c r="EY35" s="88">
        <v>4872.0874018297245</v>
      </c>
      <c r="EZ35" s="28">
        <v>3.7579023720147173</v>
      </c>
      <c r="FA35" s="29">
        <v>1.4482643336757174E-2</v>
      </c>
      <c r="FB35" s="30">
        <f t="shared" si="12"/>
        <v>-4.8541191539888073</v>
      </c>
      <c r="FC35" s="30" t="str">
        <f t="shared" si="67"/>
        <v>*</v>
      </c>
      <c r="FD35" s="30"/>
      <c r="FE35" s="27">
        <v>1103</v>
      </c>
      <c r="FF35" s="27">
        <v>1102.9895020000038</v>
      </c>
      <c r="FG35" s="28">
        <v>3.9229829158609704</v>
      </c>
      <c r="FH35" s="29">
        <v>2.7158381426716779E-2</v>
      </c>
      <c r="FI35" s="30">
        <f t="shared" si="13"/>
        <v>-7.8749671878060008</v>
      </c>
      <c r="FJ35" s="30" t="str">
        <f t="shared" si="14"/>
        <v>*</v>
      </c>
      <c r="FK35" s="30"/>
      <c r="FL35" s="88">
        <v>378</v>
      </c>
      <c r="FM35" s="88">
        <v>378.0154263299986</v>
      </c>
      <c r="FN35" s="28">
        <v>4.0370341182790224</v>
      </c>
      <c r="FO35" s="29">
        <v>4.6449116417891373E-2</v>
      </c>
      <c r="FP35" s="30">
        <f t="shared" si="15"/>
        <v>-7.9605797776463358</v>
      </c>
      <c r="FQ35" s="30" t="str">
        <f t="shared" si="16"/>
        <v>*</v>
      </c>
      <c r="FR35" s="30"/>
      <c r="FS35" s="88">
        <v>692</v>
      </c>
      <c r="FT35" s="88">
        <v>691.85329301000399</v>
      </c>
      <c r="FU35" s="28">
        <v>3.8526542594218327</v>
      </c>
      <c r="FV35" s="29">
        <v>3.3367483188898296E-2</v>
      </c>
      <c r="FW35" s="30">
        <f t="shared" si="17"/>
        <v>-5.7619556659692597</v>
      </c>
      <c r="FX35" s="30" t="str">
        <f t="shared" si="18"/>
        <v>*</v>
      </c>
      <c r="FY35" s="30"/>
      <c r="FZ35" s="88">
        <v>1319</v>
      </c>
      <c r="GA35" s="88">
        <v>1319.0249977199894</v>
      </c>
      <c r="GB35" s="28">
        <v>3.5193978596116251</v>
      </c>
      <c r="GC35" s="29">
        <v>2.9659002184746652E-2</v>
      </c>
      <c r="GD35" s="30">
        <f t="shared" si="19"/>
        <v>1.1858614941494678</v>
      </c>
      <c r="GE35" s="30" t="str">
        <f t="shared" si="20"/>
        <v xml:space="preserve"> </v>
      </c>
      <c r="GF35" s="30"/>
      <c r="GG35" s="88">
        <v>391</v>
      </c>
      <c r="GH35" s="88">
        <v>391.00584595999914</v>
      </c>
      <c r="GI35" s="28">
        <v>4.1249408329945974</v>
      </c>
      <c r="GJ35" s="29">
        <v>4.3225085252061923E-2</v>
      </c>
      <c r="GK35" s="30">
        <f t="shared" si="21"/>
        <v>-9.9036669510156834</v>
      </c>
      <c r="GL35" s="30" t="str">
        <f t="shared" si="22"/>
        <v>*</v>
      </c>
      <c r="GM35" s="19"/>
      <c r="GN35" s="88">
        <v>919</v>
      </c>
      <c r="GO35" s="88">
        <v>918.97877556000901</v>
      </c>
      <c r="GP35" s="28">
        <v>3.2304297898620788</v>
      </c>
      <c r="GQ35" s="29">
        <v>3.8759062850897565E-2</v>
      </c>
      <c r="GR35" s="9"/>
      <c r="GS35" s="3">
        <v>659</v>
      </c>
      <c r="GT35" s="3">
        <v>658.95963512999867</v>
      </c>
      <c r="GU35" s="69">
        <v>3.2952710150320677</v>
      </c>
      <c r="GV35" s="9">
        <v>4.7360641839631921E-2</v>
      </c>
      <c r="GW35" s="10">
        <f t="shared" si="23"/>
        <v>-1.0595176031457965</v>
      </c>
      <c r="GX35" s="10" t="str">
        <f t="shared" si="68"/>
        <v xml:space="preserve"> </v>
      </c>
      <c r="GY35" s="9"/>
      <c r="GZ35" s="27">
        <v>698</v>
      </c>
      <c r="HA35" s="27">
        <v>697.62024035000468</v>
      </c>
      <c r="HB35" s="28">
        <v>3.4164285375296073</v>
      </c>
      <c r="HC35" s="29">
        <v>4.1809165643943554E-2</v>
      </c>
      <c r="HD35" s="10">
        <f t="shared" si="24"/>
        <v>-3.2624977032315865</v>
      </c>
      <c r="HE35" s="10" t="str">
        <f t="shared" si="69"/>
        <v>*</v>
      </c>
      <c r="HF35" s="9"/>
      <c r="HG35" s="27">
        <v>1404</v>
      </c>
      <c r="HH35" s="27">
        <v>1404.8458661199911</v>
      </c>
      <c r="HI35" s="28">
        <v>3.2466112700084677</v>
      </c>
      <c r="HJ35" s="29">
        <v>3.0491770347846111E-2</v>
      </c>
      <c r="HK35" s="10">
        <f t="shared" si="25"/>
        <v>-0.32812196038753744</v>
      </c>
      <c r="HL35" s="10" t="str">
        <f t="shared" si="70"/>
        <v xml:space="preserve"> </v>
      </c>
      <c r="HM35" s="29"/>
      <c r="HN35" s="8">
        <v>1404</v>
      </c>
      <c r="HO35" s="8">
        <v>1404.0342662000076</v>
      </c>
      <c r="HP35" s="69">
        <v>3.183031641247275</v>
      </c>
      <c r="HQ35" s="9">
        <v>3.1263426714547425E-2</v>
      </c>
      <c r="HR35" s="10">
        <f t="shared" si="26"/>
        <v>0.95184167187636148</v>
      </c>
      <c r="HS35" s="10" t="str">
        <f t="shared" si="71"/>
        <v xml:space="preserve"> </v>
      </c>
      <c r="HT35" s="9"/>
      <c r="HU35" s="88">
        <v>5168</v>
      </c>
      <c r="HV35" s="88">
        <v>5167.7051411502252</v>
      </c>
      <c r="HW35" s="28">
        <v>3.7531233311415071</v>
      </c>
      <c r="HX35" s="29">
        <v>1.467990910638897E-2</v>
      </c>
      <c r="HY35" s="30">
        <f t="shared" si="27"/>
        <v>-12.611458026547426</v>
      </c>
      <c r="HZ35" s="30" t="str">
        <f t="shared" si="72"/>
        <v>*</v>
      </c>
      <c r="IA35" s="30"/>
      <c r="IB35" s="88">
        <v>1103</v>
      </c>
      <c r="IC35" s="88">
        <v>1102.9895020000038</v>
      </c>
      <c r="ID35" s="28">
        <v>3.9229829158609704</v>
      </c>
      <c r="IE35" s="29">
        <v>2.7158381426716779E-2</v>
      </c>
      <c r="IF35" s="30">
        <f t="shared" si="28"/>
        <v>-14.633369549709739</v>
      </c>
      <c r="IG35" s="30" t="str">
        <f t="shared" si="29"/>
        <v>*</v>
      </c>
      <c r="IH35" s="30"/>
      <c r="II35" s="88">
        <v>701</v>
      </c>
      <c r="IJ35" s="88">
        <v>700.89959058000409</v>
      </c>
      <c r="IK35" s="28">
        <v>3.9097931910222936</v>
      </c>
      <c r="IL35" s="29">
        <v>3.5290690973418373E-2</v>
      </c>
      <c r="IM35" s="30">
        <f t="shared" si="30"/>
        <v>-12.960377811610778</v>
      </c>
      <c r="IN35" s="30" t="str">
        <f t="shared" si="84"/>
        <v>*</v>
      </c>
      <c r="IO35" s="30"/>
      <c r="IP35" s="88">
        <v>801</v>
      </c>
      <c r="IQ35" s="88">
        <v>801.02380866000976</v>
      </c>
      <c r="IR35" s="28">
        <v>3.8505272843758593</v>
      </c>
      <c r="IS35" s="29">
        <v>3.8620837778447929E-2</v>
      </c>
      <c r="IT35" s="30">
        <f t="shared" si="32"/>
        <v>-11.333031969055297</v>
      </c>
      <c r="IU35" s="30" t="str">
        <f t="shared" si="33"/>
        <v>*</v>
      </c>
      <c r="IV35" s="30"/>
      <c r="IW35" s="88">
        <v>378</v>
      </c>
      <c r="IX35" s="88">
        <v>378.0154263299986</v>
      </c>
      <c r="IY35" s="28">
        <v>4.0370341182790224</v>
      </c>
      <c r="IZ35" s="29">
        <v>4.6449116417891373E-2</v>
      </c>
      <c r="JA35" s="30">
        <f t="shared" si="34"/>
        <v>-13.333149228661631</v>
      </c>
      <c r="JB35" s="30" t="str">
        <f t="shared" si="73"/>
        <v>*</v>
      </c>
      <c r="JC35" s="30"/>
      <c r="JD35" s="88">
        <v>1266</v>
      </c>
      <c r="JE35" s="88">
        <v>1265.7980380200099</v>
      </c>
      <c r="JF35" s="28">
        <v>3.7514133808800953</v>
      </c>
      <c r="JG35" s="29">
        <v>2.93332403804549E-2</v>
      </c>
      <c r="JH35" s="30">
        <f t="shared" si="35"/>
        <v>-10.718139167514952</v>
      </c>
      <c r="JI35" s="30" t="str">
        <f t="shared" si="36"/>
        <v>*</v>
      </c>
      <c r="JK35" s="27"/>
      <c r="JL35" s="27"/>
      <c r="JM35" s="28"/>
      <c r="JN35" s="29"/>
    </row>
    <row r="36" spans="1:274" x14ac:dyDescent="0.2">
      <c r="A36" s="73"/>
      <c r="B36" s="7" t="s">
        <v>39</v>
      </c>
      <c r="C36" s="27">
        <v>3075</v>
      </c>
      <c r="D36" s="27">
        <v>3075.1802643599176</v>
      </c>
      <c r="E36" s="28">
        <v>3.9629216167840693</v>
      </c>
      <c r="F36" s="29">
        <v>1.7389710369061947E-2</v>
      </c>
      <c r="G36" s="29"/>
      <c r="H36" s="3">
        <v>1003</v>
      </c>
      <c r="I36" s="3">
        <v>1002.9997667800175</v>
      </c>
      <c r="J36" s="28">
        <v>3.9796611304252907</v>
      </c>
      <c r="K36" s="29">
        <v>3.0774162213192846E-2</v>
      </c>
      <c r="L36" s="30">
        <f t="shared" si="37"/>
        <v>-0.47356893512196385</v>
      </c>
      <c r="M36" s="30" t="str">
        <f t="shared" si="38"/>
        <v xml:space="preserve"> </v>
      </c>
      <c r="N36" s="9"/>
      <c r="O36" s="27">
        <v>1078</v>
      </c>
      <c r="P36" s="27">
        <v>1078.0641858600088</v>
      </c>
      <c r="Q36" s="28">
        <v>3.5283443359966782</v>
      </c>
      <c r="R36" s="29">
        <v>2.6628572222122591E-2</v>
      </c>
      <c r="S36" s="30">
        <f t="shared" si="39"/>
        <v>13.664311338981152</v>
      </c>
      <c r="T36" s="30" t="str">
        <f t="shared" si="40"/>
        <v>*</v>
      </c>
      <c r="U36" s="30"/>
      <c r="V36" s="27">
        <v>1079</v>
      </c>
      <c r="W36" s="27">
        <v>1079.2634215000196</v>
      </c>
      <c r="X36" s="28">
        <v>3.6331557986466994</v>
      </c>
      <c r="Y36" s="29">
        <v>2.6104849248621474E-2</v>
      </c>
      <c r="Z36" s="30">
        <f t="shared" si="41"/>
        <v>10.513270562831202</v>
      </c>
      <c r="AA36" s="30" t="str">
        <f t="shared" si="42"/>
        <v>*</v>
      </c>
      <c r="AB36" s="9"/>
      <c r="AC36" s="8">
        <v>1242</v>
      </c>
      <c r="AD36" s="8">
        <v>1240.7729711600059</v>
      </c>
      <c r="AE36" s="69">
        <v>3.5416096962135888</v>
      </c>
      <c r="AF36" s="9">
        <v>2.6928370080037123E-2</v>
      </c>
      <c r="AG36" s="30">
        <f t="shared" si="43"/>
        <v>13.143304209388136</v>
      </c>
      <c r="AH36" s="30" t="str">
        <f t="shared" si="44"/>
        <v>*</v>
      </c>
      <c r="AI36" s="9"/>
      <c r="AJ36" s="81">
        <v>6213</v>
      </c>
      <c r="AK36" s="83">
        <v>4.1212358048317954</v>
      </c>
      <c r="AL36" s="84">
        <v>1.1446328912927314E-2</v>
      </c>
      <c r="AM36" s="30">
        <f t="shared" si="45"/>
        <v>-7.6044030499672832</v>
      </c>
      <c r="AN36" s="30" t="str">
        <f t="shared" si="46"/>
        <v>*</v>
      </c>
      <c r="AO36" s="9"/>
      <c r="AP36" s="78">
        <v>796</v>
      </c>
      <c r="AQ36" s="79">
        <v>4.4347744441202206</v>
      </c>
      <c r="AR36" s="80">
        <v>2.9126709324906404E-2</v>
      </c>
      <c r="AS36" s="30">
        <f t="shared" si="74"/>
        <v>-13.909541672264883</v>
      </c>
      <c r="AT36" s="30" t="str">
        <f t="shared" si="75"/>
        <v>*</v>
      </c>
      <c r="AU36" s="80"/>
      <c r="AV36" s="78">
        <v>983</v>
      </c>
      <c r="AW36" s="79">
        <v>4.219785232222466</v>
      </c>
      <c r="AX36" s="80">
        <v>2.6573104776040548E-2</v>
      </c>
      <c r="AY36" s="30">
        <f t="shared" si="76"/>
        <v>-8.0883095910882403</v>
      </c>
      <c r="AZ36" s="30" t="str">
        <f t="shared" si="77"/>
        <v>*</v>
      </c>
      <c r="BA36" s="80"/>
      <c r="BB36" s="78">
        <v>1001</v>
      </c>
      <c r="BC36" s="79">
        <v>4.3135239848120355</v>
      </c>
      <c r="BD36" s="80">
        <v>2.6654103054707584E-2</v>
      </c>
      <c r="BE36" s="30">
        <f t="shared" si="78"/>
        <v>-11.016502286459255</v>
      </c>
      <c r="BF36" s="30" t="str">
        <f t="shared" si="79"/>
        <v>*</v>
      </c>
      <c r="BG36" s="80"/>
      <c r="BH36" s="78">
        <v>1369</v>
      </c>
      <c r="BI36" s="79">
        <v>3.936477986622358</v>
      </c>
      <c r="BJ36" s="80">
        <v>2.5159274961141488E-2</v>
      </c>
      <c r="BK36" s="30">
        <f t="shared" si="80"/>
        <v>0.86461834870583898</v>
      </c>
      <c r="BL36" s="30" t="str">
        <f t="shared" si="81"/>
        <v xml:space="preserve"> </v>
      </c>
      <c r="BM36" s="80"/>
      <c r="BN36" s="78">
        <v>1424</v>
      </c>
      <c r="BO36" s="79">
        <v>4.2240904435422113</v>
      </c>
      <c r="BP36" s="80">
        <v>2.1855071250902528E-2</v>
      </c>
      <c r="BQ36" s="30">
        <f t="shared" si="82"/>
        <v>-9.3510673456798745</v>
      </c>
      <c r="BR36" s="30" t="str">
        <f t="shared" si="83"/>
        <v>*</v>
      </c>
      <c r="BS36" s="9"/>
      <c r="BT36" s="27">
        <v>11982</v>
      </c>
      <c r="BU36" s="27">
        <v>11982.061963149194</v>
      </c>
      <c r="BV36" s="28">
        <v>4.1800569318857752</v>
      </c>
      <c r="BW36" s="29">
        <v>8.3892620037922527E-3</v>
      </c>
      <c r="BX36" s="30">
        <f t="shared" si="57"/>
        <v>-11.246131194556673</v>
      </c>
      <c r="BY36" s="30" t="str">
        <f t="shared" si="58"/>
        <v>*</v>
      </c>
      <c r="BZ36" s="30"/>
      <c r="CA36" s="27">
        <v>542</v>
      </c>
      <c r="CB36" s="27">
        <v>542</v>
      </c>
      <c r="CC36" s="28">
        <v>4.0369003690036918</v>
      </c>
      <c r="CD36" s="29">
        <v>3.548697892817216E-2</v>
      </c>
      <c r="CE36" s="30">
        <f t="shared" si="59"/>
        <v>-1.8719935378452814</v>
      </c>
      <c r="CF36" s="30" t="str">
        <f>IF(ABS(CE36)&gt;=1.96,"*"," ")</f>
        <v xml:space="preserve"> </v>
      </c>
      <c r="CG36" s="30"/>
      <c r="CH36" s="27">
        <v>3351</v>
      </c>
      <c r="CI36" s="27">
        <v>3350.9073100598548</v>
      </c>
      <c r="CJ36" s="28">
        <v>3.89433927365969</v>
      </c>
      <c r="CK36" s="29">
        <v>1.670065287816094E-2</v>
      </c>
      <c r="CL36" s="30">
        <f t="shared" si="60"/>
        <v>2.8445068886882727</v>
      </c>
      <c r="CM36" s="30" t="str">
        <f>IF(ABS(CL36)&gt;=1.96,"*"," ")</f>
        <v>*</v>
      </c>
      <c r="CN36" s="30"/>
      <c r="CO36" s="27">
        <v>2995</v>
      </c>
      <c r="CP36" s="27">
        <v>2994.9886336899267</v>
      </c>
      <c r="CQ36" s="28">
        <v>4.2135457552611761</v>
      </c>
      <c r="CR36" s="29">
        <v>1.4830468583538261E-2</v>
      </c>
      <c r="CS36" s="30">
        <f t="shared" si="61"/>
        <v>-10.965899183571654</v>
      </c>
      <c r="CT36" s="30" t="str">
        <f>IF(ABS(CS36)&gt;=1.96,"*"," ")</f>
        <v>*</v>
      </c>
      <c r="CU36" s="30"/>
      <c r="CV36" s="27">
        <v>596</v>
      </c>
      <c r="CW36" s="27">
        <v>595.98397336000471</v>
      </c>
      <c r="CX36" s="28">
        <v>4.9882076642424131</v>
      </c>
      <c r="CY36" s="29">
        <v>4.4255922018562642E-3</v>
      </c>
      <c r="CZ36" s="30">
        <f t="shared" si="62"/>
        <v>-57.138031772896724</v>
      </c>
      <c r="DA36" s="30" t="str">
        <f>IF(ABS(CZ36)&gt;=1.96,"*"," ")</f>
        <v>*</v>
      </c>
      <c r="DB36" s="30"/>
      <c r="DC36" s="27">
        <v>880</v>
      </c>
      <c r="DD36" s="27">
        <v>880.00178167998877</v>
      </c>
      <c r="DE36" s="28">
        <v>4.951148400758993</v>
      </c>
      <c r="DF36" s="29">
        <v>8.4213031230838103E-3</v>
      </c>
      <c r="DG36" s="30">
        <f t="shared" si="63"/>
        <v>-51.146482919670838</v>
      </c>
      <c r="DH36" s="30" t="str">
        <f>IF(ABS(DG36)&gt;=1.96,"*"," ")</f>
        <v>*</v>
      </c>
      <c r="DI36" s="30"/>
      <c r="DJ36" s="27">
        <v>543</v>
      </c>
      <c r="DK36" s="27">
        <v>543</v>
      </c>
      <c r="DL36" s="28">
        <v>4.9944751381215484</v>
      </c>
      <c r="DM36" s="29">
        <v>4.1149486803638054E-3</v>
      </c>
      <c r="DN36" s="30">
        <f t="shared" si="64"/>
        <v>-57.725622033764751</v>
      </c>
      <c r="DO36" s="30" t="str">
        <f>IF(ABS(DN36)&gt;=1.96,"*"," ")</f>
        <v>*</v>
      </c>
      <c r="DP36" s="8"/>
      <c r="DQ36" s="27">
        <v>1014</v>
      </c>
      <c r="DR36" s="27">
        <v>1014.0858274600099</v>
      </c>
      <c r="DS36" s="28">
        <v>3.8336093407471918</v>
      </c>
      <c r="DT36" s="29">
        <v>3.2017470283853218E-2</v>
      </c>
      <c r="DU36" s="29"/>
      <c r="DV36" s="27">
        <v>702</v>
      </c>
      <c r="DW36" s="27">
        <v>702.09638388999758</v>
      </c>
      <c r="DX36" s="28">
        <v>3.7697459721209303</v>
      </c>
      <c r="DY36" s="29">
        <v>3.7835571910992072E-2</v>
      </c>
      <c r="DZ36" s="10">
        <f t="shared" si="6"/>
        <v>1.2884876970323262</v>
      </c>
      <c r="EA36" s="10" t="str">
        <f>IF(ABS(DZ36)&gt;=1.96,"*"," ")</f>
        <v xml:space="preserve"> </v>
      </c>
      <c r="EB36" s="29"/>
      <c r="EC36" s="27">
        <v>733</v>
      </c>
      <c r="ED36" s="27">
        <v>732.84781520000467</v>
      </c>
      <c r="EE36" s="28">
        <v>3.7872717024373599</v>
      </c>
      <c r="EF36" s="29">
        <v>3.704223925512444E-2</v>
      </c>
      <c r="EG36" s="10">
        <f t="shared" si="8"/>
        <v>0.94640625888508023</v>
      </c>
      <c r="EH36" s="10" t="str">
        <f>IF(ABS(EG36)&gt;=1.96,"*"," ")</f>
        <v xml:space="preserve"> </v>
      </c>
      <c r="EI36" s="29"/>
      <c r="EJ36" s="27">
        <v>711</v>
      </c>
      <c r="EK36" s="27">
        <v>712.17606947000229</v>
      </c>
      <c r="EL36" s="28">
        <v>3.7495394085584142</v>
      </c>
      <c r="EM36" s="29">
        <v>3.7011712134171211E-2</v>
      </c>
      <c r="EN36" s="10">
        <f t="shared" si="10"/>
        <v>1.7178659699684764</v>
      </c>
      <c r="EO36" s="10" t="str">
        <f t="shared" si="65"/>
        <v xml:space="preserve"> </v>
      </c>
      <c r="EP36" s="29"/>
      <c r="EQ36" s="8">
        <v>785</v>
      </c>
      <c r="ER36" s="8">
        <v>784.92914320000148</v>
      </c>
      <c r="ES36" s="69">
        <v>3.7734871062435542</v>
      </c>
      <c r="ET36" s="9">
        <v>3.5222023126294209E-2</v>
      </c>
      <c r="EU36" s="10">
        <f t="shared" si="11"/>
        <v>1.2630862807081757</v>
      </c>
      <c r="EV36" s="10" t="str">
        <f t="shared" si="66"/>
        <v xml:space="preserve"> </v>
      </c>
      <c r="EW36" s="29"/>
      <c r="EX36" s="88">
        <v>5009</v>
      </c>
      <c r="EY36" s="88">
        <v>5009.070505179774</v>
      </c>
      <c r="EZ36" s="28">
        <v>4.0619294844640645</v>
      </c>
      <c r="FA36" s="29">
        <v>1.3083635275829916E-2</v>
      </c>
      <c r="FB36" s="30">
        <f t="shared" si="12"/>
        <v>-6.6012197921559217</v>
      </c>
      <c r="FC36" s="30" t="str">
        <f t="shared" si="67"/>
        <v>*</v>
      </c>
      <c r="FD36" s="30"/>
      <c r="FE36" s="27">
        <v>1128</v>
      </c>
      <c r="FF36" s="27">
        <v>1128.0037117600014</v>
      </c>
      <c r="FG36" s="28">
        <v>4.0958118360367575</v>
      </c>
      <c r="FH36" s="29">
        <v>2.6065061230057047E-2</v>
      </c>
      <c r="FI36" s="30">
        <f t="shared" si="13"/>
        <v>-6.3509336583338927</v>
      </c>
      <c r="FJ36" s="30" t="str">
        <f>IF(ABS(FI36)&gt;=1.96,"*"," ")</f>
        <v>*</v>
      </c>
      <c r="FK36" s="30"/>
      <c r="FL36" s="88">
        <v>387</v>
      </c>
      <c r="FM36" s="88">
        <v>387.00550895999856</v>
      </c>
      <c r="FN36" s="28">
        <v>4.3410509603976788</v>
      </c>
      <c r="FO36" s="29">
        <v>4.016655124124021E-2</v>
      </c>
      <c r="FP36" s="30">
        <f t="shared" si="15"/>
        <v>-9.8789317350060042</v>
      </c>
      <c r="FQ36" s="30" t="str">
        <f>IF(ABS(FP36)&gt;=1.96,"*"," ")</f>
        <v>*</v>
      </c>
      <c r="FR36" s="30"/>
      <c r="FS36" s="88">
        <v>721</v>
      </c>
      <c r="FT36" s="88">
        <v>720.97665843000505</v>
      </c>
      <c r="FU36" s="28">
        <v>4.335719360203802</v>
      </c>
      <c r="FV36" s="29">
        <v>2.7333265007173035E-2</v>
      </c>
      <c r="FW36" s="30">
        <f t="shared" si="17"/>
        <v>-11.927223649290609</v>
      </c>
      <c r="FX36" s="30" t="str">
        <f>IF(ABS(FW36)&gt;=1.96,"*"," ")</f>
        <v>*</v>
      </c>
      <c r="FY36" s="30"/>
      <c r="FZ36" s="88">
        <v>1364</v>
      </c>
      <c r="GA36" s="88">
        <v>1363.9983756899846</v>
      </c>
      <c r="GB36" s="28">
        <v>3.8621494207682745</v>
      </c>
      <c r="GC36" s="29">
        <v>2.650545159591142E-2</v>
      </c>
      <c r="GD36" s="30">
        <f t="shared" si="19"/>
        <v>-0.68663569744720543</v>
      </c>
      <c r="GE36" s="30" t="str">
        <f>IF(ABS(GD36)&gt;=1.96,"*"," ")</f>
        <v xml:space="preserve"> </v>
      </c>
      <c r="GF36" s="30"/>
      <c r="GG36" s="88">
        <v>395</v>
      </c>
      <c r="GH36" s="88">
        <v>395.00042287999912</v>
      </c>
      <c r="GI36" s="28">
        <v>4.4680020303070949</v>
      </c>
      <c r="GJ36" s="29">
        <v>3.4432457259523208E-2</v>
      </c>
      <c r="GK36" s="30">
        <f t="shared" si="21"/>
        <v>-13.492487820216027</v>
      </c>
      <c r="GL36" s="30" t="str">
        <f>IF(ABS(GK36)&gt;=1.96,"*"," ")</f>
        <v>*</v>
      </c>
      <c r="GM36" s="19"/>
      <c r="GN36" s="88">
        <v>959</v>
      </c>
      <c r="GO36" s="88">
        <v>958.97781675000942</v>
      </c>
      <c r="GP36" s="28">
        <v>3.450263119123401</v>
      </c>
      <c r="GQ36" s="29">
        <v>3.6935039186333909E-2</v>
      </c>
      <c r="GR36" s="9"/>
      <c r="GS36" s="3">
        <v>685</v>
      </c>
      <c r="GT36" s="3">
        <v>684.99677794999945</v>
      </c>
      <c r="GU36" s="69">
        <v>3.5815106778342742</v>
      </c>
      <c r="GV36" s="9">
        <v>4.3896122982575857E-2</v>
      </c>
      <c r="GW36" s="10">
        <f t="shared" si="23"/>
        <v>-2.2878254653503296</v>
      </c>
      <c r="GX36" s="10" t="str">
        <f t="shared" si="68"/>
        <v>*</v>
      </c>
      <c r="GY36" s="9"/>
      <c r="GZ36" s="27">
        <v>723</v>
      </c>
      <c r="HA36" s="27">
        <v>722.85007189000498</v>
      </c>
      <c r="HB36" s="28">
        <v>3.6572250548552119</v>
      </c>
      <c r="HC36" s="29">
        <v>3.881382861816246E-2</v>
      </c>
      <c r="HD36" s="10">
        <f t="shared" si="24"/>
        <v>-3.8627427449473193</v>
      </c>
      <c r="HE36" s="10" t="str">
        <f t="shared" si="69"/>
        <v>*</v>
      </c>
      <c r="HF36" s="9"/>
      <c r="HG36" s="27">
        <v>1452</v>
      </c>
      <c r="HH36" s="27">
        <v>1452.1487442399909</v>
      </c>
      <c r="HI36" s="28">
        <v>3.4378362025322344</v>
      </c>
      <c r="HJ36" s="29">
        <v>2.8319759819674398E-2</v>
      </c>
      <c r="HK36" s="10">
        <f t="shared" si="25"/>
        <v>0.26700138527142275</v>
      </c>
      <c r="HL36" s="10" t="str">
        <f t="shared" si="70"/>
        <v xml:space="preserve"> </v>
      </c>
      <c r="HM36" s="29"/>
      <c r="HN36" s="8">
        <v>1462</v>
      </c>
      <c r="HO36" s="8">
        <v>1461.8135137700117</v>
      </c>
      <c r="HP36" s="69">
        <v>3.4095107941615201</v>
      </c>
      <c r="HQ36" s="9">
        <v>2.9123556195531461E-2</v>
      </c>
      <c r="HR36" s="10">
        <f t="shared" si="26"/>
        <v>0.86640841518077194</v>
      </c>
      <c r="HS36" s="10" t="str">
        <f t="shared" si="71"/>
        <v xml:space="preserve"> </v>
      </c>
      <c r="HT36" s="9"/>
      <c r="HU36" s="88">
        <v>5289</v>
      </c>
      <c r="HV36" s="88">
        <v>5288.9269651602744</v>
      </c>
      <c r="HW36" s="28">
        <v>3.9814222660499525</v>
      </c>
      <c r="HX36" s="29">
        <v>1.3582681671559713E-2</v>
      </c>
      <c r="HY36" s="30">
        <f t="shared" si="27"/>
        <v>-13.497176524869213</v>
      </c>
      <c r="HZ36" s="30" t="str">
        <f t="shared" si="72"/>
        <v>*</v>
      </c>
      <c r="IA36" s="30"/>
      <c r="IB36" s="88">
        <v>1128</v>
      </c>
      <c r="IC36" s="88">
        <v>1128.0037117600014</v>
      </c>
      <c r="ID36" s="28">
        <v>4.0958118360367575</v>
      </c>
      <c r="IE36" s="29">
        <v>2.6065061230057047E-2</v>
      </c>
      <c r="IF36" s="30">
        <f t="shared" si="28"/>
        <v>-14.28014832389545</v>
      </c>
      <c r="IG36" s="30" t="str">
        <f>IF(ABS(IF36)&gt;=1.96,"*"," ")</f>
        <v>*</v>
      </c>
      <c r="IH36" s="30"/>
      <c r="II36" s="88">
        <v>710</v>
      </c>
      <c r="IJ36" s="88">
        <v>709.9956244000042</v>
      </c>
      <c r="IK36" s="28">
        <v>4.1955798625623189</v>
      </c>
      <c r="IL36" s="29">
        <v>3.1821392777051039E-2</v>
      </c>
      <c r="IM36" s="30">
        <f t="shared" si="30"/>
        <v>-15.287790639827929</v>
      </c>
      <c r="IN36" s="30" t="str">
        <f>IF(ABS(IM36)&gt;=1.96,"*"," ")</f>
        <v>*</v>
      </c>
      <c r="IO36" s="30"/>
      <c r="IP36" s="88">
        <v>816</v>
      </c>
      <c r="IQ36" s="88">
        <v>815.9977154400101</v>
      </c>
      <c r="IR36" s="28">
        <v>4.1046971368221694</v>
      </c>
      <c r="IS36" s="29">
        <v>3.4157278961990917E-2</v>
      </c>
      <c r="IT36" s="30">
        <f t="shared" si="32"/>
        <v>-13.008491259819689</v>
      </c>
      <c r="IU36" s="30" t="str">
        <f>IF(ABS(IT36)&gt;=1.96,"*"," ")</f>
        <v>*</v>
      </c>
      <c r="IV36" s="30"/>
      <c r="IW36" s="88">
        <v>387</v>
      </c>
      <c r="IX36" s="88">
        <v>387.00550895999856</v>
      </c>
      <c r="IY36" s="28">
        <v>4.3410509603976788</v>
      </c>
      <c r="IZ36" s="29">
        <v>4.016655124124021E-2</v>
      </c>
      <c r="JA36" s="30">
        <f t="shared" si="34"/>
        <v>-16.324685566892033</v>
      </c>
      <c r="JB36" s="30" t="str">
        <f>IF(ABS(JA36)&gt;=1.96,"*"," ")</f>
        <v>*</v>
      </c>
      <c r="JC36" s="30"/>
      <c r="JD36" s="88">
        <v>1289</v>
      </c>
      <c r="JE36" s="88">
        <v>1288.9465878500105</v>
      </c>
      <c r="JF36" s="28">
        <v>3.9725132268055487</v>
      </c>
      <c r="JG36" s="29">
        <v>2.6155293463079689E-2</v>
      </c>
      <c r="JH36" s="30">
        <f t="shared" si="35"/>
        <v>-11.539370752802583</v>
      </c>
      <c r="JI36" s="30" t="str">
        <f>IF(ABS(JH36)&gt;=1.96,"*"," ")</f>
        <v>*</v>
      </c>
      <c r="JK36" s="27"/>
      <c r="JL36" s="27"/>
      <c r="JM36" s="28"/>
      <c r="JN36" s="29"/>
    </row>
    <row r="37" spans="1:274" x14ac:dyDescent="0.2">
      <c r="B37" s="7" t="s">
        <v>40</v>
      </c>
      <c r="C37" s="27">
        <v>3015</v>
      </c>
      <c r="D37" s="27">
        <v>3015.0967759399191</v>
      </c>
      <c r="E37" s="28">
        <v>3.7570102905829277</v>
      </c>
      <c r="F37" s="29">
        <v>1.872731434255856E-2</v>
      </c>
      <c r="G37" s="29"/>
      <c r="H37" s="3">
        <v>995</v>
      </c>
      <c r="I37" s="3">
        <v>995.04541862001713</v>
      </c>
      <c r="J37" s="28">
        <v>3.7564059798032536</v>
      </c>
      <c r="K37" s="29">
        <v>3.3519061308605463E-2</v>
      </c>
      <c r="L37" s="30">
        <f t="shared" si="37"/>
        <v>1.573896897639163E-2</v>
      </c>
      <c r="M37" s="30" t="str">
        <f t="shared" si="38"/>
        <v xml:space="preserve"> </v>
      </c>
      <c r="N37" s="9"/>
      <c r="O37" s="27">
        <v>1059</v>
      </c>
      <c r="P37" s="27">
        <v>1058.899718670008</v>
      </c>
      <c r="Q37" s="28">
        <v>3.6408988616621718</v>
      </c>
      <c r="R37" s="29">
        <v>2.6292609584981794E-2</v>
      </c>
      <c r="S37" s="30">
        <f t="shared" si="39"/>
        <v>3.5969820590305392</v>
      </c>
      <c r="T37" s="30" t="str">
        <f t="shared" si="40"/>
        <v>*</v>
      </c>
      <c r="U37" s="30"/>
      <c r="V37" s="27">
        <v>1071</v>
      </c>
      <c r="W37" s="27">
        <v>1070.6852324800204</v>
      </c>
      <c r="X37" s="28">
        <v>3.74433772541538</v>
      </c>
      <c r="Y37" s="29">
        <v>2.6988357538457162E-2</v>
      </c>
      <c r="Z37" s="30">
        <f t="shared" si="41"/>
        <v>0.38577755649123463</v>
      </c>
      <c r="AA37" s="30" t="str">
        <f t="shared" si="42"/>
        <v xml:space="preserve"> </v>
      </c>
      <c r="AB37" s="9"/>
      <c r="AC37" s="8">
        <v>1222</v>
      </c>
      <c r="AD37" s="8">
        <v>1220.3084102800058</v>
      </c>
      <c r="AE37" s="69">
        <v>3.5348201599874671</v>
      </c>
      <c r="AF37" s="9">
        <v>2.7808792487988915E-2</v>
      </c>
      <c r="AG37" s="30">
        <f t="shared" si="43"/>
        <v>6.6272543843953393</v>
      </c>
      <c r="AH37" s="30" t="str">
        <f t="shared" si="44"/>
        <v>*</v>
      </c>
      <c r="AI37" s="9"/>
      <c r="AJ37" s="81">
        <v>6138</v>
      </c>
      <c r="AK37" s="83">
        <v>3.9517776394660111</v>
      </c>
      <c r="AL37" s="84">
        <v>1.2320671374090297E-2</v>
      </c>
      <c r="AM37" s="30">
        <f t="shared" si="45"/>
        <v>-8.688469085994047</v>
      </c>
      <c r="AN37" s="30" t="str">
        <f t="shared" si="46"/>
        <v>*</v>
      </c>
      <c r="AO37" s="9"/>
      <c r="AP37" s="78">
        <v>793</v>
      </c>
      <c r="AQ37" s="79">
        <v>4.3285157663702032</v>
      </c>
      <c r="AR37" s="80">
        <v>3.098383115578543E-2</v>
      </c>
      <c r="AS37" s="30">
        <f t="shared" si="74"/>
        <v>-15.785817354192066</v>
      </c>
      <c r="AT37" s="30" t="str">
        <f t="shared" si="75"/>
        <v>*</v>
      </c>
      <c r="AU37" s="80"/>
      <c r="AV37" s="78">
        <v>960</v>
      </c>
      <c r="AW37" s="79">
        <v>4.0529038493096463</v>
      </c>
      <c r="AX37" s="80">
        <v>2.8600705434968964E-2</v>
      </c>
      <c r="AY37" s="30">
        <f t="shared" si="76"/>
        <v>-8.65529028525361</v>
      </c>
      <c r="AZ37" s="30" t="str">
        <f t="shared" si="77"/>
        <v>*</v>
      </c>
      <c r="BA37" s="80"/>
      <c r="BB37" s="78">
        <v>989</v>
      </c>
      <c r="BC37" s="79">
        <v>4.1683686809490217</v>
      </c>
      <c r="BD37" s="80">
        <v>2.8026239573645667E-2</v>
      </c>
      <c r="BE37" s="30">
        <f t="shared" si="78"/>
        <v>-12.203835072319617</v>
      </c>
      <c r="BF37" s="30" t="str">
        <f t="shared" si="79"/>
        <v>*</v>
      </c>
      <c r="BG37" s="80"/>
      <c r="BH37" s="78">
        <v>1351</v>
      </c>
      <c r="BI37" s="79">
        <v>3.7498662043218087</v>
      </c>
      <c r="BJ37" s="80">
        <v>2.7018997949994853E-2</v>
      </c>
      <c r="BK37" s="30">
        <f t="shared" si="80"/>
        <v>0.21731333048069848</v>
      </c>
      <c r="BL37" s="30" t="str">
        <f t="shared" si="81"/>
        <v xml:space="preserve"> </v>
      </c>
      <c r="BM37" s="80"/>
      <c r="BN37" s="78">
        <v>1407</v>
      </c>
      <c r="BO37" s="79">
        <v>4.0245255705258778</v>
      </c>
      <c r="BP37" s="80">
        <v>2.4124270651457703E-2</v>
      </c>
      <c r="BQ37" s="30">
        <f t="shared" si="82"/>
        <v>-8.7594995708159527</v>
      </c>
      <c r="BR37" s="30" t="str">
        <f t="shared" si="83"/>
        <v>*</v>
      </c>
      <c r="BS37" s="9"/>
      <c r="BT37" s="27">
        <v>11818</v>
      </c>
      <c r="BU37" s="27">
        <v>11813.813708889198</v>
      </c>
      <c r="BV37" s="28">
        <v>4.0228862946464545</v>
      </c>
      <c r="BW37" s="29">
        <v>9.1357297492019474E-3</v>
      </c>
      <c r="BX37" s="30">
        <f t="shared" si="57"/>
        <v>-12.759901045937704</v>
      </c>
      <c r="BY37" s="30" t="str">
        <f t="shared" si="58"/>
        <v>*</v>
      </c>
      <c r="BZ37" s="30"/>
      <c r="CA37" s="27">
        <v>535</v>
      </c>
      <c r="CB37" s="27">
        <v>535</v>
      </c>
      <c r="CC37" s="28">
        <v>3.8878504672897183</v>
      </c>
      <c r="CD37" s="29">
        <v>3.6339521815823783E-2</v>
      </c>
      <c r="CE37" s="30">
        <f t="shared" si="59"/>
        <v>-3.2004968507870397</v>
      </c>
      <c r="CF37" s="30" t="str">
        <f>IF(ABS(CE37)&gt;=1.96,"*"," ")</f>
        <v>*</v>
      </c>
      <c r="CG37" s="30"/>
      <c r="CH37" s="27">
        <v>3301</v>
      </c>
      <c r="CI37" s="27">
        <v>3296.3541078598646</v>
      </c>
      <c r="CJ37" s="28">
        <v>3.723249920154283</v>
      </c>
      <c r="CK37" s="29">
        <v>1.7795912457341637E-2</v>
      </c>
      <c r="CL37" s="30">
        <f t="shared" si="60"/>
        <v>1.3068083136304001</v>
      </c>
      <c r="CM37" s="30" t="str">
        <f>IF(ABS(CL37)&gt;=1.96,"*"," ")</f>
        <v xml:space="preserve"> </v>
      </c>
      <c r="CN37" s="30"/>
      <c r="CO37" s="27">
        <v>2949</v>
      </c>
      <c r="CP37" s="27">
        <v>2948.9085269899297</v>
      </c>
      <c r="CQ37" s="28">
        <v>3.9992730769942875</v>
      </c>
      <c r="CR37" s="29">
        <v>1.602482994185906E-2</v>
      </c>
      <c r="CS37" s="30">
        <f t="shared" si="61"/>
        <v>-9.8290352869055209</v>
      </c>
      <c r="CT37" s="30" t="str">
        <f>IF(ABS(CS37)&gt;=1.96,"*"," ")</f>
        <v>*</v>
      </c>
      <c r="CU37" s="30"/>
      <c r="CV37" s="27">
        <v>593</v>
      </c>
      <c r="CW37" s="27">
        <v>593.45269448000465</v>
      </c>
      <c r="CX37" s="28">
        <v>4.9915409756384994</v>
      </c>
      <c r="CY37" s="29">
        <v>3.7626050276250368E-3</v>
      </c>
      <c r="CZ37" s="30">
        <f t="shared" si="62"/>
        <v>-64.629844178756713</v>
      </c>
      <c r="DA37" s="30" t="str">
        <f>IF(ABS(CZ37)&gt;=1.96,"*"," ")</f>
        <v>*</v>
      </c>
      <c r="DB37" s="30"/>
      <c r="DC37" s="27">
        <v>882</v>
      </c>
      <c r="DD37" s="27">
        <v>882.0016036199886</v>
      </c>
      <c r="DE37" s="28">
        <v>4.9603034005082245</v>
      </c>
      <c r="DF37" s="29">
        <v>6.7712016848655975E-3</v>
      </c>
      <c r="DG37" s="30">
        <f t="shared" si="63"/>
        <v>-60.424931875947692</v>
      </c>
      <c r="DH37" s="30" t="str">
        <f>IF(ABS(DG37)&gt;=1.96,"*"," ")</f>
        <v>*</v>
      </c>
      <c r="DI37" s="30"/>
      <c r="DJ37" s="27">
        <v>543</v>
      </c>
      <c r="DK37" s="27">
        <v>543</v>
      </c>
      <c r="DL37" s="28">
        <v>4.998158379373848</v>
      </c>
      <c r="DM37" s="29">
        <v>1.8416206261510134E-3</v>
      </c>
      <c r="DN37" s="30">
        <f t="shared" si="64"/>
        <v>-65.956601030722524</v>
      </c>
      <c r="DO37" s="30" t="str">
        <f>IF(ABS(DN37)&gt;=1.96,"*"," ")</f>
        <v>*</v>
      </c>
      <c r="DP37" s="8"/>
      <c r="DQ37" s="27">
        <v>996</v>
      </c>
      <c r="DR37" s="27">
        <v>996.23754456001052</v>
      </c>
      <c r="DS37" s="28">
        <v>3.5665044851519472</v>
      </c>
      <c r="DT37" s="29">
        <v>3.5267320007746135E-2</v>
      </c>
      <c r="DU37" s="29"/>
      <c r="DV37" s="27">
        <v>683</v>
      </c>
      <c r="DW37" s="27">
        <v>683.01051010999686</v>
      </c>
      <c r="DX37" s="28">
        <v>3.5392380902025748</v>
      </c>
      <c r="DY37" s="29">
        <v>4.2512347903115963E-2</v>
      </c>
      <c r="DZ37" s="10">
        <f t="shared" si="6"/>
        <v>0.49362900281363137</v>
      </c>
      <c r="EA37" s="10" t="str">
        <f>IF(ABS(DZ37)&gt;=1.96,"*"," ")</f>
        <v xml:space="preserve"> </v>
      </c>
      <c r="EB37" s="29"/>
      <c r="EC37" s="27">
        <v>724</v>
      </c>
      <c r="ED37" s="27">
        <v>723.78259379000485</v>
      </c>
      <c r="EE37" s="28">
        <v>3.5648525495331556</v>
      </c>
      <c r="EF37" s="29">
        <v>4.0247277114747529E-2</v>
      </c>
      <c r="EG37" s="10">
        <f t="shared" si="8"/>
        <v>3.086987563653204E-2</v>
      </c>
      <c r="EH37" s="10" t="str">
        <f>IF(ABS(EG37)&gt;=1.96,"*"," ")</f>
        <v xml:space="preserve"> </v>
      </c>
      <c r="EI37" s="29"/>
      <c r="EJ37" s="27">
        <v>700</v>
      </c>
      <c r="EK37" s="27">
        <v>699.22317585000224</v>
      </c>
      <c r="EL37" s="28">
        <v>3.5060821159851145</v>
      </c>
      <c r="EM37" s="29">
        <v>4.0964292140752215E-2</v>
      </c>
      <c r="EN37" s="10">
        <f t="shared" si="10"/>
        <v>1.1178107056248516</v>
      </c>
      <c r="EO37" s="10" t="str">
        <f t="shared" si="65"/>
        <v xml:space="preserve"> </v>
      </c>
      <c r="EP37" s="29"/>
      <c r="EQ37" s="8">
        <v>770</v>
      </c>
      <c r="ER37" s="8">
        <v>769.97714320000125</v>
      </c>
      <c r="ES37" s="69">
        <v>3.5595772785271937</v>
      </c>
      <c r="ET37" s="9">
        <v>3.8211613083195636E-2</v>
      </c>
      <c r="EU37" s="10">
        <f t="shared" si="11"/>
        <v>0.13321769862190611</v>
      </c>
      <c r="EV37" s="10" t="str">
        <f t="shared" si="66"/>
        <v xml:space="preserve"> </v>
      </c>
      <c r="EW37" s="29"/>
      <c r="EX37" s="88">
        <v>4941</v>
      </c>
      <c r="EY37" s="88">
        <v>4941.2609121697515</v>
      </c>
      <c r="EZ37" s="28">
        <v>3.8564062388767182</v>
      </c>
      <c r="FA37" s="29">
        <v>1.4184460290990226E-2</v>
      </c>
      <c r="FB37" s="30">
        <f t="shared" si="12"/>
        <v>-7.6263987290259596</v>
      </c>
      <c r="FC37" s="30" t="str">
        <f t="shared" si="67"/>
        <v>*</v>
      </c>
      <c r="FD37" s="30"/>
      <c r="FE37" s="27">
        <v>1124</v>
      </c>
      <c r="FF37" s="27">
        <v>1123.9983571600019</v>
      </c>
      <c r="FG37" s="28">
        <v>3.9235449090182573</v>
      </c>
      <c r="FH37" s="29">
        <v>2.7685318409220686E-2</v>
      </c>
      <c r="FI37" s="30">
        <f t="shared" si="13"/>
        <v>-7.9632655161543653</v>
      </c>
      <c r="FJ37" s="30" t="str">
        <f>IF(ABS(FI37)&gt;=1.96,"*"," ")</f>
        <v>*</v>
      </c>
      <c r="FK37" s="30"/>
      <c r="FL37" s="88">
        <v>382</v>
      </c>
      <c r="FM37" s="88">
        <v>382.01101860999859</v>
      </c>
      <c r="FN37" s="28">
        <v>4.1755062751172849</v>
      </c>
      <c r="FO37" s="29">
        <v>4.3793808226604711E-2</v>
      </c>
      <c r="FP37" s="30">
        <f t="shared" si="15"/>
        <v>-10.830774408452916</v>
      </c>
      <c r="FQ37" s="30" t="str">
        <f>IF(ABS(FP37)&gt;=1.96,"*"," ")</f>
        <v>*</v>
      </c>
      <c r="FR37" s="30"/>
      <c r="FS37" s="88">
        <v>707</v>
      </c>
      <c r="FT37" s="88">
        <v>707.00661801000444</v>
      </c>
      <c r="FU37" s="28">
        <v>4.0895611643611272</v>
      </c>
      <c r="FV37" s="29">
        <v>3.1343701603557129E-2</v>
      </c>
      <c r="FW37" s="30">
        <f t="shared" si="17"/>
        <v>-11.085761787967432</v>
      </c>
      <c r="FX37" s="30" t="str">
        <f>IF(ABS(FW37)&gt;=1.96,"*"," ")</f>
        <v>*</v>
      </c>
      <c r="FY37" s="30"/>
      <c r="FZ37" s="88">
        <v>1341</v>
      </c>
      <c r="GA37" s="88">
        <v>1341.0015278699871</v>
      </c>
      <c r="GB37" s="28">
        <v>3.6741112228677757</v>
      </c>
      <c r="GC37" s="29">
        <v>2.8175544250442486E-2</v>
      </c>
      <c r="GD37" s="30">
        <f t="shared" si="19"/>
        <v>-2.3838294851485013</v>
      </c>
      <c r="GE37" s="30" t="str">
        <f>IF(ABS(GD37)&gt;=1.96,"*"," ")</f>
        <v>*</v>
      </c>
      <c r="GF37" s="30"/>
      <c r="GG37" s="88">
        <v>391</v>
      </c>
      <c r="GH37" s="88">
        <v>391.00584595999914</v>
      </c>
      <c r="GI37" s="28">
        <v>4.2939018617428983</v>
      </c>
      <c r="GJ37" s="29">
        <v>3.8770282183726447E-2</v>
      </c>
      <c r="GK37" s="30">
        <f t="shared" si="21"/>
        <v>-13.878701402966433</v>
      </c>
      <c r="GL37" s="30" t="str">
        <f>IF(ABS(GK37)&gt;=1.96,"*"," ")</f>
        <v>*</v>
      </c>
      <c r="GM37" s="19"/>
      <c r="GN37" s="88">
        <v>950</v>
      </c>
      <c r="GO37" s="88">
        <v>949.97454753000932</v>
      </c>
      <c r="GP37" s="28">
        <v>3.1324124094556622</v>
      </c>
      <c r="GQ37" s="29">
        <v>3.9870917505051742E-2</v>
      </c>
      <c r="GR37" s="9"/>
      <c r="GS37" s="3">
        <v>677</v>
      </c>
      <c r="GT37" s="3">
        <v>676.98534938999921</v>
      </c>
      <c r="GU37" s="69">
        <v>3.162862197903316</v>
      </c>
      <c r="GV37" s="9">
        <v>4.92963696562587E-2</v>
      </c>
      <c r="GW37" s="10">
        <f t="shared" si="23"/>
        <v>-0.48026491559562778</v>
      </c>
      <c r="GX37" s="10" t="str">
        <f t="shared" si="68"/>
        <v xml:space="preserve"> </v>
      </c>
      <c r="GY37" s="9"/>
      <c r="GZ37" s="27">
        <v>708</v>
      </c>
      <c r="HA37" s="27">
        <v>708.15722997000466</v>
      </c>
      <c r="HB37" s="28">
        <v>3.3560499784499536</v>
      </c>
      <c r="HC37" s="29">
        <v>4.4909610224690429E-2</v>
      </c>
      <c r="HD37" s="10">
        <f t="shared" si="24"/>
        <v>-3.7238998448961946</v>
      </c>
      <c r="HE37" s="10" t="str">
        <f t="shared" si="69"/>
        <v>*</v>
      </c>
      <c r="HF37" s="9"/>
      <c r="HG37" s="27">
        <v>1437</v>
      </c>
      <c r="HH37" s="27">
        <v>1436.9307891099918</v>
      </c>
      <c r="HI37" s="28">
        <v>3.0618269823385345</v>
      </c>
      <c r="HJ37" s="29">
        <v>3.2614396444740928E-2</v>
      </c>
      <c r="HK37" s="10">
        <f t="shared" si="25"/>
        <v>1.3702966358492179</v>
      </c>
      <c r="HL37" s="10" t="str">
        <f t="shared" si="70"/>
        <v xml:space="preserve"> </v>
      </c>
      <c r="HM37" s="29"/>
      <c r="HN37" s="8">
        <v>1426</v>
      </c>
      <c r="HO37" s="8">
        <v>1424.6881805500084</v>
      </c>
      <c r="HP37" s="69">
        <v>3.0780951506785481</v>
      </c>
      <c r="HQ37" s="9">
        <v>3.2348593504443537E-2</v>
      </c>
      <c r="HR37" s="10">
        <f t="shared" si="26"/>
        <v>1.0579256023873509</v>
      </c>
      <c r="HS37" s="10" t="str">
        <f t="shared" si="71"/>
        <v xml:space="preserve"> </v>
      </c>
      <c r="HT37" s="9"/>
      <c r="HU37" s="88">
        <v>5222</v>
      </c>
      <c r="HV37" s="88">
        <v>5221.6370770902558</v>
      </c>
      <c r="HW37" s="28">
        <v>3.8015517270902546</v>
      </c>
      <c r="HX37" s="29">
        <v>1.4644724235142032E-2</v>
      </c>
      <c r="HY37" s="30">
        <f t="shared" si="27"/>
        <v>-15.753580032965592</v>
      </c>
      <c r="HZ37" s="30" t="str">
        <f t="shared" si="72"/>
        <v>*</v>
      </c>
      <c r="IA37" s="30"/>
      <c r="IB37" s="88">
        <v>1124</v>
      </c>
      <c r="IC37" s="88">
        <v>1123.9983571600019</v>
      </c>
      <c r="ID37" s="28">
        <v>3.9235449090182573</v>
      </c>
      <c r="IE37" s="29">
        <v>2.7685318409220686E-2</v>
      </c>
      <c r="IF37" s="30">
        <f t="shared" si="28"/>
        <v>-16.298446026807181</v>
      </c>
      <c r="IG37" s="30" t="str">
        <f>IF(ABS(IF37)&gt;=1.96,"*"," ")</f>
        <v>*</v>
      </c>
      <c r="IH37" s="30"/>
      <c r="II37" s="88">
        <v>700</v>
      </c>
      <c r="IJ37" s="88">
        <v>700.02352498000414</v>
      </c>
      <c r="IK37" s="28">
        <v>4.0327006103697007</v>
      </c>
      <c r="IL37" s="29">
        <v>3.3777196449453512E-2</v>
      </c>
      <c r="IM37" s="30">
        <f t="shared" si="30"/>
        <v>-17.228734767825202</v>
      </c>
      <c r="IN37" s="30" t="str">
        <f>IF(ABS(IM37)&gt;=1.96,"*"," ")</f>
        <v>*</v>
      </c>
      <c r="IO37" s="30"/>
      <c r="IP37" s="88">
        <v>803</v>
      </c>
      <c r="IQ37" s="88">
        <v>802.87220554000999</v>
      </c>
      <c r="IR37" s="28">
        <v>3.943134462440018</v>
      </c>
      <c r="IS37" s="29">
        <v>3.6493301839950573E-2</v>
      </c>
      <c r="IT37" s="30">
        <f t="shared" si="32"/>
        <v>-14.999358070947896</v>
      </c>
      <c r="IU37" s="30" t="str">
        <f>IF(ABS(IT37)&gt;=1.96,"*"," ")</f>
        <v>*</v>
      </c>
      <c r="IV37" s="30"/>
      <c r="IW37" s="88">
        <v>382</v>
      </c>
      <c r="IX37" s="88">
        <v>382.01101860999859</v>
      </c>
      <c r="IY37" s="28">
        <v>4.1755062751172849</v>
      </c>
      <c r="IZ37" s="29">
        <v>4.3793808226604711E-2</v>
      </c>
      <c r="JA37" s="30">
        <f t="shared" si="34"/>
        <v>-17.612423592089719</v>
      </c>
      <c r="JB37" s="30" t="str">
        <f>IF(ABS(JA37)&gt;=1.96,"*"," ")</f>
        <v>*</v>
      </c>
      <c r="JC37" s="30"/>
      <c r="JD37" s="88">
        <v>1263</v>
      </c>
      <c r="JE37" s="88">
        <v>1262.7574232700099</v>
      </c>
      <c r="JF37" s="28">
        <v>3.8650698075099981</v>
      </c>
      <c r="JG37" s="29">
        <v>2.740885806423839E-2</v>
      </c>
      <c r="JH37" s="30">
        <f t="shared" si="35"/>
        <v>-15.14280080814852</v>
      </c>
      <c r="JI37" s="30" t="str">
        <f>IF(ABS(JH37)&gt;=1.96,"*"," ")</f>
        <v>*</v>
      </c>
      <c r="JK37" s="27"/>
      <c r="JL37" s="27"/>
      <c r="JM37" s="28"/>
      <c r="JN37" s="29"/>
    </row>
    <row r="38" spans="1:274" x14ac:dyDescent="0.2">
      <c r="A38" s="73"/>
      <c r="B38" s="7" t="s">
        <v>41</v>
      </c>
      <c r="C38" s="27">
        <v>2032</v>
      </c>
      <c r="D38" s="27">
        <v>2028.4860757499612</v>
      </c>
      <c r="E38" s="28">
        <v>3.8879723629574441</v>
      </c>
      <c r="F38" s="29">
        <v>2.3165093726854446E-2</v>
      </c>
      <c r="G38" s="29"/>
      <c r="H38" s="3">
        <v>631</v>
      </c>
      <c r="I38" s="3">
        <v>630.61443550000229</v>
      </c>
      <c r="J38" s="28">
        <v>3.8231127540371688</v>
      </c>
      <c r="K38" s="29">
        <v>4.2974815371715991E-2</v>
      </c>
      <c r="L38" s="30">
        <f t="shared" si="37"/>
        <v>1.3285280449917576</v>
      </c>
      <c r="M38" s="30" t="str">
        <f t="shared" si="38"/>
        <v xml:space="preserve"> </v>
      </c>
      <c r="N38" s="9"/>
      <c r="O38" s="27">
        <v>440</v>
      </c>
      <c r="P38" s="27">
        <v>441.37092156000034</v>
      </c>
      <c r="Q38" s="28">
        <v>3.5780140727175658</v>
      </c>
      <c r="R38" s="29">
        <v>5.3843779682416125E-2</v>
      </c>
      <c r="S38" s="30">
        <f t="shared" si="39"/>
        <v>5.2879939663308928</v>
      </c>
      <c r="T38" s="30" t="str">
        <f t="shared" si="40"/>
        <v>*</v>
      </c>
      <c r="U38" s="30"/>
      <c r="V38" s="27">
        <v>606</v>
      </c>
      <c r="W38" s="27">
        <v>630.59895999000321</v>
      </c>
      <c r="X38" s="28">
        <v>3.4958679524224991</v>
      </c>
      <c r="Y38" s="29">
        <v>4.4371171506604433E-2</v>
      </c>
      <c r="Z38" s="30">
        <f t="shared" si="41"/>
        <v>7.8335973883488377</v>
      </c>
      <c r="AA38" s="30" t="str">
        <f t="shared" si="42"/>
        <v>*</v>
      </c>
      <c r="AB38" s="9"/>
      <c r="AC38" s="8">
        <v>741</v>
      </c>
      <c r="AD38" s="8">
        <v>769.32711997999616</v>
      </c>
      <c r="AE38" s="69">
        <v>3.2917955427150885</v>
      </c>
      <c r="AF38" s="9">
        <v>4.110025778360564E-2</v>
      </c>
      <c r="AG38" s="30">
        <f t="shared" si="43"/>
        <v>12.636501999758492</v>
      </c>
      <c r="AH38" s="30" t="str">
        <f t="shared" si="44"/>
        <v>*</v>
      </c>
      <c r="AI38" s="9"/>
      <c r="AJ38" s="81">
        <v>3379</v>
      </c>
      <c r="AK38" s="83">
        <v>4.0578788558018353</v>
      </c>
      <c r="AL38" s="84">
        <v>1.623261101086123E-2</v>
      </c>
      <c r="AM38" s="30">
        <f t="shared" si="45"/>
        <v>-6.0066540802119839</v>
      </c>
      <c r="AN38" s="30" t="str">
        <f t="shared" si="46"/>
        <v>*</v>
      </c>
      <c r="AO38" s="9"/>
      <c r="AP38" s="78">
        <v>281</v>
      </c>
      <c r="AQ38" s="79">
        <v>4.2805186195713869</v>
      </c>
      <c r="AR38" s="80">
        <v>5.785288388338946E-2</v>
      </c>
      <c r="AS38" s="30">
        <f t="shared" si="74"/>
        <v>-6.2990468515926796</v>
      </c>
      <c r="AT38" s="30" t="str">
        <f t="shared" si="75"/>
        <v>*</v>
      </c>
      <c r="AU38" s="80"/>
      <c r="AV38" s="78">
        <v>399</v>
      </c>
      <c r="AW38" s="79">
        <v>4.1437246599951623</v>
      </c>
      <c r="AX38" s="80">
        <v>4.4263998056251981E-2</v>
      </c>
      <c r="AY38" s="30">
        <f t="shared" si="76"/>
        <v>-5.1192217638454229</v>
      </c>
      <c r="AZ38" s="30" t="str">
        <f t="shared" si="77"/>
        <v>*</v>
      </c>
      <c r="BA38" s="80"/>
      <c r="BB38" s="78">
        <v>473</v>
      </c>
      <c r="BC38" s="79">
        <v>4.1623771088161838</v>
      </c>
      <c r="BD38" s="80">
        <v>4.1709209268171961E-2</v>
      </c>
      <c r="BE38" s="30">
        <f t="shared" si="78"/>
        <v>-5.7514692885342029</v>
      </c>
      <c r="BF38" s="30" t="str">
        <f t="shared" si="79"/>
        <v>*</v>
      </c>
      <c r="BG38" s="80"/>
      <c r="BH38" s="78">
        <v>708</v>
      </c>
      <c r="BI38" s="79">
        <v>4.0083655918987198</v>
      </c>
      <c r="BJ38" s="80">
        <v>3.5532194338348151E-2</v>
      </c>
      <c r="BK38" s="30">
        <f t="shared" si="80"/>
        <v>-2.8383592411961414</v>
      </c>
      <c r="BL38" s="30" t="str">
        <f t="shared" si="81"/>
        <v>*</v>
      </c>
      <c r="BM38" s="80"/>
      <c r="BN38" s="78">
        <v>717</v>
      </c>
      <c r="BO38" s="79">
        <v>3.9625515707969674</v>
      </c>
      <c r="BP38" s="80">
        <v>3.8284279847090937E-2</v>
      </c>
      <c r="BQ38" s="30">
        <f t="shared" si="82"/>
        <v>-1.6666805324124268</v>
      </c>
      <c r="BR38" s="30" t="str">
        <f t="shared" si="83"/>
        <v xml:space="preserve"> </v>
      </c>
      <c r="BS38" s="9"/>
      <c r="BT38" s="27">
        <v>7699</v>
      </c>
      <c r="BU38" s="27">
        <v>7748.12793193977</v>
      </c>
      <c r="BV38" s="28">
        <v>4.1202679024721265</v>
      </c>
      <c r="BW38" s="29">
        <v>1.1512343192776829E-2</v>
      </c>
      <c r="BX38" s="30">
        <f t="shared" si="57"/>
        <v>-8.9800200840240549</v>
      </c>
      <c r="BY38" s="30" t="str">
        <f t="shared" si="58"/>
        <v>*</v>
      </c>
      <c r="BZ38" s="30"/>
      <c r="CA38" s="27">
        <v>382</v>
      </c>
      <c r="CB38" s="27">
        <v>382</v>
      </c>
      <c r="CC38" s="28">
        <v>3.8900523560209428</v>
      </c>
      <c r="CD38" s="29">
        <v>4.800382398384434E-2</v>
      </c>
      <c r="CE38" s="30">
        <f t="shared" si="59"/>
        <v>-3.9023582324871416E-2</v>
      </c>
      <c r="CF38" s="30" t="str">
        <f>IF(ABS(CE38)&gt;=1.96,"*"," ")</f>
        <v xml:space="preserve"> </v>
      </c>
      <c r="CG38" s="30"/>
      <c r="CH38" s="27">
        <v>1808</v>
      </c>
      <c r="CI38" s="27">
        <v>1859.6169658899912</v>
      </c>
      <c r="CJ38" s="28">
        <v>3.9168942822286921</v>
      </c>
      <c r="CK38" s="29">
        <v>2.401518101854562E-2</v>
      </c>
      <c r="CL38" s="30">
        <f t="shared" si="60"/>
        <v>-0.86678454252719372</v>
      </c>
      <c r="CM38" s="30" t="str">
        <f>IF(ABS(CL38)&gt;=1.96,"*"," ")</f>
        <v xml:space="preserve"> </v>
      </c>
      <c r="CN38" s="30"/>
      <c r="CO38" s="27">
        <v>1932</v>
      </c>
      <c r="CP38" s="27">
        <v>1931.9755414600754</v>
      </c>
      <c r="CQ38" s="28">
        <v>3.9620449829273783</v>
      </c>
      <c r="CR38" s="29">
        <v>2.3229433127550526E-2</v>
      </c>
      <c r="CS38" s="30">
        <f t="shared" si="61"/>
        <v>-2.2579043291001595</v>
      </c>
      <c r="CT38" s="30" t="str">
        <f>IF(ABS(CS38)&gt;=1.96,"*"," ")</f>
        <v>*</v>
      </c>
      <c r="CU38" s="30"/>
      <c r="CV38" s="27">
        <v>317</v>
      </c>
      <c r="CW38" s="27">
        <v>318.02958291999988</v>
      </c>
      <c r="CX38" s="28">
        <v>4.9021342899165736</v>
      </c>
      <c r="CY38" s="29">
        <v>2.3181701244088533E-2</v>
      </c>
      <c r="CZ38" s="30">
        <f t="shared" si="62"/>
        <v>-30.94586066561607</v>
      </c>
      <c r="DA38" s="30" t="str">
        <f>IF(ABS(CZ38)&gt;=1.96,"*"," ")</f>
        <v>*</v>
      </c>
      <c r="DB38" s="30"/>
      <c r="DC38" s="27">
        <v>828</v>
      </c>
      <c r="DD38" s="27">
        <v>828.01976591998948</v>
      </c>
      <c r="DE38" s="28">
        <v>4.8974002823524287</v>
      </c>
      <c r="DF38" s="29">
        <v>1.172952390157966E-2</v>
      </c>
      <c r="DG38" s="30">
        <f t="shared" si="63"/>
        <v>-38.875848064232798</v>
      </c>
      <c r="DH38" s="30" t="str">
        <f>IF(ABS(DG38)&gt;=1.96,"*"," ")</f>
        <v>*</v>
      </c>
      <c r="DI38" s="30"/>
      <c r="DJ38" s="27">
        <v>400</v>
      </c>
      <c r="DK38" s="27">
        <v>400</v>
      </c>
      <c r="DL38" s="28">
        <v>4.9975000000000005</v>
      </c>
      <c r="DM38" s="29">
        <v>2.5000000000000001E-3</v>
      </c>
      <c r="DN38" s="30">
        <f t="shared" si="64"/>
        <v>-47.620020313194885</v>
      </c>
      <c r="DO38" s="30" t="str">
        <f>IF(ABS(DN38)&gt;=1.96,"*"," ")</f>
        <v>*</v>
      </c>
      <c r="DP38" s="8"/>
      <c r="DQ38" s="27">
        <v>572</v>
      </c>
      <c r="DR38" s="27">
        <v>570.11521215999755</v>
      </c>
      <c r="DS38" s="28">
        <v>3.8032250891798398</v>
      </c>
      <c r="DT38" s="29">
        <v>4.322132658625337E-2</v>
      </c>
      <c r="DU38" s="29"/>
      <c r="DV38" s="27">
        <v>411</v>
      </c>
      <c r="DW38" s="27">
        <v>410.95417514999878</v>
      </c>
      <c r="DX38" s="28">
        <v>3.7643343344190403</v>
      </c>
      <c r="DY38" s="29">
        <v>5.3226531308052084E-2</v>
      </c>
      <c r="DZ38" s="10">
        <f t="shared" si="6"/>
        <v>0.56721077137296927</v>
      </c>
      <c r="EA38" s="10" t="str">
        <f>IF(ABS(DZ38)&gt;=1.96,"*"," ")</f>
        <v xml:space="preserve"> </v>
      </c>
      <c r="EB38" s="29"/>
      <c r="EC38" s="27">
        <v>439</v>
      </c>
      <c r="ED38" s="27">
        <v>441.18788157000085</v>
      </c>
      <c r="EE38" s="28">
        <v>3.9377439571724913</v>
      </c>
      <c r="EF38" s="29">
        <v>4.8874140348284224E-2</v>
      </c>
      <c r="EG38" s="10">
        <f t="shared" si="8"/>
        <v>-2.0617850367381489</v>
      </c>
      <c r="EH38" s="10" t="str">
        <f>IF(ABS(EG38)&gt;=1.96,"*"," ")</f>
        <v>*</v>
      </c>
      <c r="EI38" s="29"/>
      <c r="EJ38" s="27">
        <v>412</v>
      </c>
      <c r="EK38" s="27">
        <v>420.10535696000227</v>
      </c>
      <c r="EL38" s="28">
        <v>3.8508871240697724</v>
      </c>
      <c r="EM38" s="29">
        <v>4.9385543523129807E-2</v>
      </c>
      <c r="EN38" s="10">
        <f t="shared" si="10"/>
        <v>-0.72624706296477048</v>
      </c>
      <c r="EO38" s="10" t="str">
        <f t="shared" si="65"/>
        <v xml:space="preserve"> </v>
      </c>
      <c r="EP38" s="29"/>
      <c r="EQ38" s="8">
        <v>467</v>
      </c>
      <c r="ER38" s="8">
        <v>466.15657151999909</v>
      </c>
      <c r="ES38" s="69">
        <v>3.8965742965227457</v>
      </c>
      <c r="ET38" s="9">
        <v>4.7123607140055486E-2</v>
      </c>
      <c r="EU38" s="10">
        <f t="shared" si="11"/>
        <v>-1.4598797556573555</v>
      </c>
      <c r="EV38" s="10" t="str">
        <f t="shared" si="66"/>
        <v xml:space="preserve"> </v>
      </c>
      <c r="EW38" s="29"/>
      <c r="EX38" s="88">
        <v>2727</v>
      </c>
      <c r="EY38" s="88">
        <v>2724.6731068699683</v>
      </c>
      <c r="EZ38" s="28">
        <v>3.9632111942760195</v>
      </c>
      <c r="FA38" s="29">
        <v>1.7990247553776154E-2</v>
      </c>
      <c r="FB38" s="30">
        <f t="shared" si="12"/>
        <v>-3.4173427021910245</v>
      </c>
      <c r="FC38" s="30" t="str">
        <f t="shared" si="67"/>
        <v>*</v>
      </c>
      <c r="FD38" s="30"/>
      <c r="FE38" s="27">
        <v>686</v>
      </c>
      <c r="FF38" s="27">
        <v>685.97688550000157</v>
      </c>
      <c r="FG38" s="28">
        <v>3.855652385505925</v>
      </c>
      <c r="FH38" s="29">
        <v>3.4050496989249307E-2</v>
      </c>
      <c r="FI38" s="30">
        <f t="shared" si="13"/>
        <v>-0.95282686400220629</v>
      </c>
      <c r="FJ38" s="30" t="str">
        <f>IF(ABS(FI38)&gt;=1.96,"*"," ")</f>
        <v xml:space="preserve"> </v>
      </c>
      <c r="FK38" s="30"/>
      <c r="FL38" s="88">
        <v>154</v>
      </c>
      <c r="FM38" s="88">
        <v>153.99414810999966</v>
      </c>
      <c r="FN38" s="28">
        <v>4.2405844587258974</v>
      </c>
      <c r="FO38" s="29">
        <v>7.1377683174859652E-2</v>
      </c>
      <c r="FP38" s="30">
        <f t="shared" si="15"/>
        <v>-5.241368633703166</v>
      </c>
      <c r="FQ38" s="30" t="str">
        <f>IF(ABS(FP38)&gt;=1.96,"*"," ")</f>
        <v>*</v>
      </c>
      <c r="FR38" s="30"/>
      <c r="FS38" s="88">
        <v>398</v>
      </c>
      <c r="FT38" s="88">
        <v>397.406077289998</v>
      </c>
      <c r="FU38" s="28">
        <v>4.0149176556896826</v>
      </c>
      <c r="FV38" s="29">
        <v>4.4151796212766894E-2</v>
      </c>
      <c r="FW38" s="30">
        <f t="shared" si="17"/>
        <v>-3.4262426969743958</v>
      </c>
      <c r="FX38" s="30" t="str">
        <f>IF(ABS(FW38)&gt;=1.96,"*"," ")</f>
        <v>*</v>
      </c>
      <c r="FY38" s="30"/>
      <c r="FZ38" s="88">
        <v>646</v>
      </c>
      <c r="GA38" s="88">
        <v>646.12791855000523</v>
      </c>
      <c r="GB38" s="28">
        <v>3.9999347952335862</v>
      </c>
      <c r="GC38" s="29">
        <v>3.8320441310009529E-2</v>
      </c>
      <c r="GD38" s="30">
        <f t="shared" si="19"/>
        <v>-3.4054747730930623</v>
      </c>
      <c r="GE38" s="30" t="str">
        <f>IF(ABS(GD38)&gt;=1.96,"*"," ")</f>
        <v>*</v>
      </c>
      <c r="GF38" s="30"/>
      <c r="GG38" s="88">
        <v>271</v>
      </c>
      <c r="GH38" s="88">
        <v>271.05286525999946</v>
      </c>
      <c r="GI38" s="28">
        <v>4.2509886483389243</v>
      </c>
      <c r="GJ38" s="29">
        <v>4.5708813285906737E-2</v>
      </c>
      <c r="GK38" s="30">
        <f t="shared" si="21"/>
        <v>-7.1177862354252506</v>
      </c>
      <c r="GL38" s="30" t="str">
        <f>IF(ABS(GK38)&gt;=1.96,"*"," ")</f>
        <v>*</v>
      </c>
      <c r="GM38" s="10"/>
      <c r="GN38" s="88">
        <v>450</v>
      </c>
      <c r="GO38" s="88">
        <v>450.05623170000217</v>
      </c>
      <c r="GP38" s="28">
        <v>3.8331109596098956</v>
      </c>
      <c r="GQ38" s="29">
        <v>4.7844585222676247E-2</v>
      </c>
      <c r="GR38" s="9"/>
      <c r="GS38" s="3">
        <v>322</v>
      </c>
      <c r="GT38" s="3">
        <v>322.00837498999891</v>
      </c>
      <c r="GU38" s="69">
        <v>4.0468931031699729</v>
      </c>
      <c r="GV38" s="9">
        <v>5.2995977496567793E-2</v>
      </c>
      <c r="GW38" s="10">
        <f t="shared" si="23"/>
        <v>-2.994230494847173</v>
      </c>
      <c r="GX38" s="10" t="str">
        <f t="shared" si="68"/>
        <v>*</v>
      </c>
      <c r="GY38" s="9"/>
      <c r="GZ38" s="27">
        <v>384</v>
      </c>
      <c r="HA38" s="27">
        <v>384.97431366000131</v>
      </c>
      <c r="HB38" s="28">
        <v>3.9947615606588713</v>
      </c>
      <c r="HC38" s="29">
        <v>4.5582457880859802E-2</v>
      </c>
      <c r="HD38" s="10">
        <f t="shared" si="24"/>
        <v>-2.4462027528439054</v>
      </c>
      <c r="HE38" s="10" t="str">
        <f t="shared" si="69"/>
        <v>*</v>
      </c>
      <c r="HF38" s="9"/>
      <c r="HG38" s="27">
        <v>693</v>
      </c>
      <c r="HH38" s="27">
        <v>696.97369559000265</v>
      </c>
      <c r="HI38" s="28">
        <v>3.8007515678157104</v>
      </c>
      <c r="HJ38" s="29">
        <v>3.6929203128593498E-2</v>
      </c>
      <c r="HK38" s="10">
        <f t="shared" si="25"/>
        <v>0.53540598236774151</v>
      </c>
      <c r="HL38" s="10" t="str">
        <f t="shared" si="70"/>
        <v xml:space="preserve"> </v>
      </c>
      <c r="HM38" s="29"/>
      <c r="HN38" s="8">
        <v>689</v>
      </c>
      <c r="HO38" s="8">
        <v>690.71183892000113</v>
      </c>
      <c r="HP38" s="69">
        <v>3.8749764920708096</v>
      </c>
      <c r="HQ38" s="9">
        <v>3.6076006673412771E-2</v>
      </c>
      <c r="HR38" s="10">
        <f t="shared" si="26"/>
        <v>-0.69867331878315508</v>
      </c>
      <c r="HS38" s="10" t="str">
        <f t="shared" si="71"/>
        <v xml:space="preserve"> </v>
      </c>
      <c r="HT38" s="9"/>
      <c r="HU38" s="88">
        <v>2633</v>
      </c>
      <c r="HV38" s="88">
        <v>2630.865941339905</v>
      </c>
      <c r="HW38" s="28">
        <v>4.016851990895228</v>
      </c>
      <c r="HX38" s="29">
        <v>1.8644174352705125E-2</v>
      </c>
      <c r="HY38" s="30">
        <f t="shared" si="27"/>
        <v>-3.578285607857592</v>
      </c>
      <c r="HZ38" s="30" t="str">
        <f t="shared" si="72"/>
        <v>*</v>
      </c>
      <c r="IA38" s="30"/>
      <c r="IB38" s="88">
        <v>686</v>
      </c>
      <c r="IC38" s="88">
        <v>685.97688550000157</v>
      </c>
      <c r="ID38" s="28">
        <v>3.855652385505925</v>
      </c>
      <c r="IE38" s="29">
        <v>3.4050496989249307E-2</v>
      </c>
      <c r="IF38" s="30">
        <f t="shared" si="28"/>
        <v>-0.38385191171015182</v>
      </c>
      <c r="IG38" s="30" t="str">
        <f>IF(ABS(IF38)&gt;=1.96,"*"," ")</f>
        <v xml:space="preserve"> </v>
      </c>
      <c r="IH38" s="30"/>
      <c r="II38" s="88">
        <v>303</v>
      </c>
      <c r="IJ38" s="88">
        <v>302.42878120000125</v>
      </c>
      <c r="IK38" s="28">
        <v>4.2162750210494799</v>
      </c>
      <c r="IL38" s="29">
        <v>5.0395839288861655E-2</v>
      </c>
      <c r="IM38" s="30">
        <f t="shared" si="30"/>
        <v>-5.5139539847230665</v>
      </c>
      <c r="IN38" s="30" t="str">
        <f>IF(ABS(IM38)&gt;=1.96,"*"," ")</f>
        <v>*</v>
      </c>
      <c r="IO38" s="30"/>
      <c r="IP38" s="88">
        <v>527</v>
      </c>
      <c r="IQ38" s="88">
        <v>527.17617330000417</v>
      </c>
      <c r="IR38" s="28">
        <v>4.1215396794565251</v>
      </c>
      <c r="IS38" s="29">
        <v>4.4628738292458565E-2</v>
      </c>
      <c r="IT38" s="30">
        <f t="shared" si="32"/>
        <v>-4.4083349151320128</v>
      </c>
      <c r="IU38" s="30" t="str">
        <f>IF(ABS(IT38)&gt;=1.96,"*"," ")</f>
        <v>*</v>
      </c>
      <c r="IV38" s="30"/>
      <c r="IW38" s="88">
        <v>154</v>
      </c>
      <c r="IX38" s="88">
        <v>153.99414810999966</v>
      </c>
      <c r="IY38" s="28">
        <v>4.2405844587258974</v>
      </c>
      <c r="IZ38" s="29">
        <v>7.1377683174859652E-2</v>
      </c>
      <c r="JA38" s="30">
        <f t="shared" si="34"/>
        <v>-4.741951555033463</v>
      </c>
      <c r="JB38" s="30" t="str">
        <f>IF(ABS(JA38)&gt;=1.96,"*"," ")</f>
        <v>*</v>
      </c>
      <c r="JC38" s="30"/>
      <c r="JD38" s="88">
        <v>513</v>
      </c>
      <c r="JE38" s="88">
        <v>511.2337215300023</v>
      </c>
      <c r="JF38" s="28">
        <v>4.1015869913169531</v>
      </c>
      <c r="JG38" s="29">
        <v>4.0665206465901244E-2</v>
      </c>
      <c r="JH38" s="30">
        <f t="shared" si="35"/>
        <v>-4.2756797053683133</v>
      </c>
      <c r="JI38" s="30" t="str">
        <f>IF(ABS(JH38)&gt;=1.96,"*"," ")</f>
        <v>*</v>
      </c>
      <c r="JK38" s="27"/>
      <c r="JL38" s="27"/>
      <c r="JM38" s="28"/>
      <c r="JN38" s="29"/>
    </row>
    <row r="39" spans="1:274" x14ac:dyDescent="0.2">
      <c r="B39" s="7" t="s">
        <v>42</v>
      </c>
      <c r="C39" s="27">
        <v>1777</v>
      </c>
      <c r="D39" s="27">
        <v>1773.5145645199661</v>
      </c>
      <c r="E39" s="28">
        <v>3.7127699576925277</v>
      </c>
      <c r="F39" s="29">
        <v>2.6181605482564926E-2</v>
      </c>
      <c r="G39" s="29"/>
      <c r="H39" s="3">
        <v>554</v>
      </c>
      <c r="I39" s="3">
        <v>553.68028141999912</v>
      </c>
      <c r="J39" s="28">
        <v>3.689582008376374</v>
      </c>
      <c r="K39" s="29">
        <v>4.7781968892603319E-2</v>
      </c>
      <c r="L39" s="30">
        <f t="shared" si="37"/>
        <v>0.42558568506450528</v>
      </c>
      <c r="M39" s="30" t="str">
        <f t="shared" si="38"/>
        <v xml:space="preserve"> </v>
      </c>
      <c r="N39" s="9"/>
      <c r="O39" s="27">
        <v>411</v>
      </c>
      <c r="P39" s="27">
        <v>413.6651599499998</v>
      </c>
      <c r="Q39" s="28">
        <v>3.5179634382936626</v>
      </c>
      <c r="R39" s="29">
        <v>5.0161708554501937E-2</v>
      </c>
      <c r="S39" s="30">
        <f t="shared" si="39"/>
        <v>3.4428251605709259</v>
      </c>
      <c r="T39" s="30" t="str">
        <f t="shared" si="40"/>
        <v>*</v>
      </c>
      <c r="U39" s="30"/>
      <c r="V39" s="27">
        <v>488</v>
      </c>
      <c r="W39" s="27">
        <v>509.33258124999838</v>
      </c>
      <c r="X39" s="28">
        <v>3.5833835803136136</v>
      </c>
      <c r="Y39" s="29">
        <v>4.5094106315953453E-2</v>
      </c>
      <c r="Z39" s="30">
        <f t="shared" si="41"/>
        <v>2.4813472888909467</v>
      </c>
      <c r="AA39" s="30" t="str">
        <f t="shared" si="42"/>
        <v>*</v>
      </c>
      <c r="AB39" s="9"/>
      <c r="AC39" s="8">
        <v>592</v>
      </c>
      <c r="AD39" s="8">
        <v>605.69156279999402</v>
      </c>
      <c r="AE39" s="69">
        <v>3.3968930739082754</v>
      </c>
      <c r="AF39" s="9">
        <v>4.5137755875864168E-2</v>
      </c>
      <c r="AG39" s="30">
        <f t="shared" si="43"/>
        <v>6.0534438674032494</v>
      </c>
      <c r="AH39" s="30" t="str">
        <f t="shared" si="44"/>
        <v>*</v>
      </c>
      <c r="AI39" s="9"/>
      <c r="AJ39" s="81">
        <v>3185</v>
      </c>
      <c r="AK39" s="83">
        <v>3.8173564173516805</v>
      </c>
      <c r="AL39" s="84">
        <v>1.8665796260655412E-2</v>
      </c>
      <c r="AM39" s="30">
        <f t="shared" si="45"/>
        <v>-3.2526596888436794</v>
      </c>
      <c r="AN39" s="30" t="str">
        <f t="shared" si="46"/>
        <v>*</v>
      </c>
      <c r="AO39" s="9"/>
      <c r="AP39" s="78">
        <v>278</v>
      </c>
      <c r="AQ39" s="79">
        <v>4.1427452624790657</v>
      </c>
      <c r="AR39" s="80">
        <v>6.3157234782248758E-2</v>
      </c>
      <c r="AS39" s="30">
        <f t="shared" si="74"/>
        <v>-6.2890439333398573</v>
      </c>
      <c r="AT39" s="30" t="str">
        <f t="shared" si="75"/>
        <v>*</v>
      </c>
      <c r="AU39" s="80"/>
      <c r="AV39" s="78">
        <v>392</v>
      </c>
      <c r="AW39" s="79">
        <v>3.6999102338387106</v>
      </c>
      <c r="AX39" s="80">
        <v>5.6958708885663061E-2</v>
      </c>
      <c r="AY39" s="30">
        <f t="shared" si="76"/>
        <v>0.20513889979309918</v>
      </c>
      <c r="AZ39" s="30" t="str">
        <f t="shared" si="77"/>
        <v xml:space="preserve"> </v>
      </c>
      <c r="BA39" s="80"/>
      <c r="BB39" s="78">
        <v>426</v>
      </c>
      <c r="BC39" s="79">
        <v>3.9266657509957521</v>
      </c>
      <c r="BD39" s="80">
        <v>5.0004089030817517E-2</v>
      </c>
      <c r="BE39" s="30">
        <f t="shared" si="78"/>
        <v>-3.789545880815413</v>
      </c>
      <c r="BF39" s="30" t="str">
        <f t="shared" si="79"/>
        <v>*</v>
      </c>
      <c r="BG39" s="80"/>
      <c r="BH39" s="78">
        <v>669</v>
      </c>
      <c r="BI39" s="79">
        <v>3.8714080008945237</v>
      </c>
      <c r="BJ39" s="80">
        <v>3.7572942572767103E-2</v>
      </c>
      <c r="BK39" s="30">
        <f t="shared" si="80"/>
        <v>-3.4640740166814181</v>
      </c>
      <c r="BL39" s="30" t="str">
        <f t="shared" si="81"/>
        <v>*</v>
      </c>
      <c r="BM39" s="80"/>
      <c r="BN39" s="78">
        <v>669</v>
      </c>
      <c r="BO39" s="79">
        <v>3.723605423755652</v>
      </c>
      <c r="BP39" s="80">
        <v>4.111549242300476E-2</v>
      </c>
      <c r="BQ39" s="30">
        <f t="shared" si="82"/>
        <v>-0.22229414147894139</v>
      </c>
      <c r="BR39" s="30" t="str">
        <f t="shared" si="83"/>
        <v xml:space="preserve"> </v>
      </c>
      <c r="BS39" s="9"/>
      <c r="BT39" s="27">
        <v>6665</v>
      </c>
      <c r="BU39" s="27">
        <v>6711.6214278697653</v>
      </c>
      <c r="BV39" s="28">
        <v>3.9812004379692763</v>
      </c>
      <c r="BW39" s="29">
        <v>1.3377515552206846E-2</v>
      </c>
      <c r="BX39" s="30">
        <f t="shared" si="57"/>
        <v>-9.1298955876395933</v>
      </c>
      <c r="BY39" s="30" t="str">
        <f t="shared" si="58"/>
        <v>*</v>
      </c>
      <c r="BZ39" s="30"/>
      <c r="CA39" s="27">
        <v>256</v>
      </c>
      <c r="CB39" s="27">
        <v>256</v>
      </c>
      <c r="CC39" s="28">
        <v>3.4492187500000013</v>
      </c>
      <c r="CD39" s="29">
        <v>6.7262181334216423E-2</v>
      </c>
      <c r="CE39" s="30">
        <f t="shared" si="59"/>
        <v>3.6514015092821026</v>
      </c>
      <c r="CF39" s="30" t="str">
        <f>IF(ABS(CE39)&gt;=1.96,"*"," ")</f>
        <v>*</v>
      </c>
      <c r="CG39" s="30"/>
      <c r="CH39" s="27">
        <v>1691</v>
      </c>
      <c r="CI39" s="27">
        <v>1739.3969672099927</v>
      </c>
      <c r="CJ39" s="28">
        <v>3.7104632947544998</v>
      </c>
      <c r="CK39" s="29">
        <v>2.6491210582204258E-2</v>
      </c>
      <c r="CL39" s="30">
        <f t="shared" si="60"/>
        <v>6.1930572609785295E-2</v>
      </c>
      <c r="CM39" s="30" t="str">
        <f>IF(ABS(CL39)&gt;=1.96,"*"," ")</f>
        <v xml:space="preserve"> </v>
      </c>
      <c r="CN39" s="30"/>
      <c r="CO39" s="27">
        <v>1422</v>
      </c>
      <c r="CP39" s="27">
        <v>1422.6957124400478</v>
      </c>
      <c r="CQ39" s="28">
        <v>3.7927099879887769</v>
      </c>
      <c r="CR39" s="29">
        <v>2.816352519177856E-2</v>
      </c>
      <c r="CS39" s="30">
        <f t="shared" si="61"/>
        <v>-2.0788830370662601</v>
      </c>
      <c r="CT39" s="30" t="str">
        <f>IF(ABS(CS39)&gt;=1.96,"*"," ")</f>
        <v>*</v>
      </c>
      <c r="CU39" s="30"/>
      <c r="CV39" s="27">
        <v>308</v>
      </c>
      <c r="CW39" s="27">
        <v>308.99352747999973</v>
      </c>
      <c r="CX39" s="28">
        <v>4.7400576851720686</v>
      </c>
      <c r="CY39" s="29">
        <v>3.7204652965700538E-2</v>
      </c>
      <c r="CZ39" s="30">
        <f t="shared" si="62"/>
        <v>-22.580955599691649</v>
      </c>
      <c r="DA39" s="30" t="str">
        <f>IF(ABS(CZ39)&gt;=1.96,"*"," ")</f>
        <v>*</v>
      </c>
      <c r="DB39" s="30"/>
      <c r="DC39" s="27">
        <v>818</v>
      </c>
      <c r="DD39" s="27">
        <v>818.02065621998975</v>
      </c>
      <c r="DE39" s="28">
        <v>4.8705012009971673</v>
      </c>
      <c r="DF39" s="29">
        <v>1.437880549084462E-2</v>
      </c>
      <c r="DG39" s="30">
        <f t="shared" si="63"/>
        <v>-38.758788299261937</v>
      </c>
      <c r="DH39" s="30" t="str">
        <f>IF(ABS(DG39)&gt;=1.96,"*"," ")</f>
        <v>*</v>
      </c>
      <c r="DI39" s="30"/>
      <c r="DJ39" s="27">
        <v>393</v>
      </c>
      <c r="DK39" s="27">
        <v>393</v>
      </c>
      <c r="DL39" s="28">
        <v>4.9720101781170456</v>
      </c>
      <c r="DM39" s="29">
        <v>1.2660177947850229E-2</v>
      </c>
      <c r="DN39" s="30">
        <f t="shared" si="64"/>
        <v>-43.299800589964576</v>
      </c>
      <c r="DO39" s="30" t="str">
        <f>IF(ABS(DN39)&gt;=1.96,"*"," ")</f>
        <v>*</v>
      </c>
      <c r="DP39" s="8"/>
      <c r="DQ39" s="27">
        <v>488</v>
      </c>
      <c r="DR39" s="27">
        <v>486.97053855999928</v>
      </c>
      <c r="DS39" s="28">
        <v>3.4764125810280708</v>
      </c>
      <c r="DT39" s="29">
        <v>5.3586038572955165E-2</v>
      </c>
      <c r="DU39" s="29"/>
      <c r="DV39" s="27">
        <v>330</v>
      </c>
      <c r="DW39" s="27">
        <v>329.90600189000003</v>
      </c>
      <c r="DX39" s="28">
        <v>3.530218130248882</v>
      </c>
      <c r="DY39" s="29">
        <v>5.9686671444072963E-2</v>
      </c>
      <c r="DZ39" s="10">
        <f t="shared" si="6"/>
        <v>-0.67079190605244809</v>
      </c>
      <c r="EA39" s="10" t="str">
        <f>IF(ABS(DZ39)&gt;=1.96,"*"," ")</f>
        <v xml:space="preserve"> </v>
      </c>
      <c r="EB39" s="29"/>
      <c r="EC39" s="27">
        <v>360</v>
      </c>
      <c r="ED39" s="27">
        <v>361.11864559000082</v>
      </c>
      <c r="EE39" s="28">
        <v>3.6324179693265997</v>
      </c>
      <c r="EF39" s="29">
        <v>6.2543609414175499E-2</v>
      </c>
      <c r="EG39" s="10">
        <f t="shared" si="8"/>
        <v>-1.8941892022728151</v>
      </c>
      <c r="EH39" s="10" t="str">
        <f>IF(ABS(EG39)&gt;=1.96,"*"," ")</f>
        <v xml:space="preserve"> </v>
      </c>
      <c r="EI39" s="29"/>
      <c r="EJ39" s="27">
        <v>351</v>
      </c>
      <c r="EK39" s="27">
        <v>355.59881112000176</v>
      </c>
      <c r="EL39" s="28">
        <v>3.5931900009891131</v>
      </c>
      <c r="EM39" s="29">
        <v>6.0215286771101321E-2</v>
      </c>
      <c r="EN39" s="10">
        <f t="shared" si="10"/>
        <v>-1.448741615965488</v>
      </c>
      <c r="EO39" s="10" t="str">
        <f t="shared" si="65"/>
        <v xml:space="preserve"> </v>
      </c>
      <c r="EP39" s="29"/>
      <c r="EQ39" s="8">
        <v>413</v>
      </c>
      <c r="ER39" s="8">
        <v>412.50228582999995</v>
      </c>
      <c r="ES39" s="69">
        <v>3.654173344899255</v>
      </c>
      <c r="ET39" s="9">
        <v>5.3739259452634164E-2</v>
      </c>
      <c r="EU39" s="10">
        <f t="shared" si="11"/>
        <v>-2.3423315058536009</v>
      </c>
      <c r="EV39" s="10" t="str">
        <f t="shared" si="66"/>
        <v>*</v>
      </c>
      <c r="EW39" s="29"/>
      <c r="EX39" s="88">
        <v>2492</v>
      </c>
      <c r="EY39" s="88">
        <v>2491.0796835099682</v>
      </c>
      <c r="EZ39" s="28">
        <v>3.6435432459997315</v>
      </c>
      <c r="FA39" s="29">
        <v>2.1284230435034249E-2</v>
      </c>
      <c r="FB39" s="30">
        <f t="shared" si="12"/>
        <v>-2.8986391158406613</v>
      </c>
      <c r="FC39" s="30" t="str">
        <f t="shared" si="67"/>
        <v>*</v>
      </c>
      <c r="FD39" s="30"/>
      <c r="FE39" s="27">
        <v>654</v>
      </c>
      <c r="FF39" s="27">
        <v>653.97684090000143</v>
      </c>
      <c r="FG39" s="28">
        <v>3.5184294556263129</v>
      </c>
      <c r="FH39" s="29">
        <v>3.6768057418556564E-2</v>
      </c>
      <c r="FI39" s="30">
        <f t="shared" si="13"/>
        <v>-0.64653944134546049</v>
      </c>
      <c r="FJ39" s="30" t="str">
        <f>IF(ABS(FI39)&gt;=1.96,"*"," ")</f>
        <v xml:space="preserve"> </v>
      </c>
      <c r="FK39" s="30"/>
      <c r="FL39" s="88">
        <v>166</v>
      </c>
      <c r="FM39" s="88">
        <v>165.9362398599996</v>
      </c>
      <c r="FN39" s="28">
        <v>4.0781672520176615</v>
      </c>
      <c r="FO39" s="29">
        <v>6.7289456152566166E-2</v>
      </c>
      <c r="FP39" s="30">
        <f t="shared" si="15"/>
        <v>-6.9955705606875123</v>
      </c>
      <c r="FQ39" s="30" t="str">
        <f>IF(ABS(FP39)&gt;=1.96,"*"," ")</f>
        <v>*</v>
      </c>
      <c r="FR39" s="30"/>
      <c r="FS39" s="88">
        <v>329</v>
      </c>
      <c r="FT39" s="88">
        <v>329.0873961199996</v>
      </c>
      <c r="FU39" s="28">
        <v>3.5229270544510571</v>
      </c>
      <c r="FV39" s="29">
        <v>5.5842145816416396E-2</v>
      </c>
      <c r="FW39" s="30">
        <f t="shared" si="17"/>
        <v>-0.6010099053894683</v>
      </c>
      <c r="FX39" s="30" t="str">
        <f>IF(ABS(FW39)&gt;=1.96,"*"," ")</f>
        <v xml:space="preserve"> </v>
      </c>
      <c r="FY39" s="30"/>
      <c r="FZ39" s="88">
        <v>636</v>
      </c>
      <c r="GA39" s="88">
        <v>636.09326433000513</v>
      </c>
      <c r="GB39" s="28">
        <v>3.7514964085706879</v>
      </c>
      <c r="GC39" s="29">
        <v>4.4134593027615188E-2</v>
      </c>
      <c r="GD39" s="30">
        <f t="shared" si="19"/>
        <v>-3.9625240733898139</v>
      </c>
      <c r="GE39" s="30" t="str">
        <f>IF(ABS(GD39)&gt;=1.96,"*"," ")</f>
        <v>*</v>
      </c>
      <c r="GF39" s="30"/>
      <c r="GG39" s="88">
        <v>219</v>
      </c>
      <c r="GH39" s="88">
        <v>219.01540373999961</v>
      </c>
      <c r="GI39" s="28">
        <v>3.9271504524908183</v>
      </c>
      <c r="GJ39" s="29">
        <v>6.7989471284748818E-2</v>
      </c>
      <c r="GK39" s="30">
        <f t="shared" si="21"/>
        <v>-5.2067447227401313</v>
      </c>
      <c r="GL39" s="30" t="str">
        <f>IF(ABS(GK39)&gt;=1.96,"*"," ")</f>
        <v>*</v>
      </c>
      <c r="GM39" s="10"/>
      <c r="GN39" s="88">
        <v>387</v>
      </c>
      <c r="GO39" s="88">
        <v>386.96900958000191</v>
      </c>
      <c r="GP39" s="28">
        <v>3.6121388886854233</v>
      </c>
      <c r="GQ39" s="29">
        <v>5.7745052793851281E-2</v>
      </c>
      <c r="GR39" s="9"/>
      <c r="GS39" s="3">
        <v>264</v>
      </c>
      <c r="GT39" s="3">
        <v>264.04333303000016</v>
      </c>
      <c r="GU39" s="69">
        <v>3.796088346703749</v>
      </c>
      <c r="GV39" s="9">
        <v>6.714044221038537E-2</v>
      </c>
      <c r="GW39" s="10">
        <f t="shared" si="23"/>
        <v>-2.0771887086707395</v>
      </c>
      <c r="GX39" s="10" t="str">
        <f t="shared" si="68"/>
        <v>*</v>
      </c>
      <c r="GY39" s="9"/>
      <c r="GZ39" s="27">
        <v>322</v>
      </c>
      <c r="HA39" s="27">
        <v>323.42796255000019</v>
      </c>
      <c r="HB39" s="28">
        <v>3.7673389986236372</v>
      </c>
      <c r="HC39" s="29">
        <v>5.9444227288749145E-2</v>
      </c>
      <c r="HD39" s="10">
        <f t="shared" si="24"/>
        <v>-1.8727227632541645</v>
      </c>
      <c r="HE39" s="10" t="str">
        <f t="shared" si="69"/>
        <v xml:space="preserve"> </v>
      </c>
      <c r="HF39" s="9"/>
      <c r="HG39" s="27">
        <v>641</v>
      </c>
      <c r="HH39" s="27">
        <v>642.25528729000257</v>
      </c>
      <c r="HI39" s="28">
        <v>3.6492706301251672</v>
      </c>
      <c r="HJ39" s="29">
        <v>4.2773389072045344E-2</v>
      </c>
      <c r="HK39" s="10">
        <f t="shared" si="25"/>
        <v>-0.51671364817736309</v>
      </c>
      <c r="HL39" s="10" t="str">
        <f t="shared" si="70"/>
        <v xml:space="preserve"> </v>
      </c>
      <c r="HM39" s="29"/>
      <c r="HN39" s="8">
        <v>560</v>
      </c>
      <c r="HO39" s="8">
        <v>562.98921270000028</v>
      </c>
      <c r="HP39" s="69">
        <v>3.4971765175173135</v>
      </c>
      <c r="HQ39" s="9">
        <v>4.8349897667008673E-2</v>
      </c>
      <c r="HR39" s="10">
        <f t="shared" si="26"/>
        <v>1.5264402259299819</v>
      </c>
      <c r="HS39" s="10" t="str">
        <f t="shared" si="71"/>
        <v xml:space="preserve"> </v>
      </c>
      <c r="HT39" s="9"/>
      <c r="HU39" s="88">
        <v>2422</v>
      </c>
      <c r="HV39" s="88">
        <v>2420.8254960599347</v>
      </c>
      <c r="HW39" s="28">
        <v>3.719139901807623</v>
      </c>
      <c r="HX39" s="29">
        <v>2.1849400746908651E-2</v>
      </c>
      <c r="HY39" s="30">
        <f t="shared" si="27"/>
        <v>-1.7330769893411266</v>
      </c>
      <c r="HZ39" s="30" t="str">
        <f t="shared" si="72"/>
        <v xml:space="preserve"> </v>
      </c>
      <c r="IA39" s="30"/>
      <c r="IB39" s="88">
        <v>654</v>
      </c>
      <c r="IC39" s="88">
        <v>653.97684090000143</v>
      </c>
      <c r="ID39" s="28">
        <v>3.5184294556263129</v>
      </c>
      <c r="IE39" s="29">
        <v>3.6768057418556564E-2</v>
      </c>
      <c r="IF39" s="30">
        <f t="shared" si="28"/>
        <v>1.3688772500012572</v>
      </c>
      <c r="IG39" s="30" t="str">
        <f>IF(ABS(IF39)&gt;=1.96,"*"," ")</f>
        <v xml:space="preserve"> </v>
      </c>
      <c r="IH39" s="30"/>
      <c r="II39" s="88">
        <v>279</v>
      </c>
      <c r="IJ39" s="88">
        <v>278.66151906000101</v>
      </c>
      <c r="IK39" s="28">
        <v>3.7483560088362928</v>
      </c>
      <c r="IL39" s="29">
        <v>6.7197249641017934E-2</v>
      </c>
      <c r="IM39" s="30">
        <f t="shared" si="30"/>
        <v>-1.5374391342787634</v>
      </c>
      <c r="IN39" s="30" t="str">
        <f>IF(ABS(IM39)&gt;=1.96,"*"," ")</f>
        <v xml:space="preserve"> </v>
      </c>
      <c r="IO39" s="30"/>
      <c r="IP39" s="88">
        <v>466</v>
      </c>
      <c r="IQ39" s="88">
        <v>466.24625556000279</v>
      </c>
      <c r="IR39" s="28">
        <v>3.893419330134213</v>
      </c>
      <c r="IS39" s="29">
        <v>5.1542031849459338E-2</v>
      </c>
      <c r="IT39" s="30">
        <f t="shared" si="32"/>
        <v>-3.6340195502392816</v>
      </c>
      <c r="IU39" s="30" t="str">
        <f>IF(ABS(IT39)&gt;=1.96,"*"," ")</f>
        <v>*</v>
      </c>
      <c r="IV39" s="30"/>
      <c r="IW39" s="88">
        <v>166</v>
      </c>
      <c r="IX39" s="88">
        <v>165.9362398599996</v>
      </c>
      <c r="IY39" s="28">
        <v>4.0781672520176615</v>
      </c>
      <c r="IZ39" s="29">
        <v>6.7289456152566166E-2</v>
      </c>
      <c r="JA39" s="30">
        <f t="shared" si="34"/>
        <v>-5.2557636956403124</v>
      </c>
      <c r="JB39" s="30" t="str">
        <f>IF(ABS(JA39)&gt;=1.96,"*"," ")</f>
        <v>*</v>
      </c>
      <c r="JC39" s="30"/>
      <c r="JD39" s="88">
        <v>470</v>
      </c>
      <c r="JE39" s="88">
        <v>469.03563110000209</v>
      </c>
      <c r="JF39" s="28">
        <v>3.7696517902134303</v>
      </c>
      <c r="JG39" s="29">
        <v>5.2450091112428696E-2</v>
      </c>
      <c r="JH39" s="30">
        <f t="shared" si="35"/>
        <v>-2.0191467525536901</v>
      </c>
      <c r="JI39" s="30" t="str">
        <f>IF(ABS(JH39)&gt;=1.96,"*"," ")</f>
        <v>*</v>
      </c>
      <c r="JK39" s="27"/>
      <c r="JL39" s="27"/>
      <c r="JM39" s="28"/>
      <c r="JN39" s="29"/>
    </row>
    <row r="40" spans="1:274" x14ac:dyDescent="0.2">
      <c r="B40" s="7" t="s">
        <v>43</v>
      </c>
      <c r="C40" s="27">
        <v>1666</v>
      </c>
      <c r="D40" s="27">
        <v>1659.1815487099716</v>
      </c>
      <c r="E40" s="28">
        <v>3.7970455725343579</v>
      </c>
      <c r="F40" s="29">
        <v>2.6139148404632506E-2</v>
      </c>
      <c r="G40" s="29"/>
      <c r="H40" s="3">
        <v>515</v>
      </c>
      <c r="I40" s="3">
        <v>514.46257519999756</v>
      </c>
      <c r="J40" s="28">
        <v>3.724780922723181</v>
      </c>
      <c r="K40" s="29">
        <v>4.8298961057573198E-2</v>
      </c>
      <c r="L40" s="30">
        <f t="shared" si="37"/>
        <v>1.3158519070414874</v>
      </c>
      <c r="M40" s="30" t="str">
        <f t="shared" si="38"/>
        <v xml:space="preserve"> </v>
      </c>
      <c r="N40" s="9"/>
      <c r="O40" s="27">
        <v>373</v>
      </c>
      <c r="P40" s="27">
        <v>376.01116988999945</v>
      </c>
      <c r="Q40" s="28">
        <v>3.4842637014301148</v>
      </c>
      <c r="R40" s="29">
        <v>5.6367904294973917E-2</v>
      </c>
      <c r="S40" s="30">
        <f t="shared" si="39"/>
        <v>5.0340139097594818</v>
      </c>
      <c r="T40" s="30" t="str">
        <f t="shared" si="40"/>
        <v>*</v>
      </c>
      <c r="U40" s="30"/>
      <c r="V40" s="27">
        <v>518</v>
      </c>
      <c r="W40" s="27">
        <v>547.33155443999919</v>
      </c>
      <c r="X40" s="28">
        <v>3.5194036231857027</v>
      </c>
      <c r="Y40" s="29">
        <v>4.1992794017464682E-2</v>
      </c>
      <c r="Z40" s="30">
        <f t="shared" si="41"/>
        <v>5.6130534369389036</v>
      </c>
      <c r="AA40" s="30" t="str">
        <f t="shared" si="42"/>
        <v>*</v>
      </c>
      <c r="AB40" s="9"/>
      <c r="AC40" s="8">
        <v>663</v>
      </c>
      <c r="AD40" s="8">
        <v>694.21103313999561</v>
      </c>
      <c r="AE40" s="69">
        <v>3.3088737023526336</v>
      </c>
      <c r="AF40" s="9">
        <v>3.9197276040995717E-2</v>
      </c>
      <c r="AG40" s="30">
        <f t="shared" si="43"/>
        <v>10.361614167865815</v>
      </c>
      <c r="AH40" s="30" t="str">
        <f t="shared" si="44"/>
        <v>*</v>
      </c>
      <c r="AI40" s="9"/>
      <c r="AJ40" s="81">
        <v>2542</v>
      </c>
      <c r="AK40" s="83">
        <v>3.9233163378982288</v>
      </c>
      <c r="AL40" s="84">
        <v>1.9999888360558545E-2</v>
      </c>
      <c r="AM40" s="30">
        <f t="shared" si="45"/>
        <v>-3.8365277246503644</v>
      </c>
      <c r="AN40" s="30" t="str">
        <f t="shared" si="46"/>
        <v>*</v>
      </c>
      <c r="AO40" s="9"/>
      <c r="AP40" s="78">
        <v>220</v>
      </c>
      <c r="AQ40" s="79">
        <v>4.234380560826243</v>
      </c>
      <c r="AR40" s="80">
        <v>7.3891910136303557E-2</v>
      </c>
      <c r="AS40" s="30">
        <f t="shared" si="74"/>
        <v>-5.5797461493717293</v>
      </c>
      <c r="AT40" s="30" t="str">
        <f t="shared" si="75"/>
        <v>*</v>
      </c>
      <c r="AU40" s="80"/>
      <c r="AV40" s="78">
        <v>180</v>
      </c>
      <c r="AW40" s="79">
        <v>3.9106823918538103</v>
      </c>
      <c r="AX40" s="80">
        <v>7.8254527129181212E-2</v>
      </c>
      <c r="AY40" s="30">
        <f t="shared" si="76"/>
        <v>-1.3773374672342928</v>
      </c>
      <c r="AZ40" s="30" t="str">
        <f t="shared" si="77"/>
        <v xml:space="preserve"> </v>
      </c>
      <c r="BA40" s="80"/>
      <c r="BB40" s="78">
        <v>316</v>
      </c>
      <c r="BC40" s="79">
        <v>4.0016308072243865</v>
      </c>
      <c r="BD40" s="80">
        <v>5.7092765654268046E-2</v>
      </c>
      <c r="BE40" s="30">
        <f t="shared" si="78"/>
        <v>-3.2581401859821781</v>
      </c>
      <c r="BF40" s="30" t="str">
        <f t="shared" si="79"/>
        <v>*</v>
      </c>
      <c r="BG40" s="80"/>
      <c r="BH40" s="78">
        <v>430</v>
      </c>
      <c r="BI40" s="79">
        <v>3.8790237359506152</v>
      </c>
      <c r="BJ40" s="80">
        <v>4.6657809363709682E-2</v>
      </c>
      <c r="BK40" s="30">
        <f t="shared" si="80"/>
        <v>-1.5328494715751411</v>
      </c>
      <c r="BL40" s="30" t="str">
        <f t="shared" si="81"/>
        <v xml:space="preserve"> </v>
      </c>
      <c r="BM40" s="80"/>
      <c r="BN40" s="78">
        <v>503</v>
      </c>
      <c r="BO40" s="79">
        <v>3.7167770805364726</v>
      </c>
      <c r="BP40" s="80">
        <v>4.7010679372679248E-2</v>
      </c>
      <c r="BQ40" s="30">
        <f t="shared" si="82"/>
        <v>1.4922838657618311</v>
      </c>
      <c r="BR40" s="30" t="str">
        <f t="shared" si="83"/>
        <v xml:space="preserve"> </v>
      </c>
      <c r="BS40" s="9"/>
      <c r="BT40" s="27">
        <v>6425</v>
      </c>
      <c r="BU40" s="27">
        <v>6481.8081951097902</v>
      </c>
      <c r="BV40" s="28">
        <v>4.1030499159607814</v>
      </c>
      <c r="BW40" s="29">
        <v>1.2650111973922584E-2</v>
      </c>
      <c r="BX40" s="30">
        <f t="shared" si="57"/>
        <v>-10.537596980311223</v>
      </c>
      <c r="BY40" s="30" t="str">
        <f t="shared" si="58"/>
        <v>*</v>
      </c>
      <c r="BZ40" s="30"/>
      <c r="CA40" s="27">
        <v>297</v>
      </c>
      <c r="CB40" s="27">
        <v>297</v>
      </c>
      <c r="CC40" s="28">
        <v>3.8484848484848473</v>
      </c>
      <c r="CD40" s="29">
        <v>5.2486388108147805E-2</v>
      </c>
      <c r="CE40" s="30">
        <f t="shared" si="59"/>
        <v>-0.87727773963510292</v>
      </c>
      <c r="CF40" s="30" t="str">
        <f>IF(ABS(CE40)&gt;=1.96,"*"," ")</f>
        <v xml:space="preserve"> </v>
      </c>
      <c r="CG40" s="30"/>
      <c r="CH40" s="27">
        <v>1446</v>
      </c>
      <c r="CI40" s="27">
        <v>1508.0303258699969</v>
      </c>
      <c r="CJ40" s="28">
        <v>3.7973774627484911</v>
      </c>
      <c r="CK40" s="29">
        <v>2.7258056699854795E-2</v>
      </c>
      <c r="CL40" s="30">
        <f t="shared" si="60"/>
        <v>-8.7881122053411528E-3</v>
      </c>
      <c r="CM40" s="30" t="str">
        <f>IF(ABS(CL40)&gt;=1.96,"*"," ")</f>
        <v xml:space="preserve"> </v>
      </c>
      <c r="CN40" s="30"/>
      <c r="CO40" s="27">
        <v>1498</v>
      </c>
      <c r="CP40" s="27">
        <v>1498.5695841700519</v>
      </c>
      <c r="CQ40" s="28">
        <v>3.966806723514575</v>
      </c>
      <c r="CR40" s="29">
        <v>2.5019703141083892E-2</v>
      </c>
      <c r="CS40" s="30">
        <f t="shared" si="61"/>
        <v>-4.6916820713731706</v>
      </c>
      <c r="CT40" s="30" t="str">
        <f>IF(ABS(CS40)&gt;=1.96,"*"," ")</f>
        <v>*</v>
      </c>
      <c r="CU40" s="30"/>
      <c r="CV40" s="27">
        <v>311</v>
      </c>
      <c r="CW40" s="27">
        <v>312.00554595999978</v>
      </c>
      <c r="CX40" s="28">
        <v>4.9259880409851426</v>
      </c>
      <c r="CY40" s="29">
        <v>1.484463665225366E-2</v>
      </c>
      <c r="CZ40" s="30">
        <f t="shared" si="62"/>
        <v>-37.555997179952016</v>
      </c>
      <c r="DA40" s="30" t="str">
        <f>IF(ABS(CZ40)&gt;=1.96,"*"," ")</f>
        <v>*</v>
      </c>
      <c r="DB40" s="30"/>
      <c r="DC40" s="27">
        <v>812</v>
      </c>
      <c r="DD40" s="27">
        <v>812.02119039999025</v>
      </c>
      <c r="DE40" s="28">
        <v>4.8916983950176478</v>
      </c>
      <c r="DF40" s="29">
        <v>1.2946312797109732E-2</v>
      </c>
      <c r="DG40" s="30">
        <f t="shared" si="63"/>
        <v>-37.52725626913174</v>
      </c>
      <c r="DH40" s="30" t="str">
        <f>IF(ABS(DG40)&gt;=1.96,"*"," ")</f>
        <v>*</v>
      </c>
      <c r="DI40" s="30"/>
      <c r="DJ40" s="27">
        <v>395</v>
      </c>
      <c r="DK40" s="27">
        <v>395</v>
      </c>
      <c r="DL40" s="28">
        <v>4.9924050632911383</v>
      </c>
      <c r="DM40" s="29">
        <v>4.3737953077428501E-3</v>
      </c>
      <c r="DN40" s="30">
        <f t="shared" si="64"/>
        <v>-45.103564893561533</v>
      </c>
      <c r="DO40" s="30" t="str">
        <f>IF(ABS(DN40)&gt;=1.96,"*"," ")</f>
        <v>*</v>
      </c>
      <c r="DP40" s="8"/>
      <c r="DQ40" s="27">
        <v>407</v>
      </c>
      <c r="DR40" s="27">
        <v>403.91323874999961</v>
      </c>
      <c r="DS40" s="28">
        <v>3.6561924861642061</v>
      </c>
      <c r="DT40" s="29">
        <v>5.2925975545026024E-2</v>
      </c>
      <c r="DU40" s="29"/>
      <c r="DV40" s="27">
        <v>284</v>
      </c>
      <c r="DW40" s="27">
        <v>283.58709894000077</v>
      </c>
      <c r="DX40" s="28">
        <v>3.6420838797343351</v>
      </c>
      <c r="DY40" s="29">
        <v>6.5935021732871343E-2</v>
      </c>
      <c r="DZ40" s="10">
        <f t="shared" si="6"/>
        <v>0.16686837864328674</v>
      </c>
      <c r="EA40" s="10" t="str">
        <f>IF(ABS(DZ40)&gt;=1.96,"*"," ")</f>
        <v xml:space="preserve"> </v>
      </c>
      <c r="EB40" s="29"/>
      <c r="EC40" s="27">
        <v>316</v>
      </c>
      <c r="ED40" s="27">
        <v>320.68336505000156</v>
      </c>
      <c r="EE40" s="28">
        <v>3.8111641676500505</v>
      </c>
      <c r="EF40" s="29">
        <v>5.9012448452773376E-2</v>
      </c>
      <c r="EG40" s="10">
        <f t="shared" si="8"/>
        <v>-1.9550015836853079</v>
      </c>
      <c r="EH40" s="10" t="str">
        <f>IF(ABS(EG40)&gt;=1.96,"*"," ")</f>
        <v xml:space="preserve"> </v>
      </c>
      <c r="EI40" s="29"/>
      <c r="EJ40" s="27">
        <v>302</v>
      </c>
      <c r="EK40" s="27">
        <v>319.93102909000135</v>
      </c>
      <c r="EL40" s="28">
        <v>3.6922536439180376</v>
      </c>
      <c r="EM40" s="29">
        <v>5.7751804455249141E-2</v>
      </c>
      <c r="EN40" s="10">
        <f t="shared" si="10"/>
        <v>-0.46034325099017853</v>
      </c>
      <c r="EO40" s="10" t="str">
        <f t="shared" si="65"/>
        <v xml:space="preserve"> </v>
      </c>
      <c r="EP40" s="29"/>
      <c r="EQ40" s="8">
        <v>354</v>
      </c>
      <c r="ER40" s="8">
        <v>352.38914279000079</v>
      </c>
      <c r="ES40" s="69">
        <v>3.7534997838121136</v>
      </c>
      <c r="ET40" s="9">
        <v>5.4057669594645995E-2</v>
      </c>
      <c r="EU40" s="10">
        <f t="shared" si="11"/>
        <v>-1.2862302567320218</v>
      </c>
      <c r="EV40" s="10" t="str">
        <f t="shared" si="66"/>
        <v xml:space="preserve"> </v>
      </c>
      <c r="EW40" s="29"/>
      <c r="EX40" s="88">
        <v>1901</v>
      </c>
      <c r="EY40" s="88">
        <v>1897.7935400500016</v>
      </c>
      <c r="EZ40" s="28">
        <v>3.8168152466359175</v>
      </c>
      <c r="FA40" s="29">
        <v>2.2251738285553043E-2</v>
      </c>
      <c r="FB40" s="30">
        <f t="shared" si="12"/>
        <v>-2.7976527171912804</v>
      </c>
      <c r="FC40" s="30" t="str">
        <f t="shared" si="67"/>
        <v>*</v>
      </c>
      <c r="FD40" s="30"/>
      <c r="FE40" s="27">
        <v>498</v>
      </c>
      <c r="FF40" s="27">
        <v>498.03760236000255</v>
      </c>
      <c r="FG40" s="28">
        <v>3.6727026678556447</v>
      </c>
      <c r="FH40" s="29">
        <v>3.8855797186412765E-2</v>
      </c>
      <c r="FI40" s="30">
        <f t="shared" si="13"/>
        <v>-0.25145847265479199</v>
      </c>
      <c r="FJ40" s="30" t="str">
        <f>IF(ABS(FI40)&gt;=1.96,"*"," ")</f>
        <v xml:space="preserve"> </v>
      </c>
      <c r="FK40" s="30"/>
      <c r="FL40" s="88">
        <v>88</v>
      </c>
      <c r="FM40" s="88">
        <v>87.992400339999975</v>
      </c>
      <c r="FN40" s="28">
        <v>4.0340562843884342</v>
      </c>
      <c r="FO40" s="29">
        <v>9.6247105193044399E-2</v>
      </c>
      <c r="FP40" s="30">
        <f t="shared" si="15"/>
        <v>-3.4401522813579435</v>
      </c>
      <c r="FQ40" s="30" t="str">
        <f>IF(ABS(FP40)&gt;=1.96,"*"," ")</f>
        <v>*</v>
      </c>
      <c r="FR40" s="30"/>
      <c r="FS40" s="88">
        <v>286</v>
      </c>
      <c r="FT40" s="88">
        <v>285.58243823000055</v>
      </c>
      <c r="FU40" s="28">
        <v>3.9271776951380666</v>
      </c>
      <c r="FV40" s="29">
        <v>5.3270621158732587E-2</v>
      </c>
      <c r="FW40" s="30">
        <f t="shared" si="17"/>
        <v>-3.6086743971799611</v>
      </c>
      <c r="FX40" s="30" t="str">
        <f>IF(ABS(FW40)&gt;=1.96,"*"," ")</f>
        <v>*</v>
      </c>
      <c r="FY40" s="30"/>
      <c r="FZ40" s="88">
        <v>386</v>
      </c>
      <c r="GA40" s="88">
        <v>386.20995663000321</v>
      </c>
      <c r="GB40" s="28">
        <v>3.8238434288083942</v>
      </c>
      <c r="GC40" s="29">
        <v>5.4765563322205016E-2</v>
      </c>
      <c r="GD40" s="30">
        <f t="shared" si="19"/>
        <v>-2.2012839210585153</v>
      </c>
      <c r="GE40" s="30" t="str">
        <f>IF(ABS(GD40)&gt;=1.96,"*"," ")</f>
        <v>*</v>
      </c>
      <c r="GF40" s="30"/>
      <c r="GG40" s="88">
        <v>236</v>
      </c>
      <c r="GH40" s="88">
        <v>236.05790373999955</v>
      </c>
      <c r="GI40" s="28">
        <v>4.1697102349266189</v>
      </c>
      <c r="GJ40" s="29">
        <v>5.150737804523553E-2</v>
      </c>
      <c r="GK40" s="30">
        <f t="shared" si="21"/>
        <v>-6.9533032145702949</v>
      </c>
      <c r="GL40" s="30" t="str">
        <f>IF(ABS(GK40)&gt;=1.96,"*"," ")</f>
        <v>*</v>
      </c>
      <c r="GM40" s="10"/>
      <c r="GN40" s="88">
        <v>234</v>
      </c>
      <c r="GO40" s="88">
        <v>234.10644558000081</v>
      </c>
      <c r="GP40" s="28">
        <v>3.7050025387002847</v>
      </c>
      <c r="GQ40" s="29">
        <v>7.0178013261390476E-2</v>
      </c>
      <c r="GR40" s="9"/>
      <c r="GS40" s="3">
        <v>166</v>
      </c>
      <c r="GT40" s="3">
        <v>165.88369731999998</v>
      </c>
      <c r="GU40" s="69">
        <v>3.8080018937692199</v>
      </c>
      <c r="GV40" s="9">
        <v>8.2864233912217602E-2</v>
      </c>
      <c r="GW40" s="10">
        <f t="shared" si="23"/>
        <v>-0.94853023373561429</v>
      </c>
      <c r="GX40" s="10" t="str">
        <f t="shared" si="68"/>
        <v xml:space="preserve"> </v>
      </c>
      <c r="GY40" s="9"/>
      <c r="GZ40" s="27">
        <v>225</v>
      </c>
      <c r="HA40" s="27">
        <v>226.75058599999937</v>
      </c>
      <c r="HB40" s="28">
        <v>3.9170354143649271</v>
      </c>
      <c r="HC40" s="29">
        <v>6.0620994403486957E-2</v>
      </c>
      <c r="HD40" s="10">
        <f t="shared" si="24"/>
        <v>-2.2864281082236593</v>
      </c>
      <c r="HE40" s="10" t="str">
        <f t="shared" si="69"/>
        <v>*</v>
      </c>
      <c r="HF40" s="9"/>
      <c r="HG40" s="27">
        <v>384</v>
      </c>
      <c r="HH40" s="27">
        <v>388.63357365999929</v>
      </c>
      <c r="HI40" s="28">
        <v>3.646632587538241</v>
      </c>
      <c r="HJ40" s="29">
        <v>5.0935807723013066E-2</v>
      </c>
      <c r="HK40" s="10">
        <f t="shared" si="25"/>
        <v>0.67312767352961245</v>
      </c>
      <c r="HL40" s="10" t="str">
        <f t="shared" si="70"/>
        <v xml:space="preserve"> </v>
      </c>
      <c r="HM40" s="29"/>
      <c r="HN40" s="8">
        <v>356</v>
      </c>
      <c r="HO40" s="8">
        <v>357.32998880999918</v>
      </c>
      <c r="HP40" s="69">
        <v>3.7153838771028016</v>
      </c>
      <c r="HQ40" s="9">
        <v>5.6100622957953955E-2</v>
      </c>
      <c r="HR40" s="10">
        <f t="shared" si="26"/>
        <v>-0.11554641932649964</v>
      </c>
      <c r="HS40" s="10" t="str">
        <f t="shared" si="71"/>
        <v xml:space="preserve"> </v>
      </c>
      <c r="HT40" s="9"/>
      <c r="HU40" s="88">
        <v>1706</v>
      </c>
      <c r="HV40" s="88">
        <v>1703.6027333400059</v>
      </c>
      <c r="HW40" s="28">
        <v>3.8418877622062131</v>
      </c>
      <c r="HX40" s="29">
        <v>2.4366829615348255E-2</v>
      </c>
      <c r="HY40" s="30">
        <f t="shared" si="27"/>
        <v>-1.8426308433504452</v>
      </c>
      <c r="HZ40" s="30" t="str">
        <f t="shared" si="72"/>
        <v xml:space="preserve"> </v>
      </c>
      <c r="IA40" s="30"/>
      <c r="IB40" s="88">
        <v>498</v>
      </c>
      <c r="IC40" s="88">
        <v>498.03760236000255</v>
      </c>
      <c r="ID40" s="28">
        <v>3.6727026678556447</v>
      </c>
      <c r="IE40" s="29">
        <v>3.8855797186412765E-2</v>
      </c>
      <c r="IF40" s="30">
        <f t="shared" si="28"/>
        <v>0.40265744996889202</v>
      </c>
      <c r="IG40" s="30" t="str">
        <f>IF(ABS(IF40)&gt;=1.96,"*"," ")</f>
        <v xml:space="preserve"> </v>
      </c>
      <c r="IH40" s="30"/>
      <c r="II40" s="88">
        <v>159</v>
      </c>
      <c r="IJ40" s="88">
        <v>158.29496404000014</v>
      </c>
      <c r="IK40" s="28">
        <v>3.9932572324933213</v>
      </c>
      <c r="IL40" s="29">
        <v>7.9812263091803642E-2</v>
      </c>
      <c r="IM40" s="30">
        <f t="shared" si="30"/>
        <v>-2.7122780822192278</v>
      </c>
      <c r="IN40" s="30" t="str">
        <f>IF(ABS(IM40)&gt;=1.96,"*"," ")</f>
        <v>*</v>
      </c>
      <c r="IO40" s="30"/>
      <c r="IP40" s="88">
        <v>399</v>
      </c>
      <c r="IQ40" s="88">
        <v>399.65104662000152</v>
      </c>
      <c r="IR40" s="28">
        <v>3.8928236953155597</v>
      </c>
      <c r="IS40" s="29">
        <v>5.5512436439352733E-2</v>
      </c>
      <c r="IT40" s="30">
        <f t="shared" si="32"/>
        <v>-2.0990407724068274</v>
      </c>
      <c r="IU40" s="30" t="str">
        <f>IF(ABS(IT40)&gt;=1.96,"*"," ")</f>
        <v>*</v>
      </c>
      <c r="IV40" s="30"/>
      <c r="IW40" s="88">
        <v>88</v>
      </c>
      <c r="IX40" s="88">
        <v>87.992400339999975</v>
      </c>
      <c r="IY40" s="28">
        <v>4.0340562843884342</v>
      </c>
      <c r="IZ40" s="29">
        <v>9.6247105193044399E-2</v>
      </c>
      <c r="JA40" s="30">
        <f t="shared" si="34"/>
        <v>-2.7624805380820967</v>
      </c>
      <c r="JB40" s="30" t="str">
        <f>IF(ABS(JA40)&gt;=1.96,"*"," ")</f>
        <v>*</v>
      </c>
      <c r="JC40" s="30"/>
      <c r="JD40" s="88">
        <v>328</v>
      </c>
      <c r="JE40" s="88">
        <v>325.52027440000114</v>
      </c>
      <c r="JF40" s="28">
        <v>4.0110915348564875</v>
      </c>
      <c r="JG40" s="29">
        <v>5.532366811621979E-2</v>
      </c>
      <c r="JH40" s="30">
        <f t="shared" si="35"/>
        <v>-3.4252498844788972</v>
      </c>
      <c r="JI40" s="30" t="str">
        <f>IF(ABS(JH40)&gt;=1.96,"*"," ")</f>
        <v>*</v>
      </c>
      <c r="JK40" s="27"/>
      <c r="JL40" s="27"/>
      <c r="JM40" s="28"/>
      <c r="JN40" s="29"/>
    </row>
    <row r="41" spans="1:274" x14ac:dyDescent="0.2">
      <c r="Z41" s="30"/>
      <c r="AA41" s="30"/>
      <c r="AG41" s="30"/>
      <c r="AH41" s="30"/>
      <c r="BX41" s="30"/>
      <c r="CE41" s="30"/>
      <c r="CL41" s="30"/>
      <c r="CS41" s="30"/>
      <c r="CZ41" s="30"/>
      <c r="DG41" s="30"/>
      <c r="DN41" s="30"/>
      <c r="DZ41" s="10"/>
      <c r="EA41" s="10"/>
      <c r="EG41" s="10"/>
      <c r="EH41" s="10"/>
      <c r="EN41" s="10"/>
      <c r="EO41" s="10"/>
      <c r="EU41" s="10"/>
      <c r="EV41" s="10"/>
      <c r="FB41" s="30"/>
      <c r="FI41" s="30"/>
      <c r="FP41" s="30"/>
      <c r="FW41" s="30"/>
      <c r="GD41" s="30"/>
      <c r="GK41" s="30"/>
      <c r="GW41" s="10"/>
      <c r="GX41" s="10"/>
      <c r="HD41" s="10"/>
      <c r="HE41" s="10"/>
      <c r="HK41" s="10"/>
      <c r="HL41" s="10"/>
      <c r="HR41" s="10"/>
      <c r="HS41" s="10"/>
      <c r="HY41" s="30"/>
      <c r="IF41" s="30"/>
      <c r="IM41" s="30"/>
      <c r="IT41" s="30"/>
      <c r="JA41" s="30"/>
      <c r="JH41" s="3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N49"/>
  <sheetViews>
    <sheetView zoomScale="60" zoomScaleNormal="60" workbookViewId="0">
      <pane xSplit="6" ySplit="2" topLeftCell="HT3" activePane="bottomRight" state="frozen"/>
      <selection pane="topRight" activeCell="G1" sqref="G1"/>
      <selection pane="bottomLeft" activeCell="A3" sqref="A3"/>
      <selection pane="bottomRight" activeCell="HT38" sqref="HT38"/>
    </sheetView>
  </sheetViews>
  <sheetFormatPr defaultColWidth="7" defaultRowHeight="12.55" x14ac:dyDescent="0.2"/>
  <cols>
    <col min="1" max="1" width="7" style="11"/>
    <col min="2" max="2" width="12.44140625" style="12" bestFit="1" customWidth="1"/>
    <col min="3" max="3" width="4.6640625" style="85" bestFit="1" customWidth="1"/>
    <col min="4" max="4" width="4.88671875" style="85" bestFit="1" customWidth="1"/>
    <col min="5" max="6" width="4.21875" style="85" bestFit="1" customWidth="1"/>
    <col min="7" max="7" width="7" style="31"/>
    <col min="8" max="8" width="4.33203125" style="31" bestFit="1" customWidth="1"/>
    <col min="9" max="9" width="4.88671875" style="31" bestFit="1" customWidth="1"/>
    <col min="10" max="11" width="4.21875" style="31" bestFit="1" customWidth="1"/>
    <col min="12" max="12" width="5.5546875" style="11" bestFit="1" customWidth="1"/>
    <col min="13" max="13" width="1.6640625" style="11" bestFit="1" customWidth="1"/>
    <col min="14" max="14" width="7" style="11"/>
    <col min="15" max="15" width="4.33203125" style="31" bestFit="1" customWidth="1"/>
    <col min="16" max="16" width="4.88671875" style="31" bestFit="1" customWidth="1"/>
    <col min="17" max="18" width="4.21875" style="31" bestFit="1" customWidth="1"/>
    <col min="19" max="19" width="5.88671875" style="11" bestFit="1" customWidth="1"/>
    <col min="20" max="20" width="1.6640625" style="11" bestFit="1" customWidth="1"/>
    <col min="21" max="21" width="7" style="11"/>
    <col min="22" max="22" width="4.33203125" style="31" bestFit="1" customWidth="1"/>
    <col min="23" max="23" width="4.88671875" style="31" bestFit="1" customWidth="1"/>
    <col min="24" max="25" width="4.21875" style="31" bestFit="1" customWidth="1"/>
    <col min="26" max="26" width="5.5546875" style="11" bestFit="1" customWidth="1"/>
    <col min="27" max="27" width="1.6640625" style="11" bestFit="1" customWidth="1"/>
    <col min="28" max="28" width="7" style="11"/>
    <col min="29" max="29" width="4.33203125" style="11" bestFit="1" customWidth="1"/>
    <col min="30" max="30" width="4.5546875" style="11" bestFit="1" customWidth="1"/>
    <col min="31" max="32" width="4.21875" style="11" bestFit="1" customWidth="1"/>
    <col min="33" max="33" width="5.5546875" style="11" bestFit="1" customWidth="1"/>
    <col min="34" max="34" width="1.6640625" style="11" bestFit="1" customWidth="1"/>
    <col min="35" max="35" width="7" style="11"/>
    <col min="36" max="36" width="8.5546875" style="11" bestFit="1" customWidth="1"/>
    <col min="37" max="37" width="4.6640625" style="11" bestFit="1" customWidth="1"/>
    <col min="38" max="38" width="4.21875" style="11" bestFit="1" customWidth="1"/>
    <col min="39" max="39" width="6.109375" style="2" bestFit="1" customWidth="1"/>
    <col min="40" max="40" width="1.6640625" style="2" bestFit="1" customWidth="1"/>
    <col min="41" max="41" width="7" style="11"/>
    <col min="42" max="43" width="4.33203125" style="2" bestFit="1" customWidth="1"/>
    <col min="44" max="44" width="4.21875" style="2" bestFit="1" customWidth="1"/>
    <col min="45" max="45" width="6.109375" style="2" bestFit="1" customWidth="1"/>
    <col min="46" max="46" width="1.6640625" style="2" bestFit="1" customWidth="1"/>
    <col min="47" max="47" width="7" style="2"/>
    <col min="48" max="48" width="4.33203125" style="2" bestFit="1" customWidth="1"/>
    <col min="49" max="49" width="4.6640625" style="2" bestFit="1" customWidth="1"/>
    <col min="50" max="50" width="4.21875" style="2" bestFit="1" customWidth="1"/>
    <col min="51" max="51" width="6.109375" style="2" bestFit="1" customWidth="1"/>
    <col min="52" max="52" width="1.6640625" style="2" bestFit="1" customWidth="1"/>
    <col min="53" max="53" width="7" style="2"/>
    <col min="54" max="54" width="4.33203125" style="2" bestFit="1" customWidth="1"/>
    <col min="55" max="55" width="4.88671875" style="2" bestFit="1" customWidth="1"/>
    <col min="56" max="56" width="4.21875" style="2" bestFit="1" customWidth="1"/>
    <col min="57" max="57" width="6.109375" style="2" bestFit="1" customWidth="1"/>
    <col min="58" max="58" width="1.6640625" style="2" bestFit="1" customWidth="1"/>
    <col min="59" max="59" width="7" style="2"/>
    <col min="60" max="60" width="4.33203125" style="2" bestFit="1" customWidth="1"/>
    <col min="61" max="61" width="4.5546875" style="2" bestFit="1" customWidth="1"/>
    <col min="62" max="62" width="4.21875" style="2" bestFit="1" customWidth="1"/>
    <col min="63" max="63" width="5.5546875" style="2" bestFit="1" customWidth="1"/>
    <col min="64" max="64" width="1.6640625" style="2" bestFit="1" customWidth="1"/>
    <col min="65" max="65" width="7" style="2"/>
    <col min="66" max="66" width="4.33203125" style="2" bestFit="1" customWidth="1"/>
    <col min="67" max="67" width="4.5546875" style="2" bestFit="1" customWidth="1"/>
    <col min="68" max="68" width="4.21875" style="2" bestFit="1" customWidth="1"/>
    <col min="69" max="69" width="6.109375" style="2" bestFit="1" customWidth="1"/>
    <col min="70" max="70" width="1.6640625" style="2" bestFit="1" customWidth="1"/>
    <col min="71" max="71" width="7" style="11"/>
    <col min="72" max="72" width="7.33203125" style="31" bestFit="1" customWidth="1"/>
    <col min="73" max="73" width="5.21875" style="31" bestFit="1" customWidth="1"/>
    <col min="74" max="75" width="4.21875" style="31" bestFit="1" customWidth="1"/>
    <col min="76" max="76" width="6.109375" style="31" bestFit="1" customWidth="1"/>
    <col min="77" max="77" width="1.6640625" style="31" bestFit="1" customWidth="1"/>
    <col min="78" max="78" width="7" style="31"/>
    <col min="79" max="79" width="4.5546875" style="31" bestFit="1" customWidth="1"/>
    <col min="80" max="80" width="4.88671875" style="31" bestFit="1" customWidth="1"/>
    <col min="81" max="82" width="4.21875" style="31" bestFit="1" customWidth="1"/>
    <col min="83" max="83" width="5.5546875" style="31" bestFit="1" customWidth="1"/>
    <col min="84" max="84" width="1.6640625" style="31" bestFit="1" customWidth="1"/>
    <col min="85" max="85" width="7" style="31"/>
    <col min="86" max="86" width="4.6640625" style="31" bestFit="1" customWidth="1"/>
    <col min="87" max="87" width="4.88671875" style="31" bestFit="1" customWidth="1"/>
    <col min="88" max="89" width="4.21875" style="31" bestFit="1" customWidth="1"/>
    <col min="90" max="90" width="5.5546875" style="31" bestFit="1" customWidth="1"/>
    <col min="91" max="91" width="1.6640625" style="31" bestFit="1" customWidth="1"/>
    <col min="92" max="92" width="7" style="31"/>
    <col min="93" max="93" width="4.6640625" style="31" bestFit="1" customWidth="1"/>
    <col min="94" max="94" width="4.88671875" style="31" bestFit="1" customWidth="1"/>
    <col min="95" max="96" width="4.21875" style="31" bestFit="1" customWidth="1"/>
    <col min="97" max="97" width="6.109375" style="31" bestFit="1" customWidth="1"/>
    <col min="98" max="98" width="1.6640625" style="31" bestFit="1" customWidth="1"/>
    <col min="99" max="99" width="7" style="31"/>
    <col min="100" max="100" width="3.77734375" style="31" bestFit="1" customWidth="1"/>
    <col min="101" max="101" width="4.88671875" style="31" bestFit="1" customWidth="1"/>
    <col min="102" max="102" width="4.21875" style="31" bestFit="1" customWidth="1"/>
    <col min="103" max="103" width="5" style="31" bestFit="1" customWidth="1"/>
    <col min="104" max="104" width="6.44140625" style="31" bestFit="1" customWidth="1"/>
    <col min="105" max="105" width="1.6640625" style="31" bestFit="1" customWidth="1"/>
    <col min="106" max="106" width="7" style="31"/>
    <col min="107" max="107" width="4.21875" style="31" bestFit="1" customWidth="1"/>
    <col min="108" max="108" width="4.88671875" style="31" bestFit="1" customWidth="1"/>
    <col min="109" max="110" width="4.21875" style="31" bestFit="1" customWidth="1"/>
    <col min="111" max="111" width="6.44140625" style="31" bestFit="1" customWidth="1"/>
    <col min="112" max="112" width="1.6640625" style="31" bestFit="1" customWidth="1"/>
    <col min="113" max="113" width="7" style="31"/>
    <col min="114" max="114" width="3.77734375" style="31" bestFit="1" customWidth="1"/>
    <col min="115" max="115" width="4.88671875" style="31" bestFit="1" customWidth="1"/>
    <col min="116" max="117" width="4.21875" style="31" bestFit="1" customWidth="1"/>
    <col min="118" max="118" width="6.44140625" style="31" bestFit="1" customWidth="1"/>
    <col min="119" max="119" width="1.6640625" style="31" bestFit="1" customWidth="1"/>
    <col min="120" max="120" width="7" style="11"/>
    <col min="121" max="121" width="4.5546875" style="85" bestFit="1" customWidth="1"/>
    <col min="122" max="122" width="4.88671875" style="85" bestFit="1" customWidth="1"/>
    <col min="123" max="124" width="4.21875" style="85" bestFit="1" customWidth="1"/>
    <col min="125" max="125" width="7" style="31"/>
    <col min="126" max="126" width="4.5546875" style="31" bestFit="1" customWidth="1"/>
    <col min="127" max="127" width="4.88671875" style="31" bestFit="1" customWidth="1"/>
    <col min="128" max="129" width="4.21875" style="31" bestFit="1" customWidth="1"/>
    <col min="130" max="130" width="5.5546875" style="31" bestFit="1" customWidth="1"/>
    <col min="131" max="131" width="1.6640625" style="31" bestFit="1" customWidth="1"/>
    <col min="132" max="132" width="7" style="31"/>
    <col min="133" max="133" width="4.5546875" style="31" bestFit="1" customWidth="1"/>
    <col min="134" max="134" width="4.88671875" style="31" bestFit="1" customWidth="1"/>
    <col min="135" max="136" width="4.21875" style="31" bestFit="1" customWidth="1"/>
    <col min="137" max="137" width="5.5546875" style="31" bestFit="1" customWidth="1"/>
    <col min="138" max="138" width="1.6640625" style="31" bestFit="1" customWidth="1"/>
    <col min="139" max="139" width="7" style="31"/>
    <col min="140" max="140" width="4.5546875" style="31" bestFit="1" customWidth="1"/>
    <col min="141" max="141" width="4.88671875" style="31" bestFit="1" customWidth="1"/>
    <col min="142" max="143" width="4.21875" style="31" bestFit="1" customWidth="1"/>
    <col min="144" max="144" width="5.5546875" style="31" bestFit="1" customWidth="1"/>
    <col min="145" max="145" width="1.6640625" style="31" bestFit="1" customWidth="1"/>
    <col min="146" max="146" width="7" style="31"/>
    <col min="147" max="147" width="4.5546875" style="11" bestFit="1" customWidth="1"/>
    <col min="148" max="148" width="4" style="11" bestFit="1" customWidth="1"/>
    <col min="149" max="150" width="4.21875" style="11" bestFit="1" customWidth="1"/>
    <col min="151" max="151" width="5.5546875" style="31" bestFit="1" customWidth="1"/>
    <col min="152" max="152" width="1.6640625" style="31" bestFit="1" customWidth="1"/>
    <col min="153" max="153" width="7" style="31"/>
    <col min="154" max="154" width="8.21875" style="31" bestFit="1" customWidth="1"/>
    <col min="155" max="155" width="4.88671875" style="31" bestFit="1" customWidth="1"/>
    <col min="156" max="157" width="4.21875" style="31" bestFit="1" customWidth="1"/>
    <col min="158" max="158" width="6.109375" style="31" bestFit="1" customWidth="1"/>
    <col min="159" max="159" width="1.6640625" style="31" bestFit="1" customWidth="1"/>
    <col min="160" max="160" width="7" style="31"/>
    <col min="161" max="161" width="4.33203125" style="31" bestFit="1" customWidth="1"/>
    <col min="162" max="162" width="4.88671875" style="31" bestFit="1" customWidth="1"/>
    <col min="163" max="164" width="4.21875" style="31" bestFit="1" customWidth="1"/>
    <col min="165" max="165" width="6.109375" style="31" bestFit="1" customWidth="1"/>
    <col min="166" max="166" width="1.6640625" style="31" bestFit="1" customWidth="1"/>
    <col min="167" max="167" width="7" style="31"/>
    <col min="168" max="168" width="4.33203125" style="31" bestFit="1" customWidth="1"/>
    <col min="169" max="169" width="4.88671875" style="31" bestFit="1" customWidth="1"/>
    <col min="170" max="171" width="4.21875" style="31" bestFit="1" customWidth="1"/>
    <col min="172" max="172" width="6.109375" style="31" bestFit="1" customWidth="1"/>
    <col min="173" max="173" width="1.6640625" style="31" bestFit="1" customWidth="1"/>
    <col min="174" max="174" width="7" style="31"/>
    <col min="175" max="175" width="4.6640625" style="31" bestFit="1" customWidth="1"/>
    <col min="176" max="176" width="4.88671875" style="31" bestFit="1" customWidth="1"/>
    <col min="177" max="178" width="4.21875" style="31" bestFit="1" customWidth="1"/>
    <col min="179" max="179" width="6.109375" style="31" bestFit="1" customWidth="1"/>
    <col min="180" max="180" width="1.6640625" style="31" bestFit="1" customWidth="1"/>
    <col min="181" max="181" width="7" style="31"/>
    <col min="182" max="182" width="4.33203125" style="31" bestFit="1" customWidth="1"/>
    <col min="183" max="183" width="4.88671875" style="31" bestFit="1" customWidth="1"/>
    <col min="184" max="185" width="4.21875" style="31" bestFit="1" customWidth="1"/>
    <col min="186" max="186" width="5.5546875" style="31" bestFit="1" customWidth="1"/>
    <col min="187" max="187" width="1.6640625" style="31" bestFit="1" customWidth="1"/>
    <col min="188" max="188" width="7" style="31"/>
    <col min="189" max="189" width="4.21875" style="31" bestFit="1" customWidth="1"/>
    <col min="190" max="190" width="4.88671875" style="31" bestFit="1" customWidth="1"/>
    <col min="191" max="192" width="4.21875" style="31" bestFit="1" customWidth="1"/>
    <col min="193" max="193" width="6.109375" style="31" bestFit="1" customWidth="1"/>
    <col min="194" max="194" width="1.6640625" style="31" bestFit="1" customWidth="1"/>
    <col min="195" max="195" width="7" style="11"/>
    <col min="196" max="196" width="4" style="85" bestFit="1" customWidth="1"/>
    <col min="197" max="197" width="4.88671875" style="85" bestFit="1" customWidth="1"/>
    <col min="198" max="199" width="4.21875" style="85" bestFit="1" customWidth="1"/>
    <col min="200" max="200" width="7" style="11"/>
    <col min="201" max="201" width="4" style="31" bestFit="1" customWidth="1"/>
    <col min="202" max="202" width="4.88671875" style="31" bestFit="1" customWidth="1"/>
    <col min="203" max="204" width="4.21875" style="31" bestFit="1" customWidth="1"/>
    <col min="205" max="205" width="5.5546875" style="11" bestFit="1" customWidth="1"/>
    <col min="206" max="206" width="1.6640625" style="11" bestFit="1" customWidth="1"/>
    <col min="207" max="207" width="7" style="11"/>
    <col min="208" max="208" width="4" style="31" bestFit="1" customWidth="1"/>
    <col min="209" max="209" width="4.88671875" style="31" bestFit="1" customWidth="1"/>
    <col min="210" max="211" width="4.21875" style="31" bestFit="1" customWidth="1"/>
    <col min="212" max="212" width="5.5546875" style="11" bestFit="1" customWidth="1"/>
    <col min="213" max="213" width="1.6640625" style="11" bestFit="1" customWidth="1"/>
    <col min="214" max="214" width="7" style="11"/>
    <col min="215" max="215" width="4.33203125" style="31" bestFit="1" customWidth="1"/>
    <col min="216" max="216" width="4.88671875" style="31" bestFit="1" customWidth="1"/>
    <col min="217" max="218" width="4.21875" style="31" bestFit="1" customWidth="1"/>
    <col min="219" max="219" width="5.5546875" style="11" bestFit="1" customWidth="1"/>
    <col min="220" max="220" width="1.6640625" style="11" bestFit="1" customWidth="1"/>
    <col min="221" max="221" width="7" style="31"/>
    <col min="222" max="223" width="4.33203125" style="11" bestFit="1" customWidth="1"/>
    <col min="224" max="225" width="4.21875" style="11" bestFit="1" customWidth="1"/>
    <col min="226" max="226" width="5.5546875" style="11" bestFit="1" customWidth="1"/>
    <col min="227" max="227" width="1.6640625" style="11" bestFit="1" customWidth="1"/>
    <col min="228" max="228" width="7" style="11"/>
    <col min="229" max="229" width="7.6640625" style="31" bestFit="1" customWidth="1"/>
    <col min="230" max="230" width="4.88671875" style="31" bestFit="1" customWidth="1"/>
    <col min="231" max="232" width="4.21875" style="31" bestFit="1" customWidth="1"/>
    <col min="233" max="233" width="6.109375" style="31" bestFit="1" customWidth="1"/>
    <col min="234" max="234" width="1.6640625" style="31" bestFit="1" customWidth="1"/>
    <col min="235" max="235" width="7" style="31"/>
    <col min="236" max="236" width="4.33203125" style="31" bestFit="1" customWidth="1"/>
    <col min="237" max="237" width="4.88671875" style="31" bestFit="1" customWidth="1"/>
    <col min="238" max="239" width="4.21875" style="31" bestFit="1" customWidth="1"/>
    <col min="240" max="240" width="6.109375" style="31" bestFit="1" customWidth="1"/>
    <col min="241" max="241" width="1.6640625" style="31" bestFit="1" customWidth="1"/>
    <col min="242" max="242" width="7" style="31"/>
    <col min="243" max="243" width="4" style="31" bestFit="1" customWidth="1"/>
    <col min="244" max="244" width="4.88671875" style="31" bestFit="1" customWidth="1"/>
    <col min="245" max="246" width="4.21875" style="31" bestFit="1" customWidth="1"/>
    <col min="247" max="247" width="6.109375" style="31" bestFit="1" customWidth="1"/>
    <col min="248" max="248" width="1.6640625" style="31" bestFit="1" customWidth="1"/>
    <col min="249" max="249" width="7" style="31"/>
    <col min="250" max="250" width="3.77734375" style="31" bestFit="1" customWidth="1"/>
    <col min="251" max="251" width="4.88671875" style="31" bestFit="1" customWidth="1"/>
    <col min="252" max="253" width="4.21875" style="31" bestFit="1" customWidth="1"/>
    <col min="254" max="254" width="6.109375" style="31" bestFit="1" customWidth="1"/>
    <col min="255" max="255" width="1.6640625" style="31" bestFit="1" customWidth="1"/>
    <col min="256" max="256" width="7" style="31"/>
    <col min="257" max="257" width="4.33203125" style="31" bestFit="1" customWidth="1"/>
    <col min="258" max="258" width="4.88671875" style="31" bestFit="1" customWidth="1"/>
    <col min="259" max="260" width="4.21875" style="31" bestFit="1" customWidth="1"/>
    <col min="261" max="261" width="6.109375" style="31" bestFit="1" customWidth="1"/>
    <col min="262" max="262" width="1.6640625" style="31" bestFit="1" customWidth="1"/>
    <col min="263" max="263" width="7" style="31"/>
    <col min="264" max="264" width="4.33203125" style="31" bestFit="1" customWidth="1"/>
    <col min="265" max="265" width="4.88671875" style="31" bestFit="1" customWidth="1"/>
    <col min="266" max="267" width="4.21875" style="31" bestFit="1" customWidth="1"/>
    <col min="268" max="268" width="6.109375" style="31" bestFit="1" customWidth="1"/>
    <col min="269" max="269" width="1.6640625" style="31" bestFit="1" customWidth="1"/>
    <col min="270" max="270" width="7" style="11"/>
    <col min="271" max="274" width="7" style="31"/>
    <col min="275" max="16384" width="7" style="11"/>
  </cols>
  <sheetData>
    <row r="1" spans="1:274" s="2" customFormat="1" ht="21.3" x14ac:dyDescent="0.2">
      <c r="B1" s="4"/>
      <c r="C1" s="91" t="s">
        <v>151</v>
      </c>
      <c r="D1" s="91" t="s">
        <v>135</v>
      </c>
      <c r="E1" s="86"/>
      <c r="F1" s="86"/>
      <c r="G1" s="91"/>
      <c r="H1" s="63" t="s">
        <v>148</v>
      </c>
      <c r="I1" s="91" t="s">
        <v>135</v>
      </c>
      <c r="J1" s="91"/>
      <c r="K1" s="91"/>
      <c r="L1" s="1"/>
      <c r="M1" s="1"/>
      <c r="N1" s="1"/>
      <c r="O1" s="91" t="s">
        <v>140</v>
      </c>
      <c r="P1" s="91" t="s">
        <v>135</v>
      </c>
      <c r="Q1" s="91"/>
      <c r="R1" s="91"/>
      <c r="S1" s="1"/>
      <c r="T1" s="1"/>
      <c r="U1" s="1"/>
      <c r="V1" s="91" t="s">
        <v>139</v>
      </c>
      <c r="W1" s="91" t="s">
        <v>135</v>
      </c>
      <c r="X1" s="91"/>
      <c r="Y1" s="91"/>
      <c r="Z1" s="1"/>
      <c r="AA1" s="1"/>
      <c r="AB1" s="1"/>
      <c r="AC1" s="1" t="s">
        <v>151</v>
      </c>
      <c r="AD1" s="1" t="s">
        <v>142</v>
      </c>
      <c r="AE1" s="1"/>
      <c r="AF1" s="1"/>
      <c r="AG1" s="1"/>
      <c r="AH1" s="1"/>
      <c r="AI1" s="1"/>
      <c r="AJ1" s="82" t="s">
        <v>157</v>
      </c>
      <c r="AL1" s="82"/>
      <c r="AM1" s="77"/>
      <c r="AN1" s="77"/>
      <c r="AO1" s="1"/>
      <c r="AP1" s="77" t="s">
        <v>45</v>
      </c>
      <c r="AQ1" s="77" t="s">
        <v>45</v>
      </c>
      <c r="AR1" s="77"/>
      <c r="AS1" s="77"/>
      <c r="AT1" s="77"/>
      <c r="AU1" s="77"/>
      <c r="AV1" s="77"/>
      <c r="AW1" s="77" t="s">
        <v>156</v>
      </c>
      <c r="AX1" s="77"/>
      <c r="AY1" s="77"/>
      <c r="AZ1" s="77"/>
      <c r="BA1" s="77"/>
      <c r="BB1" s="77"/>
      <c r="BC1" s="77" t="s">
        <v>49</v>
      </c>
      <c r="BD1" s="77"/>
      <c r="BE1" s="77"/>
      <c r="BF1" s="77"/>
      <c r="BG1" s="77"/>
      <c r="BH1" s="77"/>
      <c r="BI1" s="77" t="s">
        <v>63</v>
      </c>
      <c r="BJ1" s="77"/>
      <c r="BK1" s="77"/>
      <c r="BL1" s="77"/>
      <c r="BM1" s="77"/>
      <c r="BN1" s="77"/>
      <c r="BO1" s="77" t="s">
        <v>64</v>
      </c>
      <c r="BP1" s="77"/>
      <c r="BQ1" s="77"/>
      <c r="BR1" s="77"/>
      <c r="BS1" s="1"/>
      <c r="BT1" s="91" t="s">
        <v>128</v>
      </c>
      <c r="BU1" s="91" t="s">
        <v>135</v>
      </c>
      <c r="BV1" s="91"/>
      <c r="BW1" s="91"/>
      <c r="BX1" s="91"/>
      <c r="BY1" s="91"/>
      <c r="BZ1" s="91"/>
      <c r="CA1" s="91" t="s">
        <v>44</v>
      </c>
      <c r="CB1" s="91" t="s">
        <v>135</v>
      </c>
      <c r="CC1" s="91"/>
      <c r="CD1" s="91"/>
      <c r="CE1" s="91"/>
      <c r="CF1" s="91"/>
      <c r="CG1" s="91"/>
      <c r="CH1" s="91" t="s">
        <v>54</v>
      </c>
      <c r="CI1" s="91" t="s">
        <v>135</v>
      </c>
      <c r="CJ1" s="91"/>
      <c r="CK1" s="91"/>
      <c r="CL1" s="91"/>
      <c r="CM1" s="91"/>
      <c r="CN1" s="91"/>
      <c r="CO1" s="91" t="s">
        <v>55</v>
      </c>
      <c r="CP1" s="91" t="s">
        <v>135</v>
      </c>
      <c r="CQ1" s="91"/>
      <c r="CR1" s="91"/>
      <c r="CS1" s="91"/>
      <c r="CT1" s="91"/>
      <c r="CU1" s="91"/>
      <c r="CV1" s="91" t="s">
        <v>53</v>
      </c>
      <c r="CW1" s="91" t="s">
        <v>135</v>
      </c>
      <c r="CX1" s="91"/>
      <c r="CY1" s="91"/>
      <c r="CZ1" s="91"/>
      <c r="DA1" s="91"/>
      <c r="DB1" s="91"/>
      <c r="DC1" s="91" t="s">
        <v>61</v>
      </c>
      <c r="DD1" s="91" t="s">
        <v>135</v>
      </c>
      <c r="DE1" s="91"/>
      <c r="DF1" s="91"/>
      <c r="DG1" s="91"/>
      <c r="DH1" s="91"/>
      <c r="DI1" s="91"/>
      <c r="DJ1" s="91" t="s">
        <v>65</v>
      </c>
      <c r="DK1" s="91" t="s">
        <v>135</v>
      </c>
      <c r="DL1" s="91"/>
      <c r="DM1" s="91"/>
      <c r="DN1" s="91"/>
      <c r="DO1" s="91"/>
      <c r="DP1" s="1"/>
      <c r="DQ1" s="91" t="s">
        <v>158</v>
      </c>
      <c r="DR1" s="91" t="s">
        <v>135</v>
      </c>
      <c r="DS1" s="86"/>
      <c r="DT1" s="86"/>
      <c r="DU1" s="91"/>
      <c r="DV1" s="63" t="s">
        <v>150</v>
      </c>
      <c r="DW1" s="91" t="s">
        <v>135</v>
      </c>
      <c r="DX1" s="91"/>
      <c r="DY1" s="91"/>
      <c r="DZ1" s="91"/>
      <c r="EA1" s="91"/>
      <c r="EB1" s="91"/>
      <c r="EC1" s="91" t="s">
        <v>149</v>
      </c>
      <c r="ED1" s="91" t="s">
        <v>135</v>
      </c>
      <c r="EE1" s="91"/>
      <c r="EF1" s="91"/>
      <c r="EG1" s="91"/>
      <c r="EH1" s="91"/>
      <c r="EI1" s="91"/>
      <c r="EJ1" s="91" t="s">
        <v>152</v>
      </c>
      <c r="EK1" s="91" t="s">
        <v>135</v>
      </c>
      <c r="EL1" s="91"/>
      <c r="EM1" s="91"/>
      <c r="EN1" s="91"/>
      <c r="EO1" s="91"/>
      <c r="EP1" s="91"/>
      <c r="EQ1" s="1" t="s">
        <v>143</v>
      </c>
      <c r="ER1" s="1" t="s">
        <v>144</v>
      </c>
      <c r="ES1" s="1"/>
      <c r="ET1" s="1"/>
      <c r="EU1" s="91"/>
      <c r="EV1" s="91"/>
      <c r="EW1" s="91"/>
      <c r="EX1" s="91" t="s">
        <v>129</v>
      </c>
      <c r="EY1" s="91" t="s">
        <v>135</v>
      </c>
      <c r="EZ1" s="91"/>
      <c r="FA1" s="91"/>
      <c r="FB1" s="91"/>
      <c r="FC1" s="91"/>
      <c r="FD1" s="91"/>
      <c r="FE1" s="91" t="s">
        <v>46</v>
      </c>
      <c r="FF1" s="91" t="s">
        <v>135</v>
      </c>
      <c r="FG1" s="91"/>
      <c r="FH1" s="91"/>
      <c r="FI1" s="91"/>
      <c r="FJ1" s="91"/>
      <c r="FK1" s="91"/>
      <c r="FL1" s="91" t="s">
        <v>56</v>
      </c>
      <c r="FM1" s="91" t="s">
        <v>135</v>
      </c>
      <c r="FN1" s="91"/>
      <c r="FO1" s="91"/>
      <c r="FP1" s="91"/>
      <c r="FQ1" s="91"/>
      <c r="FR1" s="91"/>
      <c r="FS1" s="91" t="s">
        <v>57</v>
      </c>
      <c r="FT1" s="91" t="s">
        <v>135</v>
      </c>
      <c r="FU1" s="91"/>
      <c r="FV1" s="91"/>
      <c r="FW1" s="91"/>
      <c r="FX1" s="91"/>
      <c r="FY1" s="91"/>
      <c r="FZ1" s="91" t="s">
        <v>63</v>
      </c>
      <c r="GA1" s="91" t="s">
        <v>135</v>
      </c>
      <c r="GB1" s="91"/>
      <c r="GC1" s="91"/>
      <c r="GD1" s="91"/>
      <c r="GE1" s="91"/>
      <c r="GF1" s="91"/>
      <c r="GG1" s="91" t="s">
        <v>66</v>
      </c>
      <c r="GH1" s="91" t="s">
        <v>135</v>
      </c>
      <c r="GI1" s="91"/>
      <c r="GJ1" s="91"/>
      <c r="GK1" s="91"/>
      <c r="GL1" s="91"/>
      <c r="GM1" s="1"/>
      <c r="GN1" s="91" t="s">
        <v>147</v>
      </c>
      <c r="GO1" s="91" t="s">
        <v>135</v>
      </c>
      <c r="GP1" s="86"/>
      <c r="GQ1" s="86"/>
      <c r="GR1" s="1"/>
      <c r="GS1" s="63" t="s">
        <v>154</v>
      </c>
      <c r="GT1" s="91" t="s">
        <v>135</v>
      </c>
      <c r="GU1" s="1"/>
      <c r="GV1" s="91"/>
      <c r="GW1" s="1"/>
      <c r="GX1" s="1"/>
      <c r="GY1" s="1"/>
      <c r="GZ1" s="1" t="s">
        <v>153</v>
      </c>
      <c r="HA1" s="91" t="s">
        <v>135</v>
      </c>
      <c r="HB1" s="1"/>
      <c r="HC1" s="91"/>
      <c r="HD1" s="1"/>
      <c r="HE1" s="1"/>
      <c r="HF1" s="1"/>
      <c r="HG1" s="91" t="s">
        <v>146</v>
      </c>
      <c r="HH1" s="91" t="s">
        <v>135</v>
      </c>
      <c r="HI1" s="91"/>
      <c r="HJ1" s="91"/>
      <c r="HK1" s="1"/>
      <c r="HL1" s="1"/>
      <c r="HM1" s="91"/>
      <c r="HN1" s="1" t="s">
        <v>147</v>
      </c>
      <c r="HO1" s="1" t="s">
        <v>145</v>
      </c>
      <c r="HP1" s="1"/>
      <c r="HQ1" s="1"/>
      <c r="HR1" s="1"/>
      <c r="HS1" s="1"/>
      <c r="HT1" s="1"/>
      <c r="HU1" s="91" t="s">
        <v>8</v>
      </c>
      <c r="HV1" s="91" t="s">
        <v>135</v>
      </c>
      <c r="HW1" s="91"/>
      <c r="HX1" s="91"/>
      <c r="HY1" s="91"/>
      <c r="HZ1" s="91"/>
      <c r="IA1" s="91"/>
      <c r="IB1" s="91" t="s">
        <v>46</v>
      </c>
      <c r="IC1" s="91" t="s">
        <v>135</v>
      </c>
      <c r="ID1" s="91"/>
      <c r="IE1" s="91"/>
      <c r="IF1" s="91"/>
      <c r="IG1" s="91"/>
      <c r="IH1" s="91"/>
      <c r="II1" s="91" t="s">
        <v>47</v>
      </c>
      <c r="IJ1" s="91" t="s">
        <v>135</v>
      </c>
      <c r="IK1" s="91"/>
      <c r="IL1" s="91"/>
      <c r="IM1" s="91"/>
      <c r="IN1" s="91"/>
      <c r="IO1" s="91"/>
      <c r="IP1" s="91" t="s">
        <v>51</v>
      </c>
      <c r="IQ1" s="91" t="s">
        <v>135</v>
      </c>
      <c r="IR1" s="91"/>
      <c r="IS1" s="91"/>
      <c r="IT1" s="91"/>
      <c r="IU1" s="91"/>
      <c r="IV1" s="91"/>
      <c r="IW1" s="91" t="s">
        <v>56</v>
      </c>
      <c r="IX1" s="91" t="s">
        <v>135</v>
      </c>
      <c r="IY1" s="91"/>
      <c r="IZ1" s="91"/>
      <c r="JA1" s="91"/>
      <c r="JB1" s="91"/>
      <c r="JC1" s="91"/>
      <c r="JD1" s="91" t="s">
        <v>60</v>
      </c>
      <c r="JE1" s="91" t="s">
        <v>135</v>
      </c>
      <c r="JF1" s="91"/>
      <c r="JG1" s="91"/>
      <c r="JH1" s="91"/>
      <c r="JI1" s="91"/>
      <c r="JK1" s="91"/>
      <c r="JL1" s="91"/>
      <c r="JM1" s="91"/>
      <c r="JN1" s="91"/>
    </row>
    <row r="2" spans="1:274" s="2" customFormat="1" x14ac:dyDescent="0.2">
      <c r="B2" s="92"/>
      <c r="C2" s="93">
        <v>3163</v>
      </c>
      <c r="D2" s="93">
        <v>3163</v>
      </c>
      <c r="E2" s="87"/>
      <c r="F2" s="86"/>
      <c r="G2" s="91"/>
      <c r="H2" s="94">
        <v>1024</v>
      </c>
      <c r="I2" s="94">
        <v>1024.0000013200183</v>
      </c>
      <c r="J2" s="93"/>
      <c r="K2" s="91"/>
      <c r="L2" s="1"/>
      <c r="M2" s="1"/>
      <c r="N2" s="1"/>
      <c r="O2" s="93">
        <v>1087</v>
      </c>
      <c r="P2" s="93">
        <v>1086.9999978300086</v>
      </c>
      <c r="Q2" s="93"/>
      <c r="R2" s="91"/>
      <c r="S2" s="1"/>
      <c r="T2" s="1"/>
      <c r="U2" s="1"/>
      <c r="V2" s="93">
        <v>1097</v>
      </c>
      <c r="W2" s="93">
        <v>1096.9999953800191</v>
      </c>
      <c r="X2" s="93"/>
      <c r="Y2" s="91"/>
      <c r="Z2" s="1"/>
      <c r="AA2" s="1"/>
      <c r="AB2" s="1"/>
      <c r="AC2" s="94">
        <v>1259</v>
      </c>
      <c r="AD2" s="94">
        <v>1225.4245505000056</v>
      </c>
      <c r="AE2" s="94"/>
      <c r="AF2" s="1"/>
      <c r="AG2" s="1"/>
      <c r="AH2" s="1"/>
      <c r="AI2" s="1"/>
      <c r="AJ2" s="95">
        <v>6398</v>
      </c>
      <c r="AK2" s="95">
        <v>6398</v>
      </c>
      <c r="AL2" s="82"/>
      <c r="AO2" s="1"/>
      <c r="AP2" s="96">
        <v>825</v>
      </c>
      <c r="AV2" s="96">
        <v>1005</v>
      </c>
      <c r="BB2" s="96">
        <v>1018</v>
      </c>
      <c r="BH2" s="96">
        <v>1396</v>
      </c>
      <c r="BN2" s="96">
        <v>1453</v>
      </c>
      <c r="BS2" s="1"/>
      <c r="BT2" s="93">
        <v>12245</v>
      </c>
      <c r="BU2" s="93">
        <v>12245</v>
      </c>
      <c r="BV2" s="93"/>
      <c r="BW2" s="91"/>
      <c r="BX2" s="91"/>
      <c r="BY2" s="91"/>
      <c r="BZ2" s="91"/>
      <c r="CA2" s="93">
        <v>550</v>
      </c>
      <c r="CB2" s="93">
        <v>550</v>
      </c>
      <c r="CC2" s="93"/>
      <c r="CD2" s="91"/>
      <c r="CE2" s="91"/>
      <c r="CF2" s="91"/>
      <c r="CG2" s="91"/>
      <c r="CH2" s="93">
        <v>3431</v>
      </c>
      <c r="CI2" s="93">
        <v>3431</v>
      </c>
      <c r="CJ2" s="93"/>
      <c r="CK2" s="91"/>
      <c r="CL2" s="91"/>
      <c r="CM2" s="91"/>
      <c r="CN2" s="91"/>
      <c r="CO2" s="93">
        <v>3051</v>
      </c>
      <c r="CP2" s="93">
        <v>3051</v>
      </c>
      <c r="CQ2" s="93"/>
      <c r="CR2" s="91"/>
      <c r="CS2" s="91"/>
      <c r="CT2" s="91"/>
      <c r="CU2" s="91"/>
      <c r="CV2" s="93">
        <v>600</v>
      </c>
      <c r="CW2" s="93">
        <v>600</v>
      </c>
      <c r="CX2" s="93"/>
      <c r="CY2" s="91"/>
      <c r="CZ2" s="91"/>
      <c r="DA2" s="91"/>
      <c r="DB2" s="91"/>
      <c r="DC2" s="93">
        <v>900</v>
      </c>
      <c r="DD2" s="93">
        <v>900</v>
      </c>
      <c r="DE2" s="93"/>
      <c r="DF2" s="91"/>
      <c r="DG2" s="91"/>
      <c r="DH2" s="91"/>
      <c r="DI2" s="91"/>
      <c r="DJ2" s="93">
        <v>547</v>
      </c>
      <c r="DK2" s="93">
        <v>547</v>
      </c>
      <c r="DL2" s="93"/>
      <c r="DM2" s="91"/>
      <c r="DN2" s="91"/>
      <c r="DO2" s="91"/>
      <c r="DP2" s="94"/>
      <c r="DQ2" s="93">
        <v>1037</v>
      </c>
      <c r="DR2" s="93">
        <v>1037</v>
      </c>
      <c r="DS2" s="87"/>
      <c r="DT2" s="86"/>
      <c r="DU2" s="91"/>
      <c r="DV2" s="93">
        <v>721</v>
      </c>
      <c r="DW2" s="93">
        <v>721.00000167999781</v>
      </c>
      <c r="DX2" s="93"/>
      <c r="DY2" s="91"/>
      <c r="DZ2" s="91"/>
      <c r="EA2" s="91"/>
      <c r="EB2" s="91"/>
      <c r="EC2" s="93">
        <v>754</v>
      </c>
      <c r="ED2" s="93">
        <v>753.99999849000562</v>
      </c>
      <c r="EE2" s="93"/>
      <c r="EF2" s="91"/>
      <c r="EG2" s="91"/>
      <c r="EH2" s="91"/>
      <c r="EI2" s="91"/>
      <c r="EJ2" s="93">
        <v>725</v>
      </c>
      <c r="EK2" s="93">
        <v>725.00000196000224</v>
      </c>
      <c r="EL2" s="93"/>
      <c r="EM2" s="91"/>
      <c r="EN2" s="91"/>
      <c r="EO2" s="91"/>
      <c r="EP2" s="91"/>
      <c r="EQ2" s="94">
        <v>801</v>
      </c>
      <c r="ER2" s="94">
        <v>801</v>
      </c>
      <c r="ES2" s="94"/>
      <c r="ET2" s="1"/>
      <c r="EU2" s="91"/>
      <c r="EV2" s="91"/>
      <c r="EW2" s="91"/>
      <c r="EX2" s="93">
        <v>5101</v>
      </c>
      <c r="EY2" s="93">
        <v>5101</v>
      </c>
      <c r="EZ2" s="93"/>
      <c r="FA2" s="91"/>
      <c r="FB2" s="91"/>
      <c r="FC2" s="91"/>
      <c r="FD2" s="91"/>
      <c r="FE2" s="93">
        <v>1154</v>
      </c>
      <c r="FF2" s="93">
        <v>1154</v>
      </c>
      <c r="FG2" s="93"/>
      <c r="FH2" s="91"/>
      <c r="FI2" s="91"/>
      <c r="FJ2" s="91"/>
      <c r="FK2" s="91"/>
      <c r="FL2" s="93">
        <v>392</v>
      </c>
      <c r="FM2" s="93">
        <v>392</v>
      </c>
      <c r="FN2" s="93"/>
      <c r="FO2" s="91"/>
      <c r="FP2" s="91"/>
      <c r="FQ2" s="91"/>
      <c r="FR2" s="91"/>
      <c r="FS2" s="93">
        <v>727</v>
      </c>
      <c r="FT2" s="93">
        <v>727</v>
      </c>
      <c r="FU2" s="93"/>
      <c r="FV2" s="91"/>
      <c r="FW2" s="91"/>
      <c r="FX2" s="91"/>
      <c r="FY2" s="91"/>
      <c r="FZ2" s="93">
        <v>1390</v>
      </c>
      <c r="GA2" s="93">
        <v>1390</v>
      </c>
      <c r="GB2" s="93"/>
      <c r="GC2" s="91"/>
      <c r="GD2" s="91"/>
      <c r="GE2" s="91"/>
      <c r="GF2" s="91"/>
      <c r="GG2" s="93">
        <v>401</v>
      </c>
      <c r="GH2" s="93">
        <v>401</v>
      </c>
      <c r="GI2" s="93"/>
      <c r="GJ2" s="91"/>
      <c r="GK2" s="91"/>
      <c r="GL2" s="91"/>
      <c r="GM2" s="1"/>
      <c r="GN2" s="93">
        <v>984</v>
      </c>
      <c r="GO2" s="93">
        <v>984</v>
      </c>
      <c r="GP2" s="87"/>
      <c r="GQ2" s="86"/>
      <c r="GR2" s="1"/>
      <c r="GS2" s="94">
        <v>701</v>
      </c>
      <c r="GT2" s="94">
        <v>700.99999921999995</v>
      </c>
      <c r="GU2" s="93"/>
      <c r="GV2" s="91"/>
      <c r="GW2" s="1"/>
      <c r="GX2" s="1"/>
      <c r="GY2" s="1"/>
      <c r="GZ2" s="93">
        <v>740</v>
      </c>
      <c r="HA2" s="93">
        <v>739.99999938000519</v>
      </c>
      <c r="HB2" s="93"/>
      <c r="HC2" s="91"/>
      <c r="HD2" s="1"/>
      <c r="HE2" s="1"/>
      <c r="HF2" s="1"/>
      <c r="HG2" s="93">
        <v>1488</v>
      </c>
      <c r="HH2" s="93">
        <v>1488.0000044299898</v>
      </c>
      <c r="HI2" s="93"/>
      <c r="HJ2" s="91"/>
      <c r="HK2" s="1"/>
      <c r="HL2" s="1"/>
      <c r="HM2" s="91"/>
      <c r="HN2" s="94">
        <v>1493</v>
      </c>
      <c r="HO2" s="94">
        <v>1429.0114061300103</v>
      </c>
      <c r="HP2" s="94"/>
      <c r="HQ2" s="1"/>
      <c r="HR2" s="1"/>
      <c r="HS2" s="1"/>
      <c r="HT2" s="1"/>
      <c r="HU2" s="93">
        <v>5416</v>
      </c>
      <c r="HV2" s="93">
        <v>5416</v>
      </c>
      <c r="HW2" s="93"/>
      <c r="HX2" s="91"/>
      <c r="HY2" s="91"/>
      <c r="HZ2" s="91"/>
      <c r="IA2" s="91"/>
      <c r="IB2" s="93">
        <v>1154</v>
      </c>
      <c r="IC2" s="93">
        <v>1154</v>
      </c>
      <c r="ID2" s="93"/>
      <c r="IE2" s="91"/>
      <c r="IF2" s="91"/>
      <c r="IG2" s="91"/>
      <c r="IH2" s="91"/>
      <c r="II2" s="93">
        <v>729</v>
      </c>
      <c r="IJ2" s="93">
        <v>729</v>
      </c>
      <c r="IK2" s="93"/>
      <c r="IL2" s="91"/>
      <c r="IM2" s="91"/>
      <c r="IN2" s="91"/>
      <c r="IO2" s="91"/>
      <c r="IP2" s="93">
        <v>840</v>
      </c>
      <c r="IQ2" s="93">
        <v>840</v>
      </c>
      <c r="IR2" s="93"/>
      <c r="IS2" s="91"/>
      <c r="IT2" s="91"/>
      <c r="IU2" s="91"/>
      <c r="IV2" s="91"/>
      <c r="IW2" s="93">
        <v>392</v>
      </c>
      <c r="IX2" s="93">
        <v>392</v>
      </c>
      <c r="IY2" s="93"/>
      <c r="IZ2" s="91"/>
      <c r="JA2" s="91"/>
      <c r="JB2" s="91"/>
      <c r="JC2" s="91"/>
      <c r="JD2" s="93">
        <v>1317</v>
      </c>
      <c r="JE2" s="93">
        <v>1317</v>
      </c>
      <c r="JF2" s="93"/>
      <c r="JG2" s="91"/>
      <c r="JH2" s="91"/>
      <c r="JI2" s="91"/>
      <c r="JK2" s="93"/>
      <c r="JL2" s="93"/>
      <c r="JM2" s="93"/>
      <c r="JN2" s="91"/>
    </row>
    <row r="3" spans="1:274" x14ac:dyDescent="0.2">
      <c r="B3" s="7" t="s">
        <v>10</v>
      </c>
      <c r="C3" s="27">
        <v>2974</v>
      </c>
      <c r="D3" s="27">
        <v>2975.0874519699191</v>
      </c>
      <c r="E3" s="28">
        <v>3.8286225204363671</v>
      </c>
      <c r="F3" s="29">
        <v>1.71028636563453E-2</v>
      </c>
      <c r="G3" s="29"/>
      <c r="H3" s="3">
        <v>972</v>
      </c>
      <c r="I3" s="3">
        <v>972.02991468001619</v>
      </c>
      <c r="J3" s="28">
        <v>3.7825129480818545</v>
      </c>
      <c r="K3" s="29">
        <v>3.0868844216150992E-2</v>
      </c>
      <c r="L3" s="30">
        <f>IF($C3&lt;30,"NV",IF(H3&gt;=30,(($E3-J3))/SQRT(($F3^2)+(K3^2)),"NV"))</f>
        <v>1.3065853939931573</v>
      </c>
      <c r="M3" s="30" t="str">
        <f>IF(ABS(L3)&gt;=1.96,"*"," ")</f>
        <v xml:space="preserve"> </v>
      </c>
      <c r="N3" s="9"/>
      <c r="O3" s="27">
        <v>1074</v>
      </c>
      <c r="P3" s="27">
        <v>1073.9895973800083</v>
      </c>
      <c r="Q3" s="28">
        <v>3.5418344497838734</v>
      </c>
      <c r="R3" s="29">
        <v>2.5357826776735683E-2</v>
      </c>
      <c r="S3" s="30">
        <f>IF($C3&lt;30,"NV",IF(O3&gt;=30,(($E3-Q3))/SQRT(($F3^2)+(R3^2)),"NV"))</f>
        <v>9.3763291382934622</v>
      </c>
      <c r="T3" s="30" t="str">
        <f>IF(ABS(S3)&gt;=1.96,"*"," ")</f>
        <v>*</v>
      </c>
      <c r="U3" s="30"/>
      <c r="V3" s="27">
        <v>1077</v>
      </c>
      <c r="W3" s="27">
        <v>1076.6922329500198</v>
      </c>
      <c r="X3" s="28">
        <v>3.6575811025032992</v>
      </c>
      <c r="Y3" s="29">
        <v>2.4354425291834323E-2</v>
      </c>
      <c r="Z3" s="30">
        <f>IF($C3&lt;30,"NV",IF(V3&gt;=30,(($E3-X3))/SQRT(($F3^2)+(Y3^2)),"NV"))</f>
        <v>5.7473971883824149</v>
      </c>
      <c r="AA3" s="30" t="str">
        <f>IF(ABS(Z3)&gt;=1.96,"*"," ")</f>
        <v>*</v>
      </c>
      <c r="AB3" s="9"/>
      <c r="AC3" s="8">
        <v>1227</v>
      </c>
      <c r="AD3" s="8">
        <v>1225.4245505000056</v>
      </c>
      <c r="AE3" s="69">
        <v>3.5656304414638846</v>
      </c>
      <c r="AF3" s="9">
        <v>2.5223756894113259E-2</v>
      </c>
      <c r="AG3" s="30">
        <f>IF($C3&lt;30,"NV",IF(AC3&gt;=30,(($E3-AE3))/SQRT(($F3^2)+(AF3^2)),"NV"))</f>
        <v>8.6296706941599588</v>
      </c>
      <c r="AH3" s="30" t="str">
        <f>IF(ABS(AG3)&gt;=1.96,"*"," ")</f>
        <v>*</v>
      </c>
      <c r="AI3" s="9"/>
      <c r="AJ3" s="81">
        <v>6189</v>
      </c>
      <c r="AK3" s="83">
        <v>4.0592337685733728</v>
      </c>
      <c r="AL3" s="84">
        <v>1.1204846598409094E-2</v>
      </c>
      <c r="AM3" s="30">
        <f>IF($C3&lt;30,"NV",IF(AJ3&gt;=30,(($E3-AK3))/SQRT(($F3^2)+(AL3^2)),"NV"))</f>
        <v>-11.2788021718845</v>
      </c>
      <c r="AN3" s="30" t="str">
        <f>IF(ABS(AM3)&gt;=1.96,"*"," ")</f>
        <v>*</v>
      </c>
      <c r="AO3" s="9"/>
      <c r="AP3" s="78">
        <v>169</v>
      </c>
      <c r="AQ3" s="79">
        <v>4.3726601207054383</v>
      </c>
      <c r="AR3" s="80">
        <v>2.8499308528790609E-2</v>
      </c>
      <c r="AS3" s="30">
        <f>IF($C3&lt;30,"NV",IF(AP3&gt;=30,(($E3-AQ3))/SQRT(($F3^2)+(AR3^2)),"NV"))</f>
        <v>-16.368281921484179</v>
      </c>
      <c r="AT3" s="30" t="str">
        <f>IF(ABS(AS3)&gt;=1.96,"*"," ")</f>
        <v>*</v>
      </c>
      <c r="AU3" s="80"/>
      <c r="AV3" s="78">
        <v>274</v>
      </c>
      <c r="AW3" s="79">
        <v>4.2052149715614275</v>
      </c>
      <c r="AX3" s="80">
        <v>2.493955830980903E-2</v>
      </c>
      <c r="AY3" s="30">
        <f>IF($C3&lt;30,"NV",IF(AV3&gt;=30,(($E3-AW3))/SQRT(($F3^2)+(AX3^2)),"NV"))</f>
        <v>-12.453236768829475</v>
      </c>
      <c r="AZ3" s="30" t="str">
        <f>IF(ABS(AY3)&gt;=1.96,"*"," ")</f>
        <v>*</v>
      </c>
      <c r="BA3" s="80"/>
      <c r="BB3" s="78">
        <v>388</v>
      </c>
      <c r="BC3" s="79">
        <v>4.2655365080582701</v>
      </c>
      <c r="BD3" s="80">
        <v>2.4825394463137692E-2</v>
      </c>
      <c r="BE3" s="30">
        <f>IF($C3&lt;30,"NV",IF(BB3&gt;=30,(($E3-BC3))/SQRT(($F3^2)+(BD3^2)),"NV"))</f>
        <v>-14.493051680620855</v>
      </c>
      <c r="BF3" s="30" t="str">
        <f>IF(ABS(BE3)&gt;=1.96,"*"," ")</f>
        <v>*</v>
      </c>
      <c r="BG3" s="80"/>
      <c r="BH3" s="78">
        <v>396</v>
      </c>
      <c r="BI3" s="79">
        <v>3.9716820338222969</v>
      </c>
      <c r="BJ3" s="80">
        <v>2.3793943400495541E-2</v>
      </c>
      <c r="BK3" s="30">
        <f>IF($C3&lt;30,"NV",IF(BH3&gt;=30,(($E3-BI3))/SQRT(($F3^2)+(BJ3^2)),"NV"))</f>
        <v>-4.8820947788892619</v>
      </c>
      <c r="BL3" s="30" t="str">
        <f>IF(ABS(BK3)&gt;=1.96,"*"," ")</f>
        <v>*</v>
      </c>
      <c r="BM3" s="80"/>
      <c r="BN3" s="78">
        <v>385</v>
      </c>
      <c r="BO3" s="79">
        <v>4.1007178881110153</v>
      </c>
      <c r="BP3" s="80">
        <v>2.1683274339560982E-2</v>
      </c>
      <c r="BQ3" s="30">
        <f>IF($C3&lt;30,"NV",IF(BN3&gt;=30,(($E3-BO3))/SQRT(($F3^2)+(BP3^2)),"NV"))</f>
        <v>-9.8526295177104846</v>
      </c>
      <c r="BR3" s="30" t="str">
        <f>IF(ABS(BQ3)&gt;=1.96,"*"," ")</f>
        <v>*</v>
      </c>
      <c r="BS3" s="9"/>
      <c r="BT3" s="27">
        <v>11832</v>
      </c>
      <c r="BU3" s="27">
        <v>11828.804864359168</v>
      </c>
      <c r="BV3" s="28">
        <v>4.1097105494655501</v>
      </c>
      <c r="BW3" s="29">
        <v>8.3643222513675123E-3</v>
      </c>
      <c r="BX3" s="30">
        <f>IF($C3&lt;30,"NV",IF(BT3&gt;=30,(($E3-BV3))/SQRT(($F3^2)+(BW3^2)),"NV"))</f>
        <v>-14.764080926584741</v>
      </c>
      <c r="BY3" s="30" t="str">
        <f>IF(ABS(BX3)&gt;=1.96,"*"," ")</f>
        <v>*</v>
      </c>
      <c r="BZ3" s="30"/>
      <c r="CA3" s="27">
        <v>539</v>
      </c>
      <c r="CB3" s="27">
        <v>539</v>
      </c>
      <c r="CC3" s="28">
        <v>4.0408163265306198</v>
      </c>
      <c r="CD3" s="29">
        <v>3.1792442958386388E-2</v>
      </c>
      <c r="CE3" s="30">
        <f>IF($C3&lt;30,"NV",IF(CA3&gt;=30,(($E3-CC3))/SQRT(($F3^2)+(CD3^2)),"NV"))</f>
        <v>-5.8778153816117786</v>
      </c>
      <c r="CF3" s="30" t="str">
        <f t="shared" ref="CF3:CF41" si="0">IF(ABS(CE3)&gt;=1.96,"*"," ")</f>
        <v>*</v>
      </c>
      <c r="CG3" s="30"/>
      <c r="CH3" s="27">
        <v>3255</v>
      </c>
      <c r="CI3" s="27">
        <v>3250.3072111598717</v>
      </c>
      <c r="CJ3" s="28">
        <v>3.8103401936920283</v>
      </c>
      <c r="CK3" s="29">
        <v>1.6527293495789377E-2</v>
      </c>
      <c r="CL3" s="30">
        <f>IF($C3&lt;30,"NV",IF(CH3&gt;=30,(($E3-CJ3))/SQRT(($F3^2)+(CK3^2)),"NV"))</f>
        <v>0.76869485021600392</v>
      </c>
      <c r="CM3" s="30" t="str">
        <f t="shared" ref="CM3:CM41" si="1">IF(ABS(CL3)&gt;=1.96,"*"," ")</f>
        <v xml:space="preserve"> </v>
      </c>
      <c r="CN3" s="30"/>
      <c r="CO3" s="27">
        <v>3022</v>
      </c>
      <c r="CP3" s="27">
        <v>3021.9494933499222</v>
      </c>
      <c r="CQ3" s="28">
        <v>4.1203208151956598</v>
      </c>
      <c r="CR3" s="29">
        <v>1.4339614128322901E-2</v>
      </c>
      <c r="CS3" s="30">
        <f>IF($C3&lt;30,"NV",IF(CO3&gt;=30,(($E3-CQ3))/SQRT(($F3^2)+(CR3^2)),"NV"))</f>
        <v>-13.069574864465332</v>
      </c>
      <c r="CT3" s="30" t="str">
        <f t="shared" ref="CT3:CT41" si="2">IF(ABS(CS3)&gt;=1.96,"*"," ")</f>
        <v>*</v>
      </c>
      <c r="CU3" s="30"/>
      <c r="CV3" s="27">
        <v>595</v>
      </c>
      <c r="CW3" s="27">
        <v>595.46070680000469</v>
      </c>
      <c r="CX3" s="28">
        <v>4.9983139002313104</v>
      </c>
      <c r="CY3" s="97">
        <v>1.6827268198851804E-3</v>
      </c>
      <c r="CZ3" s="30">
        <f>IF($C3&lt;30,"NV",IF(CV3&gt;=30,(($E3-CX3))/SQRT(($F3^2)+(CY3^2)),"NV"))</f>
        <v>-68.062909618892675</v>
      </c>
      <c r="DA3" s="30" t="str">
        <f t="shared" ref="DA3:DA41" si="3">IF(ABS(CZ3)&gt;=1.96,"*"," ")</f>
        <v>*</v>
      </c>
      <c r="DB3" s="30"/>
      <c r="DC3" s="27">
        <v>900</v>
      </c>
      <c r="DD3" s="27">
        <v>900.0000010799879</v>
      </c>
      <c r="DE3" s="28">
        <v>4.9977779756248886</v>
      </c>
      <c r="DF3" s="29">
        <v>1.5704044596824044E-3</v>
      </c>
      <c r="DG3" s="30">
        <f>IF($C3&lt;30,"NV",IF(DC3&gt;=30,(($E3-DE3))/SQRT(($F3^2)+(DF3^2)),"NV"))</f>
        <v>-68.073848953145145</v>
      </c>
      <c r="DH3" s="30" t="str">
        <f t="shared" ref="DH3:DH41" si="4">IF(ABS(DG3)&gt;=1.96,"*"," ")</f>
        <v>*</v>
      </c>
      <c r="DI3" s="30"/>
      <c r="DJ3" s="27">
        <v>547</v>
      </c>
      <c r="DK3" s="27">
        <v>547</v>
      </c>
      <c r="DL3" s="28">
        <v>4.9981718464350999</v>
      </c>
      <c r="DM3" s="29">
        <v>1.8281535648994528E-3</v>
      </c>
      <c r="DN3" s="30">
        <f>IF($C3&lt;30,"NV",IF(DJ3&gt;=30,(($E3-DL3))/SQRT(($F3^2)+(DM3^2)),"NV"))</f>
        <v>-67.995894222786958</v>
      </c>
      <c r="DO3" s="30" t="str">
        <f t="shared" ref="DO3:DO41" si="5">IF(ABS(DN3)&gt;=1.96,"*"," ")</f>
        <v>*</v>
      </c>
      <c r="DP3" s="8"/>
      <c r="DQ3" s="27">
        <v>987</v>
      </c>
      <c r="DR3" s="27">
        <v>986.87146331001054</v>
      </c>
      <c r="DS3" s="28">
        <v>3.6600715403758488</v>
      </c>
      <c r="DT3" s="29">
        <v>3.0901673434922238E-2</v>
      </c>
      <c r="DU3" s="29"/>
      <c r="DV3" s="27">
        <v>684</v>
      </c>
      <c r="DW3" s="27">
        <v>683.99310424999692</v>
      </c>
      <c r="DX3" s="28">
        <v>3.6326108061490734</v>
      </c>
      <c r="DY3" s="29">
        <v>3.8186065419130701E-2</v>
      </c>
      <c r="DZ3" s="10">
        <f t="shared" ref="DZ3:DZ48" si="6">IF($DQ3&lt;30,"NV",IF(DV3&gt;=30,(($DS3-DX3))/SQRT(($DT3^2)+(DY3^2)),"NV"))</f>
        <v>0.55901759025165154</v>
      </c>
      <c r="EA3" s="10" t="str">
        <f t="shared" ref="EA3:EA41" si="7">IF(ABS(DZ3)&gt;=1.96,"*"," ")</f>
        <v xml:space="preserve"> </v>
      </c>
      <c r="EB3" s="29"/>
      <c r="EC3" s="27">
        <v>728</v>
      </c>
      <c r="ED3" s="27">
        <v>727.76642318000461</v>
      </c>
      <c r="EE3" s="28">
        <v>3.6961539552982279</v>
      </c>
      <c r="EF3" s="29">
        <v>3.5732660507339163E-2</v>
      </c>
      <c r="EG3" s="10">
        <f t="shared" ref="EG3:EG48" si="8">IF($DQ3&lt;30,"NV",IF(EC3&gt;=30,(($DS3-EE3))/SQRT(($DT3^2)+(EF3^2)),"NV"))</f>
        <v>-0.76379030800701397</v>
      </c>
      <c r="EH3" s="10" t="str">
        <f t="shared" ref="EH3:EH41" si="9">IF(ABS(EG3)&gt;=1.96,"*"," ")</f>
        <v xml:space="preserve"> </v>
      </c>
      <c r="EI3" s="29"/>
      <c r="EJ3" s="27">
        <v>706</v>
      </c>
      <c r="EK3" s="27">
        <v>706.47457200000224</v>
      </c>
      <c r="EL3" s="28">
        <v>3.6259654615424717</v>
      </c>
      <c r="EM3" s="29">
        <v>3.6978085633189731E-2</v>
      </c>
      <c r="EN3" s="10">
        <f t="shared" ref="EN3:EN48" si="10">IF($DQ3&lt;30,"NV",IF(EJ3&gt;=30,(($DS3-EL3))/SQRT(($DT3^2)+(EM3^2)),"NV"))</f>
        <v>0.70773937180844626</v>
      </c>
      <c r="EO3" s="10" t="str">
        <f>IF(ABS(EN3)&gt;=1.96,"*"," ")</f>
        <v xml:space="preserve"> </v>
      </c>
      <c r="EP3" s="29"/>
      <c r="EQ3" s="8">
        <v>765</v>
      </c>
      <c r="ER3" s="8">
        <v>765.09485750000101</v>
      </c>
      <c r="ES3" s="69">
        <v>3.6840600902744898</v>
      </c>
      <c r="ET3" s="9">
        <v>3.5788857505246789E-2</v>
      </c>
      <c r="EU3" s="10">
        <f t="shared" ref="EU3:EU48" si="11">IF($DQ3&lt;30,"NV",IF(EQ3&gt;=30,(($DS3-ES3))/SQRT(($DT3^2)+(ET3^2)),"NV"))</f>
        <v>-0.50733148831594421</v>
      </c>
      <c r="EV3" s="10" t="str">
        <f>IF(ABS(EU3)&gt;=1.96,"*"," ")</f>
        <v xml:space="preserve"> </v>
      </c>
      <c r="EW3" s="29"/>
      <c r="EX3" s="88">
        <v>4947</v>
      </c>
      <c r="EY3" s="88">
        <v>4946.910044379747</v>
      </c>
      <c r="EZ3" s="28">
        <v>4.0050015171163418</v>
      </c>
      <c r="FA3" s="29">
        <v>1.239683972888792E-2</v>
      </c>
      <c r="FB3" s="30">
        <f t="shared" ref="FB3:FB48" si="12">IF(DQ3&lt;30,"NV",IF(EX3&gt;=30,((DS3-EZ3))/SQRT((DT3^2)+(FA3^2)),"NV"))</f>
        <v>-10.359635384426433</v>
      </c>
      <c r="FC3" s="30" t="str">
        <f>IF(ABS(FB3)&gt;=1.96,"*"," ")</f>
        <v>*</v>
      </c>
      <c r="FD3" s="30"/>
      <c r="FE3" s="27">
        <v>1118</v>
      </c>
      <c r="FF3" s="27">
        <v>1117.9903252600016</v>
      </c>
      <c r="FG3" s="28">
        <v>4.1181007425169698</v>
      </c>
      <c r="FH3" s="29">
        <v>2.3445817700210002E-2</v>
      </c>
      <c r="FI3" s="30">
        <f t="shared" ref="FI3:FI48" si="13">IF($DQ3&lt;30,"NV",IF(FE3&gt;=30,(($DS3-FG3))/SQRT(($DT3^2)+(FH3^2)),"NV"))</f>
        <v>-11.808093493363355</v>
      </c>
      <c r="FJ3" s="30" t="str">
        <f t="shared" ref="FJ3:FJ41" si="14">IF(ABS(FI3)&gt;=1.96,"*"," ")</f>
        <v>*</v>
      </c>
      <c r="FK3" s="30"/>
      <c r="FL3" s="88">
        <v>384</v>
      </c>
      <c r="FM3" s="88">
        <v>384.00881474999858</v>
      </c>
      <c r="FN3" s="28">
        <v>4.3179327799271512</v>
      </c>
      <c r="FO3" s="29">
        <v>3.789069164978557E-2</v>
      </c>
      <c r="FP3" s="30">
        <f t="shared" ref="FP3:FP48" si="15">IF($DQ3&lt;30,"NV",IF(FL3&gt;=30,(($DS3-FN3))/SQRT(($DT3^2)+(FO3^2)),"NV"))</f>
        <v>-13.454860902324727</v>
      </c>
      <c r="FQ3" s="30" t="str">
        <f t="shared" ref="FQ3:FQ41" si="16">IF(ABS(FP3)&gt;=1.96,"*"," ")</f>
        <v>*</v>
      </c>
      <c r="FR3" s="30"/>
      <c r="FS3" s="88">
        <v>722</v>
      </c>
      <c r="FT3" s="88">
        <v>722.00165376000518</v>
      </c>
      <c r="FU3" s="28">
        <v>4.1221840534029113</v>
      </c>
      <c r="FV3" s="29">
        <v>2.6957184137419384E-2</v>
      </c>
      <c r="FW3" s="30">
        <f t="shared" ref="FW3:FW48" si="17">IF($DQ3&lt;30,"NV",IF(FS3&gt;=30,(($DS3-FU3))/SQRT(($DT3^2)+(FV3^2)),"NV"))</f>
        <v>-11.269015239099568</v>
      </c>
      <c r="FX3" s="30" t="str">
        <f t="shared" ref="FX3:FX41" si="18">IF(ABS(FW3)&gt;=1.96,"*"," ")</f>
        <v>*</v>
      </c>
      <c r="FY3" s="30"/>
      <c r="FZ3" s="88">
        <v>1344</v>
      </c>
      <c r="GA3" s="88">
        <v>1344.0063067199869</v>
      </c>
      <c r="GB3" s="28">
        <v>3.891314936656447</v>
      </c>
      <c r="GC3" s="29">
        <v>2.4934045476345916E-2</v>
      </c>
      <c r="GD3" s="30">
        <f t="shared" ref="GD3:GD48" si="19">IF($DQ3&lt;30,"NV",IF(FZ3&gt;=30,(($DS3-GB3))/SQRT(($DT3^2)+(GC3^2)),"NV"))</f>
        <v>-5.8237914881825148</v>
      </c>
      <c r="GE3" s="30" t="str">
        <f t="shared" ref="GE3:GE41" si="20">IF(ABS(GD3)&gt;=1.96,"*"," ")</f>
        <v>*</v>
      </c>
      <c r="GF3" s="30"/>
      <c r="GG3" s="88">
        <v>392</v>
      </c>
      <c r="GH3" s="88">
        <v>392.03148057999914</v>
      </c>
      <c r="GI3" s="28">
        <v>4.4181796722484021</v>
      </c>
      <c r="GJ3" s="29">
        <v>3.324514924028401E-2</v>
      </c>
      <c r="GK3" s="30">
        <f t="shared" ref="GK3:GK48" si="21">IF($DQ3&lt;30,"NV",IF(GG3&gt;=30,(($DS3-GI3))/SQRT(($DT3^2)+(GJ3^2)),"NV"))</f>
        <v>-16.702496088665523</v>
      </c>
      <c r="GL3" s="30" t="str">
        <f t="shared" ref="GL3:GL41" si="22">IF(ABS(GK3)&gt;=1.96,"*"," ")</f>
        <v>*</v>
      </c>
      <c r="GM3" s="10"/>
      <c r="GN3" s="88">
        <v>957</v>
      </c>
      <c r="GO3" s="88">
        <v>956.99019606000945</v>
      </c>
      <c r="GP3" s="28">
        <v>3.4585180395228279</v>
      </c>
      <c r="GQ3" s="29">
        <v>3.4415621099425413E-2</v>
      </c>
      <c r="GR3" s="9"/>
      <c r="GS3" s="3">
        <v>665</v>
      </c>
      <c r="GT3" s="3">
        <v>664.94857069999887</v>
      </c>
      <c r="GU3" s="69">
        <v>3.4831384360023558</v>
      </c>
      <c r="GV3" s="9">
        <v>4.267687177292246E-2</v>
      </c>
      <c r="GW3" s="10">
        <f t="shared" ref="GW3:GW48" si="23">IF($GN3&lt;30,"NV",IF(GS3&gt;=30,(($GP3-GU3))/SQRT(($GQ3^2)+(GV3^2)),"NV"))</f>
        <v>-0.44907470006539107</v>
      </c>
      <c r="GX3" s="10" t="str">
        <f>IF(ABS(GW3)&gt;=1.96,"*"," ")</f>
        <v xml:space="preserve"> </v>
      </c>
      <c r="GY3" s="9"/>
      <c r="GZ3" s="27">
        <v>718</v>
      </c>
      <c r="HA3" s="27">
        <v>718.05842387000484</v>
      </c>
      <c r="HB3" s="28">
        <v>3.6528440062209602</v>
      </c>
      <c r="HC3" s="29">
        <v>3.7531993276756097E-2</v>
      </c>
      <c r="HD3" s="10">
        <f t="shared" ref="HD3:HD48" si="24">IF($GN3&lt;30,"NV",IF(GZ3&gt;=30,(($GP3-HB3))/SQRT(($GQ3^2)+(HC3^2)),"NV"))</f>
        <v>-3.8161234798911097</v>
      </c>
      <c r="HE3" s="10" t="str">
        <f>IF(ABS(HD3)&gt;=1.96,"*"," ")</f>
        <v>*</v>
      </c>
      <c r="HF3" s="9"/>
      <c r="HG3" s="27">
        <v>1426</v>
      </c>
      <c r="HH3" s="27">
        <v>1425.2165667499917</v>
      </c>
      <c r="HI3" s="28">
        <v>3.395700304688448</v>
      </c>
      <c r="HJ3" s="29">
        <v>2.7750730492172557E-2</v>
      </c>
      <c r="HK3" s="10">
        <f t="shared" ref="HK3:HK48" si="25">IF($GN3&lt;30,"NV",IF(HG3&gt;=30,(($GP3-HI3))/SQRT(($GQ3^2)+(HJ3^2)),"NV"))</f>
        <v>1.4208891917559145</v>
      </c>
      <c r="HL3" s="10" t="str">
        <f>IF(ABS(HK3)&gt;=1.96,"*"," ")</f>
        <v xml:space="preserve"> </v>
      </c>
      <c r="HM3" s="29"/>
      <c r="HN3" s="8">
        <v>1429</v>
      </c>
      <c r="HO3" s="8">
        <v>1429.0114061300103</v>
      </c>
      <c r="HP3" s="69">
        <v>3.372991861341037</v>
      </c>
      <c r="HQ3" s="9">
        <v>2.7751922951523258E-2</v>
      </c>
      <c r="HR3" s="10">
        <f t="shared" ref="HR3:HR48" si="26">IF($GN3&lt;30,"NV",IF(HN3&gt;=30,(($GP3-HP3))/SQRT(($GQ3^2)+(HQ3^2)),"NV"))</f>
        <v>1.9345040863191953</v>
      </c>
      <c r="HS3" s="10" t="str">
        <f>IF(ABS(HR3)&gt;=1.96,"*"," ")</f>
        <v xml:space="preserve"> </v>
      </c>
      <c r="HT3" s="9"/>
      <c r="HU3" s="88">
        <v>5252</v>
      </c>
      <c r="HV3" s="88">
        <v>5251.8980472902658</v>
      </c>
      <c r="HW3" s="28">
        <v>3.9900412295194796</v>
      </c>
      <c r="HX3" s="29">
        <v>1.2639113777522448E-2</v>
      </c>
      <c r="HY3" s="30">
        <f t="shared" ref="HY3:HY48" si="27">IF(GN3&lt;30,"NV",IF(HU3&gt;=30,((GP3-HW3))/SQRT((GQ3^2)+(HX3^2)),"NV"))</f>
        <v>-14.497501141563474</v>
      </c>
      <c r="HZ3" s="30" t="str">
        <f>IF(ABS(HY3)&gt;=1.96,"*"," ")</f>
        <v>*</v>
      </c>
      <c r="IA3" s="30"/>
      <c r="IB3" s="88">
        <v>1118</v>
      </c>
      <c r="IC3" s="88">
        <v>1117.9903252600016</v>
      </c>
      <c r="ID3" s="28">
        <v>4.1181007425169698</v>
      </c>
      <c r="IE3" s="29">
        <v>2.3445817700210002E-2</v>
      </c>
      <c r="IF3" s="30">
        <f t="shared" ref="IF3:IF48" si="28">IF($GN3&lt;30,"NV",IF(IB3&gt;=30,(($GP3-ID3))/SQRT(($GQ3^2)+(IE3^2)),"NV"))</f>
        <v>-15.838972762437733</v>
      </c>
      <c r="IG3" s="30" t="str">
        <f t="shared" ref="IG3:IG41" si="29">IF(ABS(IF3)&gt;=1.96,"*"," ")</f>
        <v>*</v>
      </c>
      <c r="IH3" s="30"/>
      <c r="II3" s="88">
        <v>713</v>
      </c>
      <c r="IJ3" s="88">
        <v>713.07014246000426</v>
      </c>
      <c r="IK3" s="28">
        <v>4.1835666806752316</v>
      </c>
      <c r="IL3" s="29">
        <v>2.9743570889197553E-2</v>
      </c>
      <c r="IM3" s="30">
        <f t="shared" ref="IM3:IM48" si="30">IF($GN3&lt;30,"NV",IF(II3&gt;=30,(($GP3-IK3))/SQRT(($GQ3^2)+(IL3^2)),"NV"))</f>
        <v>-15.939504988304842</v>
      </c>
      <c r="IN3" s="30" t="str">
        <f t="shared" ref="IN3:IN16" si="31">IF(ABS(IM3)&gt;=1.96,"*"," ")</f>
        <v>*</v>
      </c>
      <c r="IO3" s="30"/>
      <c r="IP3" s="88">
        <v>804</v>
      </c>
      <c r="IQ3" s="88">
        <v>803.98656320000987</v>
      </c>
      <c r="IR3" s="28">
        <v>4.0675513813860684</v>
      </c>
      <c r="IS3" s="29">
        <v>3.2741515555765766E-2</v>
      </c>
      <c r="IT3" s="30">
        <f t="shared" ref="IT3:IT48" si="32">IF($GN3&lt;30,"NV",IF(IP3&gt;=30,(($GP3-IR3))/SQRT(($GQ3^2)+(IS3^2)),"NV"))</f>
        <v>-12.821209575427838</v>
      </c>
      <c r="IU3" s="30" t="str">
        <f t="shared" ref="IU3:IU41" si="33">IF(ABS(IT3)&gt;=1.96,"*"," ")</f>
        <v>*</v>
      </c>
      <c r="IV3" s="30"/>
      <c r="IW3" s="88">
        <v>384</v>
      </c>
      <c r="IX3" s="88">
        <v>384.00881474999858</v>
      </c>
      <c r="IY3" s="28">
        <v>4.3179327799271512</v>
      </c>
      <c r="IZ3" s="29">
        <v>3.789069164978557E-2</v>
      </c>
      <c r="JA3" s="30">
        <f t="shared" ref="JA3:JA48" si="34">IF($GN3&lt;30,"NV",IF(IW3&gt;=30,(($GP3-IY3))/SQRT(($GQ3^2)+(IZ3^2)),"NV"))</f>
        <v>-16.789609373446993</v>
      </c>
      <c r="JB3" s="30" t="str">
        <f>IF(ABS(JA3)&gt;=1.96,"*"," ")</f>
        <v>*</v>
      </c>
      <c r="JC3" s="30"/>
      <c r="JD3" s="88">
        <v>1276</v>
      </c>
      <c r="JE3" s="88">
        <v>1275.8520055600104</v>
      </c>
      <c r="JF3" s="28">
        <v>4.0208172111924014</v>
      </c>
      <c r="JG3" s="29">
        <v>2.378457677717645E-2</v>
      </c>
      <c r="JH3" s="30">
        <f t="shared" ref="JH3:JH48" si="35">IF($GN3&lt;30,"NV",IF(JD3&gt;=30,(($GP3-JF3))/SQRT(($GQ3^2)+(JG3^2)),"NV"))</f>
        <v>-13.440979409517997</v>
      </c>
      <c r="JI3" s="30" t="str">
        <f t="shared" ref="JI3:JI41" si="36">IF(ABS(JH3)&gt;=1.96,"*"," ")</f>
        <v>*</v>
      </c>
      <c r="JK3" s="27"/>
      <c r="JL3" s="27"/>
      <c r="JM3" s="28"/>
      <c r="JN3" s="29"/>
    </row>
    <row r="4" spans="1:274" ht="16.899999999999999" customHeight="1" x14ac:dyDescent="0.2">
      <c r="B4" s="7" t="s">
        <v>3</v>
      </c>
      <c r="C4" s="27">
        <v>366</v>
      </c>
      <c r="D4" s="27">
        <v>369.06864115999872</v>
      </c>
      <c r="E4" s="28">
        <v>3.6698433351936441</v>
      </c>
      <c r="F4" s="29">
        <v>4.8467893235867185E-2</v>
      </c>
      <c r="G4" s="29"/>
      <c r="H4" s="3">
        <v>145</v>
      </c>
      <c r="I4" s="3">
        <v>145.43997250000001</v>
      </c>
      <c r="J4" s="28">
        <v>3.7103005442331201</v>
      </c>
      <c r="K4" s="29">
        <v>7.6262013698005546E-2</v>
      </c>
      <c r="L4" s="30">
        <f t="shared" ref="L4:L48" si="37">IF($C4&lt;30,"NV",IF(H4&gt;=30,(($E4-J4))/SQRT(($F4^2)+(K4^2)),"NV"))</f>
        <v>-0.4477308190861653</v>
      </c>
      <c r="M4" s="30" t="str">
        <f t="shared" ref="M4:M48" si="38">IF(ABS(L4)&gt;=1.96,"*"," ")</f>
        <v xml:space="preserve"> </v>
      </c>
      <c r="N4" s="9"/>
      <c r="O4" s="27">
        <v>205</v>
      </c>
      <c r="P4" s="27">
        <v>203.10672488999975</v>
      </c>
      <c r="Q4" s="28">
        <v>3.366076549509958</v>
      </c>
      <c r="R4" s="29">
        <v>5.8966551966852014E-2</v>
      </c>
      <c r="S4" s="30">
        <f t="shared" ref="S4:S48" si="39">IF($C4&lt;30,"NV",IF(O4&gt;=30,(($E4-Q4))/SQRT(($F4^2)+(R4^2)),"NV"))</f>
        <v>3.9796779562112845</v>
      </c>
      <c r="T4" s="30" t="str">
        <f t="shared" ref="T4:T48" si="40">IF(ABS(S4)&gt;=1.96,"*"," ")</f>
        <v>*</v>
      </c>
      <c r="U4" s="30"/>
      <c r="V4" s="27">
        <v>1077</v>
      </c>
      <c r="W4" s="27">
        <v>1076.6922329500198</v>
      </c>
      <c r="X4" s="28">
        <v>3.6003733965380236</v>
      </c>
      <c r="Y4" s="29">
        <v>5.7789012259474609E-2</v>
      </c>
      <c r="Z4" s="30">
        <f t="shared" ref="Z4:Z48" si="41">IF($C4&lt;30,"NV",IF(V4&gt;=30,(($E4-X4))/SQRT(($F4^2)+(Y4^2)),"NV"))</f>
        <v>0.92106471926827449</v>
      </c>
      <c r="AA4" s="30" t="str">
        <f t="shared" ref="AA4:AA48" si="42">IF(ABS(Z4)&gt;=1.96,"*"," ")</f>
        <v xml:space="preserve"> </v>
      </c>
      <c r="AB4" s="9"/>
      <c r="AC4" s="8">
        <v>198</v>
      </c>
      <c r="AD4" s="8">
        <v>183.93522883999987</v>
      </c>
      <c r="AE4" s="69">
        <v>3.4656289285099411</v>
      </c>
      <c r="AF4" s="9">
        <v>7.053354996244228E-2</v>
      </c>
      <c r="AG4" s="30">
        <f t="shared" ref="AG4:AG48" si="43">IF($C4&lt;30,"NV",IF(AC4&gt;=30,(($E4-AE4))/SQRT(($F4^2)+(AF4^2)),"NV"))</f>
        <v>2.3862102141954233</v>
      </c>
      <c r="AH4" s="30" t="str">
        <f t="shared" ref="AH4:AH48" si="44">IF(ABS(AG4)&gt;=1.96,"*"," ")</f>
        <v>*</v>
      </c>
      <c r="AI4" s="9"/>
      <c r="AJ4" s="81">
        <v>1519</v>
      </c>
      <c r="AK4" s="83">
        <v>3.9988458593843328</v>
      </c>
      <c r="AL4" s="84">
        <v>2.2725696125712617E-2</v>
      </c>
      <c r="AM4" s="30">
        <f t="shared" ref="AM4:AM48" si="45">IF($C4&lt;30,"NV",IF(AJ4&gt;=30,(($E4-AK4))/SQRT(($F4^2)+(AL4^2)),"NV"))</f>
        <v>-6.1459907884503675</v>
      </c>
      <c r="AN4" s="30" t="str">
        <f t="shared" ref="AN4:AN48" si="46">IF(ABS(AM4)&gt;=1.96,"*"," ")</f>
        <v>*</v>
      </c>
      <c r="AO4" s="9"/>
      <c r="AP4" s="78">
        <v>315</v>
      </c>
      <c r="AQ4" s="79">
        <v>4.2320416215924137</v>
      </c>
      <c r="AR4" s="80">
        <v>6.1092762670545558E-2</v>
      </c>
      <c r="AS4" s="30">
        <f t="shared" ref="AS4:AS48" si="47">IF($C4&lt;30,"NV",IF(AP4&gt;=30,(($E4-AQ4))/SQRT(($F4^2)+(AR4^2)),"NV"))</f>
        <v>-7.2091739911005597</v>
      </c>
      <c r="AT4" s="30" t="str">
        <f t="shared" ref="AT4:AT48" si="48">IF(ABS(AS4)&gt;=1.96,"*"," ")</f>
        <v>*</v>
      </c>
      <c r="AU4" s="80"/>
      <c r="AV4" s="78">
        <v>590</v>
      </c>
      <c r="AW4" s="79">
        <v>4.1514425389323382</v>
      </c>
      <c r="AX4" s="80">
        <v>4.8586895988835262E-2</v>
      </c>
      <c r="AY4" s="30">
        <f t="shared" ref="AY4:AY48" si="49">IF($C4&lt;30,"NV",IF(AV4&gt;=30,(($E4-AW4))/SQRT(($F4^2)+(AX4^2)),"NV"))</f>
        <v>-7.0175167966375485</v>
      </c>
      <c r="AZ4" s="30" t="str">
        <f t="shared" ref="AZ4:AZ48" si="50">IF(ABS(AY4)&gt;=1.96,"*"," ")</f>
        <v>*</v>
      </c>
      <c r="BA4" s="80"/>
      <c r="BB4" s="78">
        <v>438</v>
      </c>
      <c r="BC4" s="79">
        <v>4.2410839846293786</v>
      </c>
      <c r="BD4" s="80">
        <v>3.8659483440398081E-2</v>
      </c>
      <c r="BE4" s="30">
        <f t="shared" ref="BE4:BE48" si="51">IF($C4&lt;30,"NV",IF(BB4&gt;=30,(($E4-BC4))/SQRT(($F4^2)+(BD4^2)),"NV"))</f>
        <v>-9.2139276006061657</v>
      </c>
      <c r="BF4" s="30" t="str">
        <f t="shared" ref="BF4:BF48" si="52">IF(ABS(BE4)&gt;=1.96,"*"," ")</f>
        <v>*</v>
      </c>
      <c r="BG4" s="80"/>
      <c r="BH4" s="78">
        <v>759</v>
      </c>
      <c r="BI4" s="79">
        <v>3.8763100906704548</v>
      </c>
      <c r="BJ4" s="80">
        <v>4.5015463784625051E-2</v>
      </c>
      <c r="BK4" s="30">
        <f t="shared" ref="BK4:BK48" si="53">IF($C4&lt;30,"NV",IF(BH4&gt;=30,(($E4-BI4))/SQRT(($F4^2)+(BJ4^2)),"NV"))</f>
        <v>-3.1212953614635008</v>
      </c>
      <c r="BL4" s="30" t="str">
        <f t="shared" ref="BL4:BL48" si="54">IF(ABS(BK4)&gt;=1.96,"*"," ")</f>
        <v>*</v>
      </c>
      <c r="BM4" s="80"/>
      <c r="BN4" s="78">
        <v>847</v>
      </c>
      <c r="BO4" s="79">
        <v>3.9927279548280086</v>
      </c>
      <c r="BP4" s="80">
        <v>4.0156531241568302E-2</v>
      </c>
      <c r="BQ4" s="30">
        <f t="shared" ref="BQ4:BQ48" si="55">IF($C4&lt;30,"NV",IF(BN4&gt;=30,(($E4-BO4))/SQRT(($F4^2)+(BP4^2)),"NV"))</f>
        <v>-5.129883002251777</v>
      </c>
      <c r="BR4" s="30" t="str">
        <f t="shared" ref="BR4:BR48" si="56">IF(ABS(BQ4)&gt;=1.96,"*"," ")</f>
        <v>*</v>
      </c>
      <c r="BS4" s="9"/>
      <c r="BT4" s="27">
        <v>2075</v>
      </c>
      <c r="BU4" s="27">
        <v>2030.93227766005</v>
      </c>
      <c r="BV4" s="28">
        <v>4.0133124438059236</v>
      </c>
      <c r="BW4" s="29">
        <v>2.07347741541598E-2</v>
      </c>
      <c r="BX4" s="30">
        <f t="shared" ref="BX4:BX48" si="57">IF($C4&lt;30,"NV",IF(BT4&gt;=30,(($E4-BV4))/SQRT(($F4^2)+(BW4^2)),"NV"))</f>
        <v>-6.515355730626708</v>
      </c>
      <c r="BY4" s="30" t="str">
        <f t="shared" ref="BY4:BY48" si="58">IF(ABS(BX4)&gt;=1.96,"*"," ")</f>
        <v>*</v>
      </c>
      <c r="BZ4" s="30"/>
      <c r="CA4" s="27">
        <v>156</v>
      </c>
      <c r="CB4" s="27">
        <v>156</v>
      </c>
      <c r="CC4" s="28">
        <v>3.9679487179487176</v>
      </c>
      <c r="CD4" s="29">
        <v>5.6372176785533433E-2</v>
      </c>
      <c r="CE4" s="30">
        <f t="shared" ref="CE4:CE48" si="59">IF($C4&lt;30,"NV",IF(CA4&gt;=30,(($E4-CC4))/SQRT(($F4^2)+(CD4^2)),"NV"))</f>
        <v>-4.0098367968114319</v>
      </c>
      <c r="CF4" s="30" t="str">
        <f t="shared" si="0"/>
        <v>*</v>
      </c>
      <c r="CG4" s="30"/>
      <c r="CH4" s="27">
        <v>575</v>
      </c>
      <c r="CI4" s="27">
        <v>528.29634187000124</v>
      </c>
      <c r="CJ4" s="28">
        <v>3.6266767783742662</v>
      </c>
      <c r="CK4" s="29">
        <v>4.3452849393518143E-2</v>
      </c>
      <c r="CL4" s="30">
        <f t="shared" ref="CL4:CL48" si="60">IF($C4&lt;30,"NV",IF(CH4&gt;=30,(($E4-CJ4))/SQRT(($F4^2)+(CK4^2)),"NV"))</f>
        <v>0.66313733361739902</v>
      </c>
      <c r="CM4" s="30" t="str">
        <f t="shared" si="1"/>
        <v xml:space="preserve"> </v>
      </c>
      <c r="CN4" s="30"/>
      <c r="CO4" s="27">
        <v>653</v>
      </c>
      <c r="CP4" s="27">
        <v>652.61501586000634</v>
      </c>
      <c r="CQ4" s="28">
        <v>4.0400851288803539</v>
      </c>
      <c r="CR4" s="29">
        <v>3.1083172325201001E-2</v>
      </c>
      <c r="CS4" s="30">
        <f t="shared" ref="CS4:CS48" si="61">IF($C4&lt;30,"NV",IF(CO4&gt;=30,(($E4-CQ4))/SQRT(($F4^2)+(CR4^2)),"NV"))</f>
        <v>-6.4301929708491672</v>
      </c>
      <c r="CT4" s="30" t="str">
        <f t="shared" si="2"/>
        <v>*</v>
      </c>
      <c r="CU4" s="30"/>
      <c r="CV4" s="27">
        <v>62</v>
      </c>
      <c r="CW4" s="27">
        <v>62.008012120000075</v>
      </c>
      <c r="CX4" s="89">
        <v>5</v>
      </c>
      <c r="CY4" s="98">
        <v>0</v>
      </c>
      <c r="CZ4" s="30">
        <f t="shared" ref="CZ4:CZ48" si="62">IF($C4&lt;30,"NV",IF(CV4&gt;=30,(($E4-CX4))/SQRT(($F4^2)+(CY4^2)),"NV"))</f>
        <v>-27.444078461038082</v>
      </c>
      <c r="DA4" s="30" t="str">
        <f t="shared" si="3"/>
        <v>*</v>
      </c>
      <c r="DB4" s="30"/>
      <c r="DC4" s="27">
        <v>151</v>
      </c>
      <c r="DD4" s="27">
        <v>150.94426665000006</v>
      </c>
      <c r="DE4" s="28">
        <v>5</v>
      </c>
      <c r="DF4" s="29">
        <v>0</v>
      </c>
      <c r="DG4" s="30">
        <f t="shared" ref="DG4:DG48" si="63">IF($C4&lt;30,"NV",IF(DC4&gt;=30,(($E4-DE4))/SQRT(($F4^2)+(DF4^2)),"NV"))</f>
        <v>-27.444078461038082</v>
      </c>
      <c r="DH4" s="30" t="str">
        <f t="shared" si="4"/>
        <v>*</v>
      </c>
      <c r="DI4" s="30"/>
      <c r="DJ4" s="27">
        <v>112</v>
      </c>
      <c r="DK4" s="27">
        <v>112</v>
      </c>
      <c r="DL4" s="28">
        <v>5</v>
      </c>
      <c r="DM4" s="29">
        <v>0</v>
      </c>
      <c r="DN4" s="30">
        <f t="shared" ref="DN4:DN48" si="64">IF($C4&lt;30,"NV",IF(DJ4&gt;=30,(($E4-DL4))/SQRT(($F4^2)+(DM4^2)),"NV"))</f>
        <v>-27.444078461038082</v>
      </c>
      <c r="DO4" s="30" t="str">
        <f t="shared" si="5"/>
        <v>*</v>
      </c>
      <c r="DP4" s="8"/>
      <c r="DQ4" s="27">
        <v>240</v>
      </c>
      <c r="DR4" s="27">
        <v>241.83671291999903</v>
      </c>
      <c r="DS4" s="28">
        <v>3.4944581918360615</v>
      </c>
      <c r="DT4" s="29">
        <v>6.0342326912409851E-2</v>
      </c>
      <c r="DU4" s="29"/>
      <c r="DV4" s="27">
        <v>184</v>
      </c>
      <c r="DW4" s="27">
        <v>184.44244156000056</v>
      </c>
      <c r="DX4" s="28">
        <v>3.4336717120716487</v>
      </c>
      <c r="DY4" s="29">
        <v>7.3675559268766969E-2</v>
      </c>
      <c r="DZ4" s="10">
        <f t="shared" si="6"/>
        <v>0.63829358805517533</v>
      </c>
      <c r="EA4" s="10" t="str">
        <f t="shared" si="7"/>
        <v xml:space="preserve"> </v>
      </c>
      <c r="EB4" s="29"/>
      <c r="EC4" s="27">
        <v>219</v>
      </c>
      <c r="ED4" s="27">
        <v>217.33568527000079</v>
      </c>
      <c r="EE4" s="28">
        <v>3.5898131950615966</v>
      </c>
      <c r="EF4" s="29">
        <v>6.5912407954066859E-2</v>
      </c>
      <c r="EG4" s="10">
        <f t="shared" si="8"/>
        <v>-1.0670593324692204</v>
      </c>
      <c r="EH4" s="10" t="str">
        <f t="shared" si="9"/>
        <v xml:space="preserve"> </v>
      </c>
      <c r="EI4" s="29"/>
      <c r="EJ4" s="27">
        <v>706</v>
      </c>
      <c r="EK4" s="27">
        <v>706.47457200000224</v>
      </c>
      <c r="EL4" s="28">
        <v>3.5506953727694817</v>
      </c>
      <c r="EM4" s="29">
        <v>7.1675000628499269E-2</v>
      </c>
      <c r="EN4" s="10">
        <f t="shared" si="10"/>
        <v>-0.60022396677468293</v>
      </c>
      <c r="EO4" s="10" t="str">
        <f t="shared" ref="EO4:EO48" si="65">IF(ABS(EN4)&gt;=1.96,"*"," ")</f>
        <v xml:space="preserve"> </v>
      </c>
      <c r="EP4" s="29"/>
      <c r="EQ4" s="8">
        <v>148</v>
      </c>
      <c r="ER4" s="8">
        <v>149.06228593000037</v>
      </c>
      <c r="ES4" s="69">
        <v>3.5087001026242772</v>
      </c>
      <c r="ET4" s="9">
        <v>8.2483463541881491E-2</v>
      </c>
      <c r="EU4" s="10">
        <f t="shared" si="11"/>
        <v>-0.1393541472138469</v>
      </c>
      <c r="EV4" s="10" t="str">
        <f t="shared" ref="EV4:EV48" si="66">IF(ABS(EU4)&gt;=1.96,"*"," ")</f>
        <v xml:space="preserve"> </v>
      </c>
      <c r="EW4" s="29"/>
      <c r="EX4" s="88">
        <v>1177</v>
      </c>
      <c r="EY4" s="88">
        <v>1179.8161628400026</v>
      </c>
      <c r="EZ4" s="89">
        <v>3.8961748332679731</v>
      </c>
      <c r="FA4" s="90">
        <v>2.5494351184185773E-2</v>
      </c>
      <c r="FB4" s="30">
        <f t="shared" si="12"/>
        <v>-6.13242933068239</v>
      </c>
      <c r="FC4" s="30" t="str">
        <f t="shared" ref="FC4:FC48" si="67">IF(ABS(FB4)&gt;=1.96,"*"," ")</f>
        <v>*</v>
      </c>
      <c r="FD4" s="30"/>
      <c r="FE4" s="27">
        <v>297</v>
      </c>
      <c r="FF4" s="27">
        <v>296.89049148000089</v>
      </c>
      <c r="FG4" s="89">
        <v>4.0135342571598347</v>
      </c>
      <c r="FH4" s="90">
        <v>4.3456189441382617E-2</v>
      </c>
      <c r="FI4" s="30">
        <f t="shared" si="13"/>
        <v>-6.98043841517931</v>
      </c>
      <c r="FJ4" s="30" t="str">
        <f t="shared" si="14"/>
        <v>*</v>
      </c>
      <c r="FK4" s="30"/>
      <c r="FL4" s="88">
        <v>102</v>
      </c>
      <c r="FM4" s="88">
        <v>101.96207828999991</v>
      </c>
      <c r="FN4" s="89">
        <v>4.3038456622263501</v>
      </c>
      <c r="FO4" s="90">
        <v>7.346516465476019E-2</v>
      </c>
      <c r="FP4" s="30">
        <f t="shared" si="15"/>
        <v>-8.5135846034042384</v>
      </c>
      <c r="FQ4" s="30" t="str">
        <f t="shared" si="16"/>
        <v>*</v>
      </c>
      <c r="FR4" s="30"/>
      <c r="FS4" s="88">
        <v>240</v>
      </c>
      <c r="FT4" s="88">
        <v>241.09191245000042</v>
      </c>
      <c r="FU4" s="89">
        <v>4.0736376556956548</v>
      </c>
      <c r="FV4" s="90">
        <v>4.6941733388516156E-2</v>
      </c>
      <c r="FW4" s="30">
        <f t="shared" si="17"/>
        <v>-7.5758470338861326</v>
      </c>
      <c r="FX4" s="30" t="str">
        <f t="shared" si="18"/>
        <v>*</v>
      </c>
      <c r="FY4" s="30"/>
      <c r="FZ4" s="88">
        <v>250</v>
      </c>
      <c r="GA4" s="88">
        <v>249.95352540000161</v>
      </c>
      <c r="GB4" s="89">
        <v>3.7239584233925758</v>
      </c>
      <c r="GC4" s="90">
        <v>6.1312724374526034E-2</v>
      </c>
      <c r="GD4" s="30">
        <f t="shared" si="19"/>
        <v>-2.667805501607079</v>
      </c>
      <c r="GE4" s="30" t="str">
        <f t="shared" si="20"/>
        <v>*</v>
      </c>
      <c r="GF4" s="30"/>
      <c r="GG4" s="88">
        <v>48</v>
      </c>
      <c r="GH4" s="88">
        <v>48.081442299999978</v>
      </c>
      <c r="GI4" s="89">
        <v>4.332959101769708</v>
      </c>
      <c r="GJ4" s="90">
        <v>0.10448544408257082</v>
      </c>
      <c r="GK4" s="30">
        <f t="shared" si="21"/>
        <v>-6.9493894102999088</v>
      </c>
      <c r="GL4" s="30" t="str">
        <f t="shared" si="22"/>
        <v>*</v>
      </c>
      <c r="GM4" s="10"/>
      <c r="GN4" s="88">
        <v>241</v>
      </c>
      <c r="GO4" s="88">
        <v>240.87546672000116</v>
      </c>
      <c r="GP4" s="89">
        <v>3.2695364649380001</v>
      </c>
      <c r="GQ4" s="90">
        <v>6.8273285041904608E-2</v>
      </c>
      <c r="GR4" s="9"/>
      <c r="GS4" s="3">
        <v>226</v>
      </c>
      <c r="GT4" s="3">
        <v>226.10686247000018</v>
      </c>
      <c r="GU4" s="71">
        <v>3.2437689968711734</v>
      </c>
      <c r="GV4" s="72">
        <v>7.5706894049355739E-2</v>
      </c>
      <c r="GW4" s="10">
        <f t="shared" si="23"/>
        <v>0.25275862177307512</v>
      </c>
      <c r="GX4" s="10" t="str">
        <f t="shared" ref="GX4:GX48" si="68">IF(ABS(GW4)&gt;=1.96,"*"," ")</f>
        <v xml:space="preserve"> </v>
      </c>
      <c r="GY4" s="9"/>
      <c r="GZ4" s="27">
        <v>203</v>
      </c>
      <c r="HA4" s="27">
        <v>202.26582760999946</v>
      </c>
      <c r="HB4" s="28">
        <v>3.4959807468982476</v>
      </c>
      <c r="HC4" s="29">
        <v>7.3379604368189022E-2</v>
      </c>
      <c r="HD4" s="10">
        <f t="shared" si="24"/>
        <v>-2.2592741145693007</v>
      </c>
      <c r="HE4" s="10" t="str">
        <f t="shared" ref="HE4:HE48" si="69">IF(ABS(HD4)&gt;=1.96,"*"," ")</f>
        <v>*</v>
      </c>
      <c r="HF4" s="9"/>
      <c r="HG4" s="27">
        <v>1426</v>
      </c>
      <c r="HH4" s="27">
        <v>1425.2165667499917</v>
      </c>
      <c r="HI4" s="28">
        <v>3.2222189779217287</v>
      </c>
      <c r="HJ4" s="29">
        <v>4.3807396315305551E-2</v>
      </c>
      <c r="HK4" s="10">
        <f t="shared" si="25"/>
        <v>0.58330789392917881</v>
      </c>
      <c r="HL4" s="10" t="str">
        <f t="shared" ref="HL4:HL48" si="70">IF(ABS(HK4)&gt;=1.96,"*"," ")</f>
        <v xml:space="preserve"> </v>
      </c>
      <c r="HM4" s="29"/>
      <c r="HN4" s="8">
        <v>421</v>
      </c>
      <c r="HO4" s="8">
        <v>422.47575268999998</v>
      </c>
      <c r="HP4" s="69">
        <v>3.2529454409858478</v>
      </c>
      <c r="HQ4" s="9">
        <v>5.3164266791193154E-2</v>
      </c>
      <c r="HR4" s="10">
        <f t="shared" si="26"/>
        <v>0.19173417615991381</v>
      </c>
      <c r="HS4" s="10" t="str">
        <f t="shared" ref="HS4:HS48" si="71">IF(ABS(HR4)&gt;=1.96,"*"," ")</f>
        <v xml:space="preserve"> </v>
      </c>
      <c r="HT4" s="9"/>
      <c r="HU4" s="88">
        <v>1205</v>
      </c>
      <c r="HV4" s="88">
        <v>1206.4693729200089</v>
      </c>
      <c r="HW4" s="89">
        <v>3.882758980613279</v>
      </c>
      <c r="HX4" s="90">
        <v>2.6114443700450372E-2</v>
      </c>
      <c r="HY4" s="30">
        <f t="shared" si="27"/>
        <v>-8.3891343354396284</v>
      </c>
      <c r="HZ4" s="30" t="str">
        <f t="shared" ref="HZ4:HZ48" si="72">IF(ABS(HY4)&gt;=1.96,"*"," ")</f>
        <v>*</v>
      </c>
      <c r="IA4" s="30"/>
      <c r="IB4" s="88">
        <v>297</v>
      </c>
      <c r="IC4" s="88">
        <v>296.89049148000089</v>
      </c>
      <c r="ID4" s="89">
        <v>4.0135342571598347</v>
      </c>
      <c r="IE4" s="90">
        <v>4.3456189441382617E-2</v>
      </c>
      <c r="IF4" s="30">
        <f t="shared" si="28"/>
        <v>-9.1930906889149284</v>
      </c>
      <c r="IG4" s="30" t="str">
        <f t="shared" si="29"/>
        <v>*</v>
      </c>
      <c r="IH4" s="30"/>
      <c r="II4" s="88">
        <v>181</v>
      </c>
      <c r="IJ4" s="88">
        <v>181.26649768000027</v>
      </c>
      <c r="IK4" s="89">
        <v>4.0107212957985832</v>
      </c>
      <c r="IL4" s="90">
        <v>5.8101973425839053E-2</v>
      </c>
      <c r="IM4" s="30">
        <f t="shared" si="30"/>
        <v>-8.267560013479649</v>
      </c>
      <c r="IN4" s="30" t="str">
        <f t="shared" si="31"/>
        <v>*</v>
      </c>
      <c r="IO4" s="30"/>
      <c r="IP4" s="88">
        <v>139</v>
      </c>
      <c r="IQ4" s="88">
        <v>138.54202181999992</v>
      </c>
      <c r="IR4" s="89">
        <v>4.0716212605363307</v>
      </c>
      <c r="IS4" s="90">
        <v>7.1371845532357772E-2</v>
      </c>
      <c r="IT4" s="30">
        <f t="shared" si="32"/>
        <v>-8.1208707892009624</v>
      </c>
      <c r="IU4" s="30" t="str">
        <f t="shared" si="33"/>
        <v>*</v>
      </c>
      <c r="IV4" s="30"/>
      <c r="IW4" s="88">
        <v>102</v>
      </c>
      <c r="IX4" s="88">
        <v>101.96207828999991</v>
      </c>
      <c r="IY4" s="89">
        <v>4.3038456622263501</v>
      </c>
      <c r="IZ4" s="90">
        <v>7.346516465476019E-2</v>
      </c>
      <c r="JA4" s="30">
        <f t="shared" si="34"/>
        <v>-10.31303620983976</v>
      </c>
      <c r="JB4" s="30" t="str">
        <f>IF(ABS(JA5)&gt;=1.96,"*"," ")</f>
        <v>*</v>
      </c>
      <c r="JC4" s="30"/>
      <c r="JD4" s="88">
        <v>245</v>
      </c>
      <c r="JE4" s="88">
        <v>246.932816930001</v>
      </c>
      <c r="JF4" s="89">
        <v>3.9499384172436471</v>
      </c>
      <c r="JG4" s="90">
        <v>5.3049318669810559E-2</v>
      </c>
      <c r="JH4" s="30">
        <f t="shared" si="35"/>
        <v>-7.8694839025076497</v>
      </c>
      <c r="JI4" s="30" t="str">
        <f t="shared" si="36"/>
        <v>*</v>
      </c>
      <c r="JK4" s="27"/>
      <c r="JL4" s="27"/>
      <c r="JM4" s="28"/>
      <c r="JN4" s="29"/>
    </row>
    <row r="5" spans="1:274" x14ac:dyDescent="0.2">
      <c r="B5" s="7" t="s">
        <v>4</v>
      </c>
      <c r="C5" s="27">
        <v>2034</v>
      </c>
      <c r="D5" s="27">
        <v>2033.2094091799602</v>
      </c>
      <c r="E5" s="28">
        <v>3.8485446150408138</v>
      </c>
      <c r="F5" s="29">
        <v>2.0356353491133228E-2</v>
      </c>
      <c r="G5" s="29"/>
      <c r="H5" s="3">
        <v>643</v>
      </c>
      <c r="I5" s="3">
        <v>642.75941662000275</v>
      </c>
      <c r="J5" s="28">
        <v>3.7581210061494681</v>
      </c>
      <c r="K5" s="29">
        <v>3.8570019137775163E-2</v>
      </c>
      <c r="L5" s="30">
        <f t="shared" si="37"/>
        <v>2.0733539087893536</v>
      </c>
      <c r="M5" s="30" t="str">
        <f t="shared" si="38"/>
        <v>*</v>
      </c>
      <c r="N5" s="9"/>
      <c r="O5" s="27">
        <v>660</v>
      </c>
      <c r="P5" s="27">
        <v>659.90499732000137</v>
      </c>
      <c r="Q5" s="28">
        <v>3.5748575478449438</v>
      </c>
      <c r="R5" s="29">
        <v>3.1765110489162807E-2</v>
      </c>
      <c r="S5" s="30">
        <f t="shared" si="39"/>
        <v>7.2542126211528215</v>
      </c>
      <c r="T5" s="30" t="str">
        <f t="shared" si="40"/>
        <v>*</v>
      </c>
      <c r="U5" s="30"/>
      <c r="V5" s="27">
        <v>187</v>
      </c>
      <c r="W5" s="27">
        <v>179.68085176999966</v>
      </c>
      <c r="X5" s="28">
        <v>3.666554605493221</v>
      </c>
      <c r="Y5" s="29">
        <v>3.0999556078637306E-2</v>
      </c>
      <c r="Z5" s="30">
        <f t="shared" si="41"/>
        <v>4.9072746224550468</v>
      </c>
      <c r="AA5" s="30" t="str">
        <f t="shared" si="42"/>
        <v>*</v>
      </c>
      <c r="AB5" s="9"/>
      <c r="AC5" s="8">
        <v>787</v>
      </c>
      <c r="AD5" s="8">
        <v>786.79486449999831</v>
      </c>
      <c r="AE5" s="69">
        <v>3.541818363838598</v>
      </c>
      <c r="AF5" s="9">
        <v>3.0658221215715827E-2</v>
      </c>
      <c r="AG5" s="30">
        <f t="shared" si="43"/>
        <v>8.3347442859718512</v>
      </c>
      <c r="AH5" s="30" t="str">
        <f t="shared" si="44"/>
        <v>*</v>
      </c>
      <c r="AI5" s="9"/>
      <c r="AJ5" s="81">
        <v>3437</v>
      </c>
      <c r="AK5" s="83">
        <v>4.0339643869249029</v>
      </c>
      <c r="AL5" s="84">
        <v>1.5073610509242566E-2</v>
      </c>
      <c r="AM5" s="30">
        <f t="shared" si="45"/>
        <v>-7.3202447872586225</v>
      </c>
      <c r="AN5" s="30" t="str">
        <f t="shared" si="46"/>
        <v>*</v>
      </c>
      <c r="AO5" s="9"/>
      <c r="AP5" s="78">
        <v>315</v>
      </c>
      <c r="AQ5" s="79">
        <v>4.26348083467267</v>
      </c>
      <c r="AR5" s="80">
        <v>4.4364101098114346E-2</v>
      </c>
      <c r="AS5" s="30">
        <f t="shared" si="47"/>
        <v>-8.5008022884860051</v>
      </c>
      <c r="AT5" s="30" t="str">
        <f t="shared" si="48"/>
        <v>*</v>
      </c>
      <c r="AU5" s="80"/>
      <c r="AV5" s="78">
        <v>116</v>
      </c>
      <c r="AW5" s="79">
        <v>4.2504485023980703</v>
      </c>
      <c r="AX5" s="80">
        <v>3.0992944841680869E-2</v>
      </c>
      <c r="AY5" s="30">
        <f t="shared" si="49"/>
        <v>-10.838763498208685</v>
      </c>
      <c r="AZ5" s="30" t="str">
        <f t="shared" si="50"/>
        <v>*</v>
      </c>
      <c r="BA5" s="80"/>
      <c r="BB5" s="78">
        <v>175</v>
      </c>
      <c r="BC5" s="79">
        <v>4.2928891215821201</v>
      </c>
      <c r="BD5" s="80">
        <v>3.7291430610756265E-2</v>
      </c>
      <c r="BE5" s="30">
        <f t="shared" si="51"/>
        <v>-10.458691953337121</v>
      </c>
      <c r="BF5" s="30" t="str">
        <f t="shared" si="52"/>
        <v>*</v>
      </c>
      <c r="BG5" s="80"/>
      <c r="BH5" s="78">
        <v>187</v>
      </c>
      <c r="BI5" s="79">
        <v>4.0513340135980833</v>
      </c>
      <c r="BJ5" s="80">
        <v>3.0720035057318969E-2</v>
      </c>
      <c r="BK5" s="30">
        <f t="shared" si="53"/>
        <v>-5.5027413999705068</v>
      </c>
      <c r="BL5" s="30" t="str">
        <f t="shared" si="54"/>
        <v>*</v>
      </c>
      <c r="BM5" s="80"/>
      <c r="BN5" s="78">
        <v>167</v>
      </c>
      <c r="BO5" s="79">
        <v>4.1648329274610614</v>
      </c>
      <c r="BP5" s="80">
        <v>2.7958163087642245E-2</v>
      </c>
      <c r="BQ5" s="30">
        <f t="shared" si="55"/>
        <v>-9.1455597185731889</v>
      </c>
      <c r="BR5" s="30" t="str">
        <f t="shared" si="56"/>
        <v>*</v>
      </c>
      <c r="BS5" s="9"/>
      <c r="BT5" s="27">
        <v>7501</v>
      </c>
      <c r="BU5" s="27">
        <v>7528.9147655397101</v>
      </c>
      <c r="BV5" s="28">
        <v>4.1067952595585533</v>
      </c>
      <c r="BW5" s="29">
        <v>1.0342593664896732E-2</v>
      </c>
      <c r="BX5" s="30">
        <f t="shared" si="57"/>
        <v>-11.310363701407965</v>
      </c>
      <c r="BY5" s="30" t="str">
        <f t="shared" si="58"/>
        <v>*</v>
      </c>
      <c r="BZ5" s="30"/>
      <c r="CA5" s="27">
        <v>327</v>
      </c>
      <c r="CB5" s="27">
        <v>327</v>
      </c>
      <c r="CC5" s="28">
        <v>4.0733944954128445</v>
      </c>
      <c r="CD5" s="29">
        <v>4.1797672002118057E-2</v>
      </c>
      <c r="CE5" s="30">
        <f t="shared" si="59"/>
        <v>-4.8364023521682693</v>
      </c>
      <c r="CF5" s="30" t="str">
        <f t="shared" si="0"/>
        <v>*</v>
      </c>
      <c r="CG5" s="30"/>
      <c r="CH5" s="27">
        <v>2093</v>
      </c>
      <c r="CI5" s="27">
        <v>2120.7433818799859</v>
      </c>
      <c r="CJ5" s="28">
        <v>3.8409367317412269</v>
      </c>
      <c r="CK5" s="29">
        <v>1.9962182309390276E-2</v>
      </c>
      <c r="CL5" s="30">
        <f t="shared" si="60"/>
        <v>0.26684147610255793</v>
      </c>
      <c r="CM5" s="30" t="str">
        <f t="shared" si="1"/>
        <v xml:space="preserve"> </v>
      </c>
      <c r="CN5" s="30"/>
      <c r="CO5" s="27">
        <v>1882</v>
      </c>
      <c r="CP5" s="27">
        <v>1882.0033482800727</v>
      </c>
      <c r="CQ5" s="28">
        <v>4.1388777332404132</v>
      </c>
      <c r="CR5" s="29">
        <v>1.8074197061806883E-2</v>
      </c>
      <c r="CS5" s="30">
        <f t="shared" si="61"/>
        <v>-10.665238174794142</v>
      </c>
      <c r="CT5" s="30" t="str">
        <f t="shared" si="2"/>
        <v>*</v>
      </c>
      <c r="CU5" s="30"/>
      <c r="CV5" s="27">
        <v>374</v>
      </c>
      <c r="CW5" s="27">
        <v>375.01756424000092</v>
      </c>
      <c r="CX5" s="89">
        <v>4.9973227756357606</v>
      </c>
      <c r="CY5" s="98">
        <v>2.6718634194259328E-3</v>
      </c>
      <c r="CZ5" s="30">
        <f t="shared" si="62"/>
        <v>-55.953478050771679</v>
      </c>
      <c r="DA5" s="30" t="str">
        <f t="shared" si="3"/>
        <v>*</v>
      </c>
      <c r="DB5" s="30"/>
      <c r="DC5" s="27">
        <v>512</v>
      </c>
      <c r="DD5" s="27">
        <v>511.9410619600016</v>
      </c>
      <c r="DE5" s="28">
        <v>4.9980511717771137</v>
      </c>
      <c r="DF5" s="29">
        <v>1.9510921495966029E-3</v>
      </c>
      <c r="DG5" s="30">
        <f t="shared" si="63"/>
        <v>-56.211571594340164</v>
      </c>
      <c r="DH5" s="30" t="str">
        <f t="shared" si="4"/>
        <v>*</v>
      </c>
      <c r="DI5" s="30"/>
      <c r="DJ5" s="27">
        <v>279</v>
      </c>
      <c r="DK5" s="27">
        <v>279</v>
      </c>
      <c r="DL5" s="28">
        <v>5</v>
      </c>
      <c r="DM5" s="29">
        <v>0</v>
      </c>
      <c r="DN5" s="30">
        <f t="shared" si="64"/>
        <v>-56.564914018649475</v>
      </c>
      <c r="DO5" s="30" t="str">
        <f t="shared" si="5"/>
        <v>*</v>
      </c>
      <c r="DP5" s="8"/>
      <c r="DQ5" s="27">
        <v>632</v>
      </c>
      <c r="DR5" s="27">
        <v>630.11035359999926</v>
      </c>
      <c r="DS5" s="28">
        <v>3.7099663219214256</v>
      </c>
      <c r="DT5" s="29">
        <v>3.9036107445879362E-2</v>
      </c>
      <c r="DU5" s="29"/>
      <c r="DV5" s="27">
        <v>396</v>
      </c>
      <c r="DW5" s="27">
        <v>395.77264135999906</v>
      </c>
      <c r="DX5" s="28">
        <v>3.7427491887763158</v>
      </c>
      <c r="DY5" s="29">
        <v>4.9801301796742047E-2</v>
      </c>
      <c r="DZ5" s="10">
        <f t="shared" si="6"/>
        <v>-0.51808447907078037</v>
      </c>
      <c r="EA5" s="10" t="str">
        <f t="shared" si="7"/>
        <v xml:space="preserve"> </v>
      </c>
      <c r="EB5" s="29"/>
      <c r="EC5" s="27">
        <v>393</v>
      </c>
      <c r="ED5" s="27">
        <v>394.89968560000108</v>
      </c>
      <c r="EE5" s="28">
        <v>3.7436781467267908</v>
      </c>
      <c r="EF5" s="29">
        <v>4.9311127567333246E-2</v>
      </c>
      <c r="EG5" s="10">
        <f t="shared" si="8"/>
        <v>-0.53602714446348065</v>
      </c>
      <c r="EH5" s="10" t="str">
        <f t="shared" si="9"/>
        <v xml:space="preserve"> </v>
      </c>
      <c r="EI5" s="29"/>
      <c r="EJ5" s="27">
        <v>208</v>
      </c>
      <c r="EK5" s="27">
        <v>197.45117371000029</v>
      </c>
      <c r="EL5" s="28">
        <v>3.6361732882590223</v>
      </c>
      <c r="EM5" s="29">
        <v>4.8140013470976017E-2</v>
      </c>
      <c r="EN5" s="10">
        <f t="shared" si="10"/>
        <v>1.1906317579485108</v>
      </c>
      <c r="EO5" s="10" t="str">
        <f t="shared" si="65"/>
        <v xml:space="preserve"> </v>
      </c>
      <c r="EP5" s="29"/>
      <c r="EQ5" s="8">
        <v>477</v>
      </c>
      <c r="ER5" s="8">
        <v>475.71771431999883</v>
      </c>
      <c r="ES5" s="69">
        <v>3.6741500960888587</v>
      </c>
      <c r="ET5" s="9">
        <v>4.5191706133305642E-2</v>
      </c>
      <c r="EU5" s="10">
        <f t="shared" si="11"/>
        <v>0.59976701110111263</v>
      </c>
      <c r="EV5" s="10" t="str">
        <f t="shared" si="66"/>
        <v xml:space="preserve"> </v>
      </c>
      <c r="EW5" s="29"/>
      <c r="EX5" s="88">
        <v>3165</v>
      </c>
      <c r="EY5" s="88">
        <v>3162.3247605499309</v>
      </c>
      <c r="EZ5" s="89">
        <v>4.0400918229625331</v>
      </c>
      <c r="FA5" s="90">
        <v>1.5375759439470442E-2</v>
      </c>
      <c r="FB5" s="30">
        <f t="shared" si="12"/>
        <v>-7.8685400373066905</v>
      </c>
      <c r="FC5" s="30" t="str">
        <f t="shared" si="67"/>
        <v>*</v>
      </c>
      <c r="FD5" s="30"/>
      <c r="FE5" s="27">
        <v>694</v>
      </c>
      <c r="FF5" s="27">
        <v>694.08601676000126</v>
      </c>
      <c r="FG5" s="89">
        <v>4.1541532315540088</v>
      </c>
      <c r="FH5" s="90">
        <v>3.0126648552137588E-2</v>
      </c>
      <c r="FI5" s="30">
        <f t="shared" si="13"/>
        <v>-9.0081297828638522</v>
      </c>
      <c r="FJ5" s="30" t="str">
        <f t="shared" si="14"/>
        <v>*</v>
      </c>
      <c r="FK5" s="30"/>
      <c r="FL5" s="88">
        <v>239</v>
      </c>
      <c r="FM5" s="88">
        <v>239.06432938999924</v>
      </c>
      <c r="FN5" s="89">
        <v>4.360149377490532</v>
      </c>
      <c r="FO5" s="90">
        <v>4.4956267279656896E-2</v>
      </c>
      <c r="FP5" s="30">
        <f t="shared" si="15"/>
        <v>-10.920302136374678</v>
      </c>
      <c r="FQ5" s="30" t="str">
        <f t="shared" si="16"/>
        <v>*</v>
      </c>
      <c r="FR5" s="30"/>
      <c r="FS5" s="88">
        <v>424</v>
      </c>
      <c r="FT5" s="88">
        <v>423.10622036999752</v>
      </c>
      <c r="FU5" s="89">
        <v>4.1666885469524058</v>
      </c>
      <c r="FV5" s="90">
        <v>3.3843294815966346E-2</v>
      </c>
      <c r="FW5" s="30">
        <f t="shared" si="17"/>
        <v>-8.8402124693836885</v>
      </c>
      <c r="FX5" s="30" t="str">
        <f t="shared" si="18"/>
        <v>*</v>
      </c>
      <c r="FY5" s="30"/>
      <c r="FZ5" s="88">
        <v>908</v>
      </c>
      <c r="GA5" s="88">
        <v>907.97416749000763</v>
      </c>
      <c r="GB5" s="89">
        <v>3.9195453445201638</v>
      </c>
      <c r="GC5" s="90">
        <v>2.9756101216293684E-2</v>
      </c>
      <c r="GD5" s="30">
        <f t="shared" si="19"/>
        <v>-4.2697995362494048</v>
      </c>
      <c r="GE5" s="30" t="str">
        <f t="shared" si="20"/>
        <v>*</v>
      </c>
      <c r="GF5" s="30"/>
      <c r="GG5" s="88">
        <v>268</v>
      </c>
      <c r="GH5" s="88">
        <v>267.98367293999945</v>
      </c>
      <c r="GI5" s="89">
        <v>4.443929671068565</v>
      </c>
      <c r="GJ5" s="90">
        <v>3.8884772851740565E-2</v>
      </c>
      <c r="GK5" s="30">
        <f t="shared" si="21"/>
        <v>-13.320934787580835</v>
      </c>
      <c r="GL5" s="30" t="str">
        <f t="shared" si="22"/>
        <v>*</v>
      </c>
      <c r="GM5" s="10"/>
      <c r="GN5" s="88">
        <v>621</v>
      </c>
      <c r="GO5" s="88">
        <v>621.0754551600063</v>
      </c>
      <c r="GP5" s="89">
        <v>3.5232150410714334</v>
      </c>
      <c r="GQ5" s="90">
        <v>4.2112667843461779E-2</v>
      </c>
      <c r="GR5" s="9"/>
      <c r="GS5" s="3">
        <v>371</v>
      </c>
      <c r="GT5" s="3">
        <v>370.82310886999778</v>
      </c>
      <c r="GU5" s="71">
        <v>3.5827905744023161</v>
      </c>
      <c r="GV5" s="72">
        <v>5.5743268592230076E-2</v>
      </c>
      <c r="GW5" s="10">
        <f t="shared" si="23"/>
        <v>-0.85275236359865658</v>
      </c>
      <c r="GX5" s="10" t="str">
        <f t="shared" si="68"/>
        <v xml:space="preserve"> </v>
      </c>
      <c r="GY5" s="9"/>
      <c r="GZ5" s="27">
        <v>415</v>
      </c>
      <c r="HA5" s="27">
        <v>416.1448615400019</v>
      </c>
      <c r="HB5" s="28">
        <v>3.6931621959058445</v>
      </c>
      <c r="HC5" s="29">
        <v>4.7192700032856083E-2</v>
      </c>
      <c r="HD5" s="10">
        <f t="shared" si="24"/>
        <v>-2.6868896340674664</v>
      </c>
      <c r="HE5" s="10" t="str">
        <f t="shared" si="69"/>
        <v>*</v>
      </c>
      <c r="HF5" s="9"/>
      <c r="HG5" s="27">
        <v>547</v>
      </c>
      <c r="HH5" s="27">
        <v>543.67001221000021</v>
      </c>
      <c r="HI5" s="28">
        <v>3.4889711573011377</v>
      </c>
      <c r="HJ5" s="29">
        <v>3.8544047382839661E-2</v>
      </c>
      <c r="HK5" s="10">
        <f t="shared" si="25"/>
        <v>0.59983639529413368</v>
      </c>
      <c r="HL5" s="10" t="str">
        <f t="shared" si="70"/>
        <v xml:space="preserve"> </v>
      </c>
      <c r="HM5" s="29"/>
      <c r="HN5" s="8">
        <v>830</v>
      </c>
      <c r="HO5" s="8">
        <v>827.44810817000223</v>
      </c>
      <c r="HP5" s="69">
        <v>3.3984483432310446</v>
      </c>
      <c r="HQ5" s="9">
        <v>3.5737937911873532E-2</v>
      </c>
      <c r="HR5" s="10">
        <f t="shared" si="26"/>
        <v>2.2589185253719473</v>
      </c>
      <c r="HS5" s="10" t="str">
        <f t="shared" si="71"/>
        <v>*</v>
      </c>
      <c r="HT5" s="9"/>
      <c r="HU5" s="88">
        <v>3344</v>
      </c>
      <c r="HV5" s="88">
        <v>3342.6394279498622</v>
      </c>
      <c r="HW5" s="89">
        <v>4.0206518470232862</v>
      </c>
      <c r="HX5" s="90">
        <v>1.5741859667513892E-2</v>
      </c>
      <c r="HY5" s="30">
        <f t="shared" si="27"/>
        <v>-11.064310653584554</v>
      </c>
      <c r="HZ5" s="30" t="str">
        <f t="shared" si="72"/>
        <v>*</v>
      </c>
      <c r="IA5" s="30"/>
      <c r="IB5" s="88">
        <v>694</v>
      </c>
      <c r="IC5" s="88">
        <v>694.08601676000126</v>
      </c>
      <c r="ID5" s="89">
        <v>4.1541532315540088</v>
      </c>
      <c r="IE5" s="90">
        <v>3.0126648552137588E-2</v>
      </c>
      <c r="IF5" s="30">
        <f t="shared" si="28"/>
        <v>-12.185152759379241</v>
      </c>
      <c r="IG5" s="30" t="str">
        <f t="shared" si="29"/>
        <v>*</v>
      </c>
      <c r="IH5" s="30"/>
      <c r="II5" s="88">
        <v>439</v>
      </c>
      <c r="IJ5" s="88">
        <v>438.66143104000247</v>
      </c>
      <c r="IK5" s="89">
        <v>4.2433450683524239</v>
      </c>
      <c r="IL5" s="90">
        <v>3.7418470760813685E-2</v>
      </c>
      <c r="IM5" s="30">
        <f t="shared" si="30"/>
        <v>-12.783022214218358</v>
      </c>
      <c r="IN5" s="30" t="str">
        <f t="shared" si="31"/>
        <v>*</v>
      </c>
      <c r="IO5" s="30"/>
      <c r="IP5" s="88">
        <v>505</v>
      </c>
      <c r="IQ5" s="88">
        <v>505.16239978000385</v>
      </c>
      <c r="IR5" s="89">
        <v>4.0857021580364048</v>
      </c>
      <c r="IS5" s="90">
        <v>4.1718707088896904E-2</v>
      </c>
      <c r="IT5" s="30">
        <f t="shared" si="32"/>
        <v>-9.4889070625387184</v>
      </c>
      <c r="IU5" s="30" t="str">
        <f t="shared" si="33"/>
        <v>*</v>
      </c>
      <c r="IV5" s="30"/>
      <c r="IW5" s="88">
        <v>239</v>
      </c>
      <c r="IX5" s="88">
        <v>239.06432938999924</v>
      </c>
      <c r="IY5" s="89">
        <v>4.360149377490532</v>
      </c>
      <c r="IZ5" s="90">
        <v>4.4956267279656896E-2</v>
      </c>
      <c r="JA5" s="30">
        <f t="shared" si="34"/>
        <v>-13.586627233752337</v>
      </c>
      <c r="JB5" s="30" t="str">
        <f t="shared" ref="JB5:JB41" si="73">IF(ABS(JA5)&gt;=1.96,"*"," ")</f>
        <v>*</v>
      </c>
      <c r="JC5" s="30"/>
      <c r="JD5" s="88">
        <v>846</v>
      </c>
      <c r="JE5" s="88">
        <v>844.58979582000802</v>
      </c>
      <c r="JF5" s="89">
        <v>4.0260683209754147</v>
      </c>
      <c r="JG5" s="90">
        <v>2.910967034658073E-2</v>
      </c>
      <c r="JH5" s="30">
        <f t="shared" si="35"/>
        <v>-9.8224591027304822</v>
      </c>
      <c r="JI5" s="30" t="str">
        <f t="shared" si="36"/>
        <v>*</v>
      </c>
      <c r="JK5" s="27"/>
      <c r="JL5" s="27"/>
      <c r="JM5" s="28"/>
      <c r="JN5" s="29"/>
    </row>
    <row r="6" spans="1:274" x14ac:dyDescent="0.2">
      <c r="B6" s="7" t="s">
        <v>5</v>
      </c>
      <c r="C6" s="27">
        <v>574</v>
      </c>
      <c r="D6" s="27">
        <v>572.80940162999627</v>
      </c>
      <c r="E6" s="28">
        <v>3.8602117853650002</v>
      </c>
      <c r="F6" s="29">
        <v>4.0835427075088082E-2</v>
      </c>
      <c r="G6" s="29"/>
      <c r="H6" s="3">
        <v>184</v>
      </c>
      <c r="I6" s="3">
        <v>183.83052556000055</v>
      </c>
      <c r="J6" s="28">
        <v>3.924930646757598</v>
      </c>
      <c r="K6" s="29">
        <v>6.8716614509101132E-2</v>
      </c>
      <c r="L6" s="30">
        <f t="shared" si="37"/>
        <v>-0.80964987588032067</v>
      </c>
      <c r="M6" s="30" t="str">
        <f t="shared" si="38"/>
        <v xml:space="preserve"> </v>
      </c>
      <c r="N6" s="9"/>
      <c r="O6" s="27">
        <v>209</v>
      </c>
      <c r="P6" s="27">
        <v>210.97787516999932</v>
      </c>
      <c r="Q6" s="28">
        <v>3.6077442237328632</v>
      </c>
      <c r="R6" s="29">
        <v>5.850309139214465E-2</v>
      </c>
      <c r="S6" s="30">
        <f t="shared" si="39"/>
        <v>3.53867403536578</v>
      </c>
      <c r="T6" s="30" t="str">
        <f t="shared" si="40"/>
        <v>*</v>
      </c>
      <c r="U6" s="30"/>
      <c r="V6" s="27">
        <v>710</v>
      </c>
      <c r="W6" s="27">
        <v>711.11281648000727</v>
      </c>
      <c r="X6" s="28">
        <v>3.6785492921021987</v>
      </c>
      <c r="Y6" s="29">
        <v>5.2227501536133203E-2</v>
      </c>
      <c r="Z6" s="30">
        <f t="shared" si="41"/>
        <v>2.7401464485794995</v>
      </c>
      <c r="AA6" s="30" t="str">
        <f t="shared" si="42"/>
        <v>*</v>
      </c>
      <c r="AB6" s="9"/>
      <c r="AC6" s="8">
        <v>242</v>
      </c>
      <c r="AD6" s="8">
        <v>254.69445715999925</v>
      </c>
      <c r="AE6" s="69">
        <v>3.7114091206396944</v>
      </c>
      <c r="AF6" s="9">
        <v>5.5415141709916883E-2</v>
      </c>
      <c r="AG6" s="30">
        <f t="shared" si="43"/>
        <v>2.161703978836504</v>
      </c>
      <c r="AH6" s="30" t="str">
        <f t="shared" si="44"/>
        <v>*</v>
      </c>
      <c r="AI6" s="9"/>
      <c r="AJ6" s="81">
        <v>1233</v>
      </c>
      <c r="AK6" s="83">
        <v>4.2017826608451729</v>
      </c>
      <c r="AL6" s="84">
        <v>2.4362095930060623E-2</v>
      </c>
      <c r="AM6" s="30">
        <f t="shared" si="45"/>
        <v>-7.1833386796197676</v>
      </c>
      <c r="AN6" s="30" t="str">
        <f t="shared" si="46"/>
        <v>*</v>
      </c>
      <c r="AO6" s="9"/>
      <c r="AP6" s="78">
        <v>630</v>
      </c>
      <c r="AQ6" s="79">
        <v>4.5577121542887244</v>
      </c>
      <c r="AR6" s="80">
        <v>4.4899611546136309E-2</v>
      </c>
      <c r="AS6" s="30">
        <f t="shared" si="47"/>
        <v>-11.492477941587223</v>
      </c>
      <c r="AT6" s="30" t="str">
        <f t="shared" si="48"/>
        <v>*</v>
      </c>
      <c r="AU6" s="80"/>
      <c r="AV6" s="78">
        <v>706</v>
      </c>
      <c r="AW6" s="79">
        <v>4.1027831540602566</v>
      </c>
      <c r="AX6" s="80">
        <v>7.8877743973136044E-2</v>
      </c>
      <c r="AY6" s="30">
        <f t="shared" si="49"/>
        <v>-2.7310032278980811</v>
      </c>
      <c r="AZ6" s="30" t="str">
        <f t="shared" si="50"/>
        <v>*</v>
      </c>
      <c r="BA6" s="80"/>
      <c r="BB6" s="78">
        <v>613</v>
      </c>
      <c r="BC6" s="79">
        <v>4.2516344888632265</v>
      </c>
      <c r="BD6" s="80">
        <v>6.4341579717073674E-2</v>
      </c>
      <c r="BE6" s="30">
        <f t="shared" si="51"/>
        <v>-5.1363691283063906</v>
      </c>
      <c r="BF6" s="30" t="str">
        <f t="shared" si="52"/>
        <v>*</v>
      </c>
      <c r="BG6" s="80"/>
      <c r="BH6" s="78">
        <v>946</v>
      </c>
      <c r="BI6" s="79">
        <v>3.8503391027620433</v>
      </c>
      <c r="BJ6" s="80">
        <v>6.5182375762997055E-2</v>
      </c>
      <c r="BK6" s="30">
        <f t="shared" si="53"/>
        <v>0.12835447881889245</v>
      </c>
      <c r="BL6" s="30" t="str">
        <f t="shared" si="54"/>
        <v xml:space="preserve"> </v>
      </c>
      <c r="BM6" s="80"/>
      <c r="BN6" s="78">
        <v>1014</v>
      </c>
      <c r="BO6" s="79">
        <v>4.024710910828543</v>
      </c>
      <c r="BP6" s="80">
        <v>6.3604705284482324E-2</v>
      </c>
      <c r="BQ6" s="30">
        <f t="shared" si="55"/>
        <v>-2.1763464748370689</v>
      </c>
      <c r="BR6" s="30" t="str">
        <f t="shared" si="56"/>
        <v>*</v>
      </c>
      <c r="BS6" s="9"/>
      <c r="BT6" s="27">
        <v>2256</v>
      </c>
      <c r="BU6" s="27">
        <v>2268.9578211600297</v>
      </c>
      <c r="BV6" s="28">
        <v>4.2056695802971866</v>
      </c>
      <c r="BW6" s="29">
        <v>1.9282380531556148E-2</v>
      </c>
      <c r="BX6" s="30">
        <f t="shared" si="57"/>
        <v>-7.6497973858754396</v>
      </c>
      <c r="BY6" s="30" t="str">
        <f t="shared" si="58"/>
        <v>*</v>
      </c>
      <c r="BZ6" s="30"/>
      <c r="CA6" s="27">
        <v>56</v>
      </c>
      <c r="CB6" s="27">
        <v>56</v>
      </c>
      <c r="CC6" s="28">
        <v>4.0535714285714306</v>
      </c>
      <c r="CD6" s="29">
        <v>9.6764685979391071E-2</v>
      </c>
      <c r="CE6" s="30">
        <f t="shared" si="59"/>
        <v>-1.8410248161126244</v>
      </c>
      <c r="CF6" s="30" t="str">
        <f t="shared" si="0"/>
        <v xml:space="preserve"> </v>
      </c>
      <c r="CG6" s="30"/>
      <c r="CH6" s="27">
        <v>587</v>
      </c>
      <c r="CI6" s="27">
        <v>601.26748741000074</v>
      </c>
      <c r="CJ6" s="28">
        <v>3.8637961106415939</v>
      </c>
      <c r="CK6" s="29">
        <v>3.8892425956330336E-2</v>
      </c>
      <c r="CL6" s="30">
        <f t="shared" si="60"/>
        <v>-6.3559930586926633E-2</v>
      </c>
      <c r="CM6" s="30" t="str">
        <f t="shared" si="1"/>
        <v xml:space="preserve"> </v>
      </c>
      <c r="CN6" s="30"/>
      <c r="CO6" s="27">
        <v>487</v>
      </c>
      <c r="CP6" s="27">
        <v>487.33112920999878</v>
      </c>
      <c r="CQ6" s="28">
        <v>4.156105173628708</v>
      </c>
      <c r="CR6" s="29">
        <v>3.5837295964009676E-2</v>
      </c>
      <c r="CS6" s="30">
        <f t="shared" si="61"/>
        <v>-5.4461370789109598</v>
      </c>
      <c r="CT6" s="30" t="str">
        <f t="shared" si="2"/>
        <v>*</v>
      </c>
      <c r="CU6" s="30"/>
      <c r="CV6" s="27">
        <v>159</v>
      </c>
      <c r="CW6" s="27">
        <v>158.43513043999994</v>
      </c>
      <c r="CX6" s="89">
        <v>5</v>
      </c>
      <c r="CY6" s="98">
        <v>0</v>
      </c>
      <c r="CZ6" s="30">
        <f t="shared" si="62"/>
        <v>-27.911749583006934</v>
      </c>
      <c r="DA6" s="30" t="str">
        <f t="shared" si="3"/>
        <v>*</v>
      </c>
      <c r="DB6" s="30"/>
      <c r="DC6" s="27">
        <v>237</v>
      </c>
      <c r="DD6" s="27">
        <v>237.11467247000041</v>
      </c>
      <c r="DE6" s="28">
        <v>4.9957736198289142</v>
      </c>
      <c r="DF6" s="29">
        <v>4.2218529322222169E-3</v>
      </c>
      <c r="DG6" s="30">
        <f t="shared" si="63"/>
        <v>-27.660813156072166</v>
      </c>
      <c r="DH6" s="30" t="str">
        <f t="shared" si="4"/>
        <v>*</v>
      </c>
      <c r="DI6" s="30"/>
      <c r="DJ6" s="27">
        <v>156</v>
      </c>
      <c r="DK6" s="27">
        <v>156</v>
      </c>
      <c r="DL6" s="28">
        <v>4.9935897435897427</v>
      </c>
      <c r="DM6" s="29">
        <v>6.41025641025641E-3</v>
      </c>
      <c r="DN6" s="30">
        <f t="shared" si="64"/>
        <v>-27.418997737462291</v>
      </c>
      <c r="DO6" s="30" t="str">
        <f t="shared" si="5"/>
        <v>*</v>
      </c>
      <c r="DP6" s="8"/>
      <c r="DQ6" s="27">
        <v>115</v>
      </c>
      <c r="DR6" s="27">
        <v>114.92439678999992</v>
      </c>
      <c r="DS6" s="28">
        <v>3.7350092352831927</v>
      </c>
      <c r="DT6" s="29">
        <v>8.9162204654571003E-2</v>
      </c>
      <c r="DU6" s="29"/>
      <c r="DV6" s="27">
        <v>104</v>
      </c>
      <c r="DW6" s="27">
        <v>103.77802133000021</v>
      </c>
      <c r="DX6" s="28">
        <v>3.566152164080771</v>
      </c>
      <c r="DY6" s="29">
        <v>9.5602731211094347E-2</v>
      </c>
      <c r="DZ6" s="10">
        <f t="shared" si="6"/>
        <v>1.2916683083934248</v>
      </c>
      <c r="EA6" s="10" t="str">
        <f t="shared" si="7"/>
        <v xml:space="preserve"> </v>
      </c>
      <c r="EB6" s="29"/>
      <c r="EC6" s="27">
        <v>116</v>
      </c>
      <c r="ED6" s="27">
        <v>115.53105230999992</v>
      </c>
      <c r="EE6" s="28">
        <v>3.7337572979300431</v>
      </c>
      <c r="EF6" s="29">
        <v>8.2160140813453048E-2</v>
      </c>
      <c r="EG6" s="10">
        <f t="shared" si="8"/>
        <v>1.0325739410227934E-2</v>
      </c>
      <c r="EH6" s="10" t="str">
        <f t="shared" si="9"/>
        <v xml:space="preserve"> </v>
      </c>
      <c r="EI6" s="29"/>
      <c r="EJ6" s="27">
        <v>403</v>
      </c>
      <c r="EK6" s="27">
        <v>406.83893415000222</v>
      </c>
      <c r="EL6" s="28">
        <v>3.7307683405541221</v>
      </c>
      <c r="EM6" s="29">
        <v>9.701083234628588E-2</v>
      </c>
      <c r="EN6" s="10">
        <f t="shared" si="10"/>
        <v>3.2186230675000378E-2</v>
      </c>
      <c r="EO6" s="10" t="str">
        <f t="shared" si="65"/>
        <v xml:space="preserve"> </v>
      </c>
      <c r="EP6" s="29"/>
      <c r="EQ6" s="8">
        <v>140</v>
      </c>
      <c r="ER6" s="8">
        <v>140.3148572500003</v>
      </c>
      <c r="ES6" s="69">
        <v>3.9039507063319197</v>
      </c>
      <c r="ET6" s="9">
        <v>8.0285363511874749E-2</v>
      </c>
      <c r="EU6" s="10">
        <f t="shared" si="11"/>
        <v>-1.4080588541847201</v>
      </c>
      <c r="EV6" s="10" t="str">
        <f t="shared" si="66"/>
        <v xml:space="preserve"> </v>
      </c>
      <c r="EW6" s="29"/>
      <c r="EX6" s="88">
        <v>605</v>
      </c>
      <c r="EY6" s="88">
        <v>604.76912099000208</v>
      </c>
      <c r="EZ6" s="89">
        <v>4.0338200148124601</v>
      </c>
      <c r="FA6" s="90">
        <v>3.6042267332378017E-2</v>
      </c>
      <c r="FB6" s="30">
        <f t="shared" si="12"/>
        <v>-3.1070639414941614</v>
      </c>
      <c r="FC6" s="30" t="str">
        <f t="shared" si="67"/>
        <v>*</v>
      </c>
      <c r="FD6" s="30"/>
      <c r="FE6" s="27">
        <v>127</v>
      </c>
      <c r="FF6" s="27">
        <v>127.01381701999964</v>
      </c>
      <c r="FG6" s="89">
        <v>4.1655071338946499</v>
      </c>
      <c r="FH6" s="90">
        <v>7.0485443439080142E-2</v>
      </c>
      <c r="FI6" s="30">
        <f t="shared" si="13"/>
        <v>-3.7876668593647578</v>
      </c>
      <c r="FJ6" s="30" t="str">
        <f t="shared" si="14"/>
        <v>*</v>
      </c>
      <c r="FK6" s="30"/>
      <c r="FL6" s="88">
        <v>43</v>
      </c>
      <c r="FM6" s="88">
        <v>42.982407070000008</v>
      </c>
      <c r="FN6" s="89">
        <v>4.1165450174030926</v>
      </c>
      <c r="FO6" s="90">
        <v>0.14585431416083497</v>
      </c>
      <c r="FP6" s="30">
        <f t="shared" si="15"/>
        <v>-2.2318759573742759</v>
      </c>
      <c r="FQ6" s="30" t="str">
        <f t="shared" si="16"/>
        <v>*</v>
      </c>
      <c r="FR6" s="30"/>
      <c r="FS6" s="88">
        <v>58</v>
      </c>
      <c r="FT6" s="88">
        <v>57.803520940000034</v>
      </c>
      <c r="FU6" s="89">
        <v>3.998904639389254</v>
      </c>
      <c r="FV6" s="90">
        <v>0.11562487991333613</v>
      </c>
      <c r="FW6" s="30">
        <f t="shared" si="17"/>
        <v>-1.8073750964418447</v>
      </c>
      <c r="FX6" s="30" t="str">
        <f t="shared" si="18"/>
        <v xml:space="preserve"> </v>
      </c>
      <c r="FY6" s="30"/>
      <c r="FZ6" s="88">
        <v>186</v>
      </c>
      <c r="GA6" s="88">
        <v>186.07861383000071</v>
      </c>
      <c r="GB6" s="89">
        <v>3.9783688386475338</v>
      </c>
      <c r="GC6" s="90">
        <v>6.5989501104113613E-2</v>
      </c>
      <c r="GD6" s="30">
        <f t="shared" si="19"/>
        <v>-2.1938972019205512</v>
      </c>
      <c r="GE6" s="30" t="str">
        <f t="shared" si="20"/>
        <v>*</v>
      </c>
      <c r="GF6" s="30"/>
      <c r="GG6" s="88">
        <v>76</v>
      </c>
      <c r="GH6" s="88">
        <v>75.966365339999911</v>
      </c>
      <c r="GI6" s="89">
        <v>4.3812810881547968</v>
      </c>
      <c r="GJ6" s="90">
        <v>7.9401520462956579E-2</v>
      </c>
      <c r="GK6" s="30">
        <f t="shared" si="21"/>
        <v>-5.4130151725295015</v>
      </c>
      <c r="GL6" s="30" t="str">
        <f t="shared" si="22"/>
        <v>*</v>
      </c>
      <c r="GM6" s="10"/>
      <c r="GN6" s="88">
        <v>95</v>
      </c>
      <c r="GO6" s="88">
        <v>95.039274180000064</v>
      </c>
      <c r="GP6" s="89">
        <v>3.5146980276528024</v>
      </c>
      <c r="GQ6" s="90">
        <v>0.11577140229745876</v>
      </c>
      <c r="GR6" s="9"/>
      <c r="GS6" s="3">
        <v>68</v>
      </c>
      <c r="GT6" s="3">
        <v>68.018599360000081</v>
      </c>
      <c r="GU6" s="71">
        <v>3.7355658198016726</v>
      </c>
      <c r="GV6" s="72">
        <v>0.11965460245975403</v>
      </c>
      <c r="GW6" s="10">
        <f t="shared" si="23"/>
        <v>-1.3265813434942288</v>
      </c>
      <c r="GX6" s="10" t="str">
        <f t="shared" si="68"/>
        <v xml:space="preserve"> </v>
      </c>
      <c r="GY6" s="9"/>
      <c r="GZ6" s="27">
        <v>100</v>
      </c>
      <c r="HA6" s="27">
        <v>99.647734720000017</v>
      </c>
      <c r="HB6" s="28">
        <v>3.802871194962977</v>
      </c>
      <c r="HC6" s="29">
        <v>0.10742447643740727</v>
      </c>
      <c r="HD6" s="10">
        <f t="shared" si="24"/>
        <v>-1.8246471179136394</v>
      </c>
      <c r="HE6" s="10" t="str">
        <f t="shared" si="69"/>
        <v xml:space="preserve"> </v>
      </c>
      <c r="HF6" s="9"/>
      <c r="HG6" s="27">
        <v>749</v>
      </c>
      <c r="HH6" s="27">
        <v>752.85845276000157</v>
      </c>
      <c r="HI6" s="28">
        <v>3.5829502906822666</v>
      </c>
      <c r="HJ6" s="29">
        <v>8.846982552570512E-2</v>
      </c>
      <c r="HK6" s="10">
        <f t="shared" si="25"/>
        <v>-0.46842794842018359</v>
      </c>
      <c r="HL6" s="10" t="str">
        <f t="shared" si="70"/>
        <v xml:space="preserve"> </v>
      </c>
      <c r="HM6" s="29"/>
      <c r="HN6" s="8">
        <v>178</v>
      </c>
      <c r="HO6" s="8">
        <v>179.08754526999974</v>
      </c>
      <c r="HP6" s="69">
        <v>3.538568892239752</v>
      </c>
      <c r="HQ6" s="9">
        <v>7.5835294706270095E-2</v>
      </c>
      <c r="HR6" s="10">
        <f t="shared" si="26"/>
        <v>-0.17247982376604229</v>
      </c>
      <c r="HS6" s="10" t="str">
        <f t="shared" si="71"/>
        <v xml:space="preserve"> </v>
      </c>
      <c r="HT6" s="9"/>
      <c r="HU6" s="88">
        <v>703</v>
      </c>
      <c r="HV6" s="88">
        <v>702.78924642000641</v>
      </c>
      <c r="HW6" s="89">
        <v>4.02861963793905</v>
      </c>
      <c r="HX6" s="90">
        <v>3.5669627891928478E-2</v>
      </c>
      <c r="HY6" s="30">
        <f t="shared" si="27"/>
        <v>-4.2423138512399809</v>
      </c>
      <c r="HZ6" s="30" t="str">
        <f t="shared" si="72"/>
        <v>*</v>
      </c>
      <c r="IA6" s="30"/>
      <c r="IB6" s="88">
        <v>127</v>
      </c>
      <c r="IC6" s="88">
        <v>127.01381701999964</v>
      </c>
      <c r="ID6" s="89">
        <v>4.1655071338946499</v>
      </c>
      <c r="IE6" s="90">
        <v>7.0485443439080142E-2</v>
      </c>
      <c r="IF6" s="30">
        <f t="shared" si="28"/>
        <v>-4.8015856182596863</v>
      </c>
      <c r="IG6" s="30" t="str">
        <f t="shared" si="29"/>
        <v>*</v>
      </c>
      <c r="IH6" s="30"/>
      <c r="II6" s="88">
        <v>93</v>
      </c>
      <c r="IJ6" s="88">
        <v>93.142213739999931</v>
      </c>
      <c r="IK6" s="89">
        <v>4.2384140400827022</v>
      </c>
      <c r="IL6" s="90">
        <v>8.5556556443954213E-2</v>
      </c>
      <c r="IM6" s="30">
        <f t="shared" si="30"/>
        <v>-5.0273888373094966</v>
      </c>
      <c r="IN6" s="30" t="str">
        <f t="shared" si="31"/>
        <v>*</v>
      </c>
      <c r="IO6" s="30"/>
      <c r="IP6" s="88">
        <v>160</v>
      </c>
      <c r="IQ6" s="88">
        <v>160.28214160000005</v>
      </c>
      <c r="IR6" s="89">
        <v>4.0068275909535265</v>
      </c>
      <c r="IS6" s="90">
        <v>7.6902831527510332E-2</v>
      </c>
      <c r="IT6" s="30">
        <f t="shared" si="32"/>
        <v>-3.540861222784446</v>
      </c>
      <c r="IU6" s="30" t="str">
        <f t="shared" si="33"/>
        <v>*</v>
      </c>
      <c r="IV6" s="30"/>
      <c r="IW6" s="88">
        <v>43</v>
      </c>
      <c r="IX6" s="88">
        <v>42.982407070000008</v>
      </c>
      <c r="IY6" s="89">
        <v>4.1165450174030926</v>
      </c>
      <c r="IZ6" s="90">
        <v>0.14585431416083497</v>
      </c>
      <c r="JA6" s="30">
        <f t="shared" si="34"/>
        <v>-3.2319785779613044</v>
      </c>
      <c r="JB6" s="30" t="str">
        <f t="shared" si="73"/>
        <v>*</v>
      </c>
      <c r="JC6" s="30"/>
      <c r="JD6" s="88">
        <v>185</v>
      </c>
      <c r="JE6" s="88">
        <v>184.32939281000046</v>
      </c>
      <c r="JF6" s="89">
        <v>4.0917080567146682</v>
      </c>
      <c r="JG6" s="90">
        <v>6.5118390261306919E-2</v>
      </c>
      <c r="JH6" s="30">
        <f t="shared" si="35"/>
        <v>-4.3440213057970656</v>
      </c>
      <c r="JI6" s="30" t="str">
        <f t="shared" si="36"/>
        <v>*</v>
      </c>
      <c r="JK6" s="27"/>
      <c r="JL6" s="27"/>
      <c r="JM6" s="28"/>
      <c r="JN6" s="29"/>
    </row>
    <row r="7" spans="1:274" x14ac:dyDescent="0.2">
      <c r="B7" s="7" t="s">
        <v>134</v>
      </c>
      <c r="C7" s="27">
        <v>2608</v>
      </c>
      <c r="D7" s="27">
        <v>2606.0188108099319</v>
      </c>
      <c r="E7" s="28">
        <v>3.8511090880309529</v>
      </c>
      <c r="F7" s="29">
        <v>1.8239319658315697E-2</v>
      </c>
      <c r="G7" s="29"/>
      <c r="H7" s="3">
        <v>827</v>
      </c>
      <c r="I7" s="3">
        <v>826.58994218001033</v>
      </c>
      <c r="J7" s="28">
        <v>3.7952188491507921</v>
      </c>
      <c r="K7" s="29">
        <v>3.3728454400164955E-2</v>
      </c>
      <c r="L7" s="30">
        <f t="shared" si="37"/>
        <v>1.4575911797812109</v>
      </c>
      <c r="M7" s="30" t="str">
        <f t="shared" si="38"/>
        <v xml:space="preserve"> </v>
      </c>
      <c r="N7" s="9"/>
      <c r="O7" s="27">
        <v>869</v>
      </c>
      <c r="P7" s="27">
        <v>870.88287249000416</v>
      </c>
      <c r="Q7" s="28">
        <v>3.5828245905086691</v>
      </c>
      <c r="R7" s="29">
        <v>2.7919808093906127E-2</v>
      </c>
      <c r="S7" s="30">
        <f t="shared" si="39"/>
        <v>8.0446357546228171</v>
      </c>
      <c r="T7" s="30" t="str">
        <f t="shared" si="40"/>
        <v>*</v>
      </c>
      <c r="U7" s="30"/>
      <c r="V7" s="27">
        <v>180</v>
      </c>
      <c r="W7" s="27">
        <v>185.89856469999938</v>
      </c>
      <c r="X7" s="28">
        <v>3.666554605493221</v>
      </c>
      <c r="Y7" s="29">
        <v>3.0999556078637306E-2</v>
      </c>
      <c r="Z7" s="30">
        <f t="shared" si="41"/>
        <v>5.1311770179811882</v>
      </c>
      <c r="AA7" s="30" t="str">
        <f t="shared" si="42"/>
        <v>*</v>
      </c>
      <c r="AB7" s="9"/>
      <c r="AC7" s="8">
        <v>1029</v>
      </c>
      <c r="AD7" s="8">
        <v>1041.4893216599996</v>
      </c>
      <c r="AE7" s="69">
        <v>3.5832914974027195</v>
      </c>
      <c r="AF7" s="9">
        <v>2.691589570144557E-2</v>
      </c>
      <c r="AG7" s="30">
        <f t="shared" si="43"/>
        <v>8.2370786109150966</v>
      </c>
      <c r="AH7" s="30" t="str">
        <f t="shared" si="44"/>
        <v>*</v>
      </c>
      <c r="AI7" s="9"/>
      <c r="AJ7" s="81">
        <v>4670</v>
      </c>
      <c r="AK7" s="83">
        <v>4.078308873055966</v>
      </c>
      <c r="AL7" s="84">
        <v>1.2867496842228817E-2</v>
      </c>
      <c r="AM7" s="30">
        <f t="shared" si="45"/>
        <v>-10.17855973455856</v>
      </c>
      <c r="AN7" s="30" t="str">
        <f t="shared" si="46"/>
        <v>*</v>
      </c>
      <c r="AO7" s="9"/>
      <c r="AP7" s="78">
        <v>799</v>
      </c>
      <c r="AQ7" s="79">
        <v>4.4100087511979114</v>
      </c>
      <c r="AR7" s="80">
        <v>3.2073462990818508E-2</v>
      </c>
      <c r="AS7" s="30">
        <f t="shared" si="47"/>
        <v>-15.147612796907442</v>
      </c>
      <c r="AT7" s="30" t="str">
        <f t="shared" si="48"/>
        <v>*</v>
      </c>
      <c r="AU7" s="80"/>
      <c r="AV7" s="78">
        <v>980</v>
      </c>
      <c r="AW7" s="79">
        <v>4.2261169773683811</v>
      </c>
      <c r="AX7" s="80">
        <v>2.901498330980715E-2</v>
      </c>
      <c r="AY7" s="30">
        <f t="shared" si="49"/>
        <v>-10.942237120710088</v>
      </c>
      <c r="AZ7" s="30" t="str">
        <f t="shared" si="50"/>
        <v>*</v>
      </c>
      <c r="BA7" s="80"/>
      <c r="BB7" s="78">
        <v>1001</v>
      </c>
      <c r="BC7" s="79">
        <v>4.2811414427530794</v>
      </c>
      <c r="BD7" s="80">
        <v>3.233925044955685E-2</v>
      </c>
      <c r="BE7" s="30">
        <f t="shared" si="51"/>
        <v>-11.582378751303029</v>
      </c>
      <c r="BF7" s="30" t="str">
        <f t="shared" si="52"/>
        <v>*</v>
      </c>
      <c r="BG7" s="80"/>
      <c r="BH7" s="78">
        <v>1342</v>
      </c>
      <c r="BI7" s="79">
        <v>4.0116019130116642</v>
      </c>
      <c r="BJ7" s="80">
        <v>2.7918223284975455E-2</v>
      </c>
      <c r="BK7" s="30">
        <f t="shared" si="53"/>
        <v>-4.81264365776725</v>
      </c>
      <c r="BL7" s="30" t="str">
        <f t="shared" si="54"/>
        <v>*</v>
      </c>
      <c r="BM7" s="80"/>
      <c r="BN7" s="78">
        <v>1399</v>
      </c>
      <c r="BO7" s="79">
        <v>4.1417918891654057</v>
      </c>
      <c r="BP7" s="80">
        <v>2.56344793277575E-2</v>
      </c>
      <c r="BQ7" s="30">
        <f t="shared" si="55"/>
        <v>-9.2394424088932539</v>
      </c>
      <c r="BR7" s="30" t="str">
        <f t="shared" si="56"/>
        <v>*</v>
      </c>
      <c r="BS7" s="9"/>
      <c r="BT7" s="27">
        <v>9757</v>
      </c>
      <c r="BU7" s="27">
        <v>9797.8725866991717</v>
      </c>
      <c r="BV7" s="28">
        <v>4.1296922365672382</v>
      </c>
      <c r="BW7" s="29">
        <v>9.125284783049855E-3</v>
      </c>
      <c r="BX7" s="30">
        <f t="shared" si="57"/>
        <v>-13.659588530086648</v>
      </c>
      <c r="BY7" s="30" t="str">
        <f t="shared" si="58"/>
        <v>*</v>
      </c>
      <c r="BZ7" s="30"/>
      <c r="CA7" s="27">
        <v>383</v>
      </c>
      <c r="CB7" s="27">
        <v>383</v>
      </c>
      <c r="CC7" s="28">
        <v>4.0704960835509141</v>
      </c>
      <c r="CD7" s="29">
        <v>3.8342966503449441E-2</v>
      </c>
      <c r="CE7" s="30">
        <f t="shared" si="59"/>
        <v>-5.1669038202670849</v>
      </c>
      <c r="CF7" s="30" t="str">
        <f t="shared" si="0"/>
        <v>*</v>
      </c>
      <c r="CG7" s="30"/>
      <c r="CH7" s="27">
        <v>2680</v>
      </c>
      <c r="CI7" s="27">
        <v>2722.0108692899184</v>
      </c>
      <c r="CJ7" s="28">
        <v>3.8459861609959911</v>
      </c>
      <c r="CK7" s="29">
        <v>1.7765252599919013E-2</v>
      </c>
      <c r="CL7" s="30">
        <f t="shared" si="60"/>
        <v>0.20120458341613298</v>
      </c>
      <c r="CM7" s="30" t="str">
        <f t="shared" si="1"/>
        <v xml:space="preserve"> </v>
      </c>
      <c r="CN7" s="30"/>
      <c r="CO7" s="27">
        <v>2369</v>
      </c>
      <c r="CP7" s="27">
        <v>2369.3344774900261</v>
      </c>
      <c r="CQ7" s="28">
        <v>4.1424211198148218</v>
      </c>
      <c r="CR7" s="29">
        <v>1.6135549414136554E-2</v>
      </c>
      <c r="CS7" s="30">
        <f t="shared" si="61"/>
        <v>-11.962461497769901</v>
      </c>
      <c r="CT7" s="30" t="str">
        <f t="shared" si="2"/>
        <v>*</v>
      </c>
      <c r="CU7" s="30"/>
      <c r="CV7" s="27">
        <v>533</v>
      </c>
      <c r="CW7" s="27">
        <v>533.45269468000367</v>
      </c>
      <c r="CX7" s="89">
        <v>4.9981179096665747</v>
      </c>
      <c r="CY7" s="98">
        <v>1.8783245793197964E-3</v>
      </c>
      <c r="CZ7" s="30">
        <f t="shared" si="62"/>
        <v>-62.555763924927305</v>
      </c>
      <c r="DA7" s="30" t="str">
        <f t="shared" si="3"/>
        <v>*</v>
      </c>
      <c r="DB7" s="30"/>
      <c r="DC7" s="27">
        <v>749</v>
      </c>
      <c r="DD7" s="27">
        <v>749.05573442999184</v>
      </c>
      <c r="DE7" s="28">
        <v>4.9973302094249021</v>
      </c>
      <c r="DF7" s="29">
        <v>1.8866489864550792E-3</v>
      </c>
      <c r="DG7" s="30">
        <f t="shared" si="63"/>
        <v>-62.509890626956334</v>
      </c>
      <c r="DH7" s="30" t="str">
        <f t="shared" si="4"/>
        <v>*</v>
      </c>
      <c r="DI7" s="30"/>
      <c r="DJ7" s="27">
        <v>435</v>
      </c>
      <c r="DK7" s="27">
        <v>435</v>
      </c>
      <c r="DL7" s="28">
        <v>4.9977011494252856</v>
      </c>
      <c r="DM7" s="29">
        <v>2.2988505747126458E-3</v>
      </c>
      <c r="DN7" s="30">
        <f t="shared" si="64"/>
        <v>-62.370308040288741</v>
      </c>
      <c r="DO7" s="30" t="str">
        <f t="shared" si="5"/>
        <v>*</v>
      </c>
      <c r="DP7" s="8"/>
      <c r="DQ7" s="27">
        <v>747</v>
      </c>
      <c r="DR7" s="27">
        <v>745.0347503900025</v>
      </c>
      <c r="DS7" s="28">
        <v>3.7138292849717467</v>
      </c>
      <c r="DT7" s="29">
        <v>3.5743209501469995E-2</v>
      </c>
      <c r="DU7" s="29"/>
      <c r="DV7" s="27">
        <v>500</v>
      </c>
      <c r="DW7" s="27">
        <v>499.55066268999752</v>
      </c>
      <c r="DX7" s="28">
        <v>3.7060624397347239</v>
      </c>
      <c r="DY7" s="29">
        <v>4.424524533180272E-2</v>
      </c>
      <c r="DZ7" s="10">
        <f t="shared" si="6"/>
        <v>0.13655035241428454</v>
      </c>
      <c r="EA7" s="10" t="str">
        <f t="shared" si="7"/>
        <v xml:space="preserve"> </v>
      </c>
      <c r="EB7" s="29"/>
      <c r="EC7" s="27">
        <v>509</v>
      </c>
      <c r="ED7" s="27">
        <v>510.4307379100008</v>
      </c>
      <c r="EE7" s="28">
        <v>3.741432658717998</v>
      </c>
      <c r="EF7" s="29">
        <v>4.2404238615560023E-2</v>
      </c>
      <c r="EG7" s="10">
        <f t="shared" si="8"/>
        <v>-0.49772611490257818</v>
      </c>
      <c r="EH7" s="10" t="str">
        <f t="shared" si="9"/>
        <v xml:space="preserve"> </v>
      </c>
      <c r="EI7" s="29"/>
      <c r="EJ7" s="27">
        <v>95</v>
      </c>
      <c r="EK7" s="27">
        <v>102.1844641399998</v>
      </c>
      <c r="EL7" s="28">
        <v>3.6361732882590223</v>
      </c>
      <c r="EM7" s="29">
        <v>4.8140013470976017E-2</v>
      </c>
      <c r="EN7" s="10">
        <f t="shared" si="10"/>
        <v>1.2951595143839336</v>
      </c>
      <c r="EO7" s="10" t="str">
        <f t="shared" si="65"/>
        <v xml:space="preserve"> </v>
      </c>
      <c r="EP7" s="29"/>
      <c r="EQ7" s="8">
        <v>617</v>
      </c>
      <c r="ER7" s="8">
        <v>616.03257156999757</v>
      </c>
      <c r="ES7" s="69">
        <v>3.7264921982930317</v>
      </c>
      <c r="ET7" s="9">
        <v>3.9559727199856669E-2</v>
      </c>
      <c r="EU7" s="10">
        <f t="shared" si="11"/>
        <v>-0.23750877025011474</v>
      </c>
      <c r="EV7" s="10" t="str">
        <f t="shared" si="66"/>
        <v xml:space="preserve"> </v>
      </c>
      <c r="EW7" s="29"/>
      <c r="EX7" s="88">
        <v>3770</v>
      </c>
      <c r="EY7" s="88">
        <v>3767.093881539859</v>
      </c>
      <c r="EZ7" s="89">
        <v>4.0390849470997994</v>
      </c>
      <c r="FA7" s="90">
        <v>1.4143060686733539E-2</v>
      </c>
      <c r="FB7" s="30">
        <f t="shared" si="12"/>
        <v>-8.4614726581029771</v>
      </c>
      <c r="FC7" s="30" t="str">
        <f t="shared" si="67"/>
        <v>*</v>
      </c>
      <c r="FD7" s="30"/>
      <c r="FE7" s="27">
        <v>821</v>
      </c>
      <c r="FF7" s="27">
        <v>821.09983378000106</v>
      </c>
      <c r="FG7" s="89">
        <v>4.1559095374440185</v>
      </c>
      <c r="FH7" s="90">
        <v>2.7685791075523512E-2</v>
      </c>
      <c r="FI7" s="30">
        <f t="shared" si="13"/>
        <v>-9.7780480141893911</v>
      </c>
      <c r="FJ7" s="30" t="str">
        <f t="shared" si="14"/>
        <v>*</v>
      </c>
      <c r="FK7" s="30"/>
      <c r="FL7" s="88">
        <v>282</v>
      </c>
      <c r="FM7" s="88">
        <v>282.04673645999907</v>
      </c>
      <c r="FN7" s="89">
        <v>4.3230253820111866</v>
      </c>
      <c r="FO7" s="90">
        <v>4.430158322027674E-2</v>
      </c>
      <c r="FP7" s="30">
        <f t="shared" si="15"/>
        <v>-10.702142124613077</v>
      </c>
      <c r="FQ7" s="30" t="str">
        <f t="shared" si="16"/>
        <v>*</v>
      </c>
      <c r="FR7" s="30"/>
      <c r="FS7" s="88">
        <v>482</v>
      </c>
      <c r="FT7" s="88">
        <v>480.90974130999632</v>
      </c>
      <c r="FU7" s="89">
        <v>4.1465215597173319</v>
      </c>
      <c r="FV7" s="90">
        <v>3.2904835066386653E-2</v>
      </c>
      <c r="FW7" s="30">
        <f t="shared" si="17"/>
        <v>-8.9062536600682876</v>
      </c>
      <c r="FX7" s="30" t="str">
        <f t="shared" si="18"/>
        <v>*</v>
      </c>
      <c r="FY7" s="30"/>
      <c r="FZ7" s="88">
        <v>1094</v>
      </c>
      <c r="GA7" s="88">
        <v>1094.0527813200115</v>
      </c>
      <c r="GB7" s="89">
        <v>3.9295501582135661</v>
      </c>
      <c r="GC7" s="90">
        <v>2.7121745766704501E-2</v>
      </c>
      <c r="GD7" s="30">
        <f t="shared" si="19"/>
        <v>-4.8078660924253169</v>
      </c>
      <c r="GE7" s="30" t="str">
        <f t="shared" si="20"/>
        <v>*</v>
      </c>
      <c r="GF7" s="30"/>
      <c r="GG7" s="88">
        <v>344</v>
      </c>
      <c r="GH7" s="88">
        <v>343.95003827999926</v>
      </c>
      <c r="GI7" s="89">
        <v>4.4300928209217831</v>
      </c>
      <c r="GJ7" s="90">
        <v>3.4978152028162179E-2</v>
      </c>
      <c r="GK7" s="30">
        <f t="shared" si="21"/>
        <v>-14.322268671421865</v>
      </c>
      <c r="GL7" s="30" t="str">
        <f t="shared" si="22"/>
        <v>*</v>
      </c>
      <c r="GM7" s="10"/>
      <c r="GN7" s="88">
        <v>716</v>
      </c>
      <c r="GO7" s="88">
        <v>716.11472934000744</v>
      </c>
      <c r="GP7" s="89">
        <v>3.5220847043525776</v>
      </c>
      <c r="GQ7" s="90">
        <v>3.9593175718068863E-2</v>
      </c>
      <c r="GR7" s="9"/>
      <c r="GS7" s="3">
        <v>439</v>
      </c>
      <c r="GT7" s="3">
        <v>438.84170822999602</v>
      </c>
      <c r="GU7" s="71">
        <v>3.6064700880266201</v>
      </c>
      <c r="GV7" s="72">
        <v>5.0640327683911419E-2</v>
      </c>
      <c r="GW7" s="10">
        <f t="shared" si="23"/>
        <v>-1.3127553479568161</v>
      </c>
      <c r="GX7" s="10" t="str">
        <f t="shared" si="68"/>
        <v xml:space="preserve"> </v>
      </c>
      <c r="GY7" s="9"/>
      <c r="GZ7" s="27">
        <v>515</v>
      </c>
      <c r="HA7" s="27">
        <v>515.79259626000351</v>
      </c>
      <c r="HB7" s="28">
        <v>3.714357252433818</v>
      </c>
      <c r="HC7" s="29">
        <v>4.3358120693202565E-2</v>
      </c>
      <c r="HD7" s="10">
        <f t="shared" si="24"/>
        <v>-3.2746299893861806</v>
      </c>
      <c r="HE7" s="10" t="str">
        <f t="shared" si="69"/>
        <v>*</v>
      </c>
      <c r="HF7" s="9"/>
      <c r="HG7" s="27">
        <v>130</v>
      </c>
      <c r="HH7" s="27">
        <v>128.68810178000035</v>
      </c>
      <c r="HI7" s="28">
        <v>3.4889711573011377</v>
      </c>
      <c r="HJ7" s="29">
        <v>3.8544047382839661E-2</v>
      </c>
      <c r="HK7" s="10">
        <f t="shared" si="25"/>
        <v>0.59927144693709145</v>
      </c>
      <c r="HL7" s="10" t="str">
        <f t="shared" si="70"/>
        <v xml:space="preserve"> </v>
      </c>
      <c r="HM7" s="29"/>
      <c r="HN7" s="8">
        <v>1008</v>
      </c>
      <c r="HO7" s="8">
        <v>1006.5356534400024</v>
      </c>
      <c r="HP7" s="69">
        <v>3.4233792486372168</v>
      </c>
      <c r="HQ7" s="9">
        <v>3.2357932431255176E-2</v>
      </c>
      <c r="HR7" s="10">
        <f t="shared" si="26"/>
        <v>1.9303405430200831</v>
      </c>
      <c r="HS7" s="10" t="str">
        <f t="shared" si="71"/>
        <v xml:space="preserve"> </v>
      </c>
      <c r="HT7" s="9"/>
      <c r="HU7" s="88">
        <v>4047</v>
      </c>
      <c r="HV7" s="88">
        <v>4045.4286743698331</v>
      </c>
      <c r="HW7" s="89">
        <v>4.0220360458867548</v>
      </c>
      <c r="HX7" s="90">
        <v>1.4405978887468212E-2</v>
      </c>
      <c r="HY7" s="30">
        <f t="shared" si="27"/>
        <v>-11.866154279436314</v>
      </c>
      <c r="HZ7" s="30" t="str">
        <f t="shared" si="72"/>
        <v>*</v>
      </c>
      <c r="IA7" s="30"/>
      <c r="IB7" s="88">
        <v>821</v>
      </c>
      <c r="IC7" s="88">
        <v>821.09983378000106</v>
      </c>
      <c r="ID7" s="89">
        <v>4.1559095374440185</v>
      </c>
      <c r="IE7" s="90">
        <v>2.7685791075523512E-2</v>
      </c>
      <c r="IF7" s="30">
        <f t="shared" si="28"/>
        <v>-13.119202020399344</v>
      </c>
      <c r="IG7" s="30" t="str">
        <f t="shared" si="29"/>
        <v>*</v>
      </c>
      <c r="IH7" s="30"/>
      <c r="II7" s="88">
        <v>532</v>
      </c>
      <c r="IJ7" s="88">
        <v>531.80364478000297</v>
      </c>
      <c r="IK7" s="89">
        <v>4.242481428372586</v>
      </c>
      <c r="IL7" s="90">
        <v>3.4275559976616979E-2</v>
      </c>
      <c r="IM7" s="30">
        <f t="shared" si="30"/>
        <v>-13.756364368534131</v>
      </c>
      <c r="IN7" s="30" t="str">
        <f t="shared" si="31"/>
        <v>*</v>
      </c>
      <c r="IO7" s="30"/>
      <c r="IP7" s="88">
        <v>665</v>
      </c>
      <c r="IQ7" s="88">
        <v>665.44454138000651</v>
      </c>
      <c r="IR7" s="89">
        <v>4.0667040541469444</v>
      </c>
      <c r="IS7" s="90">
        <v>3.6683942766434531E-2</v>
      </c>
      <c r="IT7" s="30">
        <f t="shared" si="32"/>
        <v>-10.0901619274614</v>
      </c>
      <c r="IU7" s="30" t="str">
        <f t="shared" si="33"/>
        <v>*</v>
      </c>
      <c r="IV7" s="30"/>
      <c r="IW7" s="88">
        <v>282</v>
      </c>
      <c r="IX7" s="88">
        <v>282.04673645999907</v>
      </c>
      <c r="IY7" s="89">
        <v>4.3230253820111866</v>
      </c>
      <c r="IZ7" s="90">
        <v>4.430158322027674E-2</v>
      </c>
      <c r="JA7" s="30">
        <f t="shared" si="34"/>
        <v>-13.480240172347457</v>
      </c>
      <c r="JB7" s="30" t="str">
        <f t="shared" si="73"/>
        <v>*</v>
      </c>
      <c r="JC7" s="30"/>
      <c r="JD7" s="88">
        <v>1031</v>
      </c>
      <c r="JE7" s="88">
        <v>1028.9191886300121</v>
      </c>
      <c r="JF7" s="89">
        <v>4.0378275852273857</v>
      </c>
      <c r="JG7" s="90">
        <v>2.6588312274982144E-2</v>
      </c>
      <c r="JH7" s="30">
        <f t="shared" si="35"/>
        <v>-10.813959589944568</v>
      </c>
      <c r="JI7" s="30" t="str">
        <f t="shared" si="36"/>
        <v>*</v>
      </c>
      <c r="JK7" s="27"/>
      <c r="JL7" s="27"/>
      <c r="JM7" s="28"/>
      <c r="JN7" s="29"/>
    </row>
    <row r="8" spans="1:274" x14ac:dyDescent="0.2">
      <c r="B8" s="7"/>
      <c r="C8" s="27"/>
      <c r="D8" s="27"/>
      <c r="E8" s="28"/>
      <c r="F8" s="29"/>
      <c r="G8" s="29"/>
      <c r="H8" s="3"/>
      <c r="I8" s="3"/>
      <c r="J8" s="28"/>
      <c r="K8" s="29"/>
      <c r="L8" s="30"/>
      <c r="M8" s="30"/>
      <c r="N8" s="9"/>
      <c r="O8" s="27"/>
      <c r="P8" s="27"/>
      <c r="Q8" s="28"/>
      <c r="R8" s="29"/>
      <c r="S8" s="30"/>
      <c r="T8" s="30"/>
      <c r="U8" s="30"/>
      <c r="V8" s="27"/>
      <c r="W8" s="27"/>
      <c r="X8" s="28"/>
      <c r="Y8" s="29"/>
      <c r="Z8" s="30"/>
      <c r="AA8" s="30"/>
      <c r="AB8" s="9"/>
      <c r="AC8" s="8"/>
      <c r="AD8" s="8"/>
      <c r="AE8" s="69"/>
      <c r="AF8" s="9"/>
      <c r="AG8" s="30"/>
      <c r="AH8" s="30"/>
      <c r="AI8" s="9"/>
      <c r="AJ8" s="81"/>
      <c r="AK8" s="83"/>
      <c r="AL8" s="84"/>
      <c r="AM8" s="30"/>
      <c r="AN8" s="30"/>
      <c r="AO8" s="9"/>
      <c r="AP8" s="78"/>
      <c r="AQ8" s="79"/>
      <c r="AR8" s="80"/>
      <c r="AS8" s="30"/>
      <c r="AT8" s="30"/>
      <c r="AU8" s="80"/>
      <c r="AV8" s="78"/>
      <c r="AW8" s="79"/>
      <c r="AX8" s="80"/>
      <c r="AY8" s="30"/>
      <c r="AZ8" s="30"/>
      <c r="BA8" s="80"/>
      <c r="BB8" s="78"/>
      <c r="BC8" s="79"/>
      <c r="BD8" s="80"/>
      <c r="BE8" s="30"/>
      <c r="BF8" s="30"/>
      <c r="BG8" s="80"/>
      <c r="BH8" s="78"/>
      <c r="BI8" s="79"/>
      <c r="BJ8" s="80"/>
      <c r="BK8" s="30"/>
      <c r="BL8" s="30"/>
      <c r="BM8" s="80"/>
      <c r="BN8" s="78"/>
      <c r="BO8" s="79"/>
      <c r="BP8" s="80"/>
      <c r="BQ8" s="30"/>
      <c r="BR8" s="30"/>
      <c r="BS8" s="9"/>
      <c r="BT8" s="27"/>
      <c r="BU8" s="27"/>
      <c r="BV8" s="28"/>
      <c r="BW8" s="29"/>
      <c r="BX8" s="30"/>
      <c r="BY8" s="30"/>
      <c r="BZ8" s="30"/>
      <c r="CA8" s="27"/>
      <c r="CB8" s="27"/>
      <c r="CC8" s="28"/>
      <c r="CD8" s="29"/>
      <c r="CE8" s="30"/>
      <c r="CF8" s="30"/>
      <c r="CG8" s="30"/>
      <c r="CH8" s="27"/>
      <c r="CI8" s="27"/>
      <c r="CJ8" s="28"/>
      <c r="CK8" s="29"/>
      <c r="CL8" s="30"/>
      <c r="CM8" s="30"/>
      <c r="CN8" s="30"/>
      <c r="CO8" s="27"/>
      <c r="CP8" s="27"/>
      <c r="CQ8" s="28"/>
      <c r="CR8" s="29"/>
      <c r="CS8" s="30"/>
      <c r="CT8" s="30"/>
      <c r="CU8" s="30"/>
      <c r="CV8" s="27"/>
      <c r="CW8" s="27"/>
      <c r="CX8" s="89"/>
      <c r="CY8" s="98"/>
      <c r="CZ8" s="30"/>
      <c r="DA8" s="30"/>
      <c r="DB8" s="30"/>
      <c r="DC8" s="27"/>
      <c r="DD8" s="27"/>
      <c r="DE8" s="28"/>
      <c r="DF8" s="29"/>
      <c r="DG8" s="30"/>
      <c r="DH8" s="30"/>
      <c r="DI8" s="30"/>
      <c r="DJ8" s="27"/>
      <c r="DK8" s="27"/>
      <c r="DL8" s="28"/>
      <c r="DM8" s="29"/>
      <c r="DN8" s="30"/>
      <c r="DO8" s="30"/>
      <c r="DP8" s="8"/>
      <c r="DQ8" s="27"/>
      <c r="DR8" s="27"/>
      <c r="DS8" s="28"/>
      <c r="DT8" s="29"/>
      <c r="DU8" s="29"/>
      <c r="DV8" s="27"/>
      <c r="DW8" s="27"/>
      <c r="DX8" s="28"/>
      <c r="DY8" s="29"/>
      <c r="DZ8" s="10"/>
      <c r="EA8" s="10"/>
      <c r="EB8" s="29"/>
      <c r="EC8" s="27"/>
      <c r="ED8" s="27"/>
      <c r="EE8" s="28"/>
      <c r="EF8" s="29"/>
      <c r="EG8" s="10"/>
      <c r="EH8" s="10"/>
      <c r="EI8" s="29"/>
      <c r="EJ8" s="27"/>
      <c r="EK8" s="27"/>
      <c r="EL8" s="28"/>
      <c r="EM8" s="29"/>
      <c r="EN8" s="10"/>
      <c r="EO8" s="10"/>
      <c r="EP8" s="29"/>
      <c r="EQ8" s="8"/>
      <c r="ER8" s="8"/>
      <c r="ES8" s="69"/>
      <c r="ET8" s="9"/>
      <c r="EU8" s="10"/>
      <c r="EV8" s="10"/>
      <c r="EW8" s="29"/>
      <c r="EX8" s="88"/>
      <c r="EY8" s="88"/>
      <c r="EZ8" s="89"/>
      <c r="FA8" s="90"/>
      <c r="FB8" s="30"/>
      <c r="FC8" s="30"/>
      <c r="FD8" s="30"/>
      <c r="FE8" s="27"/>
      <c r="FF8" s="27"/>
      <c r="FG8" s="89"/>
      <c r="FH8" s="90"/>
      <c r="FI8" s="30"/>
      <c r="FJ8" s="30"/>
      <c r="FK8" s="30"/>
      <c r="FL8" s="88"/>
      <c r="FM8" s="88"/>
      <c r="FN8" s="89"/>
      <c r="FO8" s="90"/>
      <c r="FP8" s="30"/>
      <c r="FQ8" s="30"/>
      <c r="FR8" s="30"/>
      <c r="FS8" s="88"/>
      <c r="FT8" s="88"/>
      <c r="FU8" s="89"/>
      <c r="FV8" s="90"/>
      <c r="FW8" s="30"/>
      <c r="FX8" s="30"/>
      <c r="FY8" s="30"/>
      <c r="FZ8" s="88"/>
      <c r="GA8" s="88"/>
      <c r="GB8" s="89"/>
      <c r="GC8" s="90"/>
      <c r="GD8" s="30"/>
      <c r="GE8" s="30"/>
      <c r="GF8" s="30"/>
      <c r="GG8" s="88"/>
      <c r="GH8" s="88"/>
      <c r="GI8" s="89"/>
      <c r="GJ8" s="90"/>
      <c r="GK8" s="30"/>
      <c r="GL8" s="30"/>
      <c r="GM8" s="10"/>
      <c r="GN8" s="88"/>
      <c r="GO8" s="88"/>
      <c r="GP8" s="89"/>
      <c r="GQ8" s="90"/>
      <c r="GR8" s="9"/>
      <c r="GS8" s="3"/>
      <c r="GT8" s="3"/>
      <c r="GU8" s="71"/>
      <c r="GV8" s="72"/>
      <c r="GW8" s="10"/>
      <c r="GX8" s="10"/>
      <c r="GY8" s="9"/>
      <c r="GZ8" s="27"/>
      <c r="HA8" s="27"/>
      <c r="HB8" s="28"/>
      <c r="HC8" s="29"/>
      <c r="HD8" s="10"/>
      <c r="HE8" s="10"/>
      <c r="HF8" s="9"/>
      <c r="HG8" s="27"/>
      <c r="HH8" s="27"/>
      <c r="HI8" s="28"/>
      <c r="HJ8" s="29"/>
      <c r="HK8" s="10"/>
      <c r="HL8" s="10"/>
      <c r="HM8" s="29"/>
      <c r="HN8" s="8"/>
      <c r="HO8" s="8"/>
      <c r="HP8" s="69"/>
      <c r="HQ8" s="9"/>
      <c r="HR8" s="10"/>
      <c r="HS8" s="10"/>
      <c r="HT8" s="9"/>
      <c r="HU8" s="88"/>
      <c r="HV8" s="88"/>
      <c r="HW8" s="89"/>
      <c r="HX8" s="90"/>
      <c r="HY8" s="30"/>
      <c r="HZ8" s="30"/>
      <c r="IA8" s="30"/>
      <c r="IB8" s="88"/>
      <c r="IC8" s="88"/>
      <c r="ID8" s="89"/>
      <c r="IE8" s="90"/>
      <c r="IF8" s="30"/>
      <c r="IG8" s="30"/>
      <c r="IH8" s="30"/>
      <c r="II8" s="88"/>
      <c r="IJ8" s="88"/>
      <c r="IK8" s="89"/>
      <c r="IL8" s="90"/>
      <c r="IM8" s="30"/>
      <c r="IN8" s="30"/>
      <c r="IO8" s="30"/>
      <c r="IP8" s="88"/>
      <c r="IQ8" s="88"/>
      <c r="IR8" s="89"/>
      <c r="IS8" s="90"/>
      <c r="IT8" s="30"/>
      <c r="IU8" s="30"/>
      <c r="IV8" s="30"/>
      <c r="IW8" s="88"/>
      <c r="IX8" s="88"/>
      <c r="IY8" s="89"/>
      <c r="IZ8" s="90"/>
      <c r="JA8" s="30"/>
      <c r="JB8" s="30"/>
      <c r="JC8" s="30"/>
      <c r="JD8" s="88"/>
      <c r="JE8" s="88"/>
      <c r="JF8" s="89"/>
      <c r="JG8" s="90"/>
      <c r="JH8" s="30"/>
      <c r="JI8" s="30"/>
      <c r="JK8" s="27"/>
      <c r="JL8" s="27"/>
      <c r="JM8" s="28"/>
      <c r="JN8" s="29"/>
    </row>
    <row r="9" spans="1:274" x14ac:dyDescent="0.2">
      <c r="A9" s="73"/>
      <c r="B9" s="7" t="s">
        <v>11</v>
      </c>
      <c r="C9" s="27">
        <v>1630</v>
      </c>
      <c r="D9" s="27">
        <v>1628.1204420199754</v>
      </c>
      <c r="E9" s="28">
        <v>3.736662636218695</v>
      </c>
      <c r="F9" s="29">
        <v>2.6643477567418253E-2</v>
      </c>
      <c r="G9" s="29"/>
      <c r="H9" s="3">
        <v>477</v>
      </c>
      <c r="I9" s="3">
        <v>476.87953913999797</v>
      </c>
      <c r="J9" s="28">
        <v>3.7084505812710447</v>
      </c>
      <c r="K9" s="29">
        <v>4.9343816035184319E-2</v>
      </c>
      <c r="L9" s="30">
        <f t="shared" si="37"/>
        <v>0.50309036852627576</v>
      </c>
      <c r="M9" s="30" t="str">
        <f t="shared" si="38"/>
        <v xml:space="preserve"> </v>
      </c>
      <c r="N9" s="9"/>
      <c r="O9" s="27">
        <v>311</v>
      </c>
      <c r="P9" s="27">
        <v>311.71607990999917</v>
      </c>
      <c r="Q9" s="28">
        <v>3.6876379192625777</v>
      </c>
      <c r="R9" s="29">
        <v>5.8858236653570949E-2</v>
      </c>
      <c r="S9" s="30">
        <f t="shared" si="39"/>
        <v>0.75880500888344227</v>
      </c>
      <c r="T9" s="30" t="str">
        <f t="shared" si="40"/>
        <v xml:space="preserve"> </v>
      </c>
      <c r="U9" s="30"/>
      <c r="V9" s="27">
        <v>710</v>
      </c>
      <c r="W9" s="27">
        <v>711.11281648000727</v>
      </c>
      <c r="X9" s="28">
        <v>3.6707749244515413</v>
      </c>
      <c r="Y9" s="29">
        <v>4.638979510229186E-2</v>
      </c>
      <c r="Z9" s="30">
        <f t="shared" si="41"/>
        <v>1.2316239038592356</v>
      </c>
      <c r="AA9" s="30" t="str">
        <f t="shared" si="42"/>
        <v xml:space="preserve"> </v>
      </c>
      <c r="AB9" s="9"/>
      <c r="AC9" s="8">
        <v>432</v>
      </c>
      <c r="AD9" s="8">
        <v>437.21993591999666</v>
      </c>
      <c r="AE9" s="69">
        <v>3.6370391864083778</v>
      </c>
      <c r="AF9" s="9">
        <v>4.8472237133230768E-2</v>
      </c>
      <c r="AG9" s="30">
        <f t="shared" si="43"/>
        <v>1.8011136876017153</v>
      </c>
      <c r="AH9" s="30" t="str">
        <f t="shared" si="44"/>
        <v xml:space="preserve"> </v>
      </c>
      <c r="AI9" s="9"/>
      <c r="AJ9" s="81">
        <v>2639</v>
      </c>
      <c r="AK9" s="83">
        <v>3.9012244740569071</v>
      </c>
      <c r="AL9" s="84">
        <v>2.1494201375349166E-2</v>
      </c>
      <c r="AM9" s="30">
        <f t="shared" si="45"/>
        <v>-4.8071577606501483</v>
      </c>
      <c r="AN9" s="30" t="str">
        <f t="shared" si="46"/>
        <v>*</v>
      </c>
      <c r="AO9" s="9"/>
      <c r="AP9" s="78">
        <v>249</v>
      </c>
      <c r="AQ9" s="79">
        <v>4.3296767690942719</v>
      </c>
      <c r="AR9" s="80">
        <v>5.848996580169176E-2</v>
      </c>
      <c r="AS9" s="30">
        <f t="shared" si="47"/>
        <v>-9.2265645005232138</v>
      </c>
      <c r="AT9" s="30" t="str">
        <f t="shared" si="48"/>
        <v>*</v>
      </c>
      <c r="AU9" s="80"/>
      <c r="AV9" s="78">
        <v>409</v>
      </c>
      <c r="AW9" s="79">
        <v>4.2450462975880621</v>
      </c>
      <c r="AX9" s="80">
        <v>4.2111098795852932E-2</v>
      </c>
      <c r="AY9" s="30">
        <f t="shared" si="49"/>
        <v>-10.201969626568028</v>
      </c>
      <c r="AZ9" s="30" t="str">
        <f t="shared" si="50"/>
        <v>*</v>
      </c>
      <c r="BA9" s="80"/>
      <c r="BB9" s="78">
        <v>281</v>
      </c>
      <c r="BC9" s="79">
        <v>4.2174154370004731</v>
      </c>
      <c r="BD9" s="80">
        <v>5.4312282242542517E-2</v>
      </c>
      <c r="BE9" s="30">
        <f t="shared" si="51"/>
        <v>-7.9469255673611157</v>
      </c>
      <c r="BF9" s="30" t="str">
        <f t="shared" si="52"/>
        <v>*</v>
      </c>
      <c r="BG9" s="80"/>
      <c r="BH9" s="78">
        <v>643</v>
      </c>
      <c r="BI9" s="79">
        <v>4.1072845496553478</v>
      </c>
      <c r="BJ9" s="80">
        <v>3.6088356962674296E-2</v>
      </c>
      <c r="BK9" s="30">
        <f t="shared" si="53"/>
        <v>-8.2621053738855252</v>
      </c>
      <c r="BL9" s="30" t="str">
        <f t="shared" si="54"/>
        <v>*</v>
      </c>
      <c r="BM9" s="80"/>
      <c r="BN9" s="78">
        <v>693</v>
      </c>
      <c r="BO9" s="79">
        <v>4.0911024740845372</v>
      </c>
      <c r="BP9" s="80">
        <v>3.4918612320390445E-2</v>
      </c>
      <c r="BQ9" s="30">
        <f t="shared" si="55"/>
        <v>-8.0696678685695993</v>
      </c>
      <c r="BR9" s="30" t="str">
        <f t="shared" si="56"/>
        <v>*</v>
      </c>
      <c r="BS9" s="9"/>
      <c r="BT9" s="27">
        <v>6574</v>
      </c>
      <c r="BU9" s="27">
        <v>6628.3874370697285</v>
      </c>
      <c r="BV9" s="28">
        <v>4.0019576060939803</v>
      </c>
      <c r="BW9" s="29">
        <v>1.3479416745274213E-2</v>
      </c>
      <c r="BX9" s="30">
        <f t="shared" si="57"/>
        <v>-8.8848765178350195</v>
      </c>
      <c r="BY9" s="30" t="str">
        <f t="shared" si="58"/>
        <v>*</v>
      </c>
      <c r="BZ9" s="30"/>
      <c r="CA9" s="27">
        <v>292</v>
      </c>
      <c r="CB9" s="27">
        <v>292</v>
      </c>
      <c r="CC9" s="28">
        <v>4.0376712328767113</v>
      </c>
      <c r="CD9" s="29">
        <v>5.3210447258795056E-2</v>
      </c>
      <c r="CE9" s="30">
        <f t="shared" si="59"/>
        <v>-5.05827038550472</v>
      </c>
      <c r="CF9" s="30" t="str">
        <f t="shared" si="0"/>
        <v>*</v>
      </c>
      <c r="CG9" s="30"/>
      <c r="CH9" s="27">
        <v>1705</v>
      </c>
      <c r="CI9" s="27">
        <v>1758.4890279199899</v>
      </c>
      <c r="CJ9" s="28">
        <v>3.4028169757634843</v>
      </c>
      <c r="CK9" s="29">
        <v>2.8364411974536322E-2</v>
      </c>
      <c r="CL9" s="30">
        <f t="shared" si="60"/>
        <v>8.5787362927131259</v>
      </c>
      <c r="CM9" s="30" t="str">
        <f t="shared" si="1"/>
        <v>*</v>
      </c>
      <c r="CN9" s="30"/>
      <c r="CO9" s="27">
        <v>1428</v>
      </c>
      <c r="CP9" s="27">
        <v>1428.8497602900482</v>
      </c>
      <c r="CQ9" s="28">
        <v>4.0693066599107608</v>
      </c>
      <c r="CR9" s="29">
        <v>2.450310895735756E-2</v>
      </c>
      <c r="CS9" s="30">
        <f t="shared" si="61"/>
        <v>-9.1896321144349411</v>
      </c>
      <c r="CT9" s="30" t="str">
        <f t="shared" si="2"/>
        <v>*</v>
      </c>
      <c r="CU9" s="30"/>
      <c r="CV9" s="27">
        <v>495</v>
      </c>
      <c r="CW9" s="27">
        <v>496.98304920000299</v>
      </c>
      <c r="CX9" s="28">
        <v>4.9070707070706998</v>
      </c>
      <c r="CY9" s="29">
        <v>1.3942418063978378E-2</v>
      </c>
      <c r="CZ9" s="30">
        <f t="shared" si="62"/>
        <v>-38.921469291432238</v>
      </c>
      <c r="DA9" s="30" t="str">
        <f t="shared" si="3"/>
        <v>*</v>
      </c>
      <c r="DB9" s="30"/>
      <c r="DC9" s="27">
        <v>716</v>
      </c>
      <c r="DD9" s="27">
        <v>715.94515763999311</v>
      </c>
      <c r="DE9" s="28">
        <v>4.8800016811019535</v>
      </c>
      <c r="DF9" s="29">
        <v>1.293031942450769E-2</v>
      </c>
      <c r="DG9" s="30">
        <f t="shared" si="63"/>
        <v>-38.606318358645957</v>
      </c>
      <c r="DH9" s="30" t="str">
        <f t="shared" si="4"/>
        <v>*</v>
      </c>
      <c r="DI9" s="30"/>
      <c r="DJ9" s="27">
        <v>308</v>
      </c>
      <c r="DK9" s="27">
        <v>308</v>
      </c>
      <c r="DL9" s="28">
        <v>4.977272727272724</v>
      </c>
      <c r="DM9" s="29">
        <v>1.07075054788086E-2</v>
      </c>
      <c r="DN9" s="30">
        <f t="shared" si="64"/>
        <v>-43.204923951281032</v>
      </c>
      <c r="DO9" s="30" t="str">
        <f t="shared" si="5"/>
        <v>*</v>
      </c>
      <c r="DP9" s="8"/>
      <c r="DQ9" s="27">
        <v>512</v>
      </c>
      <c r="DR9" s="27">
        <v>512.94848543999888</v>
      </c>
      <c r="DS9" s="28">
        <v>3.801217418601917</v>
      </c>
      <c r="DT9" s="29">
        <v>4.4534918259070098E-2</v>
      </c>
      <c r="DU9" s="29"/>
      <c r="DV9" s="27">
        <v>326</v>
      </c>
      <c r="DW9" s="27">
        <v>325.79336934000014</v>
      </c>
      <c r="DX9" s="28">
        <v>3.7330523489591401</v>
      </c>
      <c r="DY9" s="29">
        <v>5.6164716431093033E-2</v>
      </c>
      <c r="DZ9" s="10">
        <f t="shared" si="6"/>
        <v>0.95098098928226638</v>
      </c>
      <c r="EA9" s="10" t="str">
        <f t="shared" si="7"/>
        <v xml:space="preserve"> </v>
      </c>
      <c r="EB9" s="29"/>
      <c r="EC9" s="27">
        <v>347</v>
      </c>
      <c r="ED9" s="27">
        <v>348.88243705000104</v>
      </c>
      <c r="EE9" s="28">
        <v>3.8271643129993387</v>
      </c>
      <c r="EF9" s="29">
        <v>5.2645818685266639E-2</v>
      </c>
      <c r="EG9" s="10">
        <f t="shared" si="8"/>
        <v>-0.37628145118747297</v>
      </c>
      <c r="EH9" s="10" t="str">
        <f t="shared" si="9"/>
        <v xml:space="preserve"> </v>
      </c>
      <c r="EI9" s="29"/>
      <c r="EJ9" s="27">
        <v>403</v>
      </c>
      <c r="EK9" s="27">
        <v>406.83893415000222</v>
      </c>
      <c r="EL9" s="28">
        <v>3.7803028026755858</v>
      </c>
      <c r="EM9" s="29">
        <v>5.6709750586570087E-2</v>
      </c>
      <c r="EN9" s="10">
        <f t="shared" si="10"/>
        <v>0.29005153509607434</v>
      </c>
      <c r="EO9" s="10" t="str">
        <f t="shared" si="65"/>
        <v xml:space="preserve"> </v>
      </c>
      <c r="EP9" s="29"/>
      <c r="EQ9" s="8">
        <v>357</v>
      </c>
      <c r="ER9" s="8">
        <v>357.01714302000033</v>
      </c>
      <c r="ES9" s="69">
        <v>3.8007122506551054</v>
      </c>
      <c r="ET9" s="9">
        <v>5.103008773768733E-2</v>
      </c>
      <c r="EU9" s="10">
        <f t="shared" si="11"/>
        <v>7.4584935449690656E-3</v>
      </c>
      <c r="EV9" s="10" t="str">
        <f t="shared" si="66"/>
        <v xml:space="preserve"> </v>
      </c>
      <c r="EW9" s="29"/>
      <c r="EX9" s="88">
        <v>2527</v>
      </c>
      <c r="EY9" s="88">
        <v>2528.1402244999576</v>
      </c>
      <c r="EZ9" s="28">
        <v>3.9531331177077313</v>
      </c>
      <c r="FA9" s="29">
        <v>1.8968364277090533E-2</v>
      </c>
      <c r="FB9" s="30">
        <f t="shared" si="12"/>
        <v>-3.1383537078877732</v>
      </c>
      <c r="FC9" s="30" t="str">
        <f t="shared" si="67"/>
        <v>*</v>
      </c>
      <c r="FD9" s="30"/>
      <c r="FE9" s="27">
        <v>762</v>
      </c>
      <c r="FF9" s="27">
        <v>761.92457098000148</v>
      </c>
      <c r="FG9" s="28">
        <v>3.9856025205672401</v>
      </c>
      <c r="FH9" s="29">
        <v>3.1920883603528134E-2</v>
      </c>
      <c r="FI9" s="30">
        <f t="shared" si="13"/>
        <v>-3.36510529369703</v>
      </c>
      <c r="FJ9" s="30" t="str">
        <f t="shared" si="14"/>
        <v>*</v>
      </c>
      <c r="FK9" s="30"/>
      <c r="FL9" s="88">
        <v>122</v>
      </c>
      <c r="FM9" s="88">
        <v>121.95493471999984</v>
      </c>
      <c r="FN9" s="28">
        <v>3.9507335765970053</v>
      </c>
      <c r="FO9" s="29">
        <v>8.3818485366008097E-2</v>
      </c>
      <c r="FP9" s="30">
        <f t="shared" si="15"/>
        <v>-1.57526022583818</v>
      </c>
      <c r="FQ9" s="30" t="str">
        <f t="shared" si="16"/>
        <v xml:space="preserve"> </v>
      </c>
      <c r="FR9" s="30"/>
      <c r="FS9" s="88">
        <v>382</v>
      </c>
      <c r="FT9" s="88">
        <v>382.43075525999859</v>
      </c>
      <c r="FU9" s="28">
        <v>3.8837263036290852</v>
      </c>
      <c r="FV9" s="29">
        <v>5.0776832784156109E-2</v>
      </c>
      <c r="FW9" s="30">
        <f t="shared" si="17"/>
        <v>-1.2216307145145966</v>
      </c>
      <c r="FX9" s="30" t="str">
        <f t="shared" si="18"/>
        <v xml:space="preserve"> </v>
      </c>
      <c r="FY9" s="30"/>
      <c r="FZ9" s="88">
        <v>591</v>
      </c>
      <c r="GA9" s="88">
        <v>590.89518972000553</v>
      </c>
      <c r="GB9" s="28">
        <v>4.0049662972402835</v>
      </c>
      <c r="GC9" s="29">
        <v>4.0335552281686449E-2</v>
      </c>
      <c r="GD9" s="30">
        <f t="shared" si="19"/>
        <v>-3.3909597584195761</v>
      </c>
      <c r="GE9" s="30" t="str">
        <f t="shared" si="20"/>
        <v>*</v>
      </c>
      <c r="GF9" s="30"/>
      <c r="GG9" s="88">
        <v>158</v>
      </c>
      <c r="GH9" s="88">
        <v>157.98628837999976</v>
      </c>
      <c r="GI9" s="28">
        <v>4.2657782984242534</v>
      </c>
      <c r="GJ9" s="29">
        <v>6.6235520941682766E-2</v>
      </c>
      <c r="GK9" s="30">
        <f t="shared" si="21"/>
        <v>-5.8204393363750055</v>
      </c>
      <c r="GL9" s="30" t="str">
        <f t="shared" si="22"/>
        <v>*</v>
      </c>
      <c r="GM9" s="10"/>
      <c r="GN9" s="88">
        <v>661</v>
      </c>
      <c r="GO9" s="88">
        <v>660.90292947000603</v>
      </c>
      <c r="GP9" s="28">
        <v>3.4416323604195016</v>
      </c>
      <c r="GQ9" s="29">
        <v>4.756611540015742E-2</v>
      </c>
      <c r="GR9" s="9"/>
      <c r="GS9" s="3">
        <v>474</v>
      </c>
      <c r="GT9" s="3">
        <v>473.91134402999506</v>
      </c>
      <c r="GU9" s="69">
        <v>3.3752641392748353</v>
      </c>
      <c r="GV9" s="9">
        <v>5.665547523677366E-2</v>
      </c>
      <c r="GW9" s="10">
        <f t="shared" si="23"/>
        <v>0.89716459184586328</v>
      </c>
      <c r="GX9" s="10" t="str">
        <f t="shared" si="68"/>
        <v xml:space="preserve"> </v>
      </c>
      <c r="GY9" s="9"/>
      <c r="GZ9" s="27">
        <v>505</v>
      </c>
      <c r="HA9" s="27">
        <v>504.7787598500035</v>
      </c>
      <c r="HB9" s="28">
        <v>3.5908223176993879</v>
      </c>
      <c r="HC9" s="29">
        <v>5.0833433730821706E-2</v>
      </c>
      <c r="HD9" s="10">
        <f t="shared" si="24"/>
        <v>-2.1430001232559266</v>
      </c>
      <c r="HE9" s="10" t="str">
        <f t="shared" si="69"/>
        <v>*</v>
      </c>
      <c r="HF9" s="9"/>
      <c r="HG9" s="27">
        <v>749</v>
      </c>
      <c r="HH9" s="27">
        <v>752.85845276000157</v>
      </c>
      <c r="HI9" s="28">
        <v>3.2094658181634221</v>
      </c>
      <c r="HJ9" s="29">
        <v>4.0033010477529621E-2</v>
      </c>
      <c r="HK9" s="10">
        <f t="shared" si="25"/>
        <v>3.7343491896297243</v>
      </c>
      <c r="HL9" s="10" t="str">
        <f t="shared" si="70"/>
        <v>*</v>
      </c>
      <c r="HM9" s="29"/>
      <c r="HN9" s="8">
        <v>941</v>
      </c>
      <c r="HO9" s="8">
        <v>946.19001057000173</v>
      </c>
      <c r="HP9" s="69">
        <v>3.2986522619487011</v>
      </c>
      <c r="HQ9" s="9">
        <v>3.9874896725234248E-2</v>
      </c>
      <c r="HR9" s="10">
        <f t="shared" si="26"/>
        <v>2.3035723661106564</v>
      </c>
      <c r="HS9" s="10" t="str">
        <f t="shared" si="71"/>
        <v>*</v>
      </c>
      <c r="HT9" s="9"/>
      <c r="HU9" s="88">
        <v>2595</v>
      </c>
      <c r="HV9" s="88">
        <v>2596.181240039919</v>
      </c>
      <c r="HW9" s="28">
        <v>3.8869525960500817</v>
      </c>
      <c r="HX9" s="29">
        <v>2.0119535763170007E-2</v>
      </c>
      <c r="HY9" s="30">
        <f t="shared" si="27"/>
        <v>-8.6225152198405013</v>
      </c>
      <c r="HZ9" s="30" t="str">
        <f t="shared" si="72"/>
        <v>*</v>
      </c>
      <c r="IA9" s="30"/>
      <c r="IB9" s="88">
        <v>762</v>
      </c>
      <c r="IC9" s="88">
        <v>761.92457098000148</v>
      </c>
      <c r="ID9" s="28">
        <v>3.9856025205672401</v>
      </c>
      <c r="IE9" s="29">
        <v>3.1920883603528134E-2</v>
      </c>
      <c r="IF9" s="30">
        <f t="shared" si="28"/>
        <v>-9.4959915349724362</v>
      </c>
      <c r="IG9" s="30" t="str">
        <f t="shared" si="29"/>
        <v>*</v>
      </c>
      <c r="IH9" s="30"/>
      <c r="II9" s="88">
        <v>292</v>
      </c>
      <c r="IJ9" s="88">
        <v>292.21821798000116</v>
      </c>
      <c r="IK9" s="28">
        <v>4.188890440101777</v>
      </c>
      <c r="IL9" s="29">
        <v>4.9285863577380677E-2</v>
      </c>
      <c r="IM9" s="30">
        <f t="shared" si="30"/>
        <v>-10.909595900600031</v>
      </c>
      <c r="IN9" s="30" t="str">
        <f t="shared" si="31"/>
        <v>*</v>
      </c>
      <c r="IO9" s="30"/>
      <c r="IP9" s="88">
        <v>363</v>
      </c>
      <c r="IQ9" s="88">
        <v>362.49665134000116</v>
      </c>
      <c r="IR9" s="28">
        <v>4.0031845568110258</v>
      </c>
      <c r="IS9" s="29">
        <v>5.0662479099312527E-2</v>
      </c>
      <c r="IT9" s="30">
        <f t="shared" si="32"/>
        <v>-8.0807475551916621</v>
      </c>
      <c r="IU9" s="30" t="str">
        <f t="shared" si="33"/>
        <v>*</v>
      </c>
      <c r="IV9" s="30"/>
      <c r="IW9" s="88">
        <v>122</v>
      </c>
      <c r="IX9" s="88">
        <v>121.95493471999984</v>
      </c>
      <c r="IY9" s="28">
        <v>3.9507335765970053</v>
      </c>
      <c r="IZ9" s="29">
        <v>8.3818485366008097E-2</v>
      </c>
      <c r="JA9" s="30">
        <f t="shared" si="34"/>
        <v>-5.2825218879706126</v>
      </c>
      <c r="JB9" s="30" t="str">
        <f t="shared" si="73"/>
        <v>*</v>
      </c>
      <c r="JC9" s="30"/>
      <c r="JD9" s="88">
        <v>395</v>
      </c>
      <c r="JE9" s="88">
        <v>396.6839355500021</v>
      </c>
      <c r="JF9" s="28">
        <v>4.0911600241886825</v>
      </c>
      <c r="JG9" s="29">
        <v>4.4874583150324998E-2</v>
      </c>
      <c r="JH9" s="30">
        <f t="shared" si="35"/>
        <v>-9.9326566045778808</v>
      </c>
      <c r="JI9" s="30" t="str">
        <f t="shared" si="36"/>
        <v>*</v>
      </c>
      <c r="JK9" s="27"/>
      <c r="JL9" s="27"/>
      <c r="JM9" s="28"/>
      <c r="JN9" s="29"/>
    </row>
    <row r="10" spans="1:274" x14ac:dyDescent="0.2">
      <c r="B10" s="7" t="s">
        <v>12</v>
      </c>
      <c r="C10" s="27">
        <v>335</v>
      </c>
      <c r="D10" s="27">
        <v>332.50774159999918</v>
      </c>
      <c r="E10" s="28">
        <v>3.584891158967233</v>
      </c>
      <c r="F10" s="29">
        <v>5.9212677603141389E-2</v>
      </c>
      <c r="G10" s="29"/>
      <c r="H10" s="3">
        <v>108</v>
      </c>
      <c r="I10" s="3">
        <v>107.89066499999988</v>
      </c>
      <c r="J10" s="28">
        <v>3.6668727577126345</v>
      </c>
      <c r="K10" s="29">
        <v>0.11400502500111732</v>
      </c>
      <c r="L10" s="30">
        <f t="shared" si="37"/>
        <v>-0.63816232062474543</v>
      </c>
      <c r="M10" s="30" t="str">
        <f t="shared" si="38"/>
        <v xml:space="preserve"> </v>
      </c>
      <c r="N10" s="9"/>
      <c r="O10" s="27">
        <v>37</v>
      </c>
      <c r="P10" s="27">
        <v>36.867355050000008</v>
      </c>
      <c r="Q10" s="28">
        <v>3.6120349919162424</v>
      </c>
      <c r="R10" s="29">
        <v>0.19620381160227882</v>
      </c>
      <c r="S10" s="30">
        <f t="shared" si="39"/>
        <v>-0.13244506814890958</v>
      </c>
      <c r="T10" s="30" t="str">
        <f t="shared" si="40"/>
        <v xml:space="preserve"> </v>
      </c>
      <c r="U10" s="30"/>
      <c r="V10" s="27">
        <v>56</v>
      </c>
      <c r="W10" s="27">
        <v>55.78091019</v>
      </c>
      <c r="X10" s="28">
        <v>3.7487252470019259</v>
      </c>
      <c r="Y10" s="29">
        <v>0.12932876512706878</v>
      </c>
      <c r="Z10" s="30">
        <f t="shared" si="41"/>
        <v>-1.1518186368174987</v>
      </c>
      <c r="AA10" s="30" t="str">
        <f t="shared" si="42"/>
        <v xml:space="preserve"> </v>
      </c>
      <c r="AB10" s="9"/>
      <c r="AC10" s="8">
        <v>59</v>
      </c>
      <c r="AD10" s="8">
        <v>62.331949780000024</v>
      </c>
      <c r="AE10" s="69">
        <v>3.624753518178812</v>
      </c>
      <c r="AF10" s="9">
        <v>0.13621909790713937</v>
      </c>
      <c r="AG10" s="30">
        <f t="shared" si="43"/>
        <v>-0.26837538842339725</v>
      </c>
      <c r="AH10" s="30" t="str">
        <f t="shared" si="44"/>
        <v xml:space="preserve"> </v>
      </c>
      <c r="AI10" s="9"/>
      <c r="AJ10" s="81">
        <v>697</v>
      </c>
      <c r="AK10" s="83">
        <v>3.7462148813153875</v>
      </c>
      <c r="AL10" s="84">
        <v>4.2642655468130092E-2</v>
      </c>
      <c r="AM10" s="30">
        <f t="shared" si="45"/>
        <v>-2.2108399273508201</v>
      </c>
      <c r="AN10" s="30" t="str">
        <f t="shared" si="46"/>
        <v>*</v>
      </c>
      <c r="AO10" s="9"/>
      <c r="AP10" s="78">
        <v>64</v>
      </c>
      <c r="AQ10" s="79">
        <v>4.0411634999498895</v>
      </c>
      <c r="AR10" s="80">
        <v>0.1417851661341783</v>
      </c>
      <c r="AS10" s="30">
        <f t="shared" si="47"/>
        <v>-2.9695028165863713</v>
      </c>
      <c r="AT10" s="30" t="str">
        <f t="shared" si="48"/>
        <v>*</v>
      </c>
      <c r="AU10" s="80"/>
      <c r="AV10" s="78">
        <v>150</v>
      </c>
      <c r="AW10" s="79">
        <v>3.9327641564839659</v>
      </c>
      <c r="AX10" s="80">
        <v>7.3578221515611095E-2</v>
      </c>
      <c r="AY10" s="30">
        <f t="shared" si="49"/>
        <v>-3.6833316696297222</v>
      </c>
      <c r="AZ10" s="30" t="str">
        <f t="shared" si="50"/>
        <v>*</v>
      </c>
      <c r="BA10" s="80"/>
      <c r="BB10" s="78">
        <v>113</v>
      </c>
      <c r="BC10" s="79">
        <v>4.2230548352655326</v>
      </c>
      <c r="BD10" s="80">
        <v>8.0153394636670289E-2</v>
      </c>
      <c r="BE10" s="30">
        <f t="shared" si="51"/>
        <v>-6.4038621966715708</v>
      </c>
      <c r="BF10" s="30" t="str">
        <f t="shared" si="52"/>
        <v>*</v>
      </c>
      <c r="BG10" s="80"/>
      <c r="BH10" s="78">
        <v>148</v>
      </c>
      <c r="BI10" s="79">
        <v>3.7229244293574704</v>
      </c>
      <c r="BJ10" s="80">
        <v>8.1256254106845283E-2</v>
      </c>
      <c r="BK10" s="30">
        <f t="shared" si="53"/>
        <v>-1.3728898482840357</v>
      </c>
      <c r="BL10" s="30" t="str">
        <f t="shared" si="54"/>
        <v xml:space="preserve"> </v>
      </c>
      <c r="BM10" s="80"/>
      <c r="BN10" s="78">
        <v>143</v>
      </c>
      <c r="BO10" s="79">
        <v>3.7048947539855859</v>
      </c>
      <c r="BP10" s="80">
        <v>8.9351110734404188E-2</v>
      </c>
      <c r="BQ10" s="30">
        <f t="shared" si="55"/>
        <v>-1.1195377362014192</v>
      </c>
      <c r="BR10" s="30" t="str">
        <f t="shared" si="56"/>
        <v xml:space="preserve"> </v>
      </c>
      <c r="BS10" s="9"/>
      <c r="BT10" s="27">
        <v>1427</v>
      </c>
      <c r="BU10" s="27">
        <v>1456.79643134003</v>
      </c>
      <c r="BV10" s="28">
        <v>3.8160948967430004</v>
      </c>
      <c r="BW10" s="29">
        <v>3.0002490799880724E-2</v>
      </c>
      <c r="BX10" s="30">
        <f t="shared" si="57"/>
        <v>-3.4830385461856719</v>
      </c>
      <c r="BY10" s="30" t="str">
        <f t="shared" si="58"/>
        <v>*</v>
      </c>
      <c r="BZ10" s="30"/>
      <c r="CA10" s="27">
        <v>63</v>
      </c>
      <c r="CB10" s="27">
        <v>63</v>
      </c>
      <c r="CC10" s="28">
        <v>3.4920634920634925</v>
      </c>
      <c r="CD10" s="29">
        <v>0.14466624879249018</v>
      </c>
      <c r="CE10" s="30">
        <f t="shared" si="59"/>
        <v>0.59384898754103943</v>
      </c>
      <c r="CF10" s="30" t="str">
        <f t="shared" si="0"/>
        <v xml:space="preserve"> </v>
      </c>
      <c r="CG10" s="30"/>
      <c r="CH10" s="27">
        <v>417</v>
      </c>
      <c r="CI10" s="27">
        <v>448.81500017000081</v>
      </c>
      <c r="CJ10" s="28">
        <v>3.2755904860201848</v>
      </c>
      <c r="CK10" s="29">
        <v>5.6937224468645617E-2</v>
      </c>
      <c r="CL10" s="30">
        <f t="shared" si="60"/>
        <v>3.7652489055336757</v>
      </c>
      <c r="CM10" s="30" t="str">
        <f t="shared" si="1"/>
        <v>*</v>
      </c>
      <c r="CN10" s="30"/>
      <c r="CO10" s="27">
        <v>360</v>
      </c>
      <c r="CP10" s="27">
        <v>360.28228403999913</v>
      </c>
      <c r="CQ10" s="28">
        <v>4.0417862388657646</v>
      </c>
      <c r="CR10" s="29">
        <v>4.8031885783526032E-2</v>
      </c>
      <c r="CS10" s="30">
        <f t="shared" si="61"/>
        <v>-5.9925094538745647</v>
      </c>
      <c r="CT10" s="30" t="str">
        <f t="shared" si="2"/>
        <v>*</v>
      </c>
      <c r="CU10" s="30"/>
      <c r="CV10" s="27">
        <v>48</v>
      </c>
      <c r="CW10" s="27">
        <v>48.192295680000036</v>
      </c>
      <c r="CX10" s="28">
        <v>4.8958333333333348</v>
      </c>
      <c r="CY10" s="29">
        <v>4.4467472020864214E-2</v>
      </c>
      <c r="CZ10" s="30">
        <f t="shared" si="62"/>
        <v>-17.70332002072178</v>
      </c>
      <c r="DA10" s="30" t="str">
        <f t="shared" si="3"/>
        <v>*</v>
      </c>
      <c r="DB10" s="30"/>
      <c r="DC10" s="27">
        <v>135</v>
      </c>
      <c r="DD10" s="27">
        <v>134.99910985000002</v>
      </c>
      <c r="DE10" s="28">
        <v>4.7408445500946392</v>
      </c>
      <c r="DF10" s="29">
        <v>4.9269698731197478E-2</v>
      </c>
      <c r="DG10" s="30">
        <f t="shared" si="63"/>
        <v>-15.00650528201106</v>
      </c>
      <c r="DH10" s="30" t="str">
        <f t="shared" si="4"/>
        <v>*</v>
      </c>
      <c r="DI10" s="30"/>
      <c r="DJ10" s="27">
        <v>69</v>
      </c>
      <c r="DK10" s="27">
        <v>69</v>
      </c>
      <c r="DL10" s="28">
        <v>5</v>
      </c>
      <c r="DM10" s="29">
        <v>0</v>
      </c>
      <c r="DN10" s="30">
        <f t="shared" si="64"/>
        <v>-23.89874767219937</v>
      </c>
      <c r="DO10" s="30" t="str">
        <f t="shared" si="5"/>
        <v>*</v>
      </c>
      <c r="DP10" s="8"/>
      <c r="DQ10" s="27">
        <v>142</v>
      </c>
      <c r="DR10" s="27">
        <v>142.49231277999965</v>
      </c>
      <c r="DS10" s="28">
        <v>3.5971494676444253</v>
      </c>
      <c r="DT10" s="29">
        <v>8.3141144807445319E-2</v>
      </c>
      <c r="DU10" s="29"/>
      <c r="DV10" s="27">
        <v>84</v>
      </c>
      <c r="DW10" s="27">
        <v>84.048028820000084</v>
      </c>
      <c r="DX10" s="28">
        <v>3.4507582845415272</v>
      </c>
      <c r="DY10" s="29">
        <v>0.11897612948987422</v>
      </c>
      <c r="DZ10" s="10">
        <f t="shared" si="6"/>
        <v>1.0085690647524501</v>
      </c>
      <c r="EA10" s="10" t="str">
        <f t="shared" si="7"/>
        <v xml:space="preserve"> </v>
      </c>
      <c r="EB10" s="29"/>
      <c r="EC10" s="27">
        <v>64</v>
      </c>
      <c r="ED10" s="27">
        <v>63.199375399999965</v>
      </c>
      <c r="EE10" s="28">
        <v>3.4586179558983425</v>
      </c>
      <c r="EF10" s="29">
        <v>0.1502614934467911</v>
      </c>
      <c r="EG10" s="10">
        <f t="shared" si="8"/>
        <v>0.80668516736789853</v>
      </c>
      <c r="EH10" s="10" t="str">
        <f t="shared" si="9"/>
        <v xml:space="preserve"> </v>
      </c>
      <c r="EI10" s="29"/>
      <c r="EJ10" s="27">
        <v>67</v>
      </c>
      <c r="EK10" s="27">
        <v>70.392611369999969</v>
      </c>
      <c r="EL10" s="28">
        <v>3.4938400255856283</v>
      </c>
      <c r="EM10" s="29">
        <v>0.13523599832396757</v>
      </c>
      <c r="EN10" s="10">
        <f t="shared" si="10"/>
        <v>0.65077249393347014</v>
      </c>
      <c r="EO10" s="10" t="str">
        <f t="shared" si="65"/>
        <v xml:space="preserve"> </v>
      </c>
      <c r="EP10" s="29"/>
      <c r="EQ10" s="8">
        <v>105</v>
      </c>
      <c r="ER10" s="8">
        <v>105.22342865000017</v>
      </c>
      <c r="ES10" s="69">
        <v>3.6143064275638395</v>
      </c>
      <c r="ET10" s="9">
        <v>0.10251508547993898</v>
      </c>
      <c r="EU10" s="10">
        <f t="shared" si="11"/>
        <v>-0.12998520267274613</v>
      </c>
      <c r="EV10" s="10" t="str">
        <f t="shared" si="66"/>
        <v xml:space="preserve"> </v>
      </c>
      <c r="EW10" s="29"/>
      <c r="EX10" s="88">
        <v>656</v>
      </c>
      <c r="EY10" s="88">
        <v>656.65540549000059</v>
      </c>
      <c r="EZ10" s="28">
        <v>3.6628525303544897</v>
      </c>
      <c r="FA10" s="29">
        <v>3.8607526900800417E-2</v>
      </c>
      <c r="FB10" s="30">
        <f t="shared" si="12"/>
        <v>-0.71675158632900593</v>
      </c>
      <c r="FC10" s="30" t="str">
        <f t="shared" si="67"/>
        <v xml:space="preserve"> </v>
      </c>
      <c r="FD10" s="30"/>
      <c r="FE10" s="27">
        <v>130</v>
      </c>
      <c r="FF10" s="27">
        <v>130.01569335999966</v>
      </c>
      <c r="FG10" s="28">
        <v>3.4769114307479163</v>
      </c>
      <c r="FH10" s="29">
        <v>7.8143743256585421E-2</v>
      </c>
      <c r="FI10" s="30">
        <f t="shared" si="13"/>
        <v>1.0537918174052778</v>
      </c>
      <c r="FJ10" s="30" t="str">
        <f t="shared" si="14"/>
        <v xml:space="preserve"> </v>
      </c>
      <c r="FK10" s="30"/>
      <c r="FL10" s="88">
        <v>53</v>
      </c>
      <c r="FM10" s="88">
        <v>53.001177830000039</v>
      </c>
      <c r="FN10" s="28">
        <v>3.8500693796751411</v>
      </c>
      <c r="FO10" s="29">
        <v>0.14604672963095014</v>
      </c>
      <c r="FP10" s="30">
        <f t="shared" si="15"/>
        <v>-1.5049932442153582</v>
      </c>
      <c r="FQ10" s="30" t="str">
        <f t="shared" si="16"/>
        <v xml:space="preserve"> </v>
      </c>
      <c r="FR10" s="30"/>
      <c r="FS10" s="88">
        <v>135</v>
      </c>
      <c r="FT10" s="88">
        <v>135.20858454999976</v>
      </c>
      <c r="FU10" s="28">
        <v>3.7040245633575037</v>
      </c>
      <c r="FV10" s="29">
        <v>8.2034530682827816E-2</v>
      </c>
      <c r="FW10" s="30">
        <f t="shared" si="17"/>
        <v>-0.91503072384456152</v>
      </c>
      <c r="FX10" s="30" t="str">
        <f t="shared" si="18"/>
        <v xml:space="preserve"> </v>
      </c>
      <c r="FY10" s="30"/>
      <c r="FZ10" s="88">
        <v>144</v>
      </c>
      <c r="GA10" s="88">
        <v>143.96957931000017</v>
      </c>
      <c r="GB10" s="28">
        <v>3.6250548691694995</v>
      </c>
      <c r="GC10" s="29">
        <v>9.0269633043709649E-2</v>
      </c>
      <c r="GD10" s="30">
        <f t="shared" si="19"/>
        <v>-0.22738434208268524</v>
      </c>
      <c r="GE10" s="30" t="str">
        <f t="shared" si="20"/>
        <v xml:space="preserve"> </v>
      </c>
      <c r="GF10" s="30"/>
      <c r="GG10" s="88">
        <v>52</v>
      </c>
      <c r="GH10" s="88">
        <v>51.968057659999957</v>
      </c>
      <c r="GI10" s="28">
        <v>4.1148538357744737</v>
      </c>
      <c r="GJ10" s="29">
        <v>0.11211131379027711</v>
      </c>
      <c r="GK10" s="30">
        <f t="shared" si="21"/>
        <v>-3.7091276940950877</v>
      </c>
      <c r="GL10" s="30" t="str">
        <f t="shared" si="22"/>
        <v>*</v>
      </c>
      <c r="GM10" s="10"/>
      <c r="GN10" s="88">
        <v>91</v>
      </c>
      <c r="GO10" s="88">
        <v>91.031864010000049</v>
      </c>
      <c r="GP10" s="28">
        <v>3.0329282000604834</v>
      </c>
      <c r="GQ10" s="29">
        <v>0.14357864315674632</v>
      </c>
      <c r="GR10" s="9"/>
      <c r="GS10" s="3">
        <v>54</v>
      </c>
      <c r="GT10" s="3">
        <v>53.998599380000059</v>
      </c>
      <c r="GU10" s="69">
        <v>3.0014545451345369</v>
      </c>
      <c r="GV10" s="9">
        <v>0.19065894930794233</v>
      </c>
      <c r="GW10" s="10">
        <f t="shared" si="23"/>
        <v>0.13186836018334716</v>
      </c>
      <c r="GX10" s="10" t="str">
        <f t="shared" si="68"/>
        <v xml:space="preserve"> </v>
      </c>
      <c r="GY10" s="9"/>
      <c r="GZ10" s="27">
        <v>61</v>
      </c>
      <c r="HA10" s="27">
        <v>61.509925299999921</v>
      </c>
      <c r="HB10" s="28">
        <v>3.1178465679261671</v>
      </c>
      <c r="HC10" s="29">
        <v>0.16822770476233501</v>
      </c>
      <c r="HD10" s="10">
        <f t="shared" si="24"/>
        <v>-0.38395372879391687</v>
      </c>
      <c r="HE10" s="10" t="str">
        <f t="shared" si="69"/>
        <v xml:space="preserve"> </v>
      </c>
      <c r="HF10" s="9"/>
      <c r="HG10" s="27">
        <v>75</v>
      </c>
      <c r="HH10" s="27">
        <v>75.292058539999999</v>
      </c>
      <c r="HI10" s="28">
        <v>2.5188100711743395</v>
      </c>
      <c r="HJ10" s="29">
        <v>0.16214711729602979</v>
      </c>
      <c r="HK10" s="10">
        <f t="shared" si="25"/>
        <v>2.373812088997151</v>
      </c>
      <c r="HL10" s="10" t="str">
        <f t="shared" si="70"/>
        <v>*</v>
      </c>
      <c r="HM10" s="29"/>
      <c r="HN10" s="8">
        <v>100</v>
      </c>
      <c r="HO10" s="8">
        <v>99.804044630000163</v>
      </c>
      <c r="HP10" s="69">
        <v>2.4768060361322846</v>
      </c>
      <c r="HQ10" s="9">
        <v>0.12521870067121041</v>
      </c>
      <c r="HR10" s="10">
        <f t="shared" si="26"/>
        <v>2.9191035244861649</v>
      </c>
      <c r="HS10" s="10" t="str">
        <f t="shared" si="71"/>
        <v>*</v>
      </c>
      <c r="HT10" s="9"/>
      <c r="HU10" s="88">
        <v>682</v>
      </c>
      <c r="HV10" s="88">
        <v>681.46659739000631</v>
      </c>
      <c r="HW10" s="28">
        <v>3.5854729172758932</v>
      </c>
      <c r="HX10" s="29">
        <v>4.3706581805604994E-2</v>
      </c>
      <c r="HY10" s="30">
        <f t="shared" si="27"/>
        <v>-3.6815791663529867</v>
      </c>
      <c r="HZ10" s="30" t="str">
        <f t="shared" si="72"/>
        <v>*</v>
      </c>
      <c r="IA10" s="30"/>
      <c r="IB10" s="88">
        <v>130</v>
      </c>
      <c r="IC10" s="88">
        <v>130.01569335999966</v>
      </c>
      <c r="ID10" s="28">
        <v>3.4769114307479163</v>
      </c>
      <c r="IE10" s="29">
        <v>7.8143743256585421E-2</v>
      </c>
      <c r="IF10" s="30">
        <f t="shared" si="28"/>
        <v>-2.7160515480812997</v>
      </c>
      <c r="IG10" s="30" t="str">
        <f t="shared" si="29"/>
        <v>*</v>
      </c>
      <c r="IH10" s="30"/>
      <c r="II10" s="88">
        <v>121</v>
      </c>
      <c r="IJ10" s="88">
        <v>120.92381971999986</v>
      </c>
      <c r="IK10" s="28">
        <v>4.0570407168411622</v>
      </c>
      <c r="IL10" s="29">
        <v>9.1263810412342009E-2</v>
      </c>
      <c r="IM10" s="30">
        <f t="shared" si="30"/>
        <v>-6.0196199887257942</v>
      </c>
      <c r="IN10" s="30" t="str">
        <f t="shared" si="31"/>
        <v>*</v>
      </c>
      <c r="IO10" s="30"/>
      <c r="IP10" s="88">
        <v>108</v>
      </c>
      <c r="IQ10" s="88">
        <v>107.92021931999999</v>
      </c>
      <c r="IR10" s="28">
        <v>3.6029183468119754</v>
      </c>
      <c r="IS10" s="29">
        <v>0.12477048428766514</v>
      </c>
      <c r="IT10" s="30">
        <f t="shared" si="32"/>
        <v>-2.9965260649258512</v>
      </c>
      <c r="IU10" s="30" t="str">
        <f t="shared" si="33"/>
        <v>*</v>
      </c>
      <c r="IV10" s="30"/>
      <c r="IW10" s="88">
        <v>53</v>
      </c>
      <c r="IX10" s="88">
        <v>53.001177830000039</v>
      </c>
      <c r="IY10" s="28">
        <v>3.8500693796751411</v>
      </c>
      <c r="IZ10" s="29">
        <v>0.14604672963095014</v>
      </c>
      <c r="JA10" s="30">
        <f t="shared" si="34"/>
        <v>-3.9898789609216601</v>
      </c>
      <c r="JB10" s="30" t="str">
        <f t="shared" si="73"/>
        <v>*</v>
      </c>
      <c r="JC10" s="30"/>
      <c r="JD10" s="88">
        <v>179</v>
      </c>
      <c r="JE10" s="88">
        <v>178.57382315000032</v>
      </c>
      <c r="JF10" s="28">
        <v>3.5377809002237277</v>
      </c>
      <c r="JG10" s="29">
        <v>7.8391245526146569E-2</v>
      </c>
      <c r="JH10" s="30">
        <f t="shared" si="35"/>
        <v>-3.0861818587419019</v>
      </c>
      <c r="JI10" s="30" t="str">
        <f t="shared" si="36"/>
        <v>*</v>
      </c>
      <c r="JK10" s="27"/>
      <c r="JL10" s="27"/>
      <c r="JM10" s="28"/>
      <c r="JN10" s="29"/>
    </row>
    <row r="11" spans="1:274" x14ac:dyDescent="0.2">
      <c r="B11" s="7" t="s">
        <v>13</v>
      </c>
      <c r="C11" s="27">
        <v>334</v>
      </c>
      <c r="D11" s="27">
        <v>331.41396148999922</v>
      </c>
      <c r="E11" s="28">
        <v>3.1091231841815192</v>
      </c>
      <c r="F11" s="29">
        <v>6.2977163341395345E-2</v>
      </c>
      <c r="G11" s="29"/>
      <c r="H11" s="3">
        <v>102</v>
      </c>
      <c r="I11" s="3">
        <v>101.95158623999988</v>
      </c>
      <c r="J11" s="28">
        <v>2.9319934830275378</v>
      </c>
      <c r="K11" s="29">
        <v>0.12641144369819482</v>
      </c>
      <c r="L11" s="30">
        <f t="shared" si="37"/>
        <v>1.2541911781141144</v>
      </c>
      <c r="M11" s="30" t="str">
        <f t="shared" si="38"/>
        <v xml:space="preserve"> </v>
      </c>
      <c r="N11" s="9"/>
      <c r="O11" s="27">
        <v>36</v>
      </c>
      <c r="P11" s="27">
        <v>35.827615920000007</v>
      </c>
      <c r="Q11" s="28">
        <v>2.9443136204079301</v>
      </c>
      <c r="R11" s="29">
        <v>0.21512666576301756</v>
      </c>
      <c r="S11" s="30">
        <f t="shared" si="39"/>
        <v>0.73524718106706499</v>
      </c>
      <c r="T11" s="30" t="str">
        <f t="shared" si="40"/>
        <v xml:space="preserve"> </v>
      </c>
      <c r="U11" s="30"/>
      <c r="V11" s="27">
        <v>51</v>
      </c>
      <c r="W11" s="27">
        <v>51.486145289999996</v>
      </c>
      <c r="X11" s="28">
        <v>3.2554417501236865</v>
      </c>
      <c r="Y11" s="29">
        <v>0.17436930662928699</v>
      </c>
      <c r="Z11" s="30">
        <f t="shared" si="41"/>
        <v>-0.78923212296210477</v>
      </c>
      <c r="AA11" s="30" t="str">
        <f t="shared" si="42"/>
        <v xml:space="preserve"> </v>
      </c>
      <c r="AB11" s="9"/>
      <c r="AC11" s="8">
        <v>57</v>
      </c>
      <c r="AD11" s="8">
        <v>59.750540460000025</v>
      </c>
      <c r="AE11" s="69">
        <v>3.0133594085317843</v>
      </c>
      <c r="AF11" s="9">
        <v>0.13850735168333256</v>
      </c>
      <c r="AG11" s="30">
        <f t="shared" si="43"/>
        <v>0.62939301831514638</v>
      </c>
      <c r="AH11" s="30" t="str">
        <f t="shared" si="44"/>
        <v xml:space="preserve"> </v>
      </c>
      <c r="AI11" s="9"/>
      <c r="AJ11" s="81">
        <v>669</v>
      </c>
      <c r="AK11" s="83">
        <v>3.3325023310045787</v>
      </c>
      <c r="AL11" s="84">
        <v>4.7429011352564193E-2</v>
      </c>
      <c r="AM11" s="30">
        <f t="shared" si="45"/>
        <v>-2.8333478971211079</v>
      </c>
      <c r="AN11" s="30" t="str">
        <f t="shared" si="46"/>
        <v>*</v>
      </c>
      <c r="AO11" s="9"/>
      <c r="AP11" s="78">
        <v>63</v>
      </c>
      <c r="AQ11" s="79">
        <v>3.7485134608537911</v>
      </c>
      <c r="AR11" s="80">
        <v>0.15853523149596963</v>
      </c>
      <c r="AS11" s="30">
        <f t="shared" si="47"/>
        <v>-3.7482016312078827</v>
      </c>
      <c r="AT11" s="30" t="str">
        <f t="shared" si="48"/>
        <v>*</v>
      </c>
      <c r="AU11" s="80"/>
      <c r="AV11" s="78">
        <v>149</v>
      </c>
      <c r="AW11" s="79">
        <v>3.3427068682541079</v>
      </c>
      <c r="AX11" s="80">
        <v>8.8581889422586629E-2</v>
      </c>
      <c r="AY11" s="30">
        <f t="shared" si="49"/>
        <v>-2.1491400311214499</v>
      </c>
      <c r="AZ11" s="30" t="str">
        <f t="shared" si="50"/>
        <v>*</v>
      </c>
      <c r="BA11" s="80"/>
      <c r="BB11" s="78">
        <v>107</v>
      </c>
      <c r="BC11" s="79">
        <v>3.4053581431346105</v>
      </c>
      <c r="BD11" s="80">
        <v>0.12171530084950218</v>
      </c>
      <c r="BE11" s="30">
        <f t="shared" si="51"/>
        <v>-2.1616231693119086</v>
      </c>
      <c r="BF11" s="30" t="str">
        <f t="shared" si="52"/>
        <v>*</v>
      </c>
      <c r="BG11" s="80"/>
      <c r="BH11" s="78">
        <v>145</v>
      </c>
      <c r="BI11" s="79">
        <v>2.9379510428709676</v>
      </c>
      <c r="BJ11" s="80">
        <v>9.9431044422025883E-2</v>
      </c>
      <c r="BK11" s="30">
        <f t="shared" si="53"/>
        <v>1.4543420576641317</v>
      </c>
      <c r="BL11" s="30" t="str">
        <f t="shared" si="54"/>
        <v xml:space="preserve"> </v>
      </c>
      <c r="BM11" s="80"/>
      <c r="BN11" s="78">
        <v>129</v>
      </c>
      <c r="BO11" s="79">
        <v>2.9838276354073745</v>
      </c>
      <c r="BP11" s="80">
        <v>0.10845187357256662</v>
      </c>
      <c r="BQ11" s="30">
        <f t="shared" si="55"/>
        <v>0.99907900217402834</v>
      </c>
      <c r="BR11" s="30" t="str">
        <f t="shared" si="56"/>
        <v xml:space="preserve"> </v>
      </c>
      <c r="BS11" s="9"/>
      <c r="BT11" s="27">
        <v>1376</v>
      </c>
      <c r="BU11" s="27">
        <v>1405.6045837900283</v>
      </c>
      <c r="BV11" s="28">
        <v>3.3537202101955295</v>
      </c>
      <c r="BW11" s="29">
        <v>3.39545169691736E-2</v>
      </c>
      <c r="BX11" s="30">
        <f t="shared" si="57"/>
        <v>-3.4186704357917503</v>
      </c>
      <c r="BY11" s="30" t="str">
        <f t="shared" si="58"/>
        <v>*</v>
      </c>
      <c r="BZ11" s="30"/>
      <c r="CA11" s="27">
        <v>59</v>
      </c>
      <c r="CB11" s="27">
        <v>59</v>
      </c>
      <c r="CC11" s="28">
        <v>2.8474576271186436</v>
      </c>
      <c r="CD11" s="29">
        <v>0.15254237288135591</v>
      </c>
      <c r="CE11" s="30">
        <f t="shared" si="59"/>
        <v>1.5855519993822826</v>
      </c>
      <c r="CF11" s="30" t="str">
        <f t="shared" si="0"/>
        <v xml:space="preserve"> </v>
      </c>
      <c r="CG11" s="30"/>
      <c r="CH11" s="27">
        <v>414</v>
      </c>
      <c r="CI11" s="27">
        <v>445.73628725000077</v>
      </c>
      <c r="CJ11" s="28">
        <v>3.0639584058903671</v>
      </c>
      <c r="CK11" s="29">
        <v>5.5338053695058211E-2</v>
      </c>
      <c r="CL11" s="30">
        <f t="shared" si="60"/>
        <v>0.53872971162386352</v>
      </c>
      <c r="CM11" s="30" t="str">
        <f t="shared" si="1"/>
        <v xml:space="preserve"> </v>
      </c>
      <c r="CN11" s="30"/>
      <c r="CO11" s="27">
        <v>324</v>
      </c>
      <c r="CP11" s="27">
        <v>324.30575132999923</v>
      </c>
      <c r="CQ11" s="28">
        <v>3.0839310990272937</v>
      </c>
      <c r="CR11" s="29">
        <v>6.7737990415868574E-2</v>
      </c>
      <c r="CS11" s="30">
        <f t="shared" si="61"/>
        <v>0.27237379171412313</v>
      </c>
      <c r="CT11" s="30" t="str">
        <f t="shared" si="2"/>
        <v xml:space="preserve"> </v>
      </c>
      <c r="CU11" s="30"/>
      <c r="CV11" s="27">
        <v>39</v>
      </c>
      <c r="CW11" s="27">
        <v>39.15624024000001</v>
      </c>
      <c r="CX11" s="28">
        <v>4.7948717948717938</v>
      </c>
      <c r="CY11" s="29">
        <v>9.1133096067621197E-2</v>
      </c>
      <c r="CZ11" s="30">
        <f t="shared" si="62"/>
        <v>-15.217607760264308</v>
      </c>
      <c r="DA11" s="30" t="str">
        <f t="shared" si="3"/>
        <v>*</v>
      </c>
      <c r="DB11" s="30"/>
      <c r="DC11" s="27">
        <v>136</v>
      </c>
      <c r="DD11" s="27">
        <v>135.99234348000005</v>
      </c>
      <c r="DE11" s="28">
        <v>4.5002127703608847</v>
      </c>
      <c r="DF11" s="29">
        <v>7.9470920719003399E-2</v>
      </c>
      <c r="DG11" s="30">
        <f t="shared" si="63"/>
        <v>-13.718972082066344</v>
      </c>
      <c r="DH11" s="30" t="str">
        <f t="shared" si="4"/>
        <v>*</v>
      </c>
      <c r="DI11" s="30"/>
      <c r="DJ11" s="27">
        <v>70</v>
      </c>
      <c r="DK11" s="27">
        <v>70</v>
      </c>
      <c r="DL11" s="28">
        <v>5</v>
      </c>
      <c r="DM11" s="29">
        <v>0</v>
      </c>
      <c r="DN11" s="30">
        <f t="shared" si="64"/>
        <v>-30.024801300880341</v>
      </c>
      <c r="DO11" s="30" t="str">
        <f t="shared" si="5"/>
        <v>*</v>
      </c>
      <c r="DP11" s="8"/>
      <c r="DQ11" s="27">
        <v>132</v>
      </c>
      <c r="DR11" s="27">
        <v>132.36054059999981</v>
      </c>
      <c r="DS11" s="28">
        <v>2.8871831867540743</v>
      </c>
      <c r="DT11" s="29">
        <v>9.9970004013008901E-2</v>
      </c>
      <c r="DU11" s="29"/>
      <c r="DV11" s="27">
        <v>82</v>
      </c>
      <c r="DW11" s="27">
        <v>82.10887711000008</v>
      </c>
      <c r="DX11" s="28">
        <v>2.9366770907969606</v>
      </c>
      <c r="DY11" s="29">
        <v>0.13239958225136514</v>
      </c>
      <c r="DZ11" s="10">
        <f t="shared" si="6"/>
        <v>-0.29833121040561644</v>
      </c>
      <c r="EA11" s="10" t="str">
        <f t="shared" si="7"/>
        <v xml:space="preserve"> </v>
      </c>
      <c r="EB11" s="29"/>
      <c r="EC11" s="27">
        <v>64</v>
      </c>
      <c r="ED11" s="27">
        <v>63.334849109999965</v>
      </c>
      <c r="EE11" s="28">
        <v>2.9542109951985007</v>
      </c>
      <c r="EF11" s="29">
        <v>0.17988879733467927</v>
      </c>
      <c r="EG11" s="10">
        <f t="shared" si="8"/>
        <v>-0.32569260704994601</v>
      </c>
      <c r="EH11" s="10" t="str">
        <f t="shared" si="9"/>
        <v xml:space="preserve"> </v>
      </c>
      <c r="EI11" s="29"/>
      <c r="EJ11" s="27">
        <v>66</v>
      </c>
      <c r="EK11" s="27">
        <v>68.842712689999985</v>
      </c>
      <c r="EL11" s="28">
        <v>3.0477082510503264</v>
      </c>
      <c r="EM11" s="29">
        <v>0.15037223505729447</v>
      </c>
      <c r="EN11" s="10">
        <f t="shared" si="10"/>
        <v>-0.88898687808399124</v>
      </c>
      <c r="EO11" s="10" t="str">
        <f t="shared" si="65"/>
        <v xml:space="preserve"> </v>
      </c>
      <c r="EP11" s="29"/>
      <c r="EQ11" s="8">
        <v>95</v>
      </c>
      <c r="ER11" s="8">
        <v>95.408000100000123</v>
      </c>
      <c r="ES11" s="69">
        <v>3.1940298499140205</v>
      </c>
      <c r="ET11" s="9">
        <v>0.12750527676972023</v>
      </c>
      <c r="EU11" s="10">
        <f t="shared" si="11"/>
        <v>-1.8938411029887441</v>
      </c>
      <c r="EV11" s="10" t="str">
        <f t="shared" si="66"/>
        <v xml:space="preserve"> </v>
      </c>
      <c r="EW11" s="29"/>
      <c r="EX11" s="88">
        <v>633</v>
      </c>
      <c r="EY11" s="88">
        <v>633.56187774000057</v>
      </c>
      <c r="EZ11" s="28">
        <v>2.8165592066325456</v>
      </c>
      <c r="FA11" s="29">
        <v>4.7213253818548719E-2</v>
      </c>
      <c r="FB11" s="30">
        <f t="shared" si="12"/>
        <v>0.63879517994912216</v>
      </c>
      <c r="FC11" s="30" t="str">
        <f t="shared" si="67"/>
        <v xml:space="preserve"> </v>
      </c>
      <c r="FD11" s="30"/>
      <c r="FE11" s="27">
        <v>124</v>
      </c>
      <c r="FF11" s="27">
        <v>124.01621989999967</v>
      </c>
      <c r="FG11" s="28">
        <v>2.6450778096970531</v>
      </c>
      <c r="FH11" s="29">
        <v>9.7284318870662953E-2</v>
      </c>
      <c r="FI11" s="30">
        <f t="shared" si="13"/>
        <v>1.7356120341221957</v>
      </c>
      <c r="FJ11" s="30" t="str">
        <f t="shared" si="14"/>
        <v xml:space="preserve"> </v>
      </c>
      <c r="FK11" s="30"/>
      <c r="FL11" s="88">
        <v>50</v>
      </c>
      <c r="FM11" s="88">
        <v>50.00448362000003</v>
      </c>
      <c r="FN11" s="28">
        <v>3.1404289384000639</v>
      </c>
      <c r="FO11" s="29">
        <v>0.1428688827933127</v>
      </c>
      <c r="FP11" s="30">
        <f t="shared" si="15"/>
        <v>-1.4523321635754936</v>
      </c>
      <c r="FQ11" s="30" t="str">
        <f t="shared" si="16"/>
        <v xml:space="preserve"> </v>
      </c>
      <c r="FR11" s="30"/>
      <c r="FS11" s="88">
        <v>132</v>
      </c>
      <c r="FT11" s="88">
        <v>132.26022995999975</v>
      </c>
      <c r="FU11" s="28">
        <v>2.3706463604730308</v>
      </c>
      <c r="FV11" s="29">
        <v>0.10039205211924418</v>
      </c>
      <c r="FW11" s="30">
        <f t="shared" si="17"/>
        <v>3.6458587952516361</v>
      </c>
      <c r="FX11" s="30" t="str">
        <f t="shared" si="18"/>
        <v>*</v>
      </c>
      <c r="FY11" s="30"/>
      <c r="FZ11" s="88">
        <v>144</v>
      </c>
      <c r="GA11" s="88">
        <v>143.96255754000018</v>
      </c>
      <c r="GB11" s="28">
        <v>2.9097174802108605</v>
      </c>
      <c r="GC11" s="29">
        <v>0.1009578397043141</v>
      </c>
      <c r="GD11" s="30">
        <f t="shared" si="19"/>
        <v>-0.15860379379445125</v>
      </c>
      <c r="GE11" s="30" t="str">
        <f t="shared" si="20"/>
        <v xml:space="preserve"> </v>
      </c>
      <c r="GF11" s="30"/>
      <c r="GG11" s="88">
        <v>51</v>
      </c>
      <c r="GH11" s="88">
        <v>50.957846119999957</v>
      </c>
      <c r="GI11" s="28">
        <v>3.6268159805024358</v>
      </c>
      <c r="GJ11" s="29">
        <v>0.16567945066429177</v>
      </c>
      <c r="GK11" s="30">
        <f t="shared" si="21"/>
        <v>-3.8223186024727935</v>
      </c>
      <c r="GL11" s="30" t="str">
        <f t="shared" si="22"/>
        <v>*</v>
      </c>
      <c r="GM11" s="10"/>
      <c r="GN11" s="88">
        <v>82</v>
      </c>
      <c r="GO11" s="88">
        <v>82.050040649999971</v>
      </c>
      <c r="GP11" s="28">
        <v>2.8901403085410902</v>
      </c>
      <c r="GQ11" s="29">
        <v>0.14817849571390698</v>
      </c>
      <c r="GR11" s="9"/>
      <c r="GS11" s="3">
        <v>47</v>
      </c>
      <c r="GT11" s="3">
        <v>47.027871090000048</v>
      </c>
      <c r="GU11" s="69">
        <v>2.8308977033049016</v>
      </c>
      <c r="GV11" s="9">
        <v>0.21569126203815606</v>
      </c>
      <c r="GW11" s="10">
        <f t="shared" si="23"/>
        <v>0.22638809348524561</v>
      </c>
      <c r="GX11" s="10" t="str">
        <f t="shared" si="68"/>
        <v xml:space="preserve"> </v>
      </c>
      <c r="GY11" s="9"/>
      <c r="GZ11" s="27">
        <v>59</v>
      </c>
      <c r="HA11" s="27">
        <v>59.370737589999926</v>
      </c>
      <c r="HB11" s="28">
        <v>2.7078476209983697</v>
      </c>
      <c r="HC11" s="29">
        <v>0.18436425462259823</v>
      </c>
      <c r="HD11" s="10">
        <f t="shared" si="24"/>
        <v>0.77069168143420053</v>
      </c>
      <c r="HE11" s="10" t="str">
        <f t="shared" si="69"/>
        <v xml:space="preserve"> </v>
      </c>
      <c r="HF11" s="9"/>
      <c r="HG11" s="27">
        <v>68</v>
      </c>
      <c r="HH11" s="27">
        <v>68.232884139999982</v>
      </c>
      <c r="HI11" s="28">
        <v>2.4317797765891127</v>
      </c>
      <c r="HJ11" s="29">
        <v>0.17144922053046921</v>
      </c>
      <c r="HK11" s="10">
        <f t="shared" si="25"/>
        <v>2.0226921750298357</v>
      </c>
      <c r="HL11" s="10" t="str">
        <f t="shared" si="70"/>
        <v>*</v>
      </c>
      <c r="HM11" s="29"/>
      <c r="HN11" s="8">
        <v>84</v>
      </c>
      <c r="HO11" s="8">
        <v>84.256016570000114</v>
      </c>
      <c r="HP11" s="69">
        <v>2.4976028916008359</v>
      </c>
      <c r="HQ11" s="9">
        <v>0.13818232260053681</v>
      </c>
      <c r="HR11" s="10">
        <f t="shared" si="26"/>
        <v>1.9373943170210552</v>
      </c>
      <c r="HS11" s="10" t="str">
        <f t="shared" si="71"/>
        <v xml:space="preserve"> </v>
      </c>
      <c r="HT11" s="9"/>
      <c r="HU11" s="88">
        <v>667</v>
      </c>
      <c r="HV11" s="88">
        <v>666.39991499000598</v>
      </c>
      <c r="HW11" s="28">
        <v>3.1438216552915317</v>
      </c>
      <c r="HX11" s="29">
        <v>4.68388053537604E-2</v>
      </c>
      <c r="HY11" s="30">
        <f t="shared" si="27"/>
        <v>-1.6323876893491511</v>
      </c>
      <c r="HZ11" s="30" t="str">
        <f t="shared" si="72"/>
        <v xml:space="preserve"> </v>
      </c>
      <c r="IA11" s="30"/>
      <c r="IB11" s="88">
        <v>124</v>
      </c>
      <c r="IC11" s="88">
        <v>124.01621989999967</v>
      </c>
      <c r="ID11" s="28">
        <v>2.6450778096970531</v>
      </c>
      <c r="IE11" s="29">
        <v>9.7284318870662953E-2</v>
      </c>
      <c r="IF11" s="30">
        <f t="shared" si="28"/>
        <v>1.3825031470810085</v>
      </c>
      <c r="IG11" s="30" t="str">
        <f t="shared" si="29"/>
        <v xml:space="preserve"> </v>
      </c>
      <c r="IH11" s="30"/>
      <c r="II11" s="88">
        <v>120</v>
      </c>
      <c r="IJ11" s="88">
        <v>119.92023375999986</v>
      </c>
      <c r="IK11" s="28">
        <v>3.6746809870461341</v>
      </c>
      <c r="IL11" s="29">
        <v>0.10332907715465559</v>
      </c>
      <c r="IM11" s="30">
        <f t="shared" si="30"/>
        <v>-4.342920479043948</v>
      </c>
      <c r="IN11" s="30" t="str">
        <f t="shared" si="31"/>
        <v>*</v>
      </c>
      <c r="IO11" s="30"/>
      <c r="IP11" s="88">
        <v>111</v>
      </c>
      <c r="IQ11" s="88">
        <v>110.90299061999998</v>
      </c>
      <c r="IR11" s="28">
        <v>3.3353187113539717</v>
      </c>
      <c r="IS11" s="29">
        <v>0.12030393104176673</v>
      </c>
      <c r="IT11" s="30">
        <f t="shared" si="32"/>
        <v>-2.3324110112657426</v>
      </c>
      <c r="IU11" s="30" t="str">
        <f t="shared" si="33"/>
        <v>*</v>
      </c>
      <c r="IV11" s="30"/>
      <c r="IW11" s="88">
        <v>50</v>
      </c>
      <c r="IX11" s="88">
        <v>50.00448362000003</v>
      </c>
      <c r="IY11" s="28">
        <v>3.1404289384000639</v>
      </c>
      <c r="IZ11" s="29">
        <v>0.1428688827933127</v>
      </c>
      <c r="JA11" s="30">
        <f t="shared" si="34"/>
        <v>-1.2159624667446747</v>
      </c>
      <c r="JB11" s="30" t="str">
        <f t="shared" si="73"/>
        <v xml:space="preserve"> </v>
      </c>
      <c r="JC11" s="30"/>
      <c r="JD11" s="88">
        <v>180</v>
      </c>
      <c r="JE11" s="88">
        <v>179.50594644000034</v>
      </c>
      <c r="JF11" s="28">
        <v>3.1323355228677094</v>
      </c>
      <c r="JG11" s="29">
        <v>8.4668828216538539E-2</v>
      </c>
      <c r="JH11" s="30">
        <f t="shared" si="35"/>
        <v>-1.4191475196105288</v>
      </c>
      <c r="JI11" s="30" t="str">
        <f t="shared" si="36"/>
        <v xml:space="preserve"> </v>
      </c>
      <c r="JK11" s="27"/>
      <c r="JL11" s="27"/>
      <c r="JM11" s="28"/>
      <c r="JN11" s="29"/>
    </row>
    <row r="12" spans="1:274" x14ac:dyDescent="0.2">
      <c r="B12" s="7" t="s">
        <v>14</v>
      </c>
      <c r="C12" s="27">
        <v>1256</v>
      </c>
      <c r="D12" s="27">
        <v>1249.4169879299895</v>
      </c>
      <c r="E12" s="28">
        <v>3.6252846002793162</v>
      </c>
      <c r="F12" s="29">
        <v>3.338406714203828E-2</v>
      </c>
      <c r="G12" s="29"/>
      <c r="H12" s="3">
        <v>365</v>
      </c>
      <c r="I12" s="3">
        <v>364.66482937999979</v>
      </c>
      <c r="J12" s="28">
        <v>3.6133915185083874</v>
      </c>
      <c r="K12" s="29">
        <v>6.4053646654032043E-2</v>
      </c>
      <c r="L12" s="30">
        <f t="shared" si="37"/>
        <v>0.16465266717780161</v>
      </c>
      <c r="M12" s="30" t="str">
        <f t="shared" si="38"/>
        <v xml:space="preserve"> </v>
      </c>
      <c r="N12" s="9"/>
      <c r="O12" s="27">
        <v>265</v>
      </c>
      <c r="P12" s="27">
        <v>267.51590564999884</v>
      </c>
      <c r="Q12" s="28">
        <v>3.4264646510374708</v>
      </c>
      <c r="R12" s="29">
        <v>6.453966400395085E-2</v>
      </c>
      <c r="S12" s="30">
        <f t="shared" si="39"/>
        <v>2.7362046942618492</v>
      </c>
      <c r="T12" s="30" t="str">
        <f t="shared" si="40"/>
        <v>*</v>
      </c>
      <c r="U12" s="30"/>
      <c r="V12" s="27">
        <v>360</v>
      </c>
      <c r="W12" s="27">
        <v>372.93483951999883</v>
      </c>
      <c r="X12" s="28">
        <v>3.326662676988823</v>
      </c>
      <c r="Y12" s="29">
        <v>5.5631079787438316E-2</v>
      </c>
      <c r="Z12" s="30">
        <f t="shared" si="41"/>
        <v>4.60273614200295</v>
      </c>
      <c r="AA12" s="30" t="str">
        <f t="shared" si="42"/>
        <v>*</v>
      </c>
      <c r="AB12" s="9"/>
      <c r="AC12" s="8">
        <v>426</v>
      </c>
      <c r="AD12" s="8">
        <v>432.74486659999673</v>
      </c>
      <c r="AE12" s="69">
        <v>3.3194528241227657</v>
      </c>
      <c r="AF12" s="9">
        <v>5.4461259630642876E-2</v>
      </c>
      <c r="AG12" s="30">
        <f t="shared" si="43"/>
        <v>4.7876743125974341</v>
      </c>
      <c r="AH12" s="30" t="str">
        <f t="shared" si="44"/>
        <v>*</v>
      </c>
      <c r="AI12" s="9"/>
      <c r="AJ12" s="81">
        <v>1905</v>
      </c>
      <c r="AK12" s="83">
        <v>3.8567762845504578</v>
      </c>
      <c r="AL12" s="84">
        <v>2.4942718802527696E-2</v>
      </c>
      <c r="AM12" s="30">
        <f t="shared" si="45"/>
        <v>-5.5549620967817361</v>
      </c>
      <c r="AN12" s="30" t="str">
        <f t="shared" si="46"/>
        <v>*</v>
      </c>
      <c r="AO12" s="9"/>
      <c r="AP12" s="78">
        <v>165</v>
      </c>
      <c r="AQ12" s="79">
        <v>4.0824014556036676</v>
      </c>
      <c r="AR12" s="80">
        <v>8.1840461196847153E-2</v>
      </c>
      <c r="AS12" s="30">
        <f t="shared" si="47"/>
        <v>-5.1717341738196305</v>
      </c>
      <c r="AT12" s="30" t="str">
        <f t="shared" si="48"/>
        <v>*</v>
      </c>
      <c r="AU12" s="80"/>
      <c r="AV12" s="78">
        <v>202</v>
      </c>
      <c r="AW12" s="79">
        <v>4.0665555480743389</v>
      </c>
      <c r="AX12" s="80">
        <v>6.6710692487352605E-2</v>
      </c>
      <c r="AY12" s="30">
        <f t="shared" si="49"/>
        <v>-5.9153448807504647</v>
      </c>
      <c r="AZ12" s="30" t="str">
        <f t="shared" si="50"/>
        <v>*</v>
      </c>
      <c r="BA12" s="80"/>
      <c r="BB12" s="78">
        <v>272</v>
      </c>
      <c r="BC12" s="79">
        <v>4.0344698787118345</v>
      </c>
      <c r="BD12" s="80">
        <v>6.1336046590725349E-2</v>
      </c>
      <c r="BE12" s="30">
        <f t="shared" si="51"/>
        <v>-5.8595078651543835</v>
      </c>
      <c r="BF12" s="30" t="str">
        <f t="shared" si="52"/>
        <v>*</v>
      </c>
      <c r="BG12" s="80"/>
      <c r="BH12" s="78">
        <v>329</v>
      </c>
      <c r="BI12" s="79">
        <v>3.750679574752644</v>
      </c>
      <c r="BJ12" s="80">
        <v>6.0541926503610788E-2</v>
      </c>
      <c r="BK12" s="30">
        <f t="shared" si="53"/>
        <v>-1.8137370466053218</v>
      </c>
      <c r="BL12" s="30" t="str">
        <f t="shared" si="54"/>
        <v xml:space="preserve"> </v>
      </c>
      <c r="BM12" s="80"/>
      <c r="BN12" s="78">
        <v>369</v>
      </c>
      <c r="BO12" s="79">
        <v>3.740914012891762</v>
      </c>
      <c r="BP12" s="80">
        <v>5.7027980403358471E-2</v>
      </c>
      <c r="BQ12" s="30">
        <f t="shared" si="55"/>
        <v>-1.7498157179899008</v>
      </c>
      <c r="BR12" s="30" t="str">
        <f t="shared" si="56"/>
        <v xml:space="preserve"> </v>
      </c>
      <c r="BS12" s="9"/>
      <c r="BT12" s="27">
        <v>5474</v>
      </c>
      <c r="BU12" s="27">
        <v>5547.4017243699018</v>
      </c>
      <c r="BV12" s="28">
        <v>4.0738543540825969</v>
      </c>
      <c r="BW12" s="29">
        <v>1.4798795158769631E-2</v>
      </c>
      <c r="BX12" s="30">
        <f t="shared" si="57"/>
        <v>-12.28381964755102</v>
      </c>
      <c r="BY12" s="30" t="str">
        <f t="shared" si="58"/>
        <v>*</v>
      </c>
      <c r="BZ12" s="30"/>
      <c r="CA12" s="27">
        <v>182</v>
      </c>
      <c r="CB12" s="27">
        <v>182</v>
      </c>
      <c r="CC12" s="28">
        <v>4.0769230769230793</v>
      </c>
      <c r="CD12" s="29">
        <v>6.25590794591456E-2</v>
      </c>
      <c r="CE12" s="30">
        <f t="shared" si="59"/>
        <v>-6.369238281159487</v>
      </c>
      <c r="CF12" s="30" t="str">
        <f t="shared" si="0"/>
        <v>*</v>
      </c>
      <c r="CG12" s="30"/>
      <c r="CH12" s="27">
        <v>1369</v>
      </c>
      <c r="CI12" s="27">
        <v>1447.3625238999946</v>
      </c>
      <c r="CJ12" s="28">
        <v>3.5568723917199407</v>
      </c>
      <c r="CK12" s="29">
        <v>3.0402720126138282E-2</v>
      </c>
      <c r="CL12" s="30">
        <f t="shared" si="60"/>
        <v>1.5151095191018698</v>
      </c>
      <c r="CM12" s="30" t="str">
        <f t="shared" si="1"/>
        <v xml:space="preserve"> </v>
      </c>
      <c r="CN12" s="30"/>
      <c r="CO12" s="27">
        <v>1070</v>
      </c>
      <c r="CP12" s="27">
        <v>1070.6858384700288</v>
      </c>
      <c r="CQ12" s="28">
        <v>4.06102906244036</v>
      </c>
      <c r="CR12" s="29">
        <v>2.9573545524569957E-2</v>
      </c>
      <c r="CS12" s="30">
        <f t="shared" si="61"/>
        <v>-9.7702258065665859</v>
      </c>
      <c r="CT12" s="30" t="str">
        <f t="shared" si="2"/>
        <v>*</v>
      </c>
      <c r="CU12" s="30"/>
      <c r="CV12" s="27">
        <v>234</v>
      </c>
      <c r="CW12" s="27">
        <v>234.93744143999908</v>
      </c>
      <c r="CX12" s="28">
        <v>4.8931623931623918</v>
      </c>
      <c r="CY12" s="29">
        <v>2.8456826346451553E-2</v>
      </c>
      <c r="CZ12" s="30">
        <f t="shared" si="62"/>
        <v>-28.902970723138093</v>
      </c>
      <c r="DA12" s="30" t="str">
        <f t="shared" si="3"/>
        <v>*</v>
      </c>
      <c r="DB12" s="30"/>
      <c r="DC12" s="27">
        <v>837</v>
      </c>
      <c r="DD12" s="27">
        <v>836.99893262998978</v>
      </c>
      <c r="DE12" s="28">
        <v>4.8459528236375977</v>
      </c>
      <c r="DF12" s="29">
        <v>1.4495281351061593E-2</v>
      </c>
      <c r="DG12" s="30">
        <f t="shared" si="63"/>
        <v>-33.539282578373502</v>
      </c>
      <c r="DH12" s="30" t="str">
        <f t="shared" si="4"/>
        <v>*</v>
      </c>
      <c r="DI12" s="30"/>
      <c r="DJ12" s="27">
        <v>526</v>
      </c>
      <c r="DK12" s="27">
        <v>526</v>
      </c>
      <c r="DL12" s="28">
        <v>4.992395437262358</v>
      </c>
      <c r="DM12" s="29">
        <v>3.7914021437512502E-3</v>
      </c>
      <c r="DN12" s="30">
        <f t="shared" si="64"/>
        <v>-40.689432370654664</v>
      </c>
      <c r="DO12" s="30" t="str">
        <f t="shared" si="5"/>
        <v>*</v>
      </c>
      <c r="DP12" s="8"/>
      <c r="DQ12" s="27">
        <v>300</v>
      </c>
      <c r="DR12" s="27">
        <v>298.82666371999926</v>
      </c>
      <c r="DS12" s="28">
        <v>3.5827921950873214</v>
      </c>
      <c r="DT12" s="29">
        <v>6.8277758257197285E-2</v>
      </c>
      <c r="DU12" s="29"/>
      <c r="DV12" s="27">
        <v>181</v>
      </c>
      <c r="DW12" s="27">
        <v>180.73959861000054</v>
      </c>
      <c r="DX12" s="28">
        <v>3.3581275293726289</v>
      </c>
      <c r="DY12" s="29">
        <v>9.7911022802013969E-2</v>
      </c>
      <c r="DZ12" s="10">
        <f t="shared" si="6"/>
        <v>1.8821377682544913</v>
      </c>
      <c r="EA12" s="10" t="str">
        <f t="shared" si="7"/>
        <v xml:space="preserve"> </v>
      </c>
      <c r="EB12" s="29"/>
      <c r="EC12" s="27">
        <v>193</v>
      </c>
      <c r="ED12" s="27">
        <v>194.08253158000048</v>
      </c>
      <c r="EE12" s="28">
        <v>3.5994557759673667</v>
      </c>
      <c r="EF12" s="29">
        <v>8.0575906642163103E-2</v>
      </c>
      <c r="EG12" s="10">
        <f t="shared" si="8"/>
        <v>-0.1577780588815999</v>
      </c>
      <c r="EH12" s="10" t="str">
        <f t="shared" si="9"/>
        <v xml:space="preserve"> </v>
      </c>
      <c r="EI12" s="29"/>
      <c r="EJ12" s="27">
        <v>207</v>
      </c>
      <c r="EK12" s="27">
        <v>212.96790778000042</v>
      </c>
      <c r="EL12" s="28">
        <v>3.5653263262292638</v>
      </c>
      <c r="EM12" s="29">
        <v>7.6056730573079517E-2</v>
      </c>
      <c r="EN12" s="10">
        <f t="shared" si="10"/>
        <v>0.1708855091677299</v>
      </c>
      <c r="EO12" s="10" t="str">
        <f t="shared" si="65"/>
        <v xml:space="preserve"> </v>
      </c>
      <c r="EP12" s="29"/>
      <c r="EQ12" s="8">
        <v>241</v>
      </c>
      <c r="ER12" s="8">
        <v>240.6051429100005</v>
      </c>
      <c r="ES12" s="69">
        <v>3.4335235676529869</v>
      </c>
      <c r="ET12" s="9">
        <v>7.9961301007100333E-2</v>
      </c>
      <c r="EU12" s="10">
        <f t="shared" si="11"/>
        <v>1.4196332556213067</v>
      </c>
      <c r="EV12" s="10" t="str">
        <f t="shared" si="66"/>
        <v xml:space="preserve"> </v>
      </c>
      <c r="EW12" s="29"/>
      <c r="EX12" s="88">
        <v>1487</v>
      </c>
      <c r="EY12" s="88">
        <v>1486.1429551000026</v>
      </c>
      <c r="EZ12" s="28">
        <v>3.8047267427981173</v>
      </c>
      <c r="FA12" s="29">
        <v>2.6766728334352601E-2</v>
      </c>
      <c r="FB12" s="30">
        <f t="shared" si="12"/>
        <v>-3.026230446210699</v>
      </c>
      <c r="FC12" s="30" t="str">
        <f t="shared" si="67"/>
        <v>*</v>
      </c>
      <c r="FD12" s="30"/>
      <c r="FE12" s="27">
        <v>377</v>
      </c>
      <c r="FF12" s="27">
        <v>377.0360964600016</v>
      </c>
      <c r="FG12" s="28">
        <v>3.7983395473434021</v>
      </c>
      <c r="FH12" s="29">
        <v>4.5285372737922672E-2</v>
      </c>
      <c r="FI12" s="30">
        <f t="shared" si="13"/>
        <v>-2.6308540147596133</v>
      </c>
      <c r="FJ12" s="30" t="str">
        <f t="shared" si="14"/>
        <v>*</v>
      </c>
      <c r="FK12" s="30"/>
      <c r="FL12" s="88">
        <v>84</v>
      </c>
      <c r="FM12" s="88">
        <v>84.041493150000008</v>
      </c>
      <c r="FN12" s="28">
        <v>3.880433337826767</v>
      </c>
      <c r="FO12" s="29">
        <v>0.10353051952311963</v>
      </c>
      <c r="FP12" s="30">
        <f t="shared" si="15"/>
        <v>-2.3999868116324792</v>
      </c>
      <c r="FQ12" s="30" t="str">
        <f t="shared" si="16"/>
        <v>*</v>
      </c>
      <c r="FR12" s="30"/>
      <c r="FS12" s="88">
        <v>228</v>
      </c>
      <c r="FT12" s="88">
        <v>228.19046934000042</v>
      </c>
      <c r="FU12" s="28">
        <v>3.7530351307265519</v>
      </c>
      <c r="FV12" s="29">
        <v>6.4544233056758063E-2</v>
      </c>
      <c r="FW12" s="30">
        <f t="shared" si="17"/>
        <v>-1.8119349567505234</v>
      </c>
      <c r="FX12" s="30" t="str">
        <f t="shared" si="18"/>
        <v xml:space="preserve"> </v>
      </c>
      <c r="FY12" s="30"/>
      <c r="FZ12" s="88">
        <v>343</v>
      </c>
      <c r="GA12" s="88">
        <v>343.1157132900027</v>
      </c>
      <c r="GB12" s="28">
        <v>3.7521279392759355</v>
      </c>
      <c r="GC12" s="29">
        <v>6.039029744541248E-2</v>
      </c>
      <c r="GD12" s="30">
        <f t="shared" si="19"/>
        <v>-1.8577122072827066</v>
      </c>
      <c r="GE12" s="30" t="str">
        <f t="shared" si="20"/>
        <v xml:space="preserve"> </v>
      </c>
      <c r="GF12" s="30"/>
      <c r="GG12" s="88">
        <v>155</v>
      </c>
      <c r="GH12" s="88">
        <v>154.93251913999978</v>
      </c>
      <c r="GI12" s="28">
        <v>4.3998805435030519</v>
      </c>
      <c r="GJ12" s="29">
        <v>5.9745606919481095E-2</v>
      </c>
      <c r="GK12" s="30">
        <f t="shared" si="21"/>
        <v>-9.0060101667585677</v>
      </c>
      <c r="GL12" s="30" t="str">
        <f t="shared" si="22"/>
        <v>*</v>
      </c>
      <c r="GM12" s="10"/>
      <c r="GN12" s="88">
        <v>223</v>
      </c>
      <c r="GO12" s="88">
        <v>222.97615758000092</v>
      </c>
      <c r="GP12" s="28">
        <v>3.4705123686255952</v>
      </c>
      <c r="GQ12" s="29">
        <v>8.0347010491920848E-2</v>
      </c>
      <c r="GR12" s="9"/>
      <c r="GS12" s="3">
        <v>156</v>
      </c>
      <c r="GT12" s="3">
        <v>156.06577012000011</v>
      </c>
      <c r="GU12" s="69">
        <v>3.4687971814943421</v>
      </c>
      <c r="GV12" s="9">
        <v>9.8942179731465005E-2</v>
      </c>
      <c r="GW12" s="10">
        <f t="shared" si="23"/>
        <v>1.3457023726500022E-2</v>
      </c>
      <c r="GX12" s="10" t="str">
        <f t="shared" si="68"/>
        <v xml:space="preserve"> </v>
      </c>
      <c r="GY12" s="9"/>
      <c r="GZ12" s="27">
        <v>192</v>
      </c>
      <c r="HA12" s="27">
        <v>192.48715682999963</v>
      </c>
      <c r="HB12" s="28">
        <v>3.6125619322443185</v>
      </c>
      <c r="HC12" s="29">
        <v>8.249604412931516E-2</v>
      </c>
      <c r="HD12" s="10">
        <f t="shared" si="24"/>
        <v>-1.233524689192393</v>
      </c>
      <c r="HE12" s="10" t="str">
        <f t="shared" si="69"/>
        <v xml:space="preserve"> </v>
      </c>
      <c r="HF12" s="9"/>
      <c r="HG12" s="27">
        <v>309</v>
      </c>
      <c r="HH12" s="27">
        <v>312.34053558999921</v>
      </c>
      <c r="HI12" s="28">
        <v>3.248148074932359</v>
      </c>
      <c r="HJ12" s="29">
        <v>6.8318734681343002E-2</v>
      </c>
      <c r="HK12" s="10">
        <f t="shared" si="25"/>
        <v>2.1083965380506355</v>
      </c>
      <c r="HL12" s="10" t="str">
        <f t="shared" si="70"/>
        <v>*</v>
      </c>
      <c r="HM12" s="29"/>
      <c r="HN12" s="8">
        <v>325</v>
      </c>
      <c r="HO12" s="8">
        <v>326.83722660999916</v>
      </c>
      <c r="HP12" s="69">
        <v>3.1792346779698408</v>
      </c>
      <c r="HQ12" s="9">
        <v>6.7290723671863242E-2</v>
      </c>
      <c r="HR12" s="10">
        <f t="shared" si="26"/>
        <v>2.7792858477549318</v>
      </c>
      <c r="HS12" s="10" t="str">
        <f t="shared" si="71"/>
        <v>*</v>
      </c>
      <c r="HT12" s="9"/>
      <c r="HU12" s="88">
        <v>1402</v>
      </c>
      <c r="HV12" s="88">
        <v>1401.6588147100067</v>
      </c>
      <c r="HW12" s="28">
        <v>3.7511307190957406</v>
      </c>
      <c r="HX12" s="29">
        <v>2.8701150294947197E-2</v>
      </c>
      <c r="HY12" s="30">
        <f t="shared" si="27"/>
        <v>-3.2890337597272659</v>
      </c>
      <c r="HZ12" s="30" t="str">
        <f t="shared" si="72"/>
        <v>*</v>
      </c>
      <c r="IA12" s="30"/>
      <c r="IB12" s="88">
        <v>377</v>
      </c>
      <c r="IC12" s="88">
        <v>377.0360964600016</v>
      </c>
      <c r="ID12" s="28">
        <v>3.7983395473434021</v>
      </c>
      <c r="IE12" s="29">
        <v>4.5285372737922672E-2</v>
      </c>
      <c r="IF12" s="30">
        <f t="shared" si="28"/>
        <v>-3.5544456262319835</v>
      </c>
      <c r="IG12" s="30" t="str">
        <f t="shared" si="29"/>
        <v>*</v>
      </c>
      <c r="IH12" s="30"/>
      <c r="II12" s="88">
        <v>147</v>
      </c>
      <c r="IJ12" s="88">
        <v>146.82577413999999</v>
      </c>
      <c r="IK12" s="28">
        <v>3.945318267674554</v>
      </c>
      <c r="IL12" s="29">
        <v>8.6136721575262032E-2</v>
      </c>
      <c r="IM12" s="30">
        <f t="shared" si="30"/>
        <v>-4.0308518989821378</v>
      </c>
      <c r="IN12" s="30" t="str">
        <f t="shared" si="31"/>
        <v>*</v>
      </c>
      <c r="IO12" s="30"/>
      <c r="IP12" s="88">
        <v>307</v>
      </c>
      <c r="IQ12" s="88">
        <v>307.43877330000043</v>
      </c>
      <c r="IR12" s="28">
        <v>3.8018144650852341</v>
      </c>
      <c r="IS12" s="29">
        <v>6.7676949342197923E-2</v>
      </c>
      <c r="IT12" s="30">
        <f t="shared" si="32"/>
        <v>-3.1537121107012878</v>
      </c>
      <c r="IU12" s="30" t="str">
        <f t="shared" si="33"/>
        <v>*</v>
      </c>
      <c r="IV12" s="30"/>
      <c r="IW12" s="88">
        <v>84</v>
      </c>
      <c r="IX12" s="88">
        <v>84.041493150000008</v>
      </c>
      <c r="IY12" s="28">
        <v>3.880433337826767</v>
      </c>
      <c r="IZ12" s="29">
        <v>0.10353051952311963</v>
      </c>
      <c r="JA12" s="30">
        <f t="shared" si="34"/>
        <v>-3.1279639793763967</v>
      </c>
      <c r="JB12" s="30" t="str">
        <f t="shared" si="73"/>
        <v>*</v>
      </c>
      <c r="JC12" s="30"/>
      <c r="JD12" s="88">
        <v>264</v>
      </c>
      <c r="JE12" s="88">
        <v>263.34052008000094</v>
      </c>
      <c r="JF12" s="28">
        <v>3.7124397429723506</v>
      </c>
      <c r="JG12" s="29">
        <v>6.7553141882921469E-2</v>
      </c>
      <c r="JH12" s="30">
        <f t="shared" si="35"/>
        <v>-2.3046902222462822</v>
      </c>
      <c r="JI12" s="30" t="str">
        <f t="shared" si="36"/>
        <v>*</v>
      </c>
      <c r="JK12" s="27"/>
      <c r="JL12" s="27"/>
      <c r="JM12" s="28"/>
      <c r="JN12" s="29"/>
    </row>
    <row r="13" spans="1:274" x14ac:dyDescent="0.2">
      <c r="B13" s="7"/>
      <c r="C13" s="27"/>
      <c r="D13" s="27"/>
      <c r="E13" s="28"/>
      <c r="F13" s="29"/>
      <c r="G13" s="29"/>
      <c r="H13" s="3"/>
      <c r="I13" s="3"/>
      <c r="J13" s="28"/>
      <c r="K13" s="29"/>
      <c r="L13" s="30"/>
      <c r="M13" s="30"/>
      <c r="N13" s="9"/>
      <c r="O13" s="27"/>
      <c r="P13" s="27"/>
      <c r="Q13" s="28"/>
      <c r="R13" s="29"/>
      <c r="S13" s="30"/>
      <c r="T13" s="30"/>
      <c r="U13" s="30"/>
      <c r="V13" s="27"/>
      <c r="W13" s="27"/>
      <c r="X13" s="28"/>
      <c r="Y13" s="29"/>
      <c r="Z13" s="30"/>
      <c r="AA13" s="30"/>
      <c r="AB13" s="9"/>
      <c r="AC13" s="8"/>
      <c r="AD13" s="8"/>
      <c r="AE13" s="69"/>
      <c r="AF13" s="9"/>
      <c r="AG13" s="30"/>
      <c r="AH13" s="30"/>
      <c r="AI13" s="9"/>
      <c r="AJ13" s="81"/>
      <c r="AK13" s="83"/>
      <c r="AL13" s="84"/>
      <c r="AM13" s="30"/>
      <c r="AN13" s="30"/>
      <c r="AO13" s="9"/>
      <c r="AP13" s="78"/>
      <c r="AQ13" s="79"/>
      <c r="AR13" s="80"/>
      <c r="AS13" s="30"/>
      <c r="AT13" s="30"/>
      <c r="AU13" s="80"/>
      <c r="AV13" s="78"/>
      <c r="AW13" s="79"/>
      <c r="AX13" s="80"/>
      <c r="AY13" s="30"/>
      <c r="AZ13" s="30"/>
      <c r="BA13" s="80"/>
      <c r="BB13" s="78"/>
      <c r="BC13" s="79"/>
      <c r="BD13" s="80"/>
      <c r="BE13" s="30"/>
      <c r="BF13" s="30"/>
      <c r="BG13" s="80"/>
      <c r="BH13" s="78"/>
      <c r="BI13" s="79"/>
      <c r="BJ13" s="80"/>
      <c r="BK13" s="30"/>
      <c r="BL13" s="30"/>
      <c r="BM13" s="80"/>
      <c r="BN13" s="78"/>
      <c r="BO13" s="79"/>
      <c r="BP13" s="80"/>
      <c r="BQ13" s="30"/>
      <c r="BR13" s="30"/>
      <c r="BS13" s="9"/>
      <c r="BT13" s="27"/>
      <c r="BU13" s="27"/>
      <c r="BV13" s="28"/>
      <c r="BW13" s="29"/>
      <c r="BX13" s="30"/>
      <c r="BY13" s="30"/>
      <c r="BZ13" s="30"/>
      <c r="CA13" s="27"/>
      <c r="CB13" s="27"/>
      <c r="CC13" s="28"/>
      <c r="CD13" s="29"/>
      <c r="CE13" s="30"/>
      <c r="CF13" s="30"/>
      <c r="CG13" s="30"/>
      <c r="CH13" s="27"/>
      <c r="CI13" s="27"/>
      <c r="CJ13" s="28"/>
      <c r="CK13" s="29"/>
      <c r="CL13" s="30"/>
      <c r="CM13" s="30"/>
      <c r="CN13" s="30"/>
      <c r="CO13" s="27"/>
      <c r="CP13" s="27"/>
      <c r="CQ13" s="28"/>
      <c r="CR13" s="29"/>
      <c r="CS13" s="30"/>
      <c r="CT13" s="30"/>
      <c r="CU13" s="30"/>
      <c r="CV13" s="27"/>
      <c r="CW13" s="27"/>
      <c r="CX13" s="28"/>
      <c r="CY13" s="29"/>
      <c r="CZ13" s="30"/>
      <c r="DA13" s="30"/>
      <c r="DB13" s="30"/>
      <c r="DC13" s="27"/>
      <c r="DD13" s="27"/>
      <c r="DE13" s="28"/>
      <c r="DF13" s="29"/>
      <c r="DG13" s="30"/>
      <c r="DH13" s="30"/>
      <c r="DI13" s="30"/>
      <c r="DJ13" s="27"/>
      <c r="DK13" s="27"/>
      <c r="DL13" s="28"/>
      <c r="DM13" s="29"/>
      <c r="DN13" s="30"/>
      <c r="DO13" s="30"/>
      <c r="DP13" s="8"/>
      <c r="DQ13" s="27"/>
      <c r="DR13" s="27"/>
      <c r="DS13" s="28"/>
      <c r="DT13" s="29"/>
      <c r="DU13" s="29"/>
      <c r="DV13" s="27"/>
      <c r="DW13" s="27"/>
      <c r="DX13" s="28"/>
      <c r="DY13" s="29"/>
      <c r="DZ13" s="10"/>
      <c r="EA13" s="10"/>
      <c r="EB13" s="29"/>
      <c r="EC13" s="27"/>
      <c r="ED13" s="27"/>
      <c r="EE13" s="28"/>
      <c r="EF13" s="29"/>
      <c r="EG13" s="10"/>
      <c r="EH13" s="10"/>
      <c r="EI13" s="29"/>
      <c r="EJ13" s="27"/>
      <c r="EK13" s="27"/>
      <c r="EL13" s="28"/>
      <c r="EM13" s="29"/>
      <c r="EN13" s="10"/>
      <c r="EO13" s="10"/>
      <c r="EP13" s="29"/>
      <c r="EQ13" s="8"/>
      <c r="ER13" s="8"/>
      <c r="ES13" s="69"/>
      <c r="ET13" s="9"/>
      <c r="EU13" s="10"/>
      <c r="EV13" s="10"/>
      <c r="EW13" s="29"/>
      <c r="EX13" s="88"/>
      <c r="EY13" s="88"/>
      <c r="EZ13" s="28"/>
      <c r="FA13" s="29"/>
      <c r="FB13" s="30"/>
      <c r="FC13" s="30"/>
      <c r="FD13" s="30"/>
      <c r="FE13" s="27"/>
      <c r="FF13" s="27"/>
      <c r="FG13" s="28"/>
      <c r="FH13" s="29"/>
      <c r="FI13" s="30"/>
      <c r="FJ13" s="30"/>
      <c r="FK13" s="30"/>
      <c r="FL13" s="88"/>
      <c r="FM13" s="88"/>
      <c r="FN13" s="28"/>
      <c r="FO13" s="29"/>
      <c r="FP13" s="30"/>
      <c r="FQ13" s="30"/>
      <c r="FR13" s="30"/>
      <c r="FS13" s="88"/>
      <c r="FT13" s="88"/>
      <c r="FU13" s="28"/>
      <c r="FV13" s="29"/>
      <c r="FW13" s="30"/>
      <c r="FX13" s="30"/>
      <c r="FY13" s="30"/>
      <c r="FZ13" s="88"/>
      <c r="GA13" s="88"/>
      <c r="GB13" s="28"/>
      <c r="GC13" s="29"/>
      <c r="GD13" s="30"/>
      <c r="GE13" s="30"/>
      <c r="GF13" s="30"/>
      <c r="GG13" s="88"/>
      <c r="GH13" s="88"/>
      <c r="GI13" s="28"/>
      <c r="GJ13" s="29"/>
      <c r="GK13" s="30"/>
      <c r="GL13" s="30"/>
      <c r="GM13" s="10"/>
      <c r="GN13" s="88"/>
      <c r="GO13" s="88"/>
      <c r="GP13" s="28"/>
      <c r="GQ13" s="29"/>
      <c r="GR13" s="9"/>
      <c r="GS13" s="3"/>
      <c r="GT13" s="3"/>
      <c r="GU13" s="69"/>
      <c r="GV13" s="9"/>
      <c r="GW13" s="10"/>
      <c r="GX13" s="10"/>
      <c r="GY13" s="9"/>
      <c r="GZ13" s="27"/>
      <c r="HA13" s="27"/>
      <c r="HB13" s="28"/>
      <c r="HC13" s="29"/>
      <c r="HD13" s="10"/>
      <c r="HE13" s="10"/>
      <c r="HF13" s="9"/>
      <c r="HG13" s="27"/>
      <c r="HH13" s="27"/>
      <c r="HI13" s="28"/>
      <c r="HJ13" s="29"/>
      <c r="HK13" s="10"/>
      <c r="HL13" s="10"/>
      <c r="HM13" s="29"/>
      <c r="HN13" s="8"/>
      <c r="HO13" s="8"/>
      <c r="HP13" s="69"/>
      <c r="HQ13" s="9"/>
      <c r="HR13" s="10"/>
      <c r="HS13" s="10"/>
      <c r="HT13" s="9"/>
      <c r="HU13" s="88"/>
      <c r="HV13" s="88"/>
      <c r="HW13" s="28"/>
      <c r="HX13" s="29"/>
      <c r="HY13" s="30"/>
      <c r="HZ13" s="30"/>
      <c r="IA13" s="30"/>
      <c r="IB13" s="88"/>
      <c r="IC13" s="88"/>
      <c r="ID13" s="28"/>
      <c r="IE13" s="29"/>
      <c r="IF13" s="30"/>
      <c r="IG13" s="30"/>
      <c r="IH13" s="30"/>
      <c r="II13" s="88"/>
      <c r="IJ13" s="88"/>
      <c r="IK13" s="28"/>
      <c r="IL13" s="29"/>
      <c r="IM13" s="30"/>
      <c r="IN13" s="30"/>
      <c r="IO13" s="30"/>
      <c r="IP13" s="88"/>
      <c r="IQ13" s="88"/>
      <c r="IR13" s="28"/>
      <c r="IS13" s="29"/>
      <c r="IT13" s="30"/>
      <c r="IU13" s="30"/>
      <c r="IV13" s="30"/>
      <c r="IW13" s="88"/>
      <c r="IX13" s="88"/>
      <c r="IY13" s="28"/>
      <c r="IZ13" s="29"/>
      <c r="JA13" s="30"/>
      <c r="JB13" s="30"/>
      <c r="JC13" s="30"/>
      <c r="JD13" s="88"/>
      <c r="JE13" s="88"/>
      <c r="JF13" s="28"/>
      <c r="JG13" s="29"/>
      <c r="JH13" s="30"/>
      <c r="JI13" s="30"/>
      <c r="JK13" s="27"/>
      <c r="JL13" s="27"/>
      <c r="JM13" s="28"/>
      <c r="JN13" s="29"/>
    </row>
    <row r="14" spans="1:274" x14ac:dyDescent="0.2">
      <c r="A14" s="73"/>
      <c r="B14" s="7" t="s">
        <v>15</v>
      </c>
      <c r="C14" s="27">
        <v>2682</v>
      </c>
      <c r="D14" s="27">
        <v>2677.2872178699299</v>
      </c>
      <c r="E14" s="28">
        <v>3.8004476640817613</v>
      </c>
      <c r="F14" s="29">
        <v>2.3144382149254225E-2</v>
      </c>
      <c r="G14" s="29"/>
      <c r="H14" s="3">
        <v>858</v>
      </c>
      <c r="I14" s="3">
        <v>857.63984136001159</v>
      </c>
      <c r="J14" s="28">
        <v>3.8463141894259638</v>
      </c>
      <c r="K14" s="29">
        <v>3.9513961974531456E-2</v>
      </c>
      <c r="L14" s="30">
        <f t="shared" si="37"/>
        <v>-1.0016015980079067</v>
      </c>
      <c r="M14" s="30" t="str">
        <f t="shared" si="38"/>
        <v xml:space="preserve"> </v>
      </c>
      <c r="N14" s="9"/>
      <c r="O14" s="27">
        <v>705</v>
      </c>
      <c r="P14" s="27">
        <v>706.35578601000168</v>
      </c>
      <c r="Q14" s="28">
        <v>3.4853803355341206</v>
      </c>
      <c r="R14" s="29">
        <v>4.4536743523132194E-2</v>
      </c>
      <c r="S14" s="30">
        <f t="shared" si="39"/>
        <v>6.2773078879891351</v>
      </c>
      <c r="T14" s="30" t="str">
        <f t="shared" si="40"/>
        <v>*</v>
      </c>
      <c r="U14" s="30"/>
      <c r="V14" s="27">
        <v>734</v>
      </c>
      <c r="W14" s="27">
        <v>747.37120215000812</v>
      </c>
      <c r="X14" s="28">
        <v>3.7439870447783195</v>
      </c>
      <c r="Y14" s="29">
        <v>4.0518099985730228E-2</v>
      </c>
      <c r="Z14" s="30">
        <f t="shared" si="41"/>
        <v>1.2099812411582538</v>
      </c>
      <c r="AA14" s="30" t="str">
        <f t="shared" si="42"/>
        <v xml:space="preserve"> </v>
      </c>
      <c r="AB14" s="9"/>
      <c r="AC14" s="8">
        <v>1127</v>
      </c>
      <c r="AD14" s="8">
        <v>1132.3148295400024</v>
      </c>
      <c r="AE14" s="69">
        <v>3.2923209343592763</v>
      </c>
      <c r="AF14" s="9">
        <v>3.4362914472203097E-2</v>
      </c>
      <c r="AG14" s="30">
        <f t="shared" si="43"/>
        <v>12.264607089490264</v>
      </c>
      <c r="AH14" s="30" t="str">
        <f t="shared" si="44"/>
        <v>*</v>
      </c>
      <c r="AI14" s="9"/>
      <c r="AJ14" s="81">
        <v>4481</v>
      </c>
      <c r="AK14" s="83">
        <v>4.1024146497427934</v>
      </c>
      <c r="AL14" s="84">
        <v>1.5045717656593436E-2</v>
      </c>
      <c r="AM14" s="30">
        <f t="shared" si="45"/>
        <v>-10.938850995241124</v>
      </c>
      <c r="AN14" s="30" t="str">
        <f t="shared" si="46"/>
        <v>*</v>
      </c>
      <c r="AO14" s="9"/>
      <c r="AP14" s="78">
        <v>426</v>
      </c>
      <c r="AQ14" s="79">
        <v>4.2853996913820955</v>
      </c>
      <c r="AR14" s="80">
        <v>4.5376276398578802E-2</v>
      </c>
      <c r="AS14" s="30">
        <f t="shared" si="47"/>
        <v>-9.5204572509252454</v>
      </c>
      <c r="AT14" s="30" t="str">
        <f t="shared" si="48"/>
        <v>*</v>
      </c>
      <c r="AU14" s="80"/>
      <c r="AV14" s="78">
        <v>594</v>
      </c>
      <c r="AW14" s="79">
        <v>4.105471928093805</v>
      </c>
      <c r="AX14" s="80">
        <v>3.936830322643603E-2</v>
      </c>
      <c r="AY14" s="30">
        <f t="shared" si="49"/>
        <v>-6.6792332862573884</v>
      </c>
      <c r="AZ14" s="30" t="str">
        <f t="shared" si="50"/>
        <v>*</v>
      </c>
      <c r="BA14" s="80"/>
      <c r="BB14" s="78">
        <v>588</v>
      </c>
      <c r="BC14" s="79">
        <v>4.1576514263674547</v>
      </c>
      <c r="BD14" s="80">
        <v>4.1247442462084449E-2</v>
      </c>
      <c r="BE14" s="30">
        <f t="shared" si="51"/>
        <v>-7.5523425474578199</v>
      </c>
      <c r="BF14" s="30" t="str">
        <f t="shared" si="52"/>
        <v>*</v>
      </c>
      <c r="BG14" s="80"/>
      <c r="BH14" s="78">
        <v>951</v>
      </c>
      <c r="BI14" s="79">
        <v>4.0325950008950846</v>
      </c>
      <c r="BJ14" s="80">
        <v>3.5925810281160236E-2</v>
      </c>
      <c r="BK14" s="30">
        <f t="shared" si="53"/>
        <v>-5.4321846356227885</v>
      </c>
      <c r="BL14" s="30" t="str">
        <f t="shared" si="54"/>
        <v>*</v>
      </c>
      <c r="BM14" s="80"/>
      <c r="BN14" s="78">
        <v>1056</v>
      </c>
      <c r="BO14" s="79">
        <v>4.0800329090748795</v>
      </c>
      <c r="BP14" s="80">
        <v>3.2679027324267911E-2</v>
      </c>
      <c r="BQ14" s="30">
        <f t="shared" si="55"/>
        <v>-6.9818218475484128</v>
      </c>
      <c r="BR14" s="30" t="str">
        <f t="shared" si="56"/>
        <v>*</v>
      </c>
      <c r="BS14" s="9"/>
      <c r="BT14" s="27">
        <v>9706</v>
      </c>
      <c r="BU14" s="27">
        <v>9782.2524691891049</v>
      </c>
      <c r="BV14" s="28">
        <v>4.0894563360806879</v>
      </c>
      <c r="BW14" s="29">
        <v>1.1016522554360121E-2</v>
      </c>
      <c r="BX14" s="30">
        <f t="shared" si="57"/>
        <v>-11.275077409852907</v>
      </c>
      <c r="BY14" s="30" t="str">
        <f t="shared" si="58"/>
        <v>*</v>
      </c>
      <c r="BZ14" s="30"/>
      <c r="CA14" s="27">
        <v>267</v>
      </c>
      <c r="CB14" s="27">
        <v>267</v>
      </c>
      <c r="CC14" s="28">
        <v>3.8089887640449431</v>
      </c>
      <c r="CD14" s="29">
        <v>6.534464305274397E-2</v>
      </c>
      <c r="CE14" s="30">
        <f t="shared" si="59"/>
        <v>-0.12320850335316938</v>
      </c>
      <c r="CF14" s="30" t="str">
        <f t="shared" si="0"/>
        <v xml:space="preserve"> </v>
      </c>
      <c r="CG14" s="30"/>
      <c r="CH14" s="27">
        <v>2689</v>
      </c>
      <c r="CI14" s="27">
        <v>2767.2623655799189</v>
      </c>
      <c r="CJ14" s="28">
        <v>3.9762131380751007</v>
      </c>
      <c r="CK14" s="29">
        <v>2.018470346010633E-2</v>
      </c>
      <c r="CL14" s="30">
        <f t="shared" si="60"/>
        <v>-5.7234543722947864</v>
      </c>
      <c r="CM14" s="30" t="str">
        <f t="shared" si="1"/>
        <v>*</v>
      </c>
      <c r="CN14" s="30"/>
      <c r="CO14" s="27">
        <v>2333</v>
      </c>
      <c r="CP14" s="27">
        <v>2333.7887422300323</v>
      </c>
      <c r="CQ14" s="28">
        <v>4.0135031511892123</v>
      </c>
      <c r="CR14" s="29">
        <v>2.2414823400919062E-2</v>
      </c>
      <c r="CS14" s="30">
        <f t="shared" si="61"/>
        <v>-6.6126555830652904</v>
      </c>
      <c r="CT14" s="30" t="str">
        <f t="shared" si="2"/>
        <v>*</v>
      </c>
      <c r="CU14" s="30"/>
      <c r="CV14" s="27">
        <v>481</v>
      </c>
      <c r="CW14" s="27">
        <v>482.92696296000275</v>
      </c>
      <c r="CX14" s="28">
        <v>4.8461538461538458</v>
      </c>
      <c r="CY14" s="29">
        <v>2.2236084071292423E-2</v>
      </c>
      <c r="CZ14" s="30">
        <f t="shared" si="62"/>
        <v>-32.581325350114518</v>
      </c>
      <c r="DA14" s="30" t="str">
        <f t="shared" si="3"/>
        <v>*</v>
      </c>
      <c r="DB14" s="30"/>
      <c r="DC14" s="27">
        <v>869</v>
      </c>
      <c r="DD14" s="27">
        <v>868.98718054998915</v>
      </c>
      <c r="DE14" s="28">
        <v>4.8136182869378086</v>
      </c>
      <c r="DF14" s="29">
        <v>1.4370092900893772E-2</v>
      </c>
      <c r="DG14" s="30">
        <f t="shared" si="63"/>
        <v>-37.190604141494369</v>
      </c>
      <c r="DH14" s="30" t="str">
        <f t="shared" si="4"/>
        <v>*</v>
      </c>
      <c r="DI14" s="30"/>
      <c r="DJ14" s="27">
        <v>385</v>
      </c>
      <c r="DK14" s="27">
        <v>385</v>
      </c>
      <c r="DL14" s="28">
        <v>4.9844155844155829</v>
      </c>
      <c r="DM14" s="29">
        <v>8.9742045201852364E-3</v>
      </c>
      <c r="DN14" s="30">
        <f t="shared" si="64"/>
        <v>-47.695732297751711</v>
      </c>
      <c r="DO14" s="30" t="str">
        <f t="shared" si="5"/>
        <v>*</v>
      </c>
      <c r="DP14" s="8"/>
      <c r="DQ14" s="27">
        <v>804</v>
      </c>
      <c r="DR14" s="27">
        <v>803.35153476000414</v>
      </c>
      <c r="DS14" s="28">
        <v>3.7811637918728596</v>
      </c>
      <c r="DT14" s="29">
        <v>4.2641208261753612E-2</v>
      </c>
      <c r="DU14" s="29"/>
      <c r="DV14" s="27">
        <v>526</v>
      </c>
      <c r="DW14" s="27">
        <v>525.87920742999643</v>
      </c>
      <c r="DX14" s="28">
        <v>3.9442297777025064</v>
      </c>
      <c r="DY14" s="29">
        <v>5.0780305983121783E-2</v>
      </c>
      <c r="DZ14" s="10">
        <f t="shared" si="6"/>
        <v>-2.459175297628696</v>
      </c>
      <c r="EA14" s="10" t="str">
        <f t="shared" si="7"/>
        <v>*</v>
      </c>
      <c r="EB14" s="29"/>
      <c r="EC14" s="27">
        <v>589</v>
      </c>
      <c r="ED14" s="27">
        <v>589.56543086999943</v>
      </c>
      <c r="EE14" s="28">
        <v>4.0176739645243877</v>
      </c>
      <c r="EF14" s="29">
        <v>4.4117230030671584E-2</v>
      </c>
      <c r="EG14" s="10">
        <f t="shared" si="8"/>
        <v>-3.8546970778462679</v>
      </c>
      <c r="EH14" s="10" t="str">
        <f t="shared" si="9"/>
        <v>*</v>
      </c>
      <c r="EI14" s="29"/>
      <c r="EJ14" s="27">
        <v>551</v>
      </c>
      <c r="EK14" s="27">
        <v>554.30410159000201</v>
      </c>
      <c r="EL14" s="28">
        <v>3.9824890564003423</v>
      </c>
      <c r="EM14" s="29">
        <v>4.6223798990378248E-2</v>
      </c>
      <c r="EN14" s="10">
        <f t="shared" si="10"/>
        <v>-3.2013256417476232</v>
      </c>
      <c r="EO14" s="10" t="str">
        <f t="shared" si="65"/>
        <v>*</v>
      </c>
      <c r="EP14" s="29"/>
      <c r="EQ14" s="8">
        <v>644</v>
      </c>
      <c r="ER14" s="8">
        <v>643.9531431399987</v>
      </c>
      <c r="ES14" s="69">
        <v>3.897172642069695</v>
      </c>
      <c r="ET14" s="9">
        <v>4.431295393160696E-2</v>
      </c>
      <c r="EU14" s="10">
        <f t="shared" si="11"/>
        <v>-1.8864074255756793</v>
      </c>
      <c r="EV14" s="10" t="str">
        <f t="shared" si="66"/>
        <v xml:space="preserve"> </v>
      </c>
      <c r="EW14" s="29"/>
      <c r="EX14" s="88">
        <v>3723</v>
      </c>
      <c r="EY14" s="88">
        <v>3721.9834465498416</v>
      </c>
      <c r="EZ14" s="28">
        <v>4.0009268635982718</v>
      </c>
      <c r="FA14" s="29">
        <v>1.7606138696034255E-2</v>
      </c>
      <c r="FB14" s="30">
        <f t="shared" si="12"/>
        <v>-4.76369033265558</v>
      </c>
      <c r="FC14" s="30" t="str">
        <f t="shared" si="67"/>
        <v>*</v>
      </c>
      <c r="FD14" s="30"/>
      <c r="FE14" s="27">
        <v>965</v>
      </c>
      <c r="FF14" s="27">
        <v>965.05296305999968</v>
      </c>
      <c r="FG14" s="28">
        <v>4.1492059480377437</v>
      </c>
      <c r="FH14" s="29">
        <v>2.9590300260920292E-2</v>
      </c>
      <c r="FI14" s="30">
        <f t="shared" si="13"/>
        <v>-7.0910439232509113</v>
      </c>
      <c r="FJ14" s="30" t="str">
        <f t="shared" si="14"/>
        <v>*</v>
      </c>
      <c r="FK14" s="30"/>
      <c r="FL14" s="88">
        <v>246</v>
      </c>
      <c r="FM14" s="88">
        <v>245.95235066999922</v>
      </c>
      <c r="FN14" s="28">
        <v>4.187124807893178</v>
      </c>
      <c r="FO14" s="29">
        <v>6.4323017292449783E-2</v>
      </c>
      <c r="FP14" s="30">
        <f t="shared" si="15"/>
        <v>-5.2603795209265494</v>
      </c>
      <c r="FQ14" s="30" t="str">
        <f t="shared" si="16"/>
        <v>*</v>
      </c>
      <c r="FR14" s="30"/>
      <c r="FS14" s="88">
        <v>449</v>
      </c>
      <c r="FT14" s="88">
        <v>448.6361300699968</v>
      </c>
      <c r="FU14" s="28">
        <v>3.9584960994623981</v>
      </c>
      <c r="FV14" s="29">
        <v>4.9279130338274954E-2</v>
      </c>
      <c r="FW14" s="30">
        <f t="shared" si="17"/>
        <v>-2.7212083938800689</v>
      </c>
      <c r="FX14" s="30" t="str">
        <f t="shared" si="18"/>
        <v>*</v>
      </c>
      <c r="FY14" s="30"/>
      <c r="FZ14" s="88">
        <v>947</v>
      </c>
      <c r="GA14" s="88">
        <v>947.04331431000833</v>
      </c>
      <c r="GB14" s="28">
        <v>3.9070004066876618</v>
      </c>
      <c r="GC14" s="29">
        <v>3.69600357368947E-2</v>
      </c>
      <c r="GD14" s="30">
        <f t="shared" si="19"/>
        <v>-2.2299693138825716</v>
      </c>
      <c r="GE14" s="30" t="str">
        <f t="shared" si="20"/>
        <v>*</v>
      </c>
      <c r="GF14" s="30"/>
      <c r="GG14" s="88">
        <v>312</v>
      </c>
      <c r="GH14" s="88">
        <v>311.94715367999936</v>
      </c>
      <c r="GI14" s="28">
        <v>4.3075249678296723</v>
      </c>
      <c r="GJ14" s="29">
        <v>4.9585114197806784E-2</v>
      </c>
      <c r="GK14" s="30">
        <f t="shared" si="21"/>
        <v>-8.0485277834809903</v>
      </c>
      <c r="GL14" s="30" t="str">
        <f t="shared" si="22"/>
        <v>*</v>
      </c>
      <c r="GM14" s="10"/>
      <c r="GN14" s="88">
        <v>803</v>
      </c>
      <c r="GO14" s="88">
        <v>802.98906216000785</v>
      </c>
      <c r="GP14" s="28">
        <v>3.9758906218623671</v>
      </c>
      <c r="GQ14" s="29">
        <v>4.1162479318034094E-2</v>
      </c>
      <c r="GR14" s="9"/>
      <c r="GS14" s="3">
        <v>562</v>
      </c>
      <c r="GT14" s="3">
        <v>562.05669403999559</v>
      </c>
      <c r="GU14" s="69">
        <v>4.1334893795334091</v>
      </c>
      <c r="GV14" s="9">
        <v>4.2702530529253872E-2</v>
      </c>
      <c r="GW14" s="10">
        <f t="shared" si="23"/>
        <v>-2.6571359295962087</v>
      </c>
      <c r="GX14" s="10" t="str">
        <f t="shared" si="68"/>
        <v>*</v>
      </c>
      <c r="GY14" s="9"/>
      <c r="GZ14" s="27">
        <v>610</v>
      </c>
      <c r="HA14" s="27">
        <v>610.64868296000304</v>
      </c>
      <c r="HB14" s="28">
        <v>4.3405800244944182</v>
      </c>
      <c r="HC14" s="29">
        <v>3.5432276285378921E-2</v>
      </c>
      <c r="HD14" s="10">
        <f t="shared" si="24"/>
        <v>-6.7147084297464312</v>
      </c>
      <c r="HE14" s="10" t="str">
        <f t="shared" si="69"/>
        <v>*</v>
      </c>
      <c r="HF14" s="9"/>
      <c r="HG14" s="27">
        <v>1179</v>
      </c>
      <c r="HH14" s="27">
        <v>1179.9975668699933</v>
      </c>
      <c r="HI14" s="28">
        <v>4.0450411581364412</v>
      </c>
      <c r="HJ14" s="29">
        <v>3.1010287469858365E-2</v>
      </c>
      <c r="HK14" s="10">
        <f t="shared" si="25"/>
        <v>-1.3417837510022717</v>
      </c>
      <c r="HL14" s="10" t="str">
        <f t="shared" si="70"/>
        <v xml:space="preserve"> </v>
      </c>
      <c r="HM14" s="29"/>
      <c r="HN14" s="8">
        <v>1198</v>
      </c>
      <c r="HO14" s="8">
        <v>1201.8963011899953</v>
      </c>
      <c r="HP14" s="69">
        <v>3.9639010415066323</v>
      </c>
      <c r="HQ14" s="9">
        <v>3.1823261150891534E-2</v>
      </c>
      <c r="HR14" s="10">
        <f t="shared" si="26"/>
        <v>0.23043809032142454</v>
      </c>
      <c r="HS14" s="10" t="str">
        <f t="shared" si="71"/>
        <v xml:space="preserve"> </v>
      </c>
      <c r="HT14" s="9"/>
      <c r="HU14" s="88">
        <v>4007</v>
      </c>
      <c r="HV14" s="88">
        <v>4008.020514439836</v>
      </c>
      <c r="HW14" s="28">
        <v>4.119516267624916</v>
      </c>
      <c r="HX14" s="29">
        <v>1.6415418944929008E-2</v>
      </c>
      <c r="HY14" s="30">
        <f t="shared" si="27"/>
        <v>-3.2410194131938801</v>
      </c>
      <c r="HZ14" s="30" t="str">
        <f t="shared" si="72"/>
        <v>*</v>
      </c>
      <c r="IA14" s="30"/>
      <c r="IB14" s="88">
        <v>965</v>
      </c>
      <c r="IC14" s="88">
        <v>965.05296305999968</v>
      </c>
      <c r="ID14" s="28">
        <v>4.1492059480377437</v>
      </c>
      <c r="IE14" s="29">
        <v>2.9590300260920292E-2</v>
      </c>
      <c r="IF14" s="30">
        <f t="shared" si="28"/>
        <v>-3.4188169688198351</v>
      </c>
      <c r="IG14" s="30" t="str">
        <f t="shared" si="29"/>
        <v>*</v>
      </c>
      <c r="IH14" s="30"/>
      <c r="II14" s="88">
        <v>481</v>
      </c>
      <c r="IJ14" s="88">
        <v>480.8120413600027</v>
      </c>
      <c r="IK14" s="28">
        <v>4.1797706910074712</v>
      </c>
      <c r="IL14" s="29">
        <v>4.5718654791992629E-2</v>
      </c>
      <c r="IM14" s="30">
        <f t="shared" si="30"/>
        <v>-3.3141177114355695</v>
      </c>
      <c r="IN14" s="30" t="str">
        <f t="shared" si="31"/>
        <v>*</v>
      </c>
      <c r="IO14" s="30"/>
      <c r="IP14" s="88">
        <v>683</v>
      </c>
      <c r="IQ14" s="88">
        <v>682.76068314000759</v>
      </c>
      <c r="IR14" s="28">
        <v>4.084578652910154</v>
      </c>
      <c r="IS14" s="29">
        <v>4.310010386182505E-2</v>
      </c>
      <c r="IT14" s="30">
        <f t="shared" si="32"/>
        <v>-1.8236738004072603</v>
      </c>
      <c r="IU14" s="30" t="str">
        <f t="shared" si="33"/>
        <v xml:space="preserve"> </v>
      </c>
      <c r="IV14" s="30"/>
      <c r="IW14" s="88">
        <v>246</v>
      </c>
      <c r="IX14" s="88">
        <v>245.95235066999922</v>
      </c>
      <c r="IY14" s="28">
        <v>4.187124807893178</v>
      </c>
      <c r="IZ14" s="29">
        <v>6.4323017292449783E-2</v>
      </c>
      <c r="JA14" s="30">
        <f t="shared" si="34"/>
        <v>-2.7660682085768062</v>
      </c>
      <c r="JB14" s="30" t="str">
        <f t="shared" si="73"/>
        <v>*</v>
      </c>
      <c r="JC14" s="30"/>
      <c r="JD14" s="88">
        <v>829</v>
      </c>
      <c r="JE14" s="88">
        <v>830.45341405000715</v>
      </c>
      <c r="JF14" s="28">
        <v>4.1977051285746292</v>
      </c>
      <c r="JG14" s="29">
        <v>3.4070336061310602E-2</v>
      </c>
      <c r="JH14" s="30">
        <f t="shared" si="35"/>
        <v>-4.1512265123029799</v>
      </c>
      <c r="JI14" s="30" t="str">
        <f t="shared" si="36"/>
        <v>*</v>
      </c>
      <c r="JK14" s="27"/>
      <c r="JL14" s="27"/>
      <c r="JM14" s="28"/>
      <c r="JN14" s="29"/>
    </row>
    <row r="15" spans="1:274" x14ac:dyDescent="0.2">
      <c r="B15" s="7" t="s">
        <v>16</v>
      </c>
      <c r="C15" s="27">
        <v>2639</v>
      </c>
      <c r="D15" s="27">
        <v>2633.6160469299316</v>
      </c>
      <c r="E15" s="28">
        <v>4.035568872159307</v>
      </c>
      <c r="F15" s="29">
        <v>2.0831553720574048E-2</v>
      </c>
      <c r="G15" s="29"/>
      <c r="H15" s="3">
        <v>838</v>
      </c>
      <c r="I15" s="3">
        <v>837.56719444001078</v>
      </c>
      <c r="J15" s="28">
        <v>4.0848749378580047</v>
      </c>
      <c r="K15" s="29">
        <v>3.6476691578555251E-2</v>
      </c>
      <c r="L15" s="30">
        <f t="shared" si="37"/>
        <v>-1.1737867194840295</v>
      </c>
      <c r="M15" s="30" t="str">
        <f t="shared" si="38"/>
        <v xml:space="preserve"> </v>
      </c>
      <c r="N15" s="9"/>
      <c r="O15" s="27">
        <v>696</v>
      </c>
      <c r="P15" s="27">
        <v>697.50434208000183</v>
      </c>
      <c r="Q15" s="28">
        <v>3.8167771337610663</v>
      </c>
      <c r="R15" s="29">
        <v>3.8157880633508369E-2</v>
      </c>
      <c r="S15" s="30">
        <f t="shared" si="39"/>
        <v>5.0327180881520075</v>
      </c>
      <c r="T15" s="30" t="str">
        <f t="shared" si="40"/>
        <v>*</v>
      </c>
      <c r="U15" s="30"/>
      <c r="V15" s="27">
        <v>727</v>
      </c>
      <c r="W15" s="27">
        <v>740.7896762300079</v>
      </c>
      <c r="X15" s="28">
        <v>3.9467084706945323</v>
      </c>
      <c r="Y15" s="29">
        <v>3.6112952243489455E-2</v>
      </c>
      <c r="Z15" s="30">
        <f t="shared" si="41"/>
        <v>2.1314297457382425</v>
      </c>
      <c r="AA15" s="30" t="str">
        <f t="shared" si="42"/>
        <v>*</v>
      </c>
      <c r="AB15" s="9"/>
      <c r="AC15" s="8">
        <v>1133</v>
      </c>
      <c r="AD15" s="8">
        <v>1138.2758800600025</v>
      </c>
      <c r="AE15" s="69">
        <v>3.6945804422547597</v>
      </c>
      <c r="AF15" s="9">
        <v>3.1026573273760301E-2</v>
      </c>
      <c r="AG15" s="30">
        <f t="shared" si="43"/>
        <v>9.1243793316923352</v>
      </c>
      <c r="AH15" s="30" t="str">
        <f t="shared" si="44"/>
        <v>*</v>
      </c>
      <c r="AI15" s="9"/>
      <c r="AJ15" s="81">
        <v>4415</v>
      </c>
      <c r="AK15" s="83">
        <v>4.2198458220731352</v>
      </c>
      <c r="AL15" s="84">
        <v>1.410128549569907E-2</v>
      </c>
      <c r="AM15" s="30">
        <f t="shared" si="45"/>
        <v>-7.3255092359052956</v>
      </c>
      <c r="AN15" s="30" t="str">
        <f t="shared" si="46"/>
        <v>*</v>
      </c>
      <c r="AO15" s="9"/>
      <c r="AP15" s="78">
        <v>427</v>
      </c>
      <c r="AQ15" s="79">
        <v>4.4123592615748679</v>
      </c>
      <c r="AR15" s="80">
        <v>4.1310432596587864E-2</v>
      </c>
      <c r="AS15" s="30">
        <f t="shared" si="47"/>
        <v>-8.1440727737857745</v>
      </c>
      <c r="AT15" s="30" t="str">
        <f t="shared" si="48"/>
        <v>*</v>
      </c>
      <c r="AU15" s="80"/>
      <c r="AV15" s="78">
        <v>584</v>
      </c>
      <c r="AW15" s="79">
        <v>4.3229705144721065</v>
      </c>
      <c r="AX15" s="80">
        <v>3.4752549071363083E-2</v>
      </c>
      <c r="AY15" s="30">
        <f t="shared" si="49"/>
        <v>-7.0932167832034869</v>
      </c>
      <c r="AZ15" s="30" t="str">
        <f t="shared" si="50"/>
        <v>*</v>
      </c>
      <c r="BA15" s="80"/>
      <c r="BB15" s="78">
        <v>592</v>
      </c>
      <c r="BC15" s="79">
        <v>4.2834336206531987</v>
      </c>
      <c r="BD15" s="80">
        <v>3.7499972844079237E-2</v>
      </c>
      <c r="BE15" s="30">
        <f t="shared" si="51"/>
        <v>-5.7780602254133866</v>
      </c>
      <c r="BF15" s="30" t="str">
        <f t="shared" si="52"/>
        <v>*</v>
      </c>
      <c r="BG15" s="80"/>
      <c r="BH15" s="78">
        <v>923</v>
      </c>
      <c r="BI15" s="79">
        <v>4.2415872150439249</v>
      </c>
      <c r="BJ15" s="80">
        <v>3.2105307497402813E-2</v>
      </c>
      <c r="BK15" s="30">
        <f t="shared" si="53"/>
        <v>-5.3830807737624502</v>
      </c>
      <c r="BL15" s="30" t="str">
        <f t="shared" si="54"/>
        <v>*</v>
      </c>
      <c r="BM15" s="80"/>
      <c r="BN15" s="78">
        <v>1044</v>
      </c>
      <c r="BO15" s="79">
        <v>4.2070529309767082</v>
      </c>
      <c r="BP15" s="80">
        <v>2.990568633061249E-2</v>
      </c>
      <c r="BQ15" s="30">
        <f t="shared" si="55"/>
        <v>-4.705167213587778</v>
      </c>
      <c r="BR15" s="30" t="str">
        <f t="shared" si="56"/>
        <v>*</v>
      </c>
      <c r="BS15" s="9"/>
      <c r="BT15" s="27">
        <v>9597</v>
      </c>
      <c r="BU15" s="27">
        <v>9676.0272129891091</v>
      </c>
      <c r="BV15" s="28">
        <v>4.238070484726177</v>
      </c>
      <c r="BW15" s="29">
        <v>9.9626725843037812E-3</v>
      </c>
      <c r="BX15" s="30">
        <f t="shared" si="57"/>
        <v>-8.7696036192306117</v>
      </c>
      <c r="BY15" s="30" t="str">
        <f t="shared" si="58"/>
        <v>*</v>
      </c>
      <c r="BZ15" s="30"/>
      <c r="CA15" s="27">
        <v>264</v>
      </c>
      <c r="CB15" s="27">
        <v>264</v>
      </c>
      <c r="CC15" s="28">
        <v>4.049242424242423</v>
      </c>
      <c r="CD15" s="29">
        <v>5.3718701914985317E-2</v>
      </c>
      <c r="CE15" s="30">
        <f t="shared" si="59"/>
        <v>-0.23732037874434181</v>
      </c>
      <c r="CF15" s="30" t="str">
        <f t="shared" si="0"/>
        <v xml:space="preserve"> </v>
      </c>
      <c r="CG15" s="30"/>
      <c r="CH15" s="27">
        <v>2658</v>
      </c>
      <c r="CI15" s="27">
        <v>2739.5770547299162</v>
      </c>
      <c r="CJ15" s="28">
        <v>4.0705408127383418</v>
      </c>
      <c r="CK15" s="29">
        <v>1.9436402645237275E-2</v>
      </c>
      <c r="CL15" s="30">
        <f t="shared" si="60"/>
        <v>-1.2274805936256639</v>
      </c>
      <c r="CM15" s="30" t="str">
        <f t="shared" si="1"/>
        <v xml:space="preserve"> </v>
      </c>
      <c r="CN15" s="30"/>
      <c r="CO15" s="27">
        <v>2297</v>
      </c>
      <c r="CP15" s="27">
        <v>2297.9270888400383</v>
      </c>
      <c r="CQ15" s="28">
        <v>4.2027461776323047</v>
      </c>
      <c r="CR15" s="29">
        <v>1.9808393235011757E-2</v>
      </c>
      <c r="CS15" s="30">
        <f t="shared" si="61"/>
        <v>-5.8156946089754236</v>
      </c>
      <c r="CT15" s="30" t="str">
        <f t="shared" si="2"/>
        <v>*</v>
      </c>
      <c r="CU15" s="30"/>
      <c r="CV15" s="27">
        <v>475</v>
      </c>
      <c r="CW15" s="27">
        <v>476.90292600000265</v>
      </c>
      <c r="CX15" s="28">
        <v>4.9052631578947326</v>
      </c>
      <c r="CY15" s="29">
        <v>1.6119416040113313E-2</v>
      </c>
      <c r="CZ15" s="30">
        <f t="shared" si="62"/>
        <v>-33.01815848997002</v>
      </c>
      <c r="DA15" s="30" t="str">
        <f t="shared" si="3"/>
        <v>*</v>
      </c>
      <c r="DB15" s="30"/>
      <c r="DC15" s="27">
        <v>879</v>
      </c>
      <c r="DD15" s="27">
        <v>879.00409648998868</v>
      </c>
      <c r="DE15" s="28">
        <v>4.8248325174878728</v>
      </c>
      <c r="DF15" s="29">
        <v>1.5398115685661405E-2</v>
      </c>
      <c r="DG15" s="30">
        <f t="shared" si="63"/>
        <v>-30.467922869248973</v>
      </c>
      <c r="DH15" s="30" t="str">
        <f t="shared" si="4"/>
        <v>*</v>
      </c>
      <c r="DI15" s="30"/>
      <c r="DJ15" s="27">
        <v>385</v>
      </c>
      <c r="DK15" s="27">
        <v>385</v>
      </c>
      <c r="DL15" s="28">
        <v>4.9896103896103874</v>
      </c>
      <c r="DM15" s="29">
        <v>6.3484889073863434E-3</v>
      </c>
      <c r="DN15" s="30">
        <f t="shared" si="64"/>
        <v>-43.808706087562605</v>
      </c>
      <c r="DO15" s="30" t="str">
        <f t="shared" si="5"/>
        <v>*</v>
      </c>
      <c r="DP15" s="8"/>
      <c r="DQ15" s="27">
        <v>789</v>
      </c>
      <c r="DR15" s="27">
        <v>788.24226445000409</v>
      </c>
      <c r="DS15" s="28">
        <v>3.9474654481019322</v>
      </c>
      <c r="DT15" s="29">
        <v>4.0097071788310949E-2</v>
      </c>
      <c r="DU15" s="29"/>
      <c r="DV15" s="27">
        <v>504</v>
      </c>
      <c r="DW15" s="27">
        <v>503.71536837999741</v>
      </c>
      <c r="DX15" s="28">
        <v>4.0650448330281703</v>
      </c>
      <c r="DY15" s="29">
        <v>4.7245422050286631E-2</v>
      </c>
      <c r="DZ15" s="10">
        <f t="shared" si="6"/>
        <v>-1.8974526190887624</v>
      </c>
      <c r="EA15" s="10" t="str">
        <f t="shared" si="7"/>
        <v xml:space="preserve"> </v>
      </c>
      <c r="EB15" s="29"/>
      <c r="EC15" s="27">
        <v>575</v>
      </c>
      <c r="ED15" s="27">
        <v>576.23165969999934</v>
      </c>
      <c r="EE15" s="28">
        <v>4.1270546516276418</v>
      </c>
      <c r="EF15" s="29">
        <v>4.2217452763859319E-2</v>
      </c>
      <c r="EG15" s="10">
        <f t="shared" si="8"/>
        <v>-3.0844285010688988</v>
      </c>
      <c r="EH15" s="10" t="str">
        <f t="shared" si="9"/>
        <v>*</v>
      </c>
      <c r="EI15" s="29"/>
      <c r="EJ15" s="27">
        <v>540</v>
      </c>
      <c r="EK15" s="27">
        <v>544.0818692100022</v>
      </c>
      <c r="EL15" s="28">
        <v>4.0565315632639214</v>
      </c>
      <c r="EM15" s="29">
        <v>4.5303413905570515E-2</v>
      </c>
      <c r="EN15" s="10">
        <f t="shared" si="10"/>
        <v>-1.8027643036099446</v>
      </c>
      <c r="EO15" s="10" t="str">
        <f t="shared" si="65"/>
        <v xml:space="preserve"> </v>
      </c>
      <c r="EP15" s="29"/>
      <c r="EQ15" s="8">
        <v>635</v>
      </c>
      <c r="ER15" s="8">
        <v>634.7480002499982</v>
      </c>
      <c r="ES15" s="69">
        <v>3.9797291879534349</v>
      </c>
      <c r="ET15" s="9">
        <v>4.3608178271642595E-2</v>
      </c>
      <c r="EU15" s="10">
        <f t="shared" si="11"/>
        <v>-0.54462212194609272</v>
      </c>
      <c r="EV15" s="10" t="str">
        <f t="shared" si="66"/>
        <v xml:space="preserve"> </v>
      </c>
      <c r="EW15" s="29"/>
      <c r="EX15" s="88">
        <v>3601</v>
      </c>
      <c r="EY15" s="88">
        <v>3599.7231139598616</v>
      </c>
      <c r="EZ15" s="28">
        <v>4.1670495619254897</v>
      </c>
      <c r="FA15" s="29">
        <v>1.6008509028850308E-2</v>
      </c>
      <c r="FB15" s="30">
        <f t="shared" si="12"/>
        <v>-5.0859539840638126</v>
      </c>
      <c r="FC15" s="30" t="str">
        <f t="shared" si="67"/>
        <v>*</v>
      </c>
      <c r="FD15" s="30"/>
      <c r="FE15" s="27">
        <v>908</v>
      </c>
      <c r="FF15" s="27">
        <v>908.04726714000105</v>
      </c>
      <c r="FG15" s="28">
        <v>4.2324115570378789</v>
      </c>
      <c r="FH15" s="29">
        <v>2.7569878916015731E-2</v>
      </c>
      <c r="FI15" s="30">
        <f t="shared" si="13"/>
        <v>-5.8557630162116743</v>
      </c>
      <c r="FJ15" s="30" t="str">
        <f t="shared" si="14"/>
        <v>*</v>
      </c>
      <c r="FK15" s="30"/>
      <c r="FL15" s="88">
        <v>236</v>
      </c>
      <c r="FM15" s="88">
        <v>235.97826499999928</v>
      </c>
      <c r="FN15" s="28">
        <v>4.3429368323391992</v>
      </c>
      <c r="FO15" s="29">
        <v>5.9944601085566512E-2</v>
      </c>
      <c r="FP15" s="30">
        <f t="shared" si="15"/>
        <v>-5.4836053859030063</v>
      </c>
      <c r="FQ15" s="30" t="str">
        <f t="shared" si="16"/>
        <v>*</v>
      </c>
      <c r="FR15" s="30"/>
      <c r="FS15" s="88">
        <v>431</v>
      </c>
      <c r="FT15" s="88">
        <v>430.4711347799971</v>
      </c>
      <c r="FU15" s="28">
        <v>4.111351163799867</v>
      </c>
      <c r="FV15" s="29">
        <v>4.4374320271828395E-2</v>
      </c>
      <c r="FW15" s="30">
        <f t="shared" si="17"/>
        <v>-2.740251387589653</v>
      </c>
      <c r="FX15" s="30" t="str">
        <f t="shared" si="18"/>
        <v>*</v>
      </c>
      <c r="FY15" s="30"/>
      <c r="FZ15" s="88">
        <v>932</v>
      </c>
      <c r="GA15" s="88">
        <v>932.05452891000812</v>
      </c>
      <c r="GB15" s="28">
        <v>4.1940871273074123</v>
      </c>
      <c r="GC15" s="29">
        <v>3.1844386218950166E-2</v>
      </c>
      <c r="GD15" s="30">
        <f t="shared" si="19"/>
        <v>-4.8164621275544235</v>
      </c>
      <c r="GE15" s="30" t="str">
        <f t="shared" si="20"/>
        <v>*</v>
      </c>
      <c r="GF15" s="30"/>
      <c r="GG15" s="88">
        <v>305</v>
      </c>
      <c r="GH15" s="88">
        <v>304.92965367999938</v>
      </c>
      <c r="GI15" s="28">
        <v>4.3999038996317825</v>
      </c>
      <c r="GJ15" s="29">
        <v>4.4690972029285014E-2</v>
      </c>
      <c r="GK15" s="30">
        <f t="shared" si="21"/>
        <v>-7.5353489805834837</v>
      </c>
      <c r="GL15" s="30" t="str">
        <f t="shared" si="22"/>
        <v>*</v>
      </c>
      <c r="GM15" s="10"/>
      <c r="GN15" s="88">
        <v>775</v>
      </c>
      <c r="GO15" s="88">
        <v>774.95863683000744</v>
      </c>
      <c r="GP15" s="28">
        <v>4.0835569175341693</v>
      </c>
      <c r="GQ15" s="29">
        <v>3.8694596076013263E-2</v>
      </c>
      <c r="GR15" s="9"/>
      <c r="GS15" s="3">
        <v>541</v>
      </c>
      <c r="GT15" s="3">
        <v>541.04632991999495</v>
      </c>
      <c r="GU15" s="69">
        <v>4.1921681062791247</v>
      </c>
      <c r="GV15" s="9">
        <v>4.12870277635543E-2</v>
      </c>
      <c r="GW15" s="10">
        <f t="shared" si="23"/>
        <v>-1.9194258270548707</v>
      </c>
      <c r="GX15" s="10" t="str">
        <f t="shared" si="68"/>
        <v xml:space="preserve"> </v>
      </c>
      <c r="GY15" s="9"/>
      <c r="GZ15" s="27">
        <v>588</v>
      </c>
      <c r="HA15" s="27">
        <v>588.86605638000265</v>
      </c>
      <c r="HB15" s="28">
        <v>4.3192804282620614</v>
      </c>
      <c r="HC15" s="29">
        <v>3.7289110205454737E-2</v>
      </c>
      <c r="HD15" s="10">
        <f t="shared" si="24"/>
        <v>-4.3865505808551974</v>
      </c>
      <c r="HE15" s="10" t="str">
        <f t="shared" si="69"/>
        <v>*</v>
      </c>
      <c r="HF15" s="9"/>
      <c r="HG15" s="27">
        <v>1136</v>
      </c>
      <c r="HH15" s="27">
        <v>1137.3896987199944</v>
      </c>
      <c r="HI15" s="28">
        <v>4.0828420641456828</v>
      </c>
      <c r="HJ15" s="29">
        <v>3.0560657884540599E-2</v>
      </c>
      <c r="HK15" s="10">
        <f t="shared" si="25"/>
        <v>1.449787504272073E-2</v>
      </c>
      <c r="HL15" s="10" t="str">
        <f t="shared" si="70"/>
        <v xml:space="preserve"> </v>
      </c>
      <c r="HM15" s="29"/>
      <c r="HN15" s="8">
        <v>1146</v>
      </c>
      <c r="HO15" s="8">
        <v>1149.3236244699947</v>
      </c>
      <c r="HP15" s="69">
        <v>4.0228013636386084</v>
      </c>
      <c r="HQ15" s="9">
        <v>3.1452656150372078E-2</v>
      </c>
      <c r="HR15" s="10">
        <f t="shared" si="26"/>
        <v>1.2183950957180227</v>
      </c>
      <c r="HS15" s="10" t="str">
        <f t="shared" si="71"/>
        <v xml:space="preserve"> </v>
      </c>
      <c r="HT15" s="9"/>
      <c r="HU15" s="88">
        <v>3875</v>
      </c>
      <c r="HV15" s="88">
        <v>3875.8455713898461</v>
      </c>
      <c r="HW15" s="28">
        <v>4.2082772254856664</v>
      </c>
      <c r="HX15" s="29">
        <v>1.5676403590740417E-2</v>
      </c>
      <c r="HY15" s="30">
        <f t="shared" si="27"/>
        <v>-2.9873479893969912</v>
      </c>
      <c r="HZ15" s="30" t="str">
        <f t="shared" si="72"/>
        <v>*</v>
      </c>
      <c r="IA15" s="30"/>
      <c r="IB15" s="88">
        <v>908</v>
      </c>
      <c r="IC15" s="88">
        <v>908.04726714000105</v>
      </c>
      <c r="ID15" s="28">
        <v>4.2324115570378789</v>
      </c>
      <c r="IE15" s="29">
        <v>2.7569878916015731E-2</v>
      </c>
      <c r="IF15" s="30">
        <f t="shared" si="28"/>
        <v>-3.1330043784990704</v>
      </c>
      <c r="IG15" s="30" t="str">
        <f t="shared" si="29"/>
        <v>*</v>
      </c>
      <c r="IH15" s="30"/>
      <c r="II15" s="88">
        <v>466</v>
      </c>
      <c r="IJ15" s="88">
        <v>465.69449178000252</v>
      </c>
      <c r="IK15" s="28">
        <v>4.3423760643390255</v>
      </c>
      <c r="IL15" s="29">
        <v>4.1664257587214037E-2</v>
      </c>
      <c r="IM15" s="30">
        <f t="shared" si="30"/>
        <v>-4.5517805594228431</v>
      </c>
      <c r="IN15" s="30" t="str">
        <f t="shared" si="31"/>
        <v>*</v>
      </c>
      <c r="IO15" s="30"/>
      <c r="IP15" s="88">
        <v>670</v>
      </c>
      <c r="IQ15" s="88">
        <v>669.83534084000712</v>
      </c>
      <c r="IR15" s="28">
        <v>4.1791058156614351</v>
      </c>
      <c r="IS15" s="29">
        <v>4.1553204430556996E-2</v>
      </c>
      <c r="IT15" s="30">
        <f t="shared" si="32"/>
        <v>-1.682798707631592</v>
      </c>
      <c r="IU15" s="30" t="str">
        <f t="shared" si="33"/>
        <v xml:space="preserve"> </v>
      </c>
      <c r="IV15" s="30"/>
      <c r="IW15" s="88">
        <v>236</v>
      </c>
      <c r="IX15" s="88">
        <v>235.97826499999928</v>
      </c>
      <c r="IY15" s="28">
        <v>4.3429368323391992</v>
      </c>
      <c r="IZ15" s="29">
        <v>5.9944601085566512E-2</v>
      </c>
      <c r="JA15" s="30">
        <f t="shared" si="34"/>
        <v>-3.6353874738064436</v>
      </c>
      <c r="JB15" s="30" t="str">
        <f t="shared" si="73"/>
        <v>*</v>
      </c>
      <c r="JC15" s="30"/>
      <c r="JD15" s="88">
        <v>820</v>
      </c>
      <c r="JE15" s="88">
        <v>821.33156980000717</v>
      </c>
      <c r="JF15" s="28">
        <v>4.2083407519227212</v>
      </c>
      <c r="JG15" s="29">
        <v>3.429333105529847E-2</v>
      </c>
      <c r="JH15" s="30">
        <f t="shared" si="35"/>
        <v>-2.4134267745187525</v>
      </c>
      <c r="JI15" s="30" t="str">
        <f t="shared" si="36"/>
        <v>*</v>
      </c>
      <c r="JK15" s="27"/>
      <c r="JL15" s="27"/>
      <c r="JM15" s="28"/>
      <c r="JN15" s="29"/>
    </row>
    <row r="16" spans="1:274" x14ac:dyDescent="0.2">
      <c r="B16" s="7" t="s">
        <v>17</v>
      </c>
      <c r="C16" s="27">
        <v>2602</v>
      </c>
      <c r="D16" s="27">
        <v>2596.9793284099328</v>
      </c>
      <c r="E16" s="28">
        <v>4.0252996336325371</v>
      </c>
      <c r="F16" s="29">
        <v>2.1244577537007099E-2</v>
      </c>
      <c r="G16" s="29"/>
      <c r="H16" s="3">
        <v>826</v>
      </c>
      <c r="I16" s="3">
        <v>825.56896630001029</v>
      </c>
      <c r="J16" s="28">
        <v>4.0462833186320584</v>
      </c>
      <c r="K16" s="29">
        <v>3.9105700942848619E-2</v>
      </c>
      <c r="L16" s="30">
        <f t="shared" si="37"/>
        <v>-0.47150325487256156</v>
      </c>
      <c r="M16" s="30" t="str">
        <f t="shared" si="38"/>
        <v xml:space="preserve"> </v>
      </c>
      <c r="N16" s="9"/>
      <c r="O16" s="27">
        <v>698</v>
      </c>
      <c r="P16" s="27">
        <v>699.75255642000195</v>
      </c>
      <c r="Q16" s="28">
        <v>3.6609524639484134</v>
      </c>
      <c r="R16" s="29">
        <v>4.0310430698369801E-2</v>
      </c>
      <c r="S16" s="30">
        <f t="shared" si="39"/>
        <v>7.9960265694269337</v>
      </c>
      <c r="T16" s="30" t="str">
        <f t="shared" si="40"/>
        <v>*</v>
      </c>
      <c r="U16" s="30"/>
      <c r="V16" s="27">
        <v>730</v>
      </c>
      <c r="W16" s="27">
        <v>743.9353902300079</v>
      </c>
      <c r="X16" s="28">
        <v>3.9238492956592825</v>
      </c>
      <c r="Y16" s="29">
        <v>3.6801558938377173E-2</v>
      </c>
      <c r="Z16" s="30">
        <f t="shared" si="41"/>
        <v>2.3874390041072573</v>
      </c>
      <c r="AA16" s="30" t="str">
        <f t="shared" si="42"/>
        <v>*</v>
      </c>
      <c r="AB16" s="9"/>
      <c r="AC16" s="8">
        <v>1125</v>
      </c>
      <c r="AD16" s="8">
        <v>1131.5165976600022</v>
      </c>
      <c r="AE16" s="69">
        <v>3.6931987732589029</v>
      </c>
      <c r="AF16" s="9">
        <v>3.1030642459669581E-2</v>
      </c>
      <c r="AG16" s="30">
        <f t="shared" si="43"/>
        <v>8.8309930072396625</v>
      </c>
      <c r="AH16" s="30" t="str">
        <f t="shared" si="44"/>
        <v>*</v>
      </c>
      <c r="AI16" s="9"/>
      <c r="AJ16" s="81">
        <v>4372</v>
      </c>
      <c r="AK16" s="83">
        <v>4.2296802725320815</v>
      </c>
      <c r="AL16" s="84">
        <v>1.4349972709588547E-2</v>
      </c>
      <c r="AM16" s="30">
        <f t="shared" si="45"/>
        <v>-7.9721085292267286</v>
      </c>
      <c r="AN16" s="30" t="str">
        <f t="shared" si="46"/>
        <v>*</v>
      </c>
      <c r="AO16" s="9"/>
      <c r="AP16" s="78">
        <v>421</v>
      </c>
      <c r="AQ16" s="79">
        <v>4.4546835821679904</v>
      </c>
      <c r="AR16" s="80">
        <v>4.2535720785951144E-2</v>
      </c>
      <c r="AS16" s="30">
        <f t="shared" si="47"/>
        <v>-9.0309213355142628</v>
      </c>
      <c r="AT16" s="30" t="str">
        <f t="shared" si="48"/>
        <v>*</v>
      </c>
      <c r="AU16" s="80"/>
      <c r="AV16" s="78">
        <v>580</v>
      </c>
      <c r="AW16" s="79">
        <v>4.3371507821642323</v>
      </c>
      <c r="AX16" s="80">
        <v>3.4971090863331618E-2</v>
      </c>
      <c r="AY16" s="30">
        <f t="shared" si="49"/>
        <v>-7.6213078902807583</v>
      </c>
      <c r="AZ16" s="30" t="str">
        <f t="shared" si="50"/>
        <v>*</v>
      </c>
      <c r="BA16" s="80"/>
      <c r="BB16" s="78">
        <v>590</v>
      </c>
      <c r="BC16" s="79">
        <v>4.3446400999091503</v>
      </c>
      <c r="BD16" s="80">
        <v>3.5630190762024609E-2</v>
      </c>
      <c r="BE16" s="30">
        <f t="shared" si="51"/>
        <v>-7.6980970997239675</v>
      </c>
      <c r="BF16" s="30" t="str">
        <f t="shared" si="52"/>
        <v>*</v>
      </c>
      <c r="BG16" s="80"/>
      <c r="BH16" s="78">
        <v>934</v>
      </c>
      <c r="BI16" s="79">
        <v>4.2944267622072374</v>
      </c>
      <c r="BJ16" s="80">
        <v>3.1122607014843349E-2</v>
      </c>
      <c r="BK16" s="30">
        <f t="shared" si="53"/>
        <v>-7.142021349598112</v>
      </c>
      <c r="BL16" s="30" t="str">
        <f t="shared" si="54"/>
        <v>*</v>
      </c>
      <c r="BM16" s="80"/>
      <c r="BN16" s="78">
        <v>1040</v>
      </c>
      <c r="BO16" s="79">
        <v>4.222927162454936</v>
      </c>
      <c r="BP16" s="80">
        <v>2.973072570687537E-2</v>
      </c>
      <c r="BQ16" s="30">
        <f t="shared" si="55"/>
        <v>-5.4083707039852777</v>
      </c>
      <c r="BR16" s="30" t="str">
        <f t="shared" si="56"/>
        <v>*</v>
      </c>
      <c r="BS16" s="9"/>
      <c r="BT16" s="27">
        <v>9535</v>
      </c>
      <c r="BU16" s="27">
        <v>9609.3921880890994</v>
      </c>
      <c r="BV16" s="28">
        <v>4.2571169545605683</v>
      </c>
      <c r="BW16" s="29">
        <v>1.0000566202179798E-2</v>
      </c>
      <c r="BX16" s="30">
        <f t="shared" si="57"/>
        <v>-9.8726739114657374</v>
      </c>
      <c r="BY16" s="30" t="str">
        <f t="shared" si="58"/>
        <v>*</v>
      </c>
      <c r="BZ16" s="30"/>
      <c r="CA16" s="27">
        <v>265</v>
      </c>
      <c r="CB16" s="27">
        <v>265</v>
      </c>
      <c r="CC16" s="28">
        <v>4.0415094339622648</v>
      </c>
      <c r="CD16" s="29">
        <v>5.640043523010653E-2</v>
      </c>
      <c r="CE16" s="30">
        <f t="shared" si="59"/>
        <v>-0.26895792700860754</v>
      </c>
      <c r="CF16" s="30" t="str">
        <f t="shared" si="0"/>
        <v xml:space="preserve"> </v>
      </c>
      <c r="CG16" s="30"/>
      <c r="CH16" s="27">
        <v>2644</v>
      </c>
      <c r="CI16" s="27">
        <v>2720.5140563799155</v>
      </c>
      <c r="CJ16" s="28">
        <v>4.0895721829073208</v>
      </c>
      <c r="CK16" s="29">
        <v>1.9478697056296401E-2</v>
      </c>
      <c r="CL16" s="30">
        <f t="shared" si="60"/>
        <v>-2.2299231848477201</v>
      </c>
      <c r="CM16" s="30" t="str">
        <f t="shared" si="1"/>
        <v>*</v>
      </c>
      <c r="CN16" s="30"/>
      <c r="CO16" s="27">
        <v>2280</v>
      </c>
      <c r="CP16" s="27">
        <v>2280.9549238500413</v>
      </c>
      <c r="CQ16" s="28">
        <v>4.2672443455879847</v>
      </c>
      <c r="CR16" s="29">
        <v>1.9320583892570509E-2</v>
      </c>
      <c r="CS16" s="30">
        <f t="shared" si="61"/>
        <v>-8.4253894169331929</v>
      </c>
      <c r="CT16" s="30" t="str">
        <f t="shared" si="2"/>
        <v>*</v>
      </c>
      <c r="CU16" s="30"/>
      <c r="CV16" s="27">
        <v>483</v>
      </c>
      <c r="CW16" s="27">
        <v>484.93497528000279</v>
      </c>
      <c r="CX16" s="28">
        <v>4.9026915113871627</v>
      </c>
      <c r="CY16" s="29">
        <v>1.6857905603044843E-2</v>
      </c>
      <c r="CZ16" s="30">
        <f t="shared" si="62"/>
        <v>-32.351621637686769</v>
      </c>
      <c r="DA16" s="30" t="str">
        <f t="shared" si="3"/>
        <v>*</v>
      </c>
      <c r="DB16" s="30"/>
      <c r="DC16" s="27">
        <v>875</v>
      </c>
      <c r="DD16" s="27">
        <v>875.00890416998902</v>
      </c>
      <c r="DE16" s="28">
        <v>4.8251729224914559</v>
      </c>
      <c r="DF16" s="29">
        <v>1.735038171215526E-2</v>
      </c>
      <c r="DG16" s="30">
        <f t="shared" si="63"/>
        <v>-29.161246777425834</v>
      </c>
      <c r="DH16" s="30" t="str">
        <f t="shared" si="4"/>
        <v>*</v>
      </c>
      <c r="DI16" s="30"/>
      <c r="DJ16" s="27">
        <v>386</v>
      </c>
      <c r="DK16" s="27">
        <v>386</v>
      </c>
      <c r="DL16" s="28">
        <v>4.9870466321243487</v>
      </c>
      <c r="DM16" s="29">
        <v>5.7627505464479855E-3</v>
      </c>
      <c r="DN16" s="30">
        <f t="shared" si="64"/>
        <v>-43.691344444980707</v>
      </c>
      <c r="DO16" s="30" t="str">
        <f t="shared" si="5"/>
        <v>*</v>
      </c>
      <c r="DP16" s="8"/>
      <c r="DQ16" s="27">
        <v>784</v>
      </c>
      <c r="DR16" s="27">
        <v>783.52993020000361</v>
      </c>
      <c r="DS16" s="28">
        <v>3.9019660046548661</v>
      </c>
      <c r="DT16" s="29">
        <v>4.2124503906554138E-2</v>
      </c>
      <c r="DU16" s="29"/>
      <c r="DV16" s="27">
        <v>508</v>
      </c>
      <c r="DW16" s="27">
        <v>507.74989121999749</v>
      </c>
      <c r="DX16" s="28">
        <v>3.9458524849627437</v>
      </c>
      <c r="DY16" s="29">
        <v>5.1701556253909035E-2</v>
      </c>
      <c r="DZ16" s="10">
        <f t="shared" si="6"/>
        <v>-0.65806920063255647</v>
      </c>
      <c r="EA16" s="10" t="str">
        <f t="shared" si="7"/>
        <v xml:space="preserve"> </v>
      </c>
      <c r="EB16" s="29"/>
      <c r="EC16" s="27">
        <v>569</v>
      </c>
      <c r="ED16" s="27">
        <v>569.91723133999949</v>
      </c>
      <c r="EE16" s="28">
        <v>4.0692129375124422</v>
      </c>
      <c r="EF16" s="29">
        <v>4.5546041400758207E-2</v>
      </c>
      <c r="EG16" s="10">
        <f t="shared" si="8"/>
        <v>-2.6958080228745294</v>
      </c>
      <c r="EH16" s="10" t="str">
        <f t="shared" si="9"/>
        <v>*</v>
      </c>
      <c r="EI16" s="29"/>
      <c r="EJ16" s="27">
        <v>530</v>
      </c>
      <c r="EK16" s="27">
        <v>534.72687020000251</v>
      </c>
      <c r="EL16" s="28">
        <v>3.991924064750318</v>
      </c>
      <c r="EM16" s="29">
        <v>4.8285550255577701E-2</v>
      </c>
      <c r="EN16" s="10">
        <f t="shared" si="10"/>
        <v>-1.4038874481527224</v>
      </c>
      <c r="EO16" s="10" t="str">
        <f t="shared" si="65"/>
        <v xml:space="preserve"> </v>
      </c>
      <c r="EP16" s="29"/>
      <c r="EQ16" s="8">
        <v>635</v>
      </c>
      <c r="ER16" s="8">
        <v>634.90057169999807</v>
      </c>
      <c r="ES16" s="69">
        <v>4.0100128160429511</v>
      </c>
      <c r="ET16" s="9">
        <v>4.4758809756465311E-2</v>
      </c>
      <c r="EU16" s="10">
        <f t="shared" si="11"/>
        <v>-1.7578873606333745</v>
      </c>
      <c r="EV16" s="10" t="str">
        <f t="shared" si="66"/>
        <v xml:space="preserve"> </v>
      </c>
      <c r="EW16" s="29"/>
      <c r="EX16" s="88">
        <v>3577</v>
      </c>
      <c r="EY16" s="88">
        <v>3575.9911732798641</v>
      </c>
      <c r="EZ16" s="28">
        <v>4.1674949401484813</v>
      </c>
      <c r="FA16" s="29">
        <v>1.6395383526978915E-2</v>
      </c>
      <c r="FB16" s="30">
        <f t="shared" si="12"/>
        <v>-5.8741854613495663</v>
      </c>
      <c r="FC16" s="30" t="str">
        <f t="shared" si="67"/>
        <v>*</v>
      </c>
      <c r="FD16" s="30"/>
      <c r="FE16" s="27">
        <v>912</v>
      </c>
      <c r="FF16" s="27">
        <v>912.05262174000086</v>
      </c>
      <c r="FG16" s="28">
        <v>4.1842541111930558</v>
      </c>
      <c r="FH16" s="29">
        <v>2.9169905744621614E-2</v>
      </c>
      <c r="FI16" s="30">
        <f t="shared" si="13"/>
        <v>-5.5093248120182281</v>
      </c>
      <c r="FJ16" s="30" t="str">
        <f t="shared" si="14"/>
        <v>*</v>
      </c>
      <c r="FK16" s="30"/>
      <c r="FL16" s="88">
        <v>236</v>
      </c>
      <c r="FM16" s="88">
        <v>235.97826499999928</v>
      </c>
      <c r="FN16" s="28">
        <v>4.3984077890393873</v>
      </c>
      <c r="FO16" s="29">
        <v>5.5445395142485823E-2</v>
      </c>
      <c r="FP16" s="30">
        <f t="shared" si="15"/>
        <v>-7.1294693819724131</v>
      </c>
      <c r="FQ16" s="30" t="str">
        <f t="shared" si="16"/>
        <v>*</v>
      </c>
      <c r="FR16" s="30"/>
      <c r="FS16" s="88">
        <v>421</v>
      </c>
      <c r="FT16" s="88">
        <v>420.44278642999734</v>
      </c>
      <c r="FU16" s="28">
        <v>4.1685727516740263</v>
      </c>
      <c r="FV16" s="29">
        <v>4.2619008713017874E-2</v>
      </c>
      <c r="FW16" s="30">
        <f t="shared" si="17"/>
        <v>-4.4491011372370188</v>
      </c>
      <c r="FX16" s="30" t="str">
        <f t="shared" si="18"/>
        <v>*</v>
      </c>
      <c r="FY16" s="30"/>
      <c r="FZ16" s="88">
        <v>919</v>
      </c>
      <c r="GA16" s="88">
        <v>919.05020469000806</v>
      </c>
      <c r="GB16" s="28">
        <v>4.2371157468960057</v>
      </c>
      <c r="GC16" s="29">
        <v>3.2341592005643946E-2</v>
      </c>
      <c r="GD16" s="30">
        <f t="shared" si="19"/>
        <v>-6.3107285843407128</v>
      </c>
      <c r="GE16" s="30" t="str">
        <f t="shared" si="20"/>
        <v>*</v>
      </c>
      <c r="GF16" s="30"/>
      <c r="GG16" s="88">
        <v>305</v>
      </c>
      <c r="GH16" s="88">
        <v>304.93736521999938</v>
      </c>
      <c r="GI16" s="28">
        <v>4.4096300229717054</v>
      </c>
      <c r="GJ16" s="29">
        <v>4.3792266863537266E-2</v>
      </c>
      <c r="GK16" s="30">
        <f t="shared" si="21"/>
        <v>-8.3547148028235938</v>
      </c>
      <c r="GL16" s="30" t="str">
        <f t="shared" si="22"/>
        <v>*</v>
      </c>
      <c r="GM16" s="10"/>
      <c r="GN16" s="88">
        <v>774</v>
      </c>
      <c r="GO16" s="88">
        <v>773.97018795000747</v>
      </c>
      <c r="GP16" s="28">
        <v>4.0515556483198569</v>
      </c>
      <c r="GQ16" s="29">
        <v>3.9683144179299273E-2</v>
      </c>
      <c r="GR16" s="9"/>
      <c r="GS16" s="3">
        <v>538</v>
      </c>
      <c r="GT16" s="3">
        <v>538.02240835999487</v>
      </c>
      <c r="GU16" s="69">
        <v>4.0983941606100869</v>
      </c>
      <c r="GV16" s="9">
        <v>4.4494281047320616E-2</v>
      </c>
      <c r="GW16" s="10">
        <f t="shared" si="23"/>
        <v>-0.78562313134217066</v>
      </c>
      <c r="GX16" s="10" t="str">
        <f t="shared" si="68"/>
        <v xml:space="preserve"> </v>
      </c>
      <c r="GY16" s="9"/>
      <c r="GZ16" s="27">
        <v>581</v>
      </c>
      <c r="HA16" s="27">
        <v>581.93522065000252</v>
      </c>
      <c r="HB16" s="28">
        <v>4.2213332574476858</v>
      </c>
      <c r="HC16" s="29">
        <v>3.949157811751549E-2</v>
      </c>
      <c r="HD16" s="10">
        <f t="shared" si="24"/>
        <v>-3.0325473542243029</v>
      </c>
      <c r="HE16" s="10" t="str">
        <f t="shared" si="69"/>
        <v>*</v>
      </c>
      <c r="HF16" s="9"/>
      <c r="HG16" s="27">
        <v>1113</v>
      </c>
      <c r="HH16" s="27">
        <v>1114.743577359995</v>
      </c>
      <c r="HI16" s="28">
        <v>3.9930539717050073</v>
      </c>
      <c r="HJ16" s="29">
        <v>3.2699469154131258E-2</v>
      </c>
      <c r="HK16" s="10">
        <f t="shared" si="25"/>
        <v>1.1377241973936612</v>
      </c>
      <c r="HL16" s="10" t="str">
        <f t="shared" si="70"/>
        <v xml:space="preserve"> </v>
      </c>
      <c r="HM16" s="29"/>
      <c r="HN16" s="8">
        <v>1139</v>
      </c>
      <c r="HO16" s="8">
        <v>1142.0224408999941</v>
      </c>
      <c r="HP16" s="69">
        <v>3.9579162991822403</v>
      </c>
      <c r="HQ16" s="9">
        <v>3.3544602090034292E-2</v>
      </c>
      <c r="HR16" s="10">
        <f t="shared" si="26"/>
        <v>1.8020926969344138</v>
      </c>
      <c r="HS16" s="10" t="str">
        <f t="shared" si="71"/>
        <v xml:space="preserve"> </v>
      </c>
      <c r="HT16" s="9"/>
      <c r="HU16" s="88">
        <v>3866</v>
      </c>
      <c r="HV16" s="88">
        <v>3866.7645459898463</v>
      </c>
      <c r="HW16" s="28">
        <v>4.1786802766401951</v>
      </c>
      <c r="HX16" s="29">
        <v>1.6110046372638187E-2</v>
      </c>
      <c r="HY16" s="30">
        <f t="shared" si="27"/>
        <v>-2.9682209536601687</v>
      </c>
      <c r="HZ16" s="30" t="str">
        <f t="shared" si="72"/>
        <v>*</v>
      </c>
      <c r="IA16" s="30"/>
      <c r="IB16" s="88">
        <v>912</v>
      </c>
      <c r="IC16" s="88">
        <v>912.05262174000086</v>
      </c>
      <c r="ID16" s="28">
        <v>4.1842541111930558</v>
      </c>
      <c r="IE16" s="29">
        <v>2.9169905744621614E-2</v>
      </c>
      <c r="IF16" s="30">
        <f t="shared" si="28"/>
        <v>-2.6943445813086555</v>
      </c>
      <c r="IG16" s="30" t="str">
        <f t="shared" si="29"/>
        <v>*</v>
      </c>
      <c r="IH16" s="30"/>
      <c r="II16" s="88">
        <v>457</v>
      </c>
      <c r="IJ16" s="88">
        <v>456.66221814000244</v>
      </c>
      <c r="IK16" s="28">
        <v>4.3160434386007296</v>
      </c>
      <c r="IL16" s="29">
        <v>4.2588649086970236E-2</v>
      </c>
      <c r="IM16" s="30">
        <f t="shared" si="30"/>
        <v>-4.5435886067414328</v>
      </c>
      <c r="IN16" s="30" t="str">
        <f t="shared" si="31"/>
        <v>*</v>
      </c>
      <c r="IO16" s="30"/>
      <c r="IP16" s="88">
        <v>665</v>
      </c>
      <c r="IQ16" s="88">
        <v>664.82402182000703</v>
      </c>
      <c r="IR16" s="28">
        <v>4.1998976315810346</v>
      </c>
      <c r="IS16" s="29">
        <v>4.1590553008684923E-2</v>
      </c>
      <c r="IT16" s="30">
        <f t="shared" si="32"/>
        <v>-2.580533446264949</v>
      </c>
      <c r="IU16" s="30" t="str">
        <f t="shared" si="33"/>
        <v>*</v>
      </c>
      <c r="IV16" s="30"/>
      <c r="IW16" s="88">
        <v>236</v>
      </c>
      <c r="IX16" s="88">
        <v>235.97826499999928</v>
      </c>
      <c r="IY16" s="28">
        <v>4.3984077890393873</v>
      </c>
      <c r="IZ16" s="29">
        <v>5.5445395142485823E-2</v>
      </c>
      <c r="JA16" s="30">
        <f t="shared" si="34"/>
        <v>-5.0870643616841091</v>
      </c>
      <c r="JB16" s="30" t="str">
        <f t="shared" si="73"/>
        <v>*</v>
      </c>
      <c r="JC16" s="30"/>
      <c r="JD16" s="88">
        <v>822</v>
      </c>
      <c r="JE16" s="88">
        <v>823.27723134000712</v>
      </c>
      <c r="JF16" s="28">
        <v>4.1357078158206289</v>
      </c>
      <c r="JG16" s="29">
        <v>3.6151384271541555E-2</v>
      </c>
      <c r="JH16" s="30">
        <f t="shared" si="35"/>
        <v>-1.567627392103111</v>
      </c>
      <c r="JI16" s="30" t="str">
        <f t="shared" si="36"/>
        <v xml:space="preserve"> </v>
      </c>
      <c r="JK16" s="27"/>
      <c r="JL16" s="27"/>
      <c r="JM16" s="28"/>
      <c r="JN16" s="29"/>
    </row>
    <row r="17" spans="1:274" x14ac:dyDescent="0.2">
      <c r="B17" s="7"/>
      <c r="C17" s="27"/>
      <c r="D17" s="27"/>
      <c r="E17" s="28"/>
      <c r="F17" s="29"/>
      <c r="G17" s="29"/>
      <c r="H17" s="3"/>
      <c r="I17" s="3"/>
      <c r="J17" s="28"/>
      <c r="K17" s="29"/>
      <c r="L17" s="30"/>
      <c r="M17" s="30"/>
      <c r="N17" s="9"/>
      <c r="O17" s="27"/>
      <c r="P17" s="27"/>
      <c r="Q17" s="28"/>
      <c r="R17" s="29"/>
      <c r="S17" s="30"/>
      <c r="T17" s="30"/>
      <c r="U17" s="30"/>
      <c r="V17" s="27"/>
      <c r="W17" s="27"/>
      <c r="X17" s="28"/>
      <c r="Y17" s="29"/>
      <c r="Z17" s="30"/>
      <c r="AA17" s="30"/>
      <c r="AB17" s="9"/>
      <c r="AC17" s="8"/>
      <c r="AD17" s="8"/>
      <c r="AE17" s="69"/>
      <c r="AF17" s="9"/>
      <c r="AG17" s="30"/>
      <c r="AH17" s="30"/>
      <c r="AI17" s="9"/>
      <c r="AJ17" s="81"/>
      <c r="AK17" s="83"/>
      <c r="AL17" s="84"/>
      <c r="AM17" s="30"/>
      <c r="AN17" s="30"/>
      <c r="AO17" s="9"/>
      <c r="AP17" s="78"/>
      <c r="AQ17" s="79"/>
      <c r="AR17" s="80"/>
      <c r="AS17" s="30"/>
      <c r="AT17" s="30"/>
      <c r="AU17" s="80"/>
      <c r="AV17" s="78"/>
      <c r="AW17" s="79"/>
      <c r="AX17" s="80"/>
      <c r="AY17" s="30"/>
      <c r="AZ17" s="30"/>
      <c r="BA17" s="80"/>
      <c r="BB17" s="78"/>
      <c r="BC17" s="79"/>
      <c r="BD17" s="80"/>
      <c r="BE17" s="30"/>
      <c r="BF17" s="30"/>
      <c r="BG17" s="80"/>
      <c r="BH17" s="78"/>
      <c r="BI17" s="79"/>
      <c r="BJ17" s="80"/>
      <c r="BK17" s="30"/>
      <c r="BL17" s="30"/>
      <c r="BM17" s="80"/>
      <c r="BN17" s="78"/>
      <c r="BO17" s="79"/>
      <c r="BP17" s="80"/>
      <c r="BQ17" s="30"/>
      <c r="BR17" s="30"/>
      <c r="BS17" s="9"/>
      <c r="BT17" s="27"/>
      <c r="BU17" s="27"/>
      <c r="BV17" s="28"/>
      <c r="BW17" s="29"/>
      <c r="BX17" s="30"/>
      <c r="BY17" s="30"/>
      <c r="BZ17" s="30"/>
      <c r="CA17" s="27"/>
      <c r="CB17" s="27"/>
      <c r="CC17" s="28"/>
      <c r="CD17" s="29"/>
      <c r="CE17" s="30"/>
      <c r="CF17" s="30"/>
      <c r="CG17" s="30"/>
      <c r="CH17" s="27"/>
      <c r="CI17" s="27"/>
      <c r="CJ17" s="28"/>
      <c r="CK17" s="29"/>
      <c r="CL17" s="30"/>
      <c r="CM17" s="30"/>
      <c r="CN17" s="30"/>
      <c r="CO17" s="27"/>
      <c r="CP17" s="27"/>
      <c r="CQ17" s="28"/>
      <c r="CR17" s="29"/>
      <c r="CS17" s="30"/>
      <c r="CT17" s="30"/>
      <c r="CU17" s="30"/>
      <c r="CV17" s="27"/>
      <c r="CW17" s="27"/>
      <c r="CX17" s="28"/>
      <c r="CY17" s="29"/>
      <c r="CZ17" s="30"/>
      <c r="DA17" s="30"/>
      <c r="DB17" s="30"/>
      <c r="DC17" s="27"/>
      <c r="DD17" s="27"/>
      <c r="DE17" s="28"/>
      <c r="DF17" s="29"/>
      <c r="DG17" s="30"/>
      <c r="DH17" s="30"/>
      <c r="DI17" s="30"/>
      <c r="DJ17" s="27"/>
      <c r="DK17" s="27"/>
      <c r="DL17" s="28"/>
      <c r="DM17" s="29"/>
      <c r="DN17" s="30"/>
      <c r="DO17" s="30"/>
      <c r="DP17" s="8"/>
      <c r="DQ17" s="27"/>
      <c r="DR17" s="27"/>
      <c r="DS17" s="28"/>
      <c r="DT17" s="29"/>
      <c r="DU17" s="29"/>
      <c r="DV17" s="27"/>
      <c r="DW17" s="27"/>
      <c r="DX17" s="28"/>
      <c r="DY17" s="29"/>
      <c r="DZ17" s="10"/>
      <c r="EA17" s="10"/>
      <c r="EB17" s="29"/>
      <c r="EC17" s="27"/>
      <c r="ED17" s="27"/>
      <c r="EE17" s="28"/>
      <c r="EF17" s="29"/>
      <c r="EG17" s="10"/>
      <c r="EH17" s="10"/>
      <c r="EI17" s="29"/>
      <c r="EJ17" s="27"/>
      <c r="EK17" s="27"/>
      <c r="EL17" s="28"/>
      <c r="EM17" s="29"/>
      <c r="EN17" s="10"/>
      <c r="EO17" s="10"/>
      <c r="EP17" s="29"/>
      <c r="EQ17" s="8"/>
      <c r="ER17" s="8"/>
      <c r="ES17" s="69"/>
      <c r="ET17" s="9"/>
      <c r="EU17" s="10"/>
      <c r="EV17" s="10"/>
      <c r="EW17" s="29"/>
      <c r="EX17" s="88"/>
      <c r="EY17" s="88"/>
      <c r="EZ17" s="28"/>
      <c r="FA17" s="29"/>
      <c r="FB17" s="30"/>
      <c r="FC17" s="30"/>
      <c r="FD17" s="30"/>
      <c r="FE17" s="27"/>
      <c r="FF17" s="27"/>
      <c r="FG17" s="28"/>
      <c r="FH17" s="29"/>
      <c r="FI17" s="30"/>
      <c r="FJ17" s="30"/>
      <c r="FK17" s="30"/>
      <c r="FL17" s="88"/>
      <c r="FM17" s="88"/>
      <c r="FN17" s="28"/>
      <c r="FO17" s="29"/>
      <c r="FP17" s="30"/>
      <c r="FQ17" s="30"/>
      <c r="FR17" s="30"/>
      <c r="FS17" s="88"/>
      <c r="FT17" s="88"/>
      <c r="FU17" s="28"/>
      <c r="FV17" s="29"/>
      <c r="FW17" s="30"/>
      <c r="FX17" s="30"/>
      <c r="FY17" s="30"/>
      <c r="FZ17" s="88"/>
      <c r="GA17" s="88"/>
      <c r="GB17" s="28"/>
      <c r="GC17" s="29"/>
      <c r="GD17" s="30"/>
      <c r="GE17" s="30"/>
      <c r="GF17" s="30"/>
      <c r="GG17" s="88"/>
      <c r="GH17" s="88"/>
      <c r="GI17" s="28"/>
      <c r="GJ17" s="29"/>
      <c r="GK17" s="30"/>
      <c r="GL17" s="30"/>
      <c r="GM17" s="10"/>
      <c r="GN17" s="88"/>
      <c r="GO17" s="88"/>
      <c r="GP17" s="28"/>
      <c r="GQ17" s="29"/>
      <c r="GR17" s="9"/>
      <c r="GS17" s="3"/>
      <c r="GT17" s="3"/>
      <c r="GU17" s="69"/>
      <c r="GV17" s="9"/>
      <c r="GW17" s="10"/>
      <c r="GX17" s="10"/>
      <c r="GY17" s="9"/>
      <c r="GZ17" s="27"/>
      <c r="HA17" s="27"/>
      <c r="HB17" s="28"/>
      <c r="HC17" s="29"/>
      <c r="HD17" s="10"/>
      <c r="HE17" s="10"/>
      <c r="HF17" s="9"/>
      <c r="HG17" s="27"/>
      <c r="HH17" s="27"/>
      <c r="HI17" s="28"/>
      <c r="HJ17" s="29"/>
      <c r="HK17" s="10"/>
      <c r="HL17" s="10"/>
      <c r="HM17" s="29"/>
      <c r="HN17" s="8"/>
      <c r="HO17" s="8"/>
      <c r="HP17" s="69"/>
      <c r="HQ17" s="9"/>
      <c r="HR17" s="10"/>
      <c r="HS17" s="10"/>
      <c r="HT17" s="9"/>
      <c r="HU17" s="88"/>
      <c r="HV17" s="88"/>
      <c r="HW17" s="28"/>
      <c r="HX17" s="29"/>
      <c r="HY17" s="30"/>
      <c r="HZ17" s="30"/>
      <c r="IA17" s="30"/>
      <c r="IB17" s="88"/>
      <c r="IC17" s="88"/>
      <c r="ID17" s="28"/>
      <c r="IE17" s="29"/>
      <c r="IF17" s="30"/>
      <c r="IG17" s="30"/>
      <c r="IH17" s="30"/>
      <c r="II17" s="88"/>
      <c r="IJ17" s="88"/>
      <c r="IK17" s="28"/>
      <c r="IL17" s="29"/>
      <c r="IM17" s="30"/>
      <c r="IN17" s="30"/>
      <c r="IO17" s="30"/>
      <c r="IP17" s="88"/>
      <c r="IQ17" s="88"/>
      <c r="IR17" s="28"/>
      <c r="IS17" s="29"/>
      <c r="IT17" s="30"/>
      <c r="IU17" s="30"/>
      <c r="IV17" s="30"/>
      <c r="IW17" s="88"/>
      <c r="IX17" s="88"/>
      <c r="IY17" s="28"/>
      <c r="IZ17" s="29"/>
      <c r="JA17" s="30"/>
      <c r="JB17" s="30"/>
      <c r="JC17" s="30"/>
      <c r="JD17" s="88"/>
      <c r="JE17" s="88"/>
      <c r="JF17" s="28"/>
      <c r="JG17" s="29"/>
      <c r="JH17" s="30"/>
      <c r="JI17" s="30"/>
      <c r="JK17" s="27"/>
      <c r="JL17" s="27"/>
      <c r="JM17" s="28"/>
      <c r="JN17" s="29"/>
    </row>
    <row r="18" spans="1:274" x14ac:dyDescent="0.2">
      <c r="A18" s="73"/>
      <c r="B18" s="7" t="s">
        <v>18</v>
      </c>
      <c r="C18" s="27">
        <v>2720</v>
      </c>
      <c r="D18" s="27">
        <v>2713.9562300399293</v>
      </c>
      <c r="E18" s="28">
        <v>3.9347494753563508</v>
      </c>
      <c r="F18" s="29">
        <v>2.062356838523419E-2</v>
      </c>
      <c r="G18" s="29"/>
      <c r="H18" s="3">
        <v>858</v>
      </c>
      <c r="I18" s="3">
        <v>857.61315900001159</v>
      </c>
      <c r="J18" s="28">
        <v>3.8650460496024146</v>
      </c>
      <c r="K18" s="29">
        <v>3.9214867169649795E-2</v>
      </c>
      <c r="L18" s="30">
        <f t="shared" si="37"/>
        <v>1.5731813052667785</v>
      </c>
      <c r="M18" s="30" t="str">
        <f t="shared" si="38"/>
        <v xml:space="preserve"> </v>
      </c>
      <c r="N18" s="9"/>
      <c r="O18" s="27">
        <v>512</v>
      </c>
      <c r="P18" s="27">
        <v>512.43557712000086</v>
      </c>
      <c r="Q18" s="28">
        <v>3.7971565697210372</v>
      </c>
      <c r="R18" s="29">
        <v>4.9526373121239572E-2</v>
      </c>
      <c r="S18" s="30">
        <f t="shared" si="39"/>
        <v>2.5646970369935906</v>
      </c>
      <c r="T18" s="30" t="str">
        <f t="shared" si="40"/>
        <v>*</v>
      </c>
      <c r="U18" s="30"/>
      <c r="V18" s="27">
        <v>742</v>
      </c>
      <c r="W18" s="27">
        <v>776.9970283900077</v>
      </c>
      <c r="X18" s="28">
        <v>3.4370528604641586</v>
      </c>
      <c r="Y18" s="29">
        <v>4.2221530210718894E-2</v>
      </c>
      <c r="Z18" s="30">
        <f t="shared" si="41"/>
        <v>10.591713280684905</v>
      </c>
      <c r="AA18" s="30" t="str">
        <f t="shared" si="42"/>
        <v>*</v>
      </c>
      <c r="AB18" s="9"/>
      <c r="AC18" s="8">
        <v>907</v>
      </c>
      <c r="AD18" s="8">
        <v>944.94858233999685</v>
      </c>
      <c r="AE18" s="69">
        <v>3.266639466219492</v>
      </c>
      <c r="AF18" s="9">
        <v>3.8671077498977947E-2</v>
      </c>
      <c r="AG18" s="30">
        <f t="shared" si="43"/>
        <v>15.244343814165722</v>
      </c>
      <c r="AH18" s="30" t="str">
        <f t="shared" si="44"/>
        <v>*</v>
      </c>
      <c r="AI18" s="9"/>
      <c r="AJ18" s="81">
        <v>3919</v>
      </c>
      <c r="AK18" s="83">
        <v>4.0254629342846266</v>
      </c>
      <c r="AL18" s="84">
        <v>1.6513574240797049E-2</v>
      </c>
      <c r="AM18" s="30">
        <f t="shared" si="45"/>
        <v>-3.4334819927863616</v>
      </c>
      <c r="AN18" s="30" t="str">
        <f t="shared" si="46"/>
        <v>*</v>
      </c>
      <c r="AO18" s="9"/>
      <c r="AP18" s="78">
        <v>42</v>
      </c>
      <c r="AQ18" s="79">
        <v>4.1904761904761907</v>
      </c>
      <c r="AR18" s="80">
        <v>0.1332221413254959</v>
      </c>
      <c r="AS18" s="30">
        <f t="shared" si="47"/>
        <v>-1.8969555946325931</v>
      </c>
      <c r="AT18" s="30" t="str">
        <f t="shared" si="48"/>
        <v xml:space="preserve"> </v>
      </c>
      <c r="AU18" s="80"/>
      <c r="AV18" s="78">
        <v>527</v>
      </c>
      <c r="AW18" s="79">
        <v>3.9539319483256214</v>
      </c>
      <c r="AX18" s="80">
        <v>4.6686808602220325E-2</v>
      </c>
      <c r="AY18" s="30">
        <f t="shared" si="49"/>
        <v>-0.37583878211657096</v>
      </c>
      <c r="AZ18" s="30" t="str">
        <f t="shared" si="50"/>
        <v xml:space="preserve"> </v>
      </c>
      <c r="BA18" s="80"/>
      <c r="BB18" s="78">
        <v>586</v>
      </c>
      <c r="BC18" s="79">
        <v>4.0893214248928746</v>
      </c>
      <c r="BD18" s="80">
        <v>4.24539186645774E-2</v>
      </c>
      <c r="BE18" s="30">
        <f t="shared" si="51"/>
        <v>-3.2749567576048819</v>
      </c>
      <c r="BF18" s="30" t="str">
        <f t="shared" si="52"/>
        <v>*</v>
      </c>
      <c r="BG18" s="80"/>
      <c r="BH18" s="78">
        <v>933</v>
      </c>
      <c r="BI18" s="79">
        <v>3.9549639779778403</v>
      </c>
      <c r="BJ18" s="80">
        <v>3.8636000779478465E-2</v>
      </c>
      <c r="BK18" s="30">
        <f t="shared" si="53"/>
        <v>-0.46156258032346875</v>
      </c>
      <c r="BL18" s="30" t="str">
        <f t="shared" si="54"/>
        <v xml:space="preserve"> </v>
      </c>
      <c r="BM18" s="80"/>
      <c r="BN18" s="78">
        <v>1069</v>
      </c>
      <c r="BO18" s="79">
        <v>3.9330757678175159</v>
      </c>
      <c r="BP18" s="80">
        <v>3.3630747876515835E-2</v>
      </c>
      <c r="BQ18" s="30">
        <f t="shared" si="55"/>
        <v>4.2425279572719354E-2</v>
      </c>
      <c r="BR18" s="30" t="str">
        <f t="shared" si="56"/>
        <v xml:space="preserve"> </v>
      </c>
      <c r="BS18" s="9"/>
      <c r="BT18" s="27">
        <v>10203</v>
      </c>
      <c r="BU18" s="27">
        <v>10281.689874889096</v>
      </c>
      <c r="BV18" s="28">
        <v>4.190201292653863</v>
      </c>
      <c r="BW18" s="29">
        <v>9.8511051330395106E-3</v>
      </c>
      <c r="BX18" s="30">
        <f t="shared" si="57"/>
        <v>-11.176799318663761</v>
      </c>
      <c r="BY18" s="30" t="str">
        <f t="shared" si="58"/>
        <v>*</v>
      </c>
      <c r="BZ18" s="30"/>
      <c r="CA18" s="27">
        <v>446</v>
      </c>
      <c r="CB18" s="27">
        <v>446</v>
      </c>
      <c r="CC18" s="28">
        <v>3.9439461883408056</v>
      </c>
      <c r="CD18" s="29">
        <v>4.9260089628764256E-2</v>
      </c>
      <c r="CE18" s="30">
        <f t="shared" si="59"/>
        <v>-0.17221318539546079</v>
      </c>
      <c r="CF18" s="30" t="str">
        <f t="shared" si="0"/>
        <v xml:space="preserve"> </v>
      </c>
      <c r="CG18" s="30"/>
      <c r="CH18" s="27">
        <v>2622</v>
      </c>
      <c r="CI18" s="27">
        <v>2704.594866859914</v>
      </c>
      <c r="CJ18" s="28">
        <v>4.0014436535866587</v>
      </c>
      <c r="CK18" s="29">
        <v>1.9527272777439538E-2</v>
      </c>
      <c r="CL18" s="30">
        <f t="shared" si="60"/>
        <v>-2.3482614336780729</v>
      </c>
      <c r="CM18" s="30" t="str">
        <f t="shared" si="1"/>
        <v>*</v>
      </c>
      <c r="CN18" s="30"/>
      <c r="CO18" s="27">
        <v>2478</v>
      </c>
      <c r="CP18" s="27">
        <v>2478.0934980900074</v>
      </c>
      <c r="CQ18" s="28">
        <v>4.1758670408303411</v>
      </c>
      <c r="CR18" s="29">
        <v>1.9527842094005401E-2</v>
      </c>
      <c r="CS18" s="30">
        <f t="shared" si="61"/>
        <v>-8.4894857630238185</v>
      </c>
      <c r="CT18" s="30" t="str">
        <f t="shared" si="2"/>
        <v>*</v>
      </c>
      <c r="CU18" s="30"/>
      <c r="CV18" s="27">
        <v>508</v>
      </c>
      <c r="CW18" s="27">
        <v>510.03512928000322</v>
      </c>
      <c r="CX18" s="28">
        <v>4.9350393700787309</v>
      </c>
      <c r="CY18" s="29">
        <v>1.1610071759064311E-2</v>
      </c>
      <c r="CZ18" s="30">
        <f t="shared" si="62"/>
        <v>-42.265233387029269</v>
      </c>
      <c r="DA18" s="30" t="str">
        <f t="shared" si="3"/>
        <v>*</v>
      </c>
      <c r="DB18" s="30"/>
      <c r="DC18" s="27">
        <v>886</v>
      </c>
      <c r="DD18" s="27">
        <v>886.01015061998839</v>
      </c>
      <c r="DE18" s="28">
        <v>4.7935071373144273</v>
      </c>
      <c r="DF18" s="29">
        <v>1.6792538300325937E-2</v>
      </c>
      <c r="DG18" s="30">
        <f t="shared" si="63"/>
        <v>-32.28957841445424</v>
      </c>
      <c r="DH18" s="30" t="str">
        <f t="shared" si="4"/>
        <v>*</v>
      </c>
      <c r="DI18" s="30"/>
      <c r="DJ18" s="27">
        <v>543</v>
      </c>
      <c r="DK18" s="27">
        <v>543</v>
      </c>
      <c r="DL18" s="28">
        <v>4.9907918968692435</v>
      </c>
      <c r="DM18" s="29">
        <v>4.1027652378416869E-3</v>
      </c>
      <c r="DN18" s="30">
        <f t="shared" si="64"/>
        <v>-50.221484809572971</v>
      </c>
      <c r="DO18" s="30" t="str">
        <f t="shared" si="5"/>
        <v>*</v>
      </c>
      <c r="DP18" s="8"/>
      <c r="DQ18" s="27">
        <v>826</v>
      </c>
      <c r="DR18" s="27">
        <v>823.99741750000373</v>
      </c>
      <c r="DS18" s="28">
        <v>3.8940568531818225</v>
      </c>
      <c r="DT18" s="29">
        <v>4.0241382373635753E-2</v>
      </c>
      <c r="DU18" s="29"/>
      <c r="DV18" s="27">
        <v>539</v>
      </c>
      <c r="DW18" s="27">
        <v>538.60085810999556</v>
      </c>
      <c r="DX18" s="28">
        <v>3.8523604076142051</v>
      </c>
      <c r="DY18" s="29">
        <v>5.1806623869765187E-2</v>
      </c>
      <c r="DZ18" s="10">
        <f t="shared" si="6"/>
        <v>0.63562133891106853</v>
      </c>
      <c r="EA18" s="10" t="str">
        <f t="shared" si="7"/>
        <v xml:space="preserve"> </v>
      </c>
      <c r="EB18" s="29"/>
      <c r="EC18" s="27">
        <v>593</v>
      </c>
      <c r="ED18" s="27">
        <v>594.09115509999958</v>
      </c>
      <c r="EE18" s="28">
        <v>3.8798220405453061</v>
      </c>
      <c r="EF18" s="29">
        <v>4.7946696770596521E-2</v>
      </c>
      <c r="EG18" s="10">
        <f t="shared" si="8"/>
        <v>0.22740783829291122</v>
      </c>
      <c r="EH18" s="10" t="str">
        <f t="shared" si="9"/>
        <v xml:space="preserve"> </v>
      </c>
      <c r="EI18" s="29"/>
      <c r="EJ18" s="27">
        <v>539</v>
      </c>
      <c r="EK18" s="27">
        <v>546.62796239000215</v>
      </c>
      <c r="EL18" s="28">
        <v>3.9315439410080844</v>
      </c>
      <c r="EM18" s="29">
        <v>4.6950219005342554E-2</v>
      </c>
      <c r="EN18" s="10">
        <f t="shared" si="10"/>
        <v>-0.60623395443933292</v>
      </c>
      <c r="EO18" s="10" t="str">
        <f t="shared" si="65"/>
        <v xml:space="preserve"> </v>
      </c>
      <c r="EP18" s="29"/>
      <c r="EQ18" s="8">
        <v>628</v>
      </c>
      <c r="ER18" s="8">
        <v>627.22114302999785</v>
      </c>
      <c r="ES18" s="69">
        <v>3.9477823723196264</v>
      </c>
      <c r="ET18" s="9">
        <v>4.276478985831457E-2</v>
      </c>
      <c r="EU18" s="10">
        <f t="shared" si="11"/>
        <v>-0.91492320378886438</v>
      </c>
      <c r="EV18" s="10" t="str">
        <f t="shared" si="66"/>
        <v xml:space="preserve"> </v>
      </c>
      <c r="EW18" s="29"/>
      <c r="EX18" s="88">
        <v>3229</v>
      </c>
      <c r="EY18" s="88">
        <v>3224.9265256198805</v>
      </c>
      <c r="EZ18" s="28">
        <v>4.0392887710009582</v>
      </c>
      <c r="FA18" s="29">
        <v>1.8884568217683605E-2</v>
      </c>
      <c r="FB18" s="30">
        <f t="shared" si="12"/>
        <v>-3.2671499455538613</v>
      </c>
      <c r="FC18" s="30" t="str">
        <f t="shared" si="67"/>
        <v>*</v>
      </c>
      <c r="FD18" s="30"/>
      <c r="FE18" s="27">
        <v>932</v>
      </c>
      <c r="FF18" s="27">
        <v>932.07083630000045</v>
      </c>
      <c r="FG18" s="28">
        <v>4.2177762576563032</v>
      </c>
      <c r="FH18" s="29">
        <v>2.894282532910698E-2</v>
      </c>
      <c r="FI18" s="30">
        <f t="shared" si="13"/>
        <v>-6.5307221332850665</v>
      </c>
      <c r="FJ18" s="30" t="str">
        <f t="shared" si="14"/>
        <v>*</v>
      </c>
      <c r="FK18" s="30"/>
      <c r="FL18" s="88">
        <v>18</v>
      </c>
      <c r="FM18" s="88">
        <v>18.248275800000009</v>
      </c>
      <c r="FN18" s="28">
        <v>4.4444444444444446</v>
      </c>
      <c r="FO18" s="29">
        <v>0.183414461705876</v>
      </c>
      <c r="FP18" s="30" t="str">
        <f t="shared" si="15"/>
        <v>NV</v>
      </c>
      <c r="FQ18" s="30"/>
      <c r="FR18" s="30"/>
      <c r="FS18" s="88">
        <v>409</v>
      </c>
      <c r="FT18" s="88">
        <v>406.2750293199976</v>
      </c>
      <c r="FU18" s="28">
        <v>4.0415647921760387</v>
      </c>
      <c r="FV18" s="29">
        <v>5.427550206534433E-2</v>
      </c>
      <c r="FW18" s="30">
        <f t="shared" si="17"/>
        <v>-2.1831598677111135</v>
      </c>
      <c r="FX18" s="30" t="str">
        <f t="shared" si="18"/>
        <v>*</v>
      </c>
      <c r="FY18" s="30"/>
      <c r="FZ18" s="88">
        <v>947</v>
      </c>
      <c r="GA18" s="88">
        <v>947.092466700008</v>
      </c>
      <c r="GB18" s="28">
        <v>3.9683033046133289</v>
      </c>
      <c r="GC18" s="29">
        <v>3.7186774801647206E-2</v>
      </c>
      <c r="GD18" s="30">
        <f t="shared" si="19"/>
        <v>-1.3550461219490262</v>
      </c>
      <c r="GE18" s="30" t="str">
        <f t="shared" si="20"/>
        <v xml:space="preserve"> </v>
      </c>
      <c r="GF18" s="30"/>
      <c r="GG18" s="88">
        <v>97</v>
      </c>
      <c r="GH18" s="88">
        <v>97.242499999999865</v>
      </c>
      <c r="GI18" s="28">
        <v>4.1649484536082477</v>
      </c>
      <c r="GJ18" s="29">
        <v>9.8926055046690581E-2</v>
      </c>
      <c r="GK18" s="30">
        <f t="shared" si="21"/>
        <v>-2.5364945549049942</v>
      </c>
      <c r="GL18" s="30" t="str">
        <f t="shared" si="22"/>
        <v>*</v>
      </c>
      <c r="GM18" s="10"/>
      <c r="GN18" s="88">
        <v>764</v>
      </c>
      <c r="GO18" s="88">
        <v>764.08569915000783</v>
      </c>
      <c r="GP18" s="28">
        <v>4.0902011503509001</v>
      </c>
      <c r="GQ18" s="29">
        <v>3.7615613729273363E-2</v>
      </c>
      <c r="GR18" s="9"/>
      <c r="GS18" s="3">
        <v>518</v>
      </c>
      <c r="GT18" s="3">
        <v>517.7974784599943</v>
      </c>
      <c r="GU18" s="69">
        <v>4.040766021945057</v>
      </c>
      <c r="GV18" s="9">
        <v>4.8603400742683663E-2</v>
      </c>
      <c r="GW18" s="10">
        <f t="shared" si="23"/>
        <v>0.80435773244971054</v>
      </c>
      <c r="GX18" s="10" t="str">
        <f t="shared" si="68"/>
        <v xml:space="preserve"> </v>
      </c>
      <c r="GY18" s="9"/>
      <c r="GZ18" s="27">
        <v>579</v>
      </c>
      <c r="HA18" s="27">
        <v>580.11393080000244</v>
      </c>
      <c r="HB18" s="28">
        <v>4.3010874218606112</v>
      </c>
      <c r="HC18" s="29">
        <v>3.5507477471203815E-2</v>
      </c>
      <c r="HD18" s="10">
        <f t="shared" si="24"/>
        <v>-4.0768839873034093</v>
      </c>
      <c r="HE18" s="10" t="str">
        <f t="shared" si="69"/>
        <v>*</v>
      </c>
      <c r="HF18" s="9"/>
      <c r="HG18" s="27">
        <v>1095</v>
      </c>
      <c r="HH18" s="27">
        <v>1099.1939669099966</v>
      </c>
      <c r="HI18" s="28">
        <v>3.9792416991114461</v>
      </c>
      <c r="HJ18" s="29">
        <v>3.2335819013823666E-2</v>
      </c>
      <c r="HK18" s="10">
        <f t="shared" si="25"/>
        <v>2.236913146173455</v>
      </c>
      <c r="HL18" s="10" t="str">
        <f t="shared" si="70"/>
        <v>*</v>
      </c>
      <c r="HM18" s="29"/>
      <c r="HN18" s="8">
        <v>1107</v>
      </c>
      <c r="HO18" s="8">
        <v>1112.3400799199924</v>
      </c>
      <c r="HP18" s="69">
        <v>4.0432981595012398</v>
      </c>
      <c r="HQ18" s="9">
        <v>3.1666299707228333E-2</v>
      </c>
      <c r="HR18" s="10">
        <f t="shared" si="26"/>
        <v>0.95389445852950605</v>
      </c>
      <c r="HS18" s="10" t="str">
        <f t="shared" si="71"/>
        <v xml:space="preserve"> </v>
      </c>
      <c r="HT18" s="9"/>
      <c r="HU18" s="88">
        <v>3647</v>
      </c>
      <c r="HV18" s="88">
        <v>3646.698450179857</v>
      </c>
      <c r="HW18" s="28">
        <v>4.1826991502730761</v>
      </c>
      <c r="HX18" s="29">
        <v>1.6010397775047033E-2</v>
      </c>
      <c r="HY18" s="30">
        <f t="shared" si="27"/>
        <v>-2.2626083882990091</v>
      </c>
      <c r="HZ18" s="30" t="str">
        <f t="shared" si="72"/>
        <v>*</v>
      </c>
      <c r="IA18" s="30"/>
      <c r="IB18" s="88">
        <v>932</v>
      </c>
      <c r="IC18" s="88">
        <v>932.07083630000045</v>
      </c>
      <c r="ID18" s="28">
        <v>4.2177762576563032</v>
      </c>
      <c r="IE18" s="29">
        <v>2.894282532910698E-2</v>
      </c>
      <c r="IF18" s="30">
        <f t="shared" si="28"/>
        <v>-2.6879539650425515</v>
      </c>
      <c r="IG18" s="30" t="str">
        <f t="shared" si="29"/>
        <v>*</v>
      </c>
      <c r="IH18" s="30"/>
      <c r="II18" s="88">
        <v>435</v>
      </c>
      <c r="IJ18" s="88">
        <v>434.64708720000237</v>
      </c>
      <c r="IK18" s="28">
        <v>4.237823643420473</v>
      </c>
      <c r="IL18" s="29">
        <v>4.2966841066017142E-2</v>
      </c>
      <c r="IM18" s="30">
        <f t="shared" si="30"/>
        <v>-2.5850655148435995</v>
      </c>
      <c r="IN18" s="30" t="str">
        <f>IF(ABS(IM18)&gt;=1.96,"*"," ")</f>
        <v>*</v>
      </c>
      <c r="IO18" s="30"/>
      <c r="IP18" s="88">
        <v>675</v>
      </c>
      <c r="IQ18" s="88">
        <v>675.14691126000696</v>
      </c>
      <c r="IR18" s="28">
        <v>4.2082073800466011</v>
      </c>
      <c r="IS18" s="29">
        <v>3.9723006338035716E-2</v>
      </c>
      <c r="IT18" s="30">
        <f t="shared" si="32"/>
        <v>-2.1570605753619558</v>
      </c>
      <c r="IU18" s="30" t="str">
        <f t="shared" si="33"/>
        <v>*</v>
      </c>
      <c r="IV18" s="30"/>
      <c r="IW18" s="88">
        <v>18</v>
      </c>
      <c r="IX18" s="88">
        <v>18.248275800000009</v>
      </c>
      <c r="IY18" s="28">
        <v>4.4444444444444446</v>
      </c>
      <c r="IZ18" s="29">
        <v>0.183414461705876</v>
      </c>
      <c r="JA18" s="30" t="str">
        <f t="shared" si="34"/>
        <v>NV</v>
      </c>
      <c r="JB18" s="30"/>
      <c r="JC18" s="30"/>
      <c r="JD18" s="88">
        <v>823</v>
      </c>
      <c r="JE18" s="88">
        <v>822.49964047000753</v>
      </c>
      <c r="JF18" s="28">
        <v>4.1730020601816724</v>
      </c>
      <c r="JG18" s="29">
        <v>3.3722868998233693E-2</v>
      </c>
      <c r="JH18" s="30">
        <f t="shared" si="35"/>
        <v>-1.6390063075755246</v>
      </c>
      <c r="JI18" s="30" t="str">
        <f t="shared" si="36"/>
        <v xml:space="preserve"> </v>
      </c>
      <c r="JK18" s="27"/>
      <c r="JL18" s="27"/>
      <c r="JM18" s="28"/>
      <c r="JN18" s="29"/>
    </row>
    <row r="19" spans="1:274" x14ac:dyDescent="0.2">
      <c r="B19" s="7" t="s">
        <v>19</v>
      </c>
      <c r="C19" s="27">
        <v>2677</v>
      </c>
      <c r="D19" s="27">
        <v>2671.4055170299298</v>
      </c>
      <c r="E19" s="28">
        <v>3.8661898803378154</v>
      </c>
      <c r="F19" s="29">
        <v>2.0927703382400482E-2</v>
      </c>
      <c r="G19" s="29"/>
      <c r="H19" s="3">
        <v>846</v>
      </c>
      <c r="I19" s="3">
        <v>845.65495440001109</v>
      </c>
      <c r="J19" s="28">
        <v>3.8457062771274377</v>
      </c>
      <c r="K19" s="29">
        <v>3.9382675578365986E-2</v>
      </c>
      <c r="L19" s="30">
        <f t="shared" si="37"/>
        <v>0.45929625431861421</v>
      </c>
      <c r="M19" s="30" t="str">
        <f t="shared" si="38"/>
        <v xml:space="preserve"> </v>
      </c>
      <c r="N19" s="9"/>
      <c r="O19" s="27">
        <v>504</v>
      </c>
      <c r="P19" s="27">
        <v>504.11766408000079</v>
      </c>
      <c r="Q19" s="28">
        <v>3.8066277358522984</v>
      </c>
      <c r="R19" s="29">
        <v>4.8473725376514426E-2</v>
      </c>
      <c r="S19" s="30">
        <f t="shared" si="39"/>
        <v>1.128105148172222</v>
      </c>
      <c r="T19" s="30" t="str">
        <f t="shared" si="40"/>
        <v xml:space="preserve"> </v>
      </c>
      <c r="U19" s="30"/>
      <c r="V19" s="27">
        <v>738</v>
      </c>
      <c r="W19" s="27">
        <v>770.43251364000764</v>
      </c>
      <c r="X19" s="28">
        <v>3.699419381840618</v>
      </c>
      <c r="Y19" s="29">
        <v>3.6914744243784305E-2</v>
      </c>
      <c r="Z19" s="30">
        <f t="shared" si="41"/>
        <v>3.9300901337426248</v>
      </c>
      <c r="AA19" s="30" t="str">
        <f t="shared" si="42"/>
        <v>*</v>
      </c>
      <c r="AB19" s="9"/>
      <c r="AC19" s="8">
        <v>903</v>
      </c>
      <c r="AD19" s="8">
        <v>941.56894113999692</v>
      </c>
      <c r="AE19" s="69">
        <v>3.6013022176522878</v>
      </c>
      <c r="AF19" s="9">
        <v>3.406109375629051E-2</v>
      </c>
      <c r="AG19" s="30">
        <f t="shared" si="43"/>
        <v>6.6260712805493451</v>
      </c>
      <c r="AH19" s="30" t="str">
        <f t="shared" si="44"/>
        <v>*</v>
      </c>
      <c r="AI19" s="9"/>
      <c r="AJ19" s="81">
        <v>3942</v>
      </c>
      <c r="AK19" s="83">
        <v>4.0749342597576304</v>
      </c>
      <c r="AL19" s="84">
        <v>1.5864474482765845E-2</v>
      </c>
      <c r="AM19" s="30">
        <f t="shared" si="45"/>
        <v>-7.9487771207948654</v>
      </c>
      <c r="AN19" s="30" t="str">
        <f t="shared" si="46"/>
        <v>*</v>
      </c>
      <c r="AO19" s="9"/>
      <c r="AP19" s="78">
        <v>41</v>
      </c>
      <c r="AQ19" s="79">
        <v>4.3658536585365848</v>
      </c>
      <c r="AR19" s="80">
        <v>0.1195498951279806</v>
      </c>
      <c r="AS19" s="30">
        <f t="shared" si="47"/>
        <v>-4.1169381165206378</v>
      </c>
      <c r="AT19" s="30" t="str">
        <f t="shared" si="48"/>
        <v>*</v>
      </c>
      <c r="AU19" s="80"/>
      <c r="AV19" s="78">
        <v>528</v>
      </c>
      <c r="AW19" s="79">
        <v>4.1750623650872161</v>
      </c>
      <c r="AX19" s="80">
        <v>4.0850004756087299E-2</v>
      </c>
      <c r="AY19" s="30">
        <f t="shared" si="49"/>
        <v>-6.7294370375175907</v>
      </c>
      <c r="AZ19" s="30" t="str">
        <f t="shared" si="50"/>
        <v>*</v>
      </c>
      <c r="BA19" s="80"/>
      <c r="BB19" s="78">
        <v>595</v>
      </c>
      <c r="BC19" s="79">
        <v>4.2158674629223771</v>
      </c>
      <c r="BD19" s="80">
        <v>3.9093228324214503E-2</v>
      </c>
      <c r="BE19" s="30">
        <f t="shared" si="51"/>
        <v>-7.8858498550163283</v>
      </c>
      <c r="BF19" s="30" t="str">
        <f t="shared" si="52"/>
        <v>*</v>
      </c>
      <c r="BG19" s="80"/>
      <c r="BH19" s="78">
        <v>937</v>
      </c>
      <c r="BI19" s="79">
        <v>4.157939067749199</v>
      </c>
      <c r="BJ19" s="80">
        <v>3.2363600741764392E-2</v>
      </c>
      <c r="BK19" s="30">
        <f t="shared" si="53"/>
        <v>-7.5699345247261025</v>
      </c>
      <c r="BL19" s="30" t="str">
        <f t="shared" si="54"/>
        <v>*</v>
      </c>
      <c r="BM19" s="80"/>
      <c r="BN19" s="78">
        <v>1067</v>
      </c>
      <c r="BO19" s="79">
        <v>4.0001719614434244</v>
      </c>
      <c r="BP19" s="80">
        <v>3.1728632941468757E-2</v>
      </c>
      <c r="BQ19" s="30">
        <f t="shared" si="55"/>
        <v>-3.5250205488123361</v>
      </c>
      <c r="BR19" s="30" t="str">
        <f t="shared" si="56"/>
        <v>*</v>
      </c>
      <c r="BS19" s="9"/>
      <c r="BT19" s="27">
        <v>10104</v>
      </c>
      <c r="BU19" s="27">
        <v>10180.202788329081</v>
      </c>
      <c r="BV19" s="28">
        <v>4.1734361474030868</v>
      </c>
      <c r="BW19" s="29">
        <v>9.833142126751503E-3</v>
      </c>
      <c r="BX19" s="30">
        <f t="shared" si="57"/>
        <v>-13.287644188299629</v>
      </c>
      <c r="BY19" s="30" t="str">
        <f t="shared" si="58"/>
        <v>*</v>
      </c>
      <c r="BZ19" s="30"/>
      <c r="CA19" s="27">
        <v>410</v>
      </c>
      <c r="CB19" s="27">
        <v>410</v>
      </c>
      <c r="CC19" s="28">
        <v>4.0853658536585336</v>
      </c>
      <c r="CD19" s="29">
        <v>4.5816854757472415E-2</v>
      </c>
      <c r="CE19" s="30">
        <f t="shared" si="59"/>
        <v>-4.3513059384989274</v>
      </c>
      <c r="CF19" s="30" t="str">
        <f t="shared" si="0"/>
        <v>*</v>
      </c>
      <c r="CG19" s="30"/>
      <c r="CH19" s="27">
        <v>2654</v>
      </c>
      <c r="CI19" s="27">
        <v>2733.6422081799101</v>
      </c>
      <c r="CJ19" s="28">
        <v>3.9738848845740047</v>
      </c>
      <c r="CK19" s="29">
        <v>1.9561892313687653E-2</v>
      </c>
      <c r="CL19" s="30">
        <f t="shared" si="60"/>
        <v>-3.7594141305142648</v>
      </c>
      <c r="CM19" s="30" t="str">
        <f t="shared" si="1"/>
        <v>*</v>
      </c>
      <c r="CN19" s="30"/>
      <c r="CO19" s="27">
        <v>2444</v>
      </c>
      <c r="CP19" s="27">
        <v>2444.1778879400131</v>
      </c>
      <c r="CQ19" s="28">
        <v>4.1815039181022486</v>
      </c>
      <c r="CR19" s="29">
        <v>1.8446123109618292E-2</v>
      </c>
      <c r="CS19" s="30">
        <f t="shared" si="61"/>
        <v>-11.302898211119192</v>
      </c>
      <c r="CT19" s="30" t="str">
        <f t="shared" si="2"/>
        <v>*</v>
      </c>
      <c r="CU19" s="30"/>
      <c r="CV19" s="27">
        <v>491</v>
      </c>
      <c r="CW19" s="27">
        <v>492.96702456000293</v>
      </c>
      <c r="CX19" s="28">
        <v>4.9185336048879797</v>
      </c>
      <c r="CY19" s="29">
        <v>1.6116404773792191E-2</v>
      </c>
      <c r="CZ19" s="30">
        <f t="shared" si="62"/>
        <v>-39.840152386024549</v>
      </c>
      <c r="DA19" s="30" t="str">
        <f t="shared" si="3"/>
        <v>*</v>
      </c>
      <c r="DB19" s="30"/>
      <c r="DC19" s="27">
        <v>886</v>
      </c>
      <c r="DD19" s="27">
        <v>886.01015061998828</v>
      </c>
      <c r="DE19" s="28">
        <v>4.8205673300935059</v>
      </c>
      <c r="DF19" s="29">
        <v>1.6459512185964514E-2</v>
      </c>
      <c r="DG19" s="30">
        <f t="shared" si="63"/>
        <v>-35.845322086058495</v>
      </c>
      <c r="DH19" s="30" t="str">
        <f t="shared" si="4"/>
        <v>*</v>
      </c>
      <c r="DI19" s="30"/>
      <c r="DJ19" s="27">
        <v>542</v>
      </c>
      <c r="DK19" s="27">
        <v>542</v>
      </c>
      <c r="DL19" s="28">
        <v>4.9889298892988903</v>
      </c>
      <c r="DM19" s="29">
        <v>5.2015922932765165E-3</v>
      </c>
      <c r="DN19" s="30">
        <f t="shared" si="64"/>
        <v>-52.064403092433118</v>
      </c>
      <c r="DO19" s="30" t="str">
        <f t="shared" si="5"/>
        <v>*</v>
      </c>
      <c r="DP19" s="8"/>
      <c r="DQ19" s="27">
        <v>822</v>
      </c>
      <c r="DR19" s="27">
        <v>820.66948990000367</v>
      </c>
      <c r="DS19" s="28">
        <v>3.9038189339661939</v>
      </c>
      <c r="DT19" s="29">
        <v>3.7879016405249627E-2</v>
      </c>
      <c r="DU19" s="29"/>
      <c r="DV19" s="27">
        <v>545</v>
      </c>
      <c r="DW19" s="27">
        <v>544.57453265999527</v>
      </c>
      <c r="DX19" s="28">
        <v>3.8472760366634207</v>
      </c>
      <c r="DY19" s="29">
        <v>5.0089559497954877E-2</v>
      </c>
      <c r="DZ19" s="10">
        <f t="shared" si="6"/>
        <v>0.90037101570596112</v>
      </c>
      <c r="EA19" s="10" t="str">
        <f t="shared" si="7"/>
        <v xml:space="preserve"> </v>
      </c>
      <c r="EB19" s="29"/>
      <c r="EC19" s="27">
        <v>595</v>
      </c>
      <c r="ED19" s="27">
        <v>596.15080664999971</v>
      </c>
      <c r="EE19" s="28">
        <v>3.9972730314177793</v>
      </c>
      <c r="EF19" s="29">
        <v>4.4615455100339339E-2</v>
      </c>
      <c r="EG19" s="10">
        <f t="shared" si="8"/>
        <v>-1.5967808587614736</v>
      </c>
      <c r="EH19" s="10" t="str">
        <f t="shared" si="9"/>
        <v xml:space="preserve"> </v>
      </c>
      <c r="EI19" s="29"/>
      <c r="EJ19" s="27">
        <v>539</v>
      </c>
      <c r="EK19" s="27">
        <v>546.62796239000215</v>
      </c>
      <c r="EL19" s="28">
        <v>3.9088608909391027</v>
      </c>
      <c r="EM19" s="29">
        <v>4.5516299717044781E-2</v>
      </c>
      <c r="EN19" s="10">
        <f t="shared" si="10"/>
        <v>-8.5144952042013597E-2</v>
      </c>
      <c r="EO19" s="10" t="str">
        <f t="shared" si="65"/>
        <v xml:space="preserve"> </v>
      </c>
      <c r="EP19" s="29"/>
      <c r="EQ19" s="8">
        <v>618</v>
      </c>
      <c r="ER19" s="8">
        <v>617.71085737999738</v>
      </c>
      <c r="ES19" s="69">
        <v>3.9237609086883367</v>
      </c>
      <c r="ET19" s="9">
        <v>4.3332989172029927E-2</v>
      </c>
      <c r="EU19" s="10">
        <f t="shared" si="11"/>
        <v>-0.34648606370036245</v>
      </c>
      <c r="EV19" s="10" t="str">
        <f t="shared" si="66"/>
        <v xml:space="preserve"> </v>
      </c>
      <c r="EW19" s="29"/>
      <c r="EX19" s="88">
        <v>3153</v>
      </c>
      <c r="EY19" s="88">
        <v>3149.702398719895</v>
      </c>
      <c r="EZ19" s="28">
        <v>4.0882180986505086</v>
      </c>
      <c r="FA19" s="29">
        <v>1.7609673346873862E-2</v>
      </c>
      <c r="FB19" s="30">
        <f t="shared" si="12"/>
        <v>-4.4143943727321773</v>
      </c>
      <c r="FC19" s="30" t="str">
        <f t="shared" si="67"/>
        <v>*</v>
      </c>
      <c r="FD19" s="30"/>
      <c r="FE19" s="27">
        <v>895</v>
      </c>
      <c r="FF19" s="27">
        <v>895.04912118000107</v>
      </c>
      <c r="FG19" s="28">
        <v>4.1831646838375391</v>
      </c>
      <c r="FH19" s="29">
        <v>2.9323952567794381E-2</v>
      </c>
      <c r="FI19" s="30">
        <f t="shared" si="13"/>
        <v>-5.8314664065315913</v>
      </c>
      <c r="FJ19" s="30" t="str">
        <f t="shared" si="14"/>
        <v>*</v>
      </c>
      <c r="FK19" s="30"/>
      <c r="FL19" s="88">
        <v>17</v>
      </c>
      <c r="FM19" s="88">
        <v>17.234482700000008</v>
      </c>
      <c r="FN19" s="28">
        <v>4.2352941176470589</v>
      </c>
      <c r="FO19" s="29">
        <v>0.2001754326762902</v>
      </c>
      <c r="FP19" s="30" t="str">
        <f t="shared" si="15"/>
        <v>NV</v>
      </c>
      <c r="FQ19" s="30"/>
      <c r="FR19" s="30"/>
      <c r="FS19" s="88">
        <v>387</v>
      </c>
      <c r="FT19" s="88">
        <v>384.42160475999805</v>
      </c>
      <c r="FU19" s="28">
        <v>4.1343669250645991</v>
      </c>
      <c r="FV19" s="29">
        <v>4.7231169551766664E-2</v>
      </c>
      <c r="FW19" s="30">
        <f t="shared" si="17"/>
        <v>-3.8079269918166379</v>
      </c>
      <c r="FX19" s="30" t="str">
        <f t="shared" si="18"/>
        <v>*</v>
      </c>
      <c r="FY19" s="30"/>
      <c r="FZ19" s="88">
        <v>940</v>
      </c>
      <c r="GA19" s="88">
        <v>940.09770018000791</v>
      </c>
      <c r="GB19" s="28">
        <v>4.1181563497589</v>
      </c>
      <c r="GC19" s="29">
        <v>3.3109284377284109E-2</v>
      </c>
      <c r="GD19" s="30">
        <f t="shared" si="19"/>
        <v>-4.2603775900678666</v>
      </c>
      <c r="GE19" s="30" t="str">
        <f t="shared" si="20"/>
        <v>*</v>
      </c>
      <c r="GF19" s="30"/>
      <c r="GG19" s="88">
        <v>92</v>
      </c>
      <c r="GH19" s="88">
        <v>92.229999999999876</v>
      </c>
      <c r="GI19" s="28">
        <v>4.2826086956521729</v>
      </c>
      <c r="GJ19" s="29">
        <v>9.303825490245464E-2</v>
      </c>
      <c r="GK19" s="30">
        <f t="shared" si="21"/>
        <v>-3.7707912420593024</v>
      </c>
      <c r="GL19" s="30" t="str">
        <f t="shared" si="22"/>
        <v>*</v>
      </c>
      <c r="GM19" s="10"/>
      <c r="GN19" s="88">
        <v>758</v>
      </c>
      <c r="GO19" s="88">
        <v>758.05849950000766</v>
      </c>
      <c r="GP19" s="28">
        <v>3.9986253520926294</v>
      </c>
      <c r="GQ19" s="29">
        <v>3.9538300786271498E-2</v>
      </c>
      <c r="GR19" s="9"/>
      <c r="GS19" s="3">
        <v>514</v>
      </c>
      <c r="GT19" s="3">
        <v>513.79176417999417</v>
      </c>
      <c r="GU19" s="69">
        <v>4.0450966902845913</v>
      </c>
      <c r="GV19" s="9">
        <v>4.8579057956263973E-2</v>
      </c>
      <c r="GW19" s="10">
        <f t="shared" si="23"/>
        <v>-0.74193325600808846</v>
      </c>
      <c r="GX19" s="10" t="str">
        <f t="shared" si="68"/>
        <v xml:space="preserve"> </v>
      </c>
      <c r="GY19" s="9"/>
      <c r="GZ19" s="27">
        <v>583</v>
      </c>
      <c r="HA19" s="27">
        <v>583.59756157000265</v>
      </c>
      <c r="HB19" s="28">
        <v>4.1393294257111881</v>
      </c>
      <c r="HC19" s="29">
        <v>4.0292498349449653E-2</v>
      </c>
      <c r="HD19" s="10">
        <f t="shared" si="24"/>
        <v>-2.4924807439916963</v>
      </c>
      <c r="HE19" s="10" t="str">
        <f t="shared" si="69"/>
        <v>*</v>
      </c>
      <c r="HF19" s="9"/>
      <c r="HG19" s="27">
        <v>1086</v>
      </c>
      <c r="HH19" s="27">
        <v>1089.6544579999963</v>
      </c>
      <c r="HI19" s="28">
        <v>3.9132171327288798</v>
      </c>
      <c r="HJ19" s="29">
        <v>3.257308482693063E-2</v>
      </c>
      <c r="HK19" s="10">
        <f t="shared" si="25"/>
        <v>1.667225434314185</v>
      </c>
      <c r="HL19" s="10" t="str">
        <f t="shared" si="70"/>
        <v xml:space="preserve"> </v>
      </c>
      <c r="HM19" s="29"/>
      <c r="HN19" s="8">
        <v>1110</v>
      </c>
      <c r="HO19" s="8">
        <v>1114.7096712299924</v>
      </c>
      <c r="HP19" s="69">
        <v>3.9607513146255218</v>
      </c>
      <c r="HQ19" s="9">
        <v>3.1902101277415183E-2</v>
      </c>
      <c r="HR19" s="10">
        <f t="shared" si="26"/>
        <v>0.74549684631563118</v>
      </c>
      <c r="HS19" s="10" t="str">
        <f t="shared" si="71"/>
        <v xml:space="preserve"> </v>
      </c>
      <c r="HT19" s="9"/>
      <c r="HU19" s="88">
        <v>3611</v>
      </c>
      <c r="HV19" s="88">
        <v>3610.8035332498562</v>
      </c>
      <c r="HW19" s="28">
        <v>4.128166540374882</v>
      </c>
      <c r="HX19" s="29">
        <v>1.6488136524606119E-2</v>
      </c>
      <c r="HY19" s="30">
        <f t="shared" si="27"/>
        <v>-3.023944136409122</v>
      </c>
      <c r="HZ19" s="30" t="str">
        <f t="shared" si="72"/>
        <v>*</v>
      </c>
      <c r="IA19" s="30"/>
      <c r="IB19" s="88">
        <v>895</v>
      </c>
      <c r="IC19" s="88">
        <v>895.04912118000107</v>
      </c>
      <c r="ID19" s="28">
        <v>4.1831646838375391</v>
      </c>
      <c r="IE19" s="29">
        <v>2.9323952567794381E-2</v>
      </c>
      <c r="IF19" s="30">
        <f t="shared" si="28"/>
        <v>-3.748839733158043</v>
      </c>
      <c r="IG19" s="30" t="str">
        <f t="shared" si="29"/>
        <v>*</v>
      </c>
      <c r="IH19" s="30"/>
      <c r="II19" s="88">
        <v>443</v>
      </c>
      <c r="IJ19" s="88">
        <v>442.61201470000248</v>
      </c>
      <c r="IK19" s="28">
        <v>4.1676447958835805</v>
      </c>
      <c r="IL19" s="29">
        <v>4.6209818144552238E-2</v>
      </c>
      <c r="IM19" s="30">
        <f t="shared" si="30"/>
        <v>-2.779179168481269</v>
      </c>
      <c r="IN19" s="30" t="str">
        <f>IF(ABS(IM19)&gt;=1.96,"*"," ")</f>
        <v>*</v>
      </c>
      <c r="IO19" s="30"/>
      <c r="IP19" s="88">
        <v>675</v>
      </c>
      <c r="IQ19" s="88">
        <v>675.18694478000691</v>
      </c>
      <c r="IR19" s="28">
        <v>4.2055167198548471</v>
      </c>
      <c r="IS19" s="29">
        <v>3.9564487006364377E-2</v>
      </c>
      <c r="IT19" s="30">
        <f t="shared" si="32"/>
        <v>-3.698840083388625</v>
      </c>
      <c r="IU19" s="30" t="str">
        <f t="shared" si="33"/>
        <v>*</v>
      </c>
      <c r="IV19" s="30"/>
      <c r="IW19" s="88">
        <v>17</v>
      </c>
      <c r="IX19" s="88">
        <v>17.234482700000008</v>
      </c>
      <c r="IY19" s="28">
        <v>4.2352941176470589</v>
      </c>
      <c r="IZ19" s="29">
        <v>0.2001754326762902</v>
      </c>
      <c r="JA19" s="30" t="str">
        <f t="shared" si="34"/>
        <v>NV</v>
      </c>
      <c r="JB19" s="30"/>
      <c r="JC19" s="30"/>
      <c r="JD19" s="88">
        <v>823</v>
      </c>
      <c r="JE19" s="88">
        <v>822.66247039000746</v>
      </c>
      <c r="JF19" s="28">
        <v>4.100728907179537</v>
      </c>
      <c r="JG19" s="29">
        <v>3.4318517699771074E-2</v>
      </c>
      <c r="JH19" s="30">
        <f t="shared" si="35"/>
        <v>-1.9502188267070915</v>
      </c>
      <c r="JI19" s="30" t="str">
        <f t="shared" si="36"/>
        <v xml:space="preserve"> </v>
      </c>
      <c r="JK19" s="27"/>
      <c r="JL19" s="27"/>
      <c r="JM19" s="28"/>
      <c r="JN19" s="29"/>
    </row>
    <row r="20" spans="1:274" x14ac:dyDescent="0.2">
      <c r="B20" s="7"/>
      <c r="C20" s="27"/>
      <c r="D20" s="27"/>
      <c r="E20" s="28"/>
      <c r="F20" s="29"/>
      <c r="G20" s="29"/>
      <c r="H20" s="3"/>
      <c r="I20" s="3"/>
      <c r="J20" s="28"/>
      <c r="K20" s="29"/>
      <c r="L20" s="30"/>
      <c r="M20" s="30"/>
      <c r="N20" s="9"/>
      <c r="O20" s="27"/>
      <c r="P20" s="27"/>
      <c r="Q20" s="28"/>
      <c r="R20" s="29"/>
      <c r="S20" s="30"/>
      <c r="T20" s="30"/>
      <c r="U20" s="30"/>
      <c r="V20" s="27"/>
      <c r="W20" s="27"/>
      <c r="X20" s="28"/>
      <c r="Y20" s="29"/>
      <c r="Z20" s="30"/>
      <c r="AA20" s="30"/>
      <c r="AB20" s="9"/>
      <c r="AC20" s="8"/>
      <c r="AD20" s="8"/>
      <c r="AE20" s="69"/>
      <c r="AF20" s="9"/>
      <c r="AG20" s="30"/>
      <c r="AH20" s="30"/>
      <c r="AI20" s="9"/>
      <c r="AJ20" s="81"/>
      <c r="AK20" s="83"/>
      <c r="AL20" s="84"/>
      <c r="AM20" s="30"/>
      <c r="AN20" s="30"/>
      <c r="AO20" s="9"/>
      <c r="AP20" s="78"/>
      <c r="AQ20" s="79"/>
      <c r="AR20" s="80"/>
      <c r="AS20" s="30"/>
      <c r="AT20" s="30"/>
      <c r="AU20" s="80"/>
      <c r="AV20" s="78"/>
      <c r="AW20" s="79"/>
      <c r="AX20" s="80"/>
      <c r="AY20" s="30"/>
      <c r="AZ20" s="30"/>
      <c r="BA20" s="80"/>
      <c r="BB20" s="78"/>
      <c r="BC20" s="79"/>
      <c r="BD20" s="80"/>
      <c r="BE20" s="30"/>
      <c r="BF20" s="30"/>
      <c r="BG20" s="80"/>
      <c r="BH20" s="78"/>
      <c r="BI20" s="79"/>
      <c r="BJ20" s="80"/>
      <c r="BK20" s="30"/>
      <c r="BL20" s="30"/>
      <c r="BM20" s="80"/>
      <c r="BN20" s="78"/>
      <c r="BO20" s="79"/>
      <c r="BP20" s="80"/>
      <c r="BQ20" s="30"/>
      <c r="BR20" s="30"/>
      <c r="BS20" s="9"/>
      <c r="BT20" s="27"/>
      <c r="BU20" s="27"/>
      <c r="BV20" s="28"/>
      <c r="BW20" s="29"/>
      <c r="BX20" s="30"/>
      <c r="BY20" s="30"/>
      <c r="BZ20" s="30"/>
      <c r="CA20" s="27"/>
      <c r="CB20" s="27"/>
      <c r="CC20" s="28"/>
      <c r="CD20" s="29"/>
      <c r="CE20" s="30"/>
      <c r="CF20" s="30"/>
      <c r="CG20" s="30"/>
      <c r="CH20" s="27"/>
      <c r="CI20" s="27"/>
      <c r="CJ20" s="28"/>
      <c r="CK20" s="29"/>
      <c r="CL20" s="30"/>
      <c r="CM20" s="30"/>
      <c r="CN20" s="30"/>
      <c r="CO20" s="27"/>
      <c r="CP20" s="27"/>
      <c r="CQ20" s="28"/>
      <c r="CR20" s="29"/>
      <c r="CS20" s="30"/>
      <c r="CT20" s="30"/>
      <c r="CU20" s="30"/>
      <c r="CV20" s="27"/>
      <c r="CW20" s="27"/>
      <c r="CX20" s="28"/>
      <c r="CY20" s="29"/>
      <c r="CZ20" s="30"/>
      <c r="DA20" s="30"/>
      <c r="DB20" s="30"/>
      <c r="DC20" s="27"/>
      <c r="DD20" s="27"/>
      <c r="DE20" s="28"/>
      <c r="DF20" s="29"/>
      <c r="DG20" s="30"/>
      <c r="DH20" s="30"/>
      <c r="DI20" s="30"/>
      <c r="DJ20" s="27"/>
      <c r="DK20" s="27"/>
      <c r="DL20" s="28"/>
      <c r="DM20" s="29"/>
      <c r="DN20" s="30"/>
      <c r="DO20" s="30"/>
      <c r="DP20" s="8"/>
      <c r="DQ20" s="27"/>
      <c r="DR20" s="27"/>
      <c r="DS20" s="28"/>
      <c r="DT20" s="29"/>
      <c r="DU20" s="29"/>
      <c r="DV20" s="27"/>
      <c r="DW20" s="27"/>
      <c r="DX20" s="28"/>
      <c r="DY20" s="29"/>
      <c r="DZ20" s="10"/>
      <c r="EA20" s="10"/>
      <c r="EB20" s="29"/>
      <c r="EC20" s="27"/>
      <c r="ED20" s="27"/>
      <c r="EE20" s="28"/>
      <c r="EF20" s="29"/>
      <c r="EG20" s="10"/>
      <c r="EH20" s="10"/>
      <c r="EI20" s="29"/>
      <c r="EJ20" s="27"/>
      <c r="EK20" s="27"/>
      <c r="EL20" s="28"/>
      <c r="EM20" s="29"/>
      <c r="EN20" s="10"/>
      <c r="EO20" s="10"/>
      <c r="EP20" s="29"/>
      <c r="EQ20" s="8"/>
      <c r="ER20" s="8"/>
      <c r="ES20" s="69"/>
      <c r="ET20" s="9"/>
      <c r="EU20" s="10"/>
      <c r="EV20" s="10"/>
      <c r="EW20" s="29"/>
      <c r="EX20" s="88"/>
      <c r="EY20" s="88"/>
      <c r="EZ20" s="28"/>
      <c r="FA20" s="29"/>
      <c r="FB20" s="30"/>
      <c r="FC20" s="30"/>
      <c r="FD20" s="30"/>
      <c r="FE20" s="27"/>
      <c r="FF20" s="27"/>
      <c r="FG20" s="28"/>
      <c r="FH20" s="29"/>
      <c r="FI20" s="30"/>
      <c r="FJ20" s="30"/>
      <c r="FK20" s="30"/>
      <c r="FL20" s="88"/>
      <c r="FM20" s="88"/>
      <c r="FN20" s="28"/>
      <c r="FO20" s="29"/>
      <c r="FP20" s="30"/>
      <c r="FQ20" s="30"/>
      <c r="FR20" s="30"/>
      <c r="FS20" s="88"/>
      <c r="FT20" s="88"/>
      <c r="FU20" s="28"/>
      <c r="FV20" s="29"/>
      <c r="FW20" s="30"/>
      <c r="FX20" s="30"/>
      <c r="FY20" s="30"/>
      <c r="FZ20" s="88"/>
      <c r="GA20" s="88"/>
      <c r="GB20" s="28"/>
      <c r="GC20" s="29"/>
      <c r="GD20" s="30"/>
      <c r="GE20" s="30"/>
      <c r="GF20" s="30"/>
      <c r="GG20" s="88"/>
      <c r="GH20" s="88"/>
      <c r="GI20" s="28"/>
      <c r="GJ20" s="29"/>
      <c r="GK20" s="30"/>
      <c r="GL20" s="30"/>
      <c r="GM20" s="10"/>
      <c r="GN20" s="88"/>
      <c r="GO20" s="88"/>
      <c r="GP20" s="28"/>
      <c r="GQ20" s="29"/>
      <c r="GR20" s="9"/>
      <c r="GS20" s="3"/>
      <c r="GT20" s="3"/>
      <c r="GU20" s="69"/>
      <c r="GV20" s="9"/>
      <c r="GW20" s="10"/>
      <c r="GX20" s="10"/>
      <c r="GY20" s="9"/>
      <c r="GZ20" s="27"/>
      <c r="HA20" s="27"/>
      <c r="HB20" s="28"/>
      <c r="HC20" s="29"/>
      <c r="HD20" s="10"/>
      <c r="HE20" s="10"/>
      <c r="HF20" s="9"/>
      <c r="HG20" s="27"/>
      <c r="HH20" s="27"/>
      <c r="HI20" s="28"/>
      <c r="HJ20" s="29"/>
      <c r="HK20" s="10"/>
      <c r="HL20" s="10"/>
      <c r="HM20" s="29"/>
      <c r="HN20" s="8"/>
      <c r="HO20" s="8"/>
      <c r="HP20" s="69"/>
      <c r="HQ20" s="9"/>
      <c r="HR20" s="10"/>
      <c r="HS20" s="10"/>
      <c r="HT20" s="9"/>
      <c r="HU20" s="88"/>
      <c r="HV20" s="88"/>
      <c r="HW20" s="28"/>
      <c r="HX20" s="29"/>
      <c r="HY20" s="30"/>
      <c r="HZ20" s="30"/>
      <c r="IA20" s="30"/>
      <c r="IB20" s="88"/>
      <c r="IC20" s="88"/>
      <c r="ID20" s="28"/>
      <c r="IE20" s="29"/>
      <c r="IF20" s="30"/>
      <c r="IG20" s="30"/>
      <c r="IH20" s="30"/>
      <c r="II20" s="88"/>
      <c r="IJ20" s="88"/>
      <c r="IK20" s="28"/>
      <c r="IL20" s="29"/>
      <c r="IM20" s="30"/>
      <c r="IN20" s="30"/>
      <c r="IO20" s="30"/>
      <c r="IP20" s="88"/>
      <c r="IQ20" s="88"/>
      <c r="IR20" s="28"/>
      <c r="IS20" s="29"/>
      <c r="IT20" s="30"/>
      <c r="IU20" s="30"/>
      <c r="IV20" s="30"/>
      <c r="IW20" s="88"/>
      <c r="IX20" s="88"/>
      <c r="IY20" s="28"/>
      <c r="IZ20" s="29"/>
      <c r="JA20" s="30"/>
      <c r="JB20" s="30"/>
      <c r="JC20" s="30"/>
      <c r="JD20" s="88"/>
      <c r="JE20" s="88"/>
      <c r="JF20" s="28"/>
      <c r="JG20" s="29"/>
      <c r="JH20" s="30"/>
      <c r="JI20" s="30"/>
      <c r="JK20" s="27"/>
      <c r="JL20" s="27"/>
      <c r="JM20" s="28"/>
      <c r="JN20" s="29"/>
    </row>
    <row r="21" spans="1:274" x14ac:dyDescent="0.2">
      <c r="A21" s="73"/>
      <c r="B21" s="7" t="s">
        <v>20</v>
      </c>
      <c r="C21" s="27">
        <v>2825</v>
      </c>
      <c r="D21" s="27">
        <v>2823.0239375299238</v>
      </c>
      <c r="E21" s="28">
        <v>3.7913102818619819</v>
      </c>
      <c r="F21" s="29">
        <v>2.0946447632054058E-2</v>
      </c>
      <c r="G21" s="29"/>
      <c r="H21" s="3">
        <v>900</v>
      </c>
      <c r="I21" s="3">
        <v>899.97383994001325</v>
      </c>
      <c r="J21" s="28">
        <v>3.7529767455298222</v>
      </c>
      <c r="K21" s="29">
        <v>3.8629178131872631E-2</v>
      </c>
      <c r="L21" s="30">
        <f t="shared" si="37"/>
        <v>0.87235137821557185</v>
      </c>
      <c r="M21" s="30" t="str">
        <f t="shared" si="38"/>
        <v xml:space="preserve"> </v>
      </c>
      <c r="N21" s="9"/>
      <c r="O21" s="27">
        <v>1001</v>
      </c>
      <c r="P21" s="27">
        <v>1001.3789944500068</v>
      </c>
      <c r="Q21" s="28">
        <v>3.3235756043374618</v>
      </c>
      <c r="R21" s="29">
        <v>3.1266976397701839E-2</v>
      </c>
      <c r="S21" s="30">
        <f t="shared" si="39"/>
        <v>12.428252345863106</v>
      </c>
      <c r="T21" s="30" t="str">
        <f t="shared" si="40"/>
        <v>*</v>
      </c>
      <c r="U21" s="30"/>
      <c r="V21" s="27">
        <v>1016</v>
      </c>
      <c r="W21" s="27">
        <v>1020.029688220019</v>
      </c>
      <c r="X21" s="28">
        <v>3.591441850847267</v>
      </c>
      <c r="Y21" s="29">
        <v>3.1967306312550271E-2</v>
      </c>
      <c r="Z21" s="30">
        <f t="shared" si="41"/>
        <v>5.2296098144445873</v>
      </c>
      <c r="AA21" s="30" t="str">
        <f t="shared" si="42"/>
        <v>*</v>
      </c>
      <c r="AB21" s="9"/>
      <c r="AC21" s="8">
        <v>1170</v>
      </c>
      <c r="AD21" s="8">
        <v>1172.2123273200041</v>
      </c>
      <c r="AE21" s="69">
        <v>3.5900938219967826</v>
      </c>
      <c r="AF21" s="9">
        <v>2.9640740412258035E-2</v>
      </c>
      <c r="AG21" s="30">
        <f t="shared" si="43"/>
        <v>5.5439165039217801</v>
      </c>
      <c r="AH21" s="30" t="str">
        <f t="shared" si="44"/>
        <v>*</v>
      </c>
      <c r="AI21" s="9"/>
      <c r="AJ21" s="81">
        <v>4913</v>
      </c>
      <c r="AK21" s="83">
        <v>4.0456668664603548</v>
      </c>
      <c r="AL21" s="84">
        <v>1.4629822232686884E-2</v>
      </c>
      <c r="AM21" s="30">
        <f t="shared" si="45"/>
        <v>-9.9553785715981267</v>
      </c>
      <c r="AN21" s="30" t="str">
        <f t="shared" si="46"/>
        <v>*</v>
      </c>
      <c r="AO21" s="9"/>
      <c r="AP21" s="78">
        <v>498</v>
      </c>
      <c r="AQ21" s="79">
        <v>4.3001755240473019</v>
      </c>
      <c r="AR21" s="80">
        <v>4.4096901710526243E-2</v>
      </c>
      <c r="AS21" s="30">
        <f t="shared" si="47"/>
        <v>-10.423517622336746</v>
      </c>
      <c r="AT21" s="30" t="str">
        <f t="shared" si="48"/>
        <v>*</v>
      </c>
      <c r="AU21" s="80"/>
      <c r="AV21" s="78">
        <v>691</v>
      </c>
      <c r="AW21" s="79">
        <v>4.1170413083352031</v>
      </c>
      <c r="AX21" s="80">
        <v>3.6647680137056091E-2</v>
      </c>
      <c r="AY21" s="30">
        <f t="shared" si="49"/>
        <v>-7.7166517972281694</v>
      </c>
      <c r="AZ21" s="30" t="str">
        <f t="shared" si="50"/>
        <v>*</v>
      </c>
      <c r="BA21" s="80"/>
      <c r="BB21" s="78">
        <v>691</v>
      </c>
      <c r="BC21" s="79">
        <v>4.1658252868096026</v>
      </c>
      <c r="BD21" s="80">
        <v>3.5948564309933685E-2</v>
      </c>
      <c r="BE21" s="30">
        <f t="shared" si="51"/>
        <v>-9.0014826118724915</v>
      </c>
      <c r="BF21" s="30" t="str">
        <f t="shared" si="52"/>
        <v>*</v>
      </c>
      <c r="BG21" s="80"/>
      <c r="BH21" s="78">
        <v>1105</v>
      </c>
      <c r="BI21" s="79">
        <v>4.0732908197402677</v>
      </c>
      <c r="BJ21" s="80">
        <v>3.0877070536767234E-2</v>
      </c>
      <c r="BK21" s="30">
        <f t="shared" si="53"/>
        <v>-7.5574722777362906</v>
      </c>
      <c r="BL21" s="30" t="str">
        <f t="shared" si="54"/>
        <v>*</v>
      </c>
      <c r="BM21" s="80"/>
      <c r="BN21" s="78">
        <v>1192</v>
      </c>
      <c r="BO21" s="79">
        <v>3.9640237136824172</v>
      </c>
      <c r="BP21" s="80">
        <v>3.020881027481391E-2</v>
      </c>
      <c r="BQ21" s="30">
        <f t="shared" si="55"/>
        <v>-4.6983575666340949</v>
      </c>
      <c r="BR21" s="30" t="str">
        <f t="shared" si="56"/>
        <v>*</v>
      </c>
      <c r="BS21" s="9"/>
      <c r="BT21" s="27">
        <v>11014</v>
      </c>
      <c r="BU21" s="27">
        <v>11058.234415289115</v>
      </c>
      <c r="BV21" s="28">
        <v>4.105221635158224</v>
      </c>
      <c r="BW21" s="29">
        <v>9.7900751360828573E-3</v>
      </c>
      <c r="BX21" s="30">
        <f t="shared" si="57"/>
        <v>-13.576657272626539</v>
      </c>
      <c r="BY21" s="30" t="str">
        <f t="shared" si="58"/>
        <v>*</v>
      </c>
      <c r="BZ21" s="30"/>
      <c r="CA21" s="27">
        <v>427</v>
      </c>
      <c r="CB21" s="27">
        <v>427</v>
      </c>
      <c r="CC21" s="28">
        <v>4.0562060889929734</v>
      </c>
      <c r="CD21" s="29">
        <v>4.4030524202166473E-2</v>
      </c>
      <c r="CE21" s="30">
        <f t="shared" si="59"/>
        <v>-5.4327564342884962</v>
      </c>
      <c r="CF21" s="30" t="str">
        <f t="shared" si="0"/>
        <v>*</v>
      </c>
      <c r="CG21" s="30"/>
      <c r="CH21" s="27">
        <v>2958</v>
      </c>
      <c r="CI21" s="27">
        <v>3004.5316782598957</v>
      </c>
      <c r="CJ21" s="28">
        <v>3.9228014887250882</v>
      </c>
      <c r="CK21" s="29">
        <v>1.8999219058291581E-2</v>
      </c>
      <c r="CL21" s="30">
        <f t="shared" si="60"/>
        <v>-4.649718367259922</v>
      </c>
      <c r="CM21" s="30" t="str">
        <f t="shared" si="1"/>
        <v>*</v>
      </c>
      <c r="CN21" s="30"/>
      <c r="CO21" s="27">
        <v>2796</v>
      </c>
      <c r="CP21" s="27">
        <v>2795.7569644599562</v>
      </c>
      <c r="CQ21" s="28">
        <v>4.0597153611391326</v>
      </c>
      <c r="CR21" s="29">
        <v>1.8521284652114254E-2</v>
      </c>
      <c r="CS21" s="30">
        <f t="shared" si="61"/>
        <v>-9.5994249007569845</v>
      </c>
      <c r="CT21" s="30" t="str">
        <f t="shared" si="2"/>
        <v>*</v>
      </c>
      <c r="CU21" s="30"/>
      <c r="CV21" s="27">
        <v>578</v>
      </c>
      <c r="CW21" s="27">
        <v>577.9118624800044</v>
      </c>
      <c r="CX21" s="28">
        <v>4.8957620123222805</v>
      </c>
      <c r="CY21" s="29">
        <v>1.6069000979792185E-2</v>
      </c>
      <c r="CZ21" s="30">
        <f t="shared" si="62"/>
        <v>-41.835098913078518</v>
      </c>
      <c r="DA21" s="30" t="str">
        <f t="shared" si="3"/>
        <v>*</v>
      </c>
      <c r="DB21" s="30"/>
      <c r="DC21" s="27">
        <v>888</v>
      </c>
      <c r="DD21" s="27">
        <v>888.00997255998823</v>
      </c>
      <c r="DE21" s="28">
        <v>4.8277224835786843</v>
      </c>
      <c r="DF21" s="29">
        <v>1.6117150586220905E-2</v>
      </c>
      <c r="DG21" s="30">
        <f t="shared" si="63"/>
        <v>-39.214282429320789</v>
      </c>
      <c r="DH21" s="30" t="str">
        <f t="shared" si="4"/>
        <v>*</v>
      </c>
      <c r="DI21" s="30"/>
      <c r="DJ21" s="27">
        <v>542</v>
      </c>
      <c r="DK21" s="27">
        <v>542</v>
      </c>
      <c r="DL21" s="28">
        <v>4.9981549815498143</v>
      </c>
      <c r="DM21" s="29">
        <v>1.8450184501845022E-3</v>
      </c>
      <c r="DN21" s="30">
        <f t="shared" si="64"/>
        <v>-57.393506745844455</v>
      </c>
      <c r="DO21" s="30" t="str">
        <f t="shared" si="5"/>
        <v>*</v>
      </c>
      <c r="DP21" s="8"/>
      <c r="DQ21" s="27">
        <v>895</v>
      </c>
      <c r="DR21" s="27">
        <v>894.77284755000676</v>
      </c>
      <c r="DS21" s="28">
        <v>3.7973673094278033</v>
      </c>
      <c r="DT21" s="29">
        <v>3.796409152400141E-2</v>
      </c>
      <c r="DU21" s="29"/>
      <c r="DV21" s="27">
        <v>599</v>
      </c>
      <c r="DW21" s="27">
        <v>599.14473727999473</v>
      </c>
      <c r="DX21" s="28">
        <v>3.7239254046177201</v>
      </c>
      <c r="DY21" s="29">
        <v>4.9373815153506542E-2</v>
      </c>
      <c r="DZ21" s="10">
        <f t="shared" si="6"/>
        <v>1.1791837205944911</v>
      </c>
      <c r="EA21" s="10" t="str">
        <f t="shared" si="7"/>
        <v xml:space="preserve"> </v>
      </c>
      <c r="EB21" s="29"/>
      <c r="EC21" s="27">
        <v>650</v>
      </c>
      <c r="ED21" s="27">
        <v>649.87853951000261</v>
      </c>
      <c r="EE21" s="28">
        <v>3.8539831488641743</v>
      </c>
      <c r="EF21" s="29">
        <v>4.3964058561234969E-2</v>
      </c>
      <c r="EG21" s="10">
        <f t="shared" si="8"/>
        <v>-0.97467154665342426</v>
      </c>
      <c r="EH21" s="10" t="str">
        <f t="shared" si="9"/>
        <v xml:space="preserve"> </v>
      </c>
      <c r="EI21" s="29"/>
      <c r="EJ21" s="27">
        <v>594</v>
      </c>
      <c r="EK21" s="27">
        <v>590.91247119000172</v>
      </c>
      <c r="EL21" s="28">
        <v>3.8196712781583204</v>
      </c>
      <c r="EM21" s="29">
        <v>4.6615160802654945E-2</v>
      </c>
      <c r="EN21" s="10">
        <f t="shared" si="10"/>
        <v>-0.37099950089293793</v>
      </c>
      <c r="EO21" s="10" t="str">
        <f t="shared" si="65"/>
        <v xml:space="preserve"> </v>
      </c>
      <c r="EP21" s="29"/>
      <c r="EQ21" s="8">
        <v>692</v>
      </c>
      <c r="ER21" s="8">
        <v>692.16571461999888</v>
      </c>
      <c r="ES21" s="69">
        <v>3.7788390886941858</v>
      </c>
      <c r="ET21" s="9">
        <v>4.1988319263777489E-2</v>
      </c>
      <c r="EU21" s="10">
        <f t="shared" si="11"/>
        <v>0.32731637100954558</v>
      </c>
      <c r="EV21" s="10" t="str">
        <f t="shared" si="66"/>
        <v xml:space="preserve"> </v>
      </c>
      <c r="EW21" s="29"/>
      <c r="EX21" s="88">
        <v>4165</v>
      </c>
      <c r="EY21" s="88">
        <v>4164.7115502397701</v>
      </c>
      <c r="EZ21" s="28">
        <v>4.0579317152891736</v>
      </c>
      <c r="FA21" s="29">
        <v>1.5603905414215143E-2</v>
      </c>
      <c r="FB21" s="30">
        <f t="shared" si="12"/>
        <v>-6.3481448367127946</v>
      </c>
      <c r="FC21" s="30" t="str">
        <f t="shared" si="67"/>
        <v>*</v>
      </c>
      <c r="FD21" s="30"/>
      <c r="FE21" s="27">
        <v>1015</v>
      </c>
      <c r="FF21" s="27">
        <v>1014.9658436400005</v>
      </c>
      <c r="FG21" s="28">
        <v>4.1250608704079852</v>
      </c>
      <c r="FH21" s="29">
        <v>2.9491709760603509E-2</v>
      </c>
      <c r="FI21" s="30">
        <f t="shared" si="13"/>
        <v>-6.8165530108413517</v>
      </c>
      <c r="FJ21" s="30" t="str">
        <f t="shared" si="14"/>
        <v>*</v>
      </c>
      <c r="FK21" s="30"/>
      <c r="FL21" s="88">
        <v>284</v>
      </c>
      <c r="FM21" s="88">
        <v>283.92537235999907</v>
      </c>
      <c r="FN21" s="28">
        <v>4.1933944942418799</v>
      </c>
      <c r="FO21" s="29">
        <v>5.8429434810234895E-2</v>
      </c>
      <c r="FP21" s="30">
        <f t="shared" si="15"/>
        <v>-5.6835313063912727</v>
      </c>
      <c r="FQ21" s="30" t="str">
        <f t="shared" si="16"/>
        <v>*</v>
      </c>
      <c r="FR21" s="30"/>
      <c r="FS21" s="88">
        <v>558</v>
      </c>
      <c r="FT21" s="88">
        <v>558.04959798999846</v>
      </c>
      <c r="FU21" s="28">
        <v>4.0554074286432042</v>
      </c>
      <c r="FV21" s="29">
        <v>3.7839274566026551E-2</v>
      </c>
      <c r="FW21" s="30">
        <f t="shared" si="17"/>
        <v>-4.8140783233529465</v>
      </c>
      <c r="FX21" s="30" t="str">
        <f t="shared" si="18"/>
        <v>*</v>
      </c>
      <c r="FY21" s="30"/>
      <c r="FZ21" s="88">
        <v>1065</v>
      </c>
      <c r="GA21" s="88">
        <v>1064.9761581000114</v>
      </c>
      <c r="GB21" s="28">
        <v>4.0740916376294969</v>
      </c>
      <c r="GC21" s="29">
        <v>3.1371584991059444E-2</v>
      </c>
      <c r="GD21" s="30">
        <f t="shared" si="19"/>
        <v>-5.6189000249952477</v>
      </c>
      <c r="GE21" s="30" t="str">
        <f t="shared" si="20"/>
        <v>*</v>
      </c>
      <c r="GF21" s="30"/>
      <c r="GG21" s="88">
        <v>348</v>
      </c>
      <c r="GH21" s="88">
        <v>348.02173059999927</v>
      </c>
      <c r="GI21" s="28">
        <v>4.3761577663966671</v>
      </c>
      <c r="GJ21" s="29">
        <v>4.4001795206577016E-2</v>
      </c>
      <c r="GK21" s="30">
        <f t="shared" si="21"/>
        <v>-9.959285193885238</v>
      </c>
      <c r="GL21" s="30" t="str">
        <f t="shared" si="22"/>
        <v>*</v>
      </c>
      <c r="GM21" s="10"/>
      <c r="GN21" s="88">
        <v>864</v>
      </c>
      <c r="GO21" s="88">
        <v>863.97071136000841</v>
      </c>
      <c r="GP21" s="28">
        <v>3.8911535991515622</v>
      </c>
      <c r="GQ21" s="29">
        <v>3.851254691311963E-2</v>
      </c>
      <c r="GR21" s="9"/>
      <c r="GS21" s="3">
        <v>612</v>
      </c>
      <c r="GT21" s="3">
        <v>611.95139988999722</v>
      </c>
      <c r="GU21" s="69">
        <v>3.9297930370488219</v>
      </c>
      <c r="GV21" s="9">
        <v>4.3890266459756647E-2</v>
      </c>
      <c r="GW21" s="10">
        <f t="shared" si="23"/>
        <v>-0.66173008863019855</v>
      </c>
      <c r="GX21" s="10" t="str">
        <f t="shared" si="68"/>
        <v xml:space="preserve"> </v>
      </c>
      <c r="GY21" s="9"/>
      <c r="GZ21" s="27">
        <v>659</v>
      </c>
      <c r="HA21" s="27">
        <v>659.00558414000398</v>
      </c>
      <c r="HB21" s="28">
        <v>4.0200141702095147</v>
      </c>
      <c r="HC21" s="29">
        <v>4.0371211765927117E-2</v>
      </c>
      <c r="HD21" s="10">
        <f t="shared" si="24"/>
        <v>-2.3095476832223847</v>
      </c>
      <c r="HE21" s="10" t="str">
        <f t="shared" si="69"/>
        <v>*</v>
      </c>
      <c r="HF21" s="9"/>
      <c r="HG21" s="27">
        <v>1298</v>
      </c>
      <c r="HH21" s="27">
        <v>1298.8374526899913</v>
      </c>
      <c r="HI21" s="28">
        <v>3.8104334781692133</v>
      </c>
      <c r="HJ21" s="29">
        <v>3.0982776977155038E-2</v>
      </c>
      <c r="HK21" s="10">
        <f t="shared" si="25"/>
        <v>1.6330777069766691</v>
      </c>
      <c r="HL21" s="10" t="str">
        <f t="shared" si="70"/>
        <v xml:space="preserve"> </v>
      </c>
      <c r="HM21" s="29"/>
      <c r="HN21" s="8">
        <v>1293</v>
      </c>
      <c r="HO21" s="8">
        <v>1297.9138554000033</v>
      </c>
      <c r="HP21" s="69">
        <v>3.8843180722932282</v>
      </c>
      <c r="HQ21" s="9">
        <v>3.0463127358272668E-2</v>
      </c>
      <c r="HR21" s="10">
        <f t="shared" si="26"/>
        <v>0.13920464262487639</v>
      </c>
      <c r="HS21" s="10" t="str">
        <f t="shared" si="71"/>
        <v xml:space="preserve"> </v>
      </c>
      <c r="HT21" s="9"/>
      <c r="HU21" s="88">
        <v>4382</v>
      </c>
      <c r="HV21" s="88">
        <v>4383.7868416099236</v>
      </c>
      <c r="HW21" s="28">
        <v>4.0701834865440221</v>
      </c>
      <c r="HX21" s="29">
        <v>1.5488380814341434E-2</v>
      </c>
      <c r="HY21" s="30">
        <f t="shared" si="27"/>
        <v>-4.3129012522285857</v>
      </c>
      <c r="HZ21" s="30" t="str">
        <f t="shared" si="72"/>
        <v>*</v>
      </c>
      <c r="IA21" s="30"/>
      <c r="IB21" s="88">
        <v>1015</v>
      </c>
      <c r="IC21" s="88">
        <v>1014.9658436400005</v>
      </c>
      <c r="ID21" s="28">
        <v>4.1250608704079852</v>
      </c>
      <c r="IE21" s="29">
        <v>2.9491709760603509E-2</v>
      </c>
      <c r="IF21" s="30">
        <f t="shared" si="28"/>
        <v>-4.8220850023388833</v>
      </c>
      <c r="IG21" s="30" t="str">
        <f t="shared" si="29"/>
        <v>*</v>
      </c>
      <c r="IH21" s="30"/>
      <c r="II21" s="88">
        <v>525</v>
      </c>
      <c r="IJ21" s="88">
        <v>524.90606342000274</v>
      </c>
      <c r="IK21" s="28">
        <v>4.113047069057238</v>
      </c>
      <c r="IL21" s="29">
        <v>4.4797345930746912E-2</v>
      </c>
      <c r="IM21" s="30">
        <f t="shared" si="30"/>
        <v>-3.7560438929843407</v>
      </c>
      <c r="IN21" s="30" t="str">
        <f t="shared" ref="IN21:IN41" si="74">IF(ABS(IM21)&gt;=1.96,"*"," ")</f>
        <v>*</v>
      </c>
      <c r="IO21" s="30"/>
      <c r="IP21" s="88">
        <v>737</v>
      </c>
      <c r="IQ21" s="88">
        <v>736.89093526000852</v>
      </c>
      <c r="IR21" s="28">
        <v>4.1928172211127315</v>
      </c>
      <c r="IS21" s="29">
        <v>3.6129263307774627E-2</v>
      </c>
      <c r="IT21" s="30">
        <f t="shared" si="32"/>
        <v>-5.712609092371391</v>
      </c>
      <c r="IU21" s="30" t="str">
        <f t="shared" si="33"/>
        <v>*</v>
      </c>
      <c r="IV21" s="30"/>
      <c r="IW21" s="88">
        <v>284</v>
      </c>
      <c r="IX21" s="88">
        <v>283.92537235999907</v>
      </c>
      <c r="IY21" s="28">
        <v>4.1933944942418799</v>
      </c>
      <c r="IZ21" s="29">
        <v>5.8429434810234895E-2</v>
      </c>
      <c r="JA21" s="30">
        <f t="shared" si="34"/>
        <v>-4.3189545697712655</v>
      </c>
      <c r="JB21" s="30" t="str">
        <f t="shared" si="73"/>
        <v>*</v>
      </c>
      <c r="JC21" s="30"/>
      <c r="JD21" s="88">
        <v>957</v>
      </c>
      <c r="JE21" s="88">
        <v>959.12791557000958</v>
      </c>
      <c r="JF21" s="28">
        <v>4.0192290067368521</v>
      </c>
      <c r="JG21" s="29">
        <v>3.3389771553855141E-2</v>
      </c>
      <c r="JH21" s="30">
        <f t="shared" si="35"/>
        <v>-2.5126869876683333</v>
      </c>
      <c r="JI21" s="30" t="str">
        <f t="shared" si="36"/>
        <v>*</v>
      </c>
      <c r="JK21" s="27"/>
      <c r="JL21" s="27"/>
      <c r="JM21" s="28"/>
      <c r="JN21" s="29"/>
    </row>
    <row r="22" spans="1:274" x14ac:dyDescent="0.2">
      <c r="B22" s="7" t="s">
        <v>21</v>
      </c>
      <c r="C22" s="27">
        <v>2854</v>
      </c>
      <c r="D22" s="27">
        <v>2852.3257304499216</v>
      </c>
      <c r="E22" s="28">
        <v>3.9646075812652559</v>
      </c>
      <c r="F22" s="29">
        <v>1.8598507419023188E-2</v>
      </c>
      <c r="G22" s="29"/>
      <c r="H22" s="3">
        <v>905</v>
      </c>
      <c r="I22" s="3">
        <v>904.89194282001347</v>
      </c>
      <c r="J22" s="28">
        <v>3.9463653021279534</v>
      </c>
      <c r="K22" s="29">
        <v>3.3714147715582246E-2</v>
      </c>
      <c r="L22" s="30">
        <f t="shared" si="37"/>
        <v>0.47377777157963064</v>
      </c>
      <c r="M22" s="30" t="str">
        <f t="shared" si="38"/>
        <v xml:space="preserve"> </v>
      </c>
      <c r="N22" s="9"/>
      <c r="O22" s="27">
        <v>1014</v>
      </c>
      <c r="P22" s="27">
        <v>1014.473762940007</v>
      </c>
      <c r="Q22" s="28">
        <v>3.8826372884450433</v>
      </c>
      <c r="R22" s="29">
        <v>2.4984692125413935E-2</v>
      </c>
      <c r="S22" s="30">
        <f t="shared" si="39"/>
        <v>2.6317184991387905</v>
      </c>
      <c r="T22" s="30" t="str">
        <f t="shared" si="40"/>
        <v>*</v>
      </c>
      <c r="U22" s="30"/>
      <c r="V22" s="27">
        <v>1027</v>
      </c>
      <c r="W22" s="27">
        <v>1030.3314535900195</v>
      </c>
      <c r="X22" s="28">
        <v>3.8911812948451252</v>
      </c>
      <c r="Y22" s="29">
        <v>2.6467382940021749E-2</v>
      </c>
      <c r="Z22" s="30">
        <f t="shared" si="41"/>
        <v>2.2698498479139415</v>
      </c>
      <c r="AA22" s="30" t="str">
        <f t="shared" si="42"/>
        <v>*</v>
      </c>
      <c r="AB22" s="9"/>
      <c r="AC22" s="8">
        <v>1182</v>
      </c>
      <c r="AD22" s="8">
        <v>1183.2428396400044</v>
      </c>
      <c r="AE22" s="69">
        <v>3.7207197858551657</v>
      </c>
      <c r="AF22" s="9">
        <v>2.7434154608997879E-2</v>
      </c>
      <c r="AG22" s="30">
        <f t="shared" si="43"/>
        <v>7.3583876058193995</v>
      </c>
      <c r="AH22" s="30" t="str">
        <f t="shared" si="44"/>
        <v>*</v>
      </c>
      <c r="AI22" s="9"/>
      <c r="AJ22" s="81">
        <v>4969</v>
      </c>
      <c r="AK22" s="83">
        <v>4.1280150619985365</v>
      </c>
      <c r="AL22" s="84">
        <v>1.3324194689312046E-2</v>
      </c>
      <c r="AM22" s="30">
        <f t="shared" si="45"/>
        <v>-7.1423157227785961</v>
      </c>
      <c r="AN22" s="30" t="str">
        <f t="shared" si="46"/>
        <v>*</v>
      </c>
      <c r="AO22" s="9"/>
      <c r="AP22" s="78">
        <v>483</v>
      </c>
      <c r="AQ22" s="79">
        <v>4.3298819780052415</v>
      </c>
      <c r="AR22" s="80">
        <v>4.2637292237174315E-2</v>
      </c>
      <c r="AS22" s="30">
        <f t="shared" si="47"/>
        <v>-7.852471013648084</v>
      </c>
      <c r="AT22" s="30" t="str">
        <f t="shared" si="48"/>
        <v>*</v>
      </c>
      <c r="AU22" s="80"/>
      <c r="AV22" s="78">
        <v>692</v>
      </c>
      <c r="AW22" s="79">
        <v>4.1691680934517032</v>
      </c>
      <c r="AX22" s="80">
        <v>3.4756014768384295E-2</v>
      </c>
      <c r="AY22" s="30">
        <f t="shared" si="49"/>
        <v>-5.1893427889000776</v>
      </c>
      <c r="AZ22" s="30" t="str">
        <f t="shared" si="50"/>
        <v>*</v>
      </c>
      <c r="BA22" s="80"/>
      <c r="BB22" s="78">
        <v>692</v>
      </c>
      <c r="BC22" s="79">
        <v>4.2370835851811757</v>
      </c>
      <c r="BD22" s="80">
        <v>3.3560880103308363E-2</v>
      </c>
      <c r="BE22" s="30">
        <f t="shared" si="51"/>
        <v>-7.1013247692434112</v>
      </c>
      <c r="BF22" s="30" t="str">
        <f t="shared" si="52"/>
        <v>*</v>
      </c>
      <c r="BG22" s="80"/>
      <c r="BH22" s="78">
        <v>1111</v>
      </c>
      <c r="BI22" s="79">
        <v>4.0980941095781338</v>
      </c>
      <c r="BJ22" s="80">
        <v>2.9044450876826632E-2</v>
      </c>
      <c r="BK22" s="30">
        <f t="shared" si="53"/>
        <v>-3.87041937820368</v>
      </c>
      <c r="BL22" s="30" t="str">
        <f t="shared" si="54"/>
        <v>*</v>
      </c>
      <c r="BM22" s="80"/>
      <c r="BN22" s="78">
        <v>1219</v>
      </c>
      <c r="BO22" s="79">
        <v>4.0620457041447331</v>
      </c>
      <c r="BP22" s="80">
        <v>2.6751860437689085E-2</v>
      </c>
      <c r="BQ22" s="30">
        <f t="shared" si="55"/>
        <v>-2.9905791643744792</v>
      </c>
      <c r="BR22" s="30" t="str">
        <f t="shared" si="56"/>
        <v>*</v>
      </c>
      <c r="BS22" s="9"/>
      <c r="BT22" s="27">
        <v>11165</v>
      </c>
      <c r="BU22" s="27">
        <v>11209.937455169127</v>
      </c>
      <c r="BV22" s="28">
        <v>4.2154839290237121</v>
      </c>
      <c r="BW22" s="29">
        <v>8.7764145213215187E-3</v>
      </c>
      <c r="BX22" s="30">
        <f t="shared" si="57"/>
        <v>-12.199035871038207</v>
      </c>
      <c r="BY22" s="30" t="str">
        <f t="shared" si="58"/>
        <v>*</v>
      </c>
      <c r="BZ22" s="30"/>
      <c r="CA22" s="27">
        <v>444</v>
      </c>
      <c r="CB22" s="27">
        <v>444</v>
      </c>
      <c r="CC22" s="28">
        <v>4.1441441441441444</v>
      </c>
      <c r="CD22" s="29">
        <v>4.1867245934992539E-2</v>
      </c>
      <c r="CE22" s="30">
        <f t="shared" si="59"/>
        <v>-3.9189561498484315</v>
      </c>
      <c r="CF22" s="30" t="str">
        <f t="shared" si="0"/>
        <v>*</v>
      </c>
      <c r="CG22" s="30"/>
      <c r="CH22" s="27">
        <v>3006</v>
      </c>
      <c r="CI22" s="27">
        <v>3052.7575284598938</v>
      </c>
      <c r="CJ22" s="28">
        <v>4.0206820651890594</v>
      </c>
      <c r="CK22" s="29">
        <v>1.7411923448610058E-2</v>
      </c>
      <c r="CL22" s="30">
        <f t="shared" si="60"/>
        <v>-2.2009811339480523</v>
      </c>
      <c r="CM22" s="30" t="str">
        <f t="shared" si="1"/>
        <v>*</v>
      </c>
      <c r="CN22" s="30"/>
      <c r="CO22" s="27">
        <v>2858</v>
      </c>
      <c r="CP22" s="27">
        <v>2857.6926153799454</v>
      </c>
      <c r="CQ22" s="28">
        <v>4.1820909199363951</v>
      </c>
      <c r="CR22" s="29">
        <v>1.6440467006206265E-2</v>
      </c>
      <c r="CS22" s="30">
        <f t="shared" si="61"/>
        <v>-8.7612779487870718</v>
      </c>
      <c r="CT22" s="30" t="str">
        <f t="shared" si="2"/>
        <v>*</v>
      </c>
      <c r="CU22" s="30"/>
      <c r="CV22" s="27">
        <v>581</v>
      </c>
      <c r="CW22" s="27">
        <v>581.16425076000451</v>
      </c>
      <c r="CX22" s="28">
        <v>4.9378072176450365</v>
      </c>
      <c r="CY22" s="29">
        <v>1.1925599997367033E-2</v>
      </c>
      <c r="CZ22" s="30">
        <f t="shared" si="62"/>
        <v>-44.049062861731848</v>
      </c>
      <c r="DA22" s="30" t="str">
        <f t="shared" si="3"/>
        <v>*</v>
      </c>
      <c r="DB22" s="30"/>
      <c r="DC22" s="27">
        <v>880</v>
      </c>
      <c r="DD22" s="27">
        <v>879.99733011998853</v>
      </c>
      <c r="DE22" s="28">
        <v>4.8897695598954014</v>
      </c>
      <c r="DF22" s="29">
        <v>1.1611734521410653E-2</v>
      </c>
      <c r="DG22" s="30">
        <f t="shared" si="63"/>
        <v>-42.195298784710531</v>
      </c>
      <c r="DH22" s="30" t="str">
        <f t="shared" si="4"/>
        <v>*</v>
      </c>
      <c r="DI22" s="30"/>
      <c r="DJ22" s="27">
        <v>542</v>
      </c>
      <c r="DK22" s="27">
        <v>542</v>
      </c>
      <c r="DL22" s="28">
        <v>4.9981549815498143</v>
      </c>
      <c r="DM22" s="29">
        <v>1.8450184501845022E-3</v>
      </c>
      <c r="DN22" s="30">
        <f t="shared" si="64"/>
        <v>-55.300082307653007</v>
      </c>
      <c r="DO22" s="30" t="str">
        <f t="shared" si="5"/>
        <v>*</v>
      </c>
      <c r="DP22" s="8"/>
      <c r="DQ22" s="27">
        <v>917</v>
      </c>
      <c r="DR22" s="27">
        <v>917.62842929000772</v>
      </c>
      <c r="DS22" s="28">
        <v>3.9558999198277771</v>
      </c>
      <c r="DT22" s="29">
        <v>3.3281691117953219E-2</v>
      </c>
      <c r="DU22" s="29"/>
      <c r="DV22" s="27">
        <v>615</v>
      </c>
      <c r="DW22" s="27">
        <v>615.23075549999544</v>
      </c>
      <c r="DX22" s="28">
        <v>3.8812099798219553</v>
      </c>
      <c r="DY22" s="29">
        <v>4.1418922117896828E-2</v>
      </c>
      <c r="DZ22" s="10">
        <f t="shared" si="6"/>
        <v>1.405696087739327</v>
      </c>
      <c r="EA22" s="10" t="str">
        <f t="shared" si="7"/>
        <v xml:space="preserve"> </v>
      </c>
      <c r="EB22" s="29"/>
      <c r="EC22" s="27">
        <v>655</v>
      </c>
      <c r="ED22" s="27">
        <v>654.82445782000286</v>
      </c>
      <c r="EE22" s="28">
        <v>3.9520132536823511</v>
      </c>
      <c r="EF22" s="29">
        <v>3.9656691039245177E-2</v>
      </c>
      <c r="EG22" s="10">
        <f t="shared" si="8"/>
        <v>7.5072967167514423E-2</v>
      </c>
      <c r="EH22" s="10" t="str">
        <f t="shared" si="9"/>
        <v xml:space="preserve"> </v>
      </c>
      <c r="EI22" s="29"/>
      <c r="EJ22" s="27">
        <v>612</v>
      </c>
      <c r="EK22" s="27">
        <v>604.47467592000191</v>
      </c>
      <c r="EL22" s="28">
        <v>3.9396510558287989</v>
      </c>
      <c r="EM22" s="29">
        <v>4.2010711452428594E-2</v>
      </c>
      <c r="EN22" s="10">
        <f t="shared" si="10"/>
        <v>0.30317098159754219</v>
      </c>
      <c r="EO22" s="10" t="str">
        <f t="shared" si="65"/>
        <v xml:space="preserve"> </v>
      </c>
      <c r="EP22" s="29"/>
      <c r="EQ22" s="8">
        <v>698</v>
      </c>
      <c r="ER22" s="8">
        <v>698.11600032999866</v>
      </c>
      <c r="ES22" s="69">
        <v>3.9422306400785314</v>
      </c>
      <c r="ET22" s="9">
        <v>3.8349165358182009E-2</v>
      </c>
      <c r="EU22" s="10">
        <f t="shared" si="11"/>
        <v>0.26920085028375612</v>
      </c>
      <c r="EV22" s="10" t="str">
        <f t="shared" si="66"/>
        <v xml:space="preserve"> </v>
      </c>
      <c r="EW22" s="29"/>
      <c r="EX22" s="88">
        <v>4213</v>
      </c>
      <c r="EY22" s="88">
        <v>4213.3572612197431</v>
      </c>
      <c r="EZ22" s="28">
        <v>4.1279349193554733</v>
      </c>
      <c r="FA22" s="29">
        <v>1.4178577823958517E-2</v>
      </c>
      <c r="FB22" s="30">
        <f t="shared" si="12"/>
        <v>-4.7555007683448141</v>
      </c>
      <c r="FC22" s="30" t="str">
        <f t="shared" si="67"/>
        <v>*</v>
      </c>
      <c r="FD22" s="30"/>
      <c r="FE22" s="27">
        <v>979</v>
      </c>
      <c r="FF22" s="27">
        <v>978.97328210000023</v>
      </c>
      <c r="FG22" s="28">
        <v>4.193035906715064</v>
      </c>
      <c r="FH22" s="29">
        <v>2.7508095017167215E-2</v>
      </c>
      <c r="FI22" s="30">
        <f t="shared" si="13"/>
        <v>-5.4920166991923649</v>
      </c>
      <c r="FJ22" s="30" t="str">
        <f t="shared" si="14"/>
        <v>*</v>
      </c>
      <c r="FK22" s="30"/>
      <c r="FL22" s="88">
        <v>286</v>
      </c>
      <c r="FM22" s="88">
        <v>285.92316849999901</v>
      </c>
      <c r="FN22" s="28">
        <v>4.3145272096409366</v>
      </c>
      <c r="FO22" s="29">
        <v>4.7998326525785014E-2</v>
      </c>
      <c r="FP22" s="30">
        <f t="shared" si="15"/>
        <v>-6.1400228867602014</v>
      </c>
      <c r="FQ22" s="30" t="str">
        <f t="shared" si="16"/>
        <v>*</v>
      </c>
      <c r="FR22" s="30"/>
      <c r="FS22" s="88">
        <v>585</v>
      </c>
      <c r="FT22" s="88">
        <v>584.86970994999842</v>
      </c>
      <c r="FU22" s="28">
        <v>4.1055167571684859</v>
      </c>
      <c r="FV22" s="29">
        <v>3.3842713726690107E-2</v>
      </c>
      <c r="FW22" s="30">
        <f t="shared" si="17"/>
        <v>-3.1520990174650834</v>
      </c>
      <c r="FX22" s="30" t="str">
        <f t="shared" si="18"/>
        <v>*</v>
      </c>
      <c r="FY22" s="30"/>
      <c r="FZ22" s="88">
        <v>1087</v>
      </c>
      <c r="GA22" s="88">
        <v>1086.9597100200092</v>
      </c>
      <c r="GB22" s="28">
        <v>4.092869636969473</v>
      </c>
      <c r="GC22" s="29">
        <v>2.9818147536128374E-2</v>
      </c>
      <c r="GD22" s="30">
        <f t="shared" si="19"/>
        <v>-3.0651945768860336</v>
      </c>
      <c r="GE22" s="30" t="str">
        <f t="shared" si="20"/>
        <v>*</v>
      </c>
      <c r="GF22" s="30"/>
      <c r="GG22" s="88">
        <v>359</v>
      </c>
      <c r="GH22" s="88">
        <v>359.00296135999923</v>
      </c>
      <c r="GI22" s="28">
        <v>4.3842204751110083</v>
      </c>
      <c r="GJ22" s="29">
        <v>4.1090714757463613E-2</v>
      </c>
      <c r="GK22" s="30">
        <f t="shared" si="21"/>
        <v>-8.1001149960734242</v>
      </c>
      <c r="GL22" s="30" t="str">
        <f t="shared" si="22"/>
        <v>*</v>
      </c>
      <c r="GM22" s="10"/>
      <c r="GN22" s="88">
        <v>889</v>
      </c>
      <c r="GO22" s="88">
        <v>888.99289833000876</v>
      </c>
      <c r="GP22" s="28">
        <v>4.0370296041080129</v>
      </c>
      <c r="GQ22" s="29">
        <v>3.3234263844772481E-2</v>
      </c>
      <c r="GR22" s="9"/>
      <c r="GS22" s="3">
        <v>638</v>
      </c>
      <c r="GT22" s="3">
        <v>637.94927100999803</v>
      </c>
      <c r="GU22" s="69">
        <v>4.070485395067247</v>
      </c>
      <c r="GV22" s="9">
        <v>3.9066388620290091E-2</v>
      </c>
      <c r="GW22" s="10">
        <f t="shared" si="23"/>
        <v>-0.6522824908445779</v>
      </c>
      <c r="GX22" s="10" t="str">
        <f t="shared" si="68"/>
        <v xml:space="preserve"> </v>
      </c>
      <c r="GY22" s="9"/>
      <c r="GZ22" s="27">
        <v>670</v>
      </c>
      <c r="HA22" s="27">
        <v>670.21479529000408</v>
      </c>
      <c r="HB22" s="28">
        <v>4.1469114696988933</v>
      </c>
      <c r="HC22" s="29">
        <v>3.6675865172733142E-2</v>
      </c>
      <c r="HD22" s="10">
        <f t="shared" si="24"/>
        <v>-2.2201141325980616</v>
      </c>
      <c r="HE22" s="10" t="str">
        <f t="shared" si="69"/>
        <v>*</v>
      </c>
      <c r="HF22" s="9"/>
      <c r="HG22" s="27">
        <v>1321</v>
      </c>
      <c r="HH22" s="27">
        <v>1322.1151012599908</v>
      </c>
      <c r="HI22" s="28">
        <v>3.9450636460390012</v>
      </c>
      <c r="HJ22" s="29">
        <v>2.8216898595764428E-2</v>
      </c>
      <c r="HK22" s="10">
        <f t="shared" si="25"/>
        <v>2.1094498677999471</v>
      </c>
      <c r="HL22" s="10" t="str">
        <f t="shared" si="70"/>
        <v>*</v>
      </c>
      <c r="HM22" s="29"/>
      <c r="HN22" s="8">
        <v>1332</v>
      </c>
      <c r="HO22" s="8">
        <v>1337.7485727400056</v>
      </c>
      <c r="HP22" s="69">
        <v>3.9570150303339791</v>
      </c>
      <c r="HQ22" s="9">
        <v>2.7179103812242186E-2</v>
      </c>
      <c r="HR22" s="10">
        <f t="shared" si="26"/>
        <v>1.8637193392150306</v>
      </c>
      <c r="HS22" s="10" t="str">
        <f t="shared" si="71"/>
        <v xml:space="preserve"> </v>
      </c>
      <c r="HT22" s="9"/>
      <c r="HU22" s="88">
        <v>4417</v>
      </c>
      <c r="HV22" s="88">
        <v>4418.2944032399391</v>
      </c>
      <c r="HW22" s="28">
        <v>4.1712036879401344</v>
      </c>
      <c r="HX22" s="29">
        <v>1.3710647581888764E-2</v>
      </c>
      <c r="HY22" s="30">
        <f t="shared" si="27"/>
        <v>-3.7321034495355159</v>
      </c>
      <c r="HZ22" s="30" t="str">
        <f t="shared" si="72"/>
        <v>*</v>
      </c>
      <c r="IA22" s="30"/>
      <c r="IB22" s="88">
        <v>979</v>
      </c>
      <c r="IC22" s="88">
        <v>978.97328210000023</v>
      </c>
      <c r="ID22" s="28">
        <v>4.193035906715064</v>
      </c>
      <c r="IE22" s="29">
        <v>2.7508095017167215E-2</v>
      </c>
      <c r="IF22" s="30">
        <f t="shared" si="28"/>
        <v>-3.6161319613690321</v>
      </c>
      <c r="IG22" s="30" t="str">
        <f t="shared" si="29"/>
        <v>*</v>
      </c>
      <c r="IH22" s="30"/>
      <c r="II22" s="88">
        <v>543</v>
      </c>
      <c r="IJ22" s="88">
        <v>542.90685052000288</v>
      </c>
      <c r="IK22" s="28">
        <v>4.2235561051840689</v>
      </c>
      <c r="IL22" s="29">
        <v>3.8019130702573845E-2</v>
      </c>
      <c r="IM22" s="30">
        <f t="shared" si="30"/>
        <v>-3.6937964338205549</v>
      </c>
      <c r="IN22" s="30" t="str">
        <f t="shared" si="74"/>
        <v>*</v>
      </c>
      <c r="IO22" s="30"/>
      <c r="IP22" s="88">
        <v>759</v>
      </c>
      <c r="IQ22" s="88">
        <v>758.80462498000907</v>
      </c>
      <c r="IR22" s="28">
        <v>4.2661302387361237</v>
      </c>
      <c r="IS22" s="29">
        <v>3.3092335289301951E-2</v>
      </c>
      <c r="IT22" s="30">
        <f t="shared" si="32"/>
        <v>-4.8848650027493479</v>
      </c>
      <c r="IU22" s="30" t="str">
        <f t="shared" si="33"/>
        <v>*</v>
      </c>
      <c r="IV22" s="30"/>
      <c r="IW22" s="88">
        <v>286</v>
      </c>
      <c r="IX22" s="88">
        <v>285.92316849999901</v>
      </c>
      <c r="IY22" s="28">
        <v>4.3145272096409366</v>
      </c>
      <c r="IZ22" s="29">
        <v>4.7998326525785014E-2</v>
      </c>
      <c r="JA22" s="30">
        <f t="shared" si="34"/>
        <v>-4.7532076533450462</v>
      </c>
      <c r="JB22" s="30" t="str">
        <f t="shared" si="73"/>
        <v>*</v>
      </c>
      <c r="JC22" s="30"/>
      <c r="JD22" s="88">
        <v>961</v>
      </c>
      <c r="JE22" s="88">
        <v>962.6935788100094</v>
      </c>
      <c r="JF22" s="28">
        <v>4.1259909023283816</v>
      </c>
      <c r="JG22" s="29">
        <v>2.9342950930058634E-2</v>
      </c>
      <c r="JH22" s="30">
        <f t="shared" si="35"/>
        <v>-2.0066046717196042</v>
      </c>
      <c r="JI22" s="30" t="str">
        <f t="shared" si="36"/>
        <v>*</v>
      </c>
      <c r="JK22" s="27"/>
      <c r="JL22" s="27"/>
      <c r="JM22" s="28"/>
      <c r="JN22" s="29"/>
    </row>
    <row r="23" spans="1:274" x14ac:dyDescent="0.2">
      <c r="B23" s="7" t="s">
        <v>22</v>
      </c>
      <c r="C23" s="27">
        <v>2907</v>
      </c>
      <c r="D23" s="27">
        <v>2906.1091019099199</v>
      </c>
      <c r="E23" s="28">
        <v>3.7781720268842216</v>
      </c>
      <c r="F23" s="29">
        <v>2.1289836189749212E-2</v>
      </c>
      <c r="G23" s="29"/>
      <c r="H23" s="3">
        <v>923</v>
      </c>
      <c r="I23" s="3">
        <v>922.9092968000142</v>
      </c>
      <c r="J23" s="28">
        <v>3.6474694360235667</v>
      </c>
      <c r="K23" s="29">
        <v>4.0998834967645448E-2</v>
      </c>
      <c r="L23" s="30">
        <f t="shared" si="37"/>
        <v>2.8292449309540593</v>
      </c>
      <c r="M23" s="30" t="str">
        <f t="shared" si="38"/>
        <v>*</v>
      </c>
      <c r="N23" s="9"/>
      <c r="O23" s="27">
        <v>1014</v>
      </c>
      <c r="P23" s="27">
        <v>1014.3893949000068</v>
      </c>
      <c r="Q23" s="28">
        <v>2.7536474778951741</v>
      </c>
      <c r="R23" s="29">
        <v>3.9815882755849206E-2</v>
      </c>
      <c r="S23" s="30">
        <f t="shared" si="39"/>
        <v>22.691355757323109</v>
      </c>
      <c r="T23" s="30" t="str">
        <f t="shared" si="40"/>
        <v>*</v>
      </c>
      <c r="U23" s="30"/>
      <c r="V23" s="27">
        <v>1032</v>
      </c>
      <c r="W23" s="27">
        <v>1034.0573634300197</v>
      </c>
      <c r="X23" s="28">
        <v>2.9369628493009494</v>
      </c>
      <c r="Y23" s="29">
        <v>3.897078204942437E-2</v>
      </c>
      <c r="Z23" s="30">
        <f t="shared" si="41"/>
        <v>18.943178939564053</v>
      </c>
      <c r="AA23" s="30" t="str">
        <f t="shared" si="42"/>
        <v>*</v>
      </c>
      <c r="AB23" s="9"/>
      <c r="AC23" s="8">
        <v>1182</v>
      </c>
      <c r="AD23" s="8">
        <v>1184.4316246000042</v>
      </c>
      <c r="AE23" s="69">
        <v>3.0480411755463042</v>
      </c>
      <c r="AF23" s="9">
        <v>3.5028600854674047E-2</v>
      </c>
      <c r="AG23" s="30">
        <f t="shared" si="43"/>
        <v>17.811990506639244</v>
      </c>
      <c r="AH23" s="30" t="str">
        <f t="shared" si="44"/>
        <v>*</v>
      </c>
      <c r="AI23" s="9"/>
      <c r="AJ23" s="81">
        <v>5003</v>
      </c>
      <c r="AK23" s="83">
        <v>3.9177129540266966</v>
      </c>
      <c r="AL23" s="84">
        <v>1.588444921126448E-2</v>
      </c>
      <c r="AM23" s="30">
        <f t="shared" si="45"/>
        <v>-5.2532814976209776</v>
      </c>
      <c r="AN23" s="30" t="str">
        <f t="shared" si="46"/>
        <v>*</v>
      </c>
      <c r="AO23" s="9"/>
      <c r="AP23" s="78">
        <v>468</v>
      </c>
      <c r="AQ23" s="79">
        <v>4.1191829200080914</v>
      </c>
      <c r="AR23" s="80">
        <v>5.2723669623369433E-2</v>
      </c>
      <c r="AS23" s="30">
        <f t="shared" si="47"/>
        <v>-5.9973935432977843</v>
      </c>
      <c r="AT23" s="30" t="str">
        <f t="shared" si="48"/>
        <v>*</v>
      </c>
      <c r="AU23" s="80"/>
      <c r="AV23" s="78">
        <v>710</v>
      </c>
      <c r="AW23" s="79">
        <v>3.8764333982255774</v>
      </c>
      <c r="AX23" s="80">
        <v>4.3011658180477377E-2</v>
      </c>
      <c r="AY23" s="30">
        <f t="shared" si="49"/>
        <v>-2.0474407886858534</v>
      </c>
      <c r="AZ23" s="30" t="str">
        <f t="shared" si="50"/>
        <v>*</v>
      </c>
      <c r="BA23" s="80"/>
      <c r="BB23" s="78">
        <v>689</v>
      </c>
      <c r="BC23" s="79">
        <v>4.0446616847022572</v>
      </c>
      <c r="BD23" s="80">
        <v>4.1883311238941248E-2</v>
      </c>
      <c r="BE23" s="30">
        <f t="shared" si="51"/>
        <v>-5.6719587504635598</v>
      </c>
      <c r="BF23" s="30" t="str">
        <f t="shared" si="52"/>
        <v>*</v>
      </c>
      <c r="BG23" s="80"/>
      <c r="BH23" s="78">
        <v>1127</v>
      </c>
      <c r="BI23" s="79">
        <v>3.8189614338822984</v>
      </c>
      <c r="BJ23" s="80">
        <v>3.6655912897666627E-2</v>
      </c>
      <c r="BK23" s="30">
        <f t="shared" si="53"/>
        <v>-0.96224099853786704</v>
      </c>
      <c r="BL23" s="30" t="str">
        <f t="shared" si="54"/>
        <v xml:space="preserve"> </v>
      </c>
      <c r="BM23" s="80"/>
      <c r="BN23" s="78">
        <v>1245</v>
      </c>
      <c r="BO23" s="79">
        <v>3.7302010570151309</v>
      </c>
      <c r="BP23" s="80">
        <v>3.4884784043598911E-2</v>
      </c>
      <c r="BQ23" s="30">
        <f t="shared" si="55"/>
        <v>1.1737985604280783</v>
      </c>
      <c r="BR23" s="30" t="str">
        <f t="shared" si="56"/>
        <v xml:space="preserve"> </v>
      </c>
      <c r="BS23" s="9"/>
      <c r="BT23" s="27">
        <v>11316</v>
      </c>
      <c r="BU23" s="27">
        <v>11360.816967389157</v>
      </c>
      <c r="BV23" s="28">
        <v>4.058017194202856</v>
      </c>
      <c r="BW23" s="29">
        <v>1.0111054987510498E-2</v>
      </c>
      <c r="BX23" s="30">
        <f t="shared" si="57"/>
        <v>-11.873519525253009</v>
      </c>
      <c r="BY23" s="30" t="str">
        <f t="shared" si="58"/>
        <v>*</v>
      </c>
      <c r="BZ23" s="30"/>
      <c r="CA23" s="27">
        <v>453</v>
      </c>
      <c r="CB23" s="27">
        <v>453</v>
      </c>
      <c r="CC23" s="28">
        <v>3.9713024282560712</v>
      </c>
      <c r="CD23" s="29">
        <v>4.7738259610260028E-2</v>
      </c>
      <c r="CE23" s="30">
        <f t="shared" si="59"/>
        <v>-3.6948304522791919</v>
      </c>
      <c r="CF23" s="30" t="str">
        <f t="shared" si="0"/>
        <v>*</v>
      </c>
      <c r="CG23" s="30"/>
      <c r="CH23" s="27">
        <v>3034</v>
      </c>
      <c r="CI23" s="27">
        <v>3079.8924141798921</v>
      </c>
      <c r="CJ23" s="28">
        <v>3.9083566291048046</v>
      </c>
      <c r="CK23" s="29">
        <v>1.9133068630604783E-2</v>
      </c>
      <c r="CL23" s="30">
        <f t="shared" si="60"/>
        <v>-4.5480979601230427</v>
      </c>
      <c r="CM23" s="30" t="str">
        <f t="shared" si="1"/>
        <v>*</v>
      </c>
      <c r="CN23" s="30"/>
      <c r="CO23" s="27">
        <v>2915</v>
      </c>
      <c r="CP23" s="27">
        <v>2914.8780375199353</v>
      </c>
      <c r="CQ23" s="28">
        <v>3.9358245121503823</v>
      </c>
      <c r="CR23" s="29">
        <v>2.0055183939646219E-2</v>
      </c>
      <c r="CS23" s="30">
        <f t="shared" si="61"/>
        <v>-5.3901277313779072</v>
      </c>
      <c r="CT23" s="30" t="str">
        <f t="shared" si="2"/>
        <v>*</v>
      </c>
      <c r="CU23" s="30"/>
      <c r="CV23" s="27">
        <v>585</v>
      </c>
      <c r="CW23" s="27">
        <v>584.93990560000452</v>
      </c>
      <c r="CX23" s="28">
        <v>4.9386195887538697</v>
      </c>
      <c r="CY23" s="29">
        <v>1.0784184438575713E-2</v>
      </c>
      <c r="CZ23" s="30">
        <f t="shared" si="62"/>
        <v>-48.62475170004052</v>
      </c>
      <c r="DA23" s="30" t="str">
        <f t="shared" si="3"/>
        <v>*</v>
      </c>
      <c r="DB23" s="30"/>
      <c r="DC23" s="27">
        <v>878</v>
      </c>
      <c r="DD23" s="27">
        <v>877.99750817998881</v>
      </c>
      <c r="DE23" s="28">
        <v>4.7905015661590209</v>
      </c>
      <c r="DF23" s="29">
        <v>1.7031207624080665E-2</v>
      </c>
      <c r="DG23" s="30">
        <f t="shared" si="63"/>
        <v>-37.130794866775211</v>
      </c>
      <c r="DH23" s="30" t="str">
        <f t="shared" si="4"/>
        <v>*</v>
      </c>
      <c r="DI23" s="30"/>
      <c r="DJ23" s="27">
        <v>544</v>
      </c>
      <c r="DK23" s="27">
        <v>544</v>
      </c>
      <c r="DL23" s="28">
        <v>4.9981617647058814</v>
      </c>
      <c r="DM23" s="29">
        <v>1.8382352941176483E-3</v>
      </c>
      <c r="DN23" s="30">
        <f t="shared" si="64"/>
        <v>-57.091439404573009</v>
      </c>
      <c r="DO23" s="30" t="str">
        <f t="shared" si="5"/>
        <v>*</v>
      </c>
      <c r="DP23" s="8"/>
      <c r="DQ23" s="27">
        <v>935</v>
      </c>
      <c r="DR23" s="27">
        <v>935.65348811000865</v>
      </c>
      <c r="DS23" s="28">
        <v>3.7375674137377546</v>
      </c>
      <c r="DT23" s="29">
        <v>4.0322754353853421E-2</v>
      </c>
      <c r="DU23" s="29"/>
      <c r="DV23" s="27">
        <v>619</v>
      </c>
      <c r="DW23" s="27">
        <v>619.2132051999954</v>
      </c>
      <c r="DX23" s="28">
        <v>3.5677040888952916</v>
      </c>
      <c r="DY23" s="29">
        <v>5.2575109702084621E-2</v>
      </c>
      <c r="DZ23" s="10">
        <f t="shared" si="6"/>
        <v>2.5636814574999511</v>
      </c>
      <c r="EA23" s="10" t="str">
        <f t="shared" si="7"/>
        <v>*</v>
      </c>
      <c r="EB23" s="29"/>
      <c r="EC23" s="27">
        <v>666</v>
      </c>
      <c r="ED23" s="27">
        <v>665.4074359400031</v>
      </c>
      <c r="EE23" s="28">
        <v>3.6910162982631034</v>
      </c>
      <c r="EF23" s="29">
        <v>4.7099985188399085E-2</v>
      </c>
      <c r="EG23" s="10">
        <f t="shared" si="8"/>
        <v>0.75079191179751148</v>
      </c>
      <c r="EH23" s="10" t="str">
        <f t="shared" si="9"/>
        <v xml:space="preserve"> </v>
      </c>
      <c r="EI23" s="29"/>
      <c r="EJ23" s="27">
        <v>620</v>
      </c>
      <c r="EK23" s="27">
        <v>615.50853474000189</v>
      </c>
      <c r="EL23" s="28">
        <v>3.741020456593124</v>
      </c>
      <c r="EM23" s="29">
        <v>5.097438483380852E-2</v>
      </c>
      <c r="EN23" s="10">
        <f t="shared" si="10"/>
        <v>-5.3128059415088386E-2</v>
      </c>
      <c r="EO23" s="10" t="str">
        <f t="shared" si="65"/>
        <v xml:space="preserve"> </v>
      </c>
      <c r="EP23" s="29"/>
      <c r="EQ23" s="8">
        <v>704</v>
      </c>
      <c r="ER23" s="8">
        <v>704.16800033999891</v>
      </c>
      <c r="ES23" s="69">
        <v>3.7358081754493599</v>
      </c>
      <c r="ET23" s="9">
        <v>4.361144491720019E-2</v>
      </c>
      <c r="EU23" s="10">
        <f t="shared" si="11"/>
        <v>2.9618809841346839E-2</v>
      </c>
      <c r="EV23" s="10" t="str">
        <f t="shared" si="66"/>
        <v xml:space="preserve"> </v>
      </c>
      <c r="EW23" s="29"/>
      <c r="EX23" s="88">
        <v>4356</v>
      </c>
      <c r="EY23" s="88">
        <v>4356.4329190996759</v>
      </c>
      <c r="EZ23" s="28">
        <v>3.9362065725627149</v>
      </c>
      <c r="FA23" s="29">
        <v>1.67298631284666E-2</v>
      </c>
      <c r="FB23" s="30">
        <f t="shared" si="12"/>
        <v>-4.5501398314535288</v>
      </c>
      <c r="FC23" s="30" t="str">
        <f t="shared" si="67"/>
        <v>*</v>
      </c>
      <c r="FD23" s="30"/>
      <c r="FE23" s="27">
        <v>1073</v>
      </c>
      <c r="FF23" s="27">
        <v>1072.975017820004</v>
      </c>
      <c r="FG23" s="28">
        <v>4.056809729628049</v>
      </c>
      <c r="FH23" s="29">
        <v>3.0005423684133951E-2</v>
      </c>
      <c r="FI23" s="30">
        <f t="shared" si="13"/>
        <v>-6.3515875981693144</v>
      </c>
      <c r="FJ23" s="30" t="str">
        <f t="shared" si="14"/>
        <v>*</v>
      </c>
      <c r="FK23" s="30"/>
      <c r="FL23" s="88">
        <v>284</v>
      </c>
      <c r="FM23" s="88">
        <v>283.92537235999902</v>
      </c>
      <c r="FN23" s="28">
        <v>4.0421655934110055</v>
      </c>
      <c r="FO23" s="29">
        <v>6.3247053594216493E-2</v>
      </c>
      <c r="FP23" s="30">
        <f t="shared" si="15"/>
        <v>-4.0609068513789737</v>
      </c>
      <c r="FQ23" s="30" t="str">
        <f t="shared" si="16"/>
        <v>*</v>
      </c>
      <c r="FR23" s="30"/>
      <c r="FS23" s="88">
        <v>594</v>
      </c>
      <c r="FT23" s="88">
        <v>593.90472081999883</v>
      </c>
      <c r="FU23" s="28">
        <v>3.8801826023848585</v>
      </c>
      <c r="FV23" s="29">
        <v>4.0043950682282149E-2</v>
      </c>
      <c r="FW23" s="30">
        <f t="shared" si="17"/>
        <v>-2.50958553358489</v>
      </c>
      <c r="FX23" s="30" t="str">
        <f t="shared" si="18"/>
        <v>*</v>
      </c>
      <c r="FY23" s="30"/>
      <c r="FZ23" s="88">
        <v>1106</v>
      </c>
      <c r="GA23" s="88">
        <v>1105.9665701700076</v>
      </c>
      <c r="GB23" s="28">
        <v>3.8742533218986686</v>
      </c>
      <c r="GC23" s="29">
        <v>3.5905649470976596E-2</v>
      </c>
      <c r="GD23" s="30">
        <f t="shared" si="19"/>
        <v>-2.5315937843295471</v>
      </c>
      <c r="GE23" s="30" t="str">
        <f t="shared" si="20"/>
        <v>*</v>
      </c>
      <c r="GF23" s="30"/>
      <c r="GG23" s="88">
        <v>364</v>
      </c>
      <c r="GH23" s="88">
        <v>364.00774981999922</v>
      </c>
      <c r="GI23" s="28">
        <v>4.2882867613997009</v>
      </c>
      <c r="GJ23" s="29">
        <v>4.6423832222636879E-2</v>
      </c>
      <c r="GK23" s="30">
        <f t="shared" si="21"/>
        <v>-8.9561516991424117</v>
      </c>
      <c r="GL23" s="30" t="str">
        <f t="shared" si="22"/>
        <v>*</v>
      </c>
      <c r="GM23" s="10"/>
      <c r="GN23" s="88">
        <v>897</v>
      </c>
      <c r="GO23" s="88">
        <v>896.96482695000873</v>
      </c>
      <c r="GP23" s="28">
        <v>3.9742716132153451</v>
      </c>
      <c r="GQ23" s="29">
        <v>3.6970285287471677E-2</v>
      </c>
      <c r="GR23" s="9"/>
      <c r="GS23" s="3">
        <v>648</v>
      </c>
      <c r="GT23" s="3">
        <v>647.96355670999833</v>
      </c>
      <c r="GU23" s="69">
        <v>3.9213915572989588</v>
      </c>
      <c r="GV23" s="9">
        <v>4.5002113031253226E-2</v>
      </c>
      <c r="GW23" s="10">
        <f t="shared" si="23"/>
        <v>0.90795533553663155</v>
      </c>
      <c r="GX23" s="10" t="str">
        <f t="shared" si="68"/>
        <v xml:space="preserve"> </v>
      </c>
      <c r="GY23" s="9"/>
      <c r="GZ23" s="27">
        <v>678</v>
      </c>
      <c r="HA23" s="27">
        <v>678.13575041000422</v>
      </c>
      <c r="HB23" s="28">
        <v>4.1717109567953008</v>
      </c>
      <c r="HC23" s="29">
        <v>3.6786114267764278E-2</v>
      </c>
      <c r="HD23" s="10">
        <f t="shared" si="24"/>
        <v>-3.7857125434332022</v>
      </c>
      <c r="HE23" s="10" t="str">
        <f t="shared" si="69"/>
        <v>*</v>
      </c>
      <c r="HF23" s="9"/>
      <c r="HG23" s="27">
        <v>1335</v>
      </c>
      <c r="HH23" s="27">
        <v>1336.493344049991</v>
      </c>
      <c r="HI23" s="28">
        <v>3.8182190885412166</v>
      </c>
      <c r="HJ23" s="29">
        <v>3.1648681440011088E-2</v>
      </c>
      <c r="HK23" s="10">
        <f t="shared" si="25"/>
        <v>3.2065610367711965</v>
      </c>
      <c r="HL23" s="10" t="str">
        <f t="shared" si="70"/>
        <v>*</v>
      </c>
      <c r="HM23" s="29"/>
      <c r="HN23" s="8">
        <v>1358</v>
      </c>
      <c r="HO23" s="8">
        <v>1363.228341460007</v>
      </c>
      <c r="HP23" s="69">
        <v>3.9689745077374901</v>
      </c>
      <c r="HQ23" s="9">
        <v>2.9782438552638849E-2</v>
      </c>
      <c r="HR23" s="10">
        <f t="shared" si="26"/>
        <v>0.11157871450487218</v>
      </c>
      <c r="HS23" s="10" t="str">
        <f t="shared" si="71"/>
        <v xml:space="preserve"> </v>
      </c>
      <c r="HT23" s="9"/>
      <c r="HU23" s="88">
        <v>4554</v>
      </c>
      <c r="HV23" s="88">
        <v>4555.3015704800137</v>
      </c>
      <c r="HW23" s="28">
        <v>4.0917442702999631</v>
      </c>
      <c r="HX23" s="29">
        <v>1.5228002454515416E-2</v>
      </c>
      <c r="HY23" s="30">
        <f t="shared" si="27"/>
        <v>-2.9380157008868757</v>
      </c>
      <c r="HZ23" s="30" t="str">
        <f t="shared" si="72"/>
        <v>*</v>
      </c>
      <c r="IA23" s="30"/>
      <c r="IB23" s="88">
        <v>1073</v>
      </c>
      <c r="IC23" s="88">
        <v>1072.975017820004</v>
      </c>
      <c r="ID23" s="28">
        <v>4.056809729628049</v>
      </c>
      <c r="IE23" s="29">
        <v>3.0005423684133951E-2</v>
      </c>
      <c r="IF23" s="30">
        <f t="shared" si="28"/>
        <v>-1.7334710239098792</v>
      </c>
      <c r="IG23" s="30" t="str">
        <f t="shared" si="29"/>
        <v xml:space="preserve"> </v>
      </c>
      <c r="IH23" s="30"/>
      <c r="II23" s="88">
        <v>558</v>
      </c>
      <c r="IJ23" s="88">
        <v>557.83311956000296</v>
      </c>
      <c r="IK23" s="28">
        <v>4.1496664724494154</v>
      </c>
      <c r="IL23" s="29">
        <v>4.4104876304250543E-2</v>
      </c>
      <c r="IM23" s="30">
        <f t="shared" si="30"/>
        <v>-3.0476769847938114</v>
      </c>
      <c r="IN23" s="30" t="str">
        <f t="shared" si="74"/>
        <v>*</v>
      </c>
      <c r="IO23" s="30"/>
      <c r="IP23" s="88">
        <v>769</v>
      </c>
      <c r="IQ23" s="88">
        <v>768.74719598000934</v>
      </c>
      <c r="IR23" s="28">
        <v>4.2038106305418985</v>
      </c>
      <c r="IS23" s="29">
        <v>3.6504841298461127E-2</v>
      </c>
      <c r="IT23" s="30">
        <f t="shared" si="32"/>
        <v>-4.4179669155696901</v>
      </c>
      <c r="IU23" s="30" t="str">
        <f t="shared" si="33"/>
        <v>*</v>
      </c>
      <c r="IV23" s="30"/>
      <c r="IW23" s="88">
        <v>284</v>
      </c>
      <c r="IX23" s="88">
        <v>283.92537235999902</v>
      </c>
      <c r="IY23" s="28">
        <v>4.0421655934110055</v>
      </c>
      <c r="IZ23" s="29">
        <v>6.3247053594216493E-2</v>
      </c>
      <c r="JA23" s="30">
        <f t="shared" si="34"/>
        <v>-0.92675684883347642</v>
      </c>
      <c r="JB23" s="30" t="str">
        <f t="shared" si="73"/>
        <v xml:space="preserve"> </v>
      </c>
      <c r="JC23" s="30"/>
      <c r="JD23" s="88">
        <v>973</v>
      </c>
      <c r="JE23" s="88">
        <v>974.85603781000975</v>
      </c>
      <c r="JF23" s="28">
        <v>4.1312042016350876</v>
      </c>
      <c r="JG23" s="29">
        <v>3.1422739110838635E-2</v>
      </c>
      <c r="JH23" s="30">
        <f t="shared" si="35"/>
        <v>-3.2343896160609531</v>
      </c>
      <c r="JI23" s="30" t="str">
        <f t="shared" si="36"/>
        <v>*</v>
      </c>
      <c r="JK23" s="27"/>
      <c r="JL23" s="27"/>
      <c r="JM23" s="28"/>
      <c r="JN23" s="29"/>
    </row>
    <row r="24" spans="1:274" x14ac:dyDescent="0.2">
      <c r="B24" s="7" t="s">
        <v>23</v>
      </c>
      <c r="C24" s="27">
        <v>2899</v>
      </c>
      <c r="D24" s="27">
        <v>2898.1254901399202</v>
      </c>
      <c r="E24" s="28">
        <v>4.0960073563641846</v>
      </c>
      <c r="F24" s="29">
        <v>1.8014746452239445E-2</v>
      </c>
      <c r="G24" s="29"/>
      <c r="H24" s="3">
        <v>942</v>
      </c>
      <c r="I24" s="3">
        <v>941.90760312001498</v>
      </c>
      <c r="J24" s="28">
        <v>4.0756994871087349</v>
      </c>
      <c r="K24" s="29">
        <v>3.2342371604601863E-2</v>
      </c>
      <c r="L24" s="30">
        <f t="shared" si="37"/>
        <v>0.54854886142097492</v>
      </c>
      <c r="M24" s="30" t="str">
        <f t="shared" si="38"/>
        <v xml:space="preserve"> </v>
      </c>
      <c r="N24" s="9"/>
      <c r="O24" s="27">
        <v>1024</v>
      </c>
      <c r="P24" s="27">
        <v>1024.1118418800068</v>
      </c>
      <c r="Q24" s="28">
        <v>4.1352719523052146</v>
      </c>
      <c r="R24" s="29">
        <v>2.5645279898548489E-2</v>
      </c>
      <c r="S24" s="30">
        <f t="shared" si="39"/>
        <v>-1.2528487146226046</v>
      </c>
      <c r="T24" s="30" t="str">
        <f t="shared" si="40"/>
        <v xml:space="preserve"> </v>
      </c>
      <c r="U24" s="30"/>
      <c r="V24" s="27">
        <v>1045</v>
      </c>
      <c r="W24" s="27">
        <v>1045.7926072300202</v>
      </c>
      <c r="X24" s="28">
        <v>4.1152001549897204</v>
      </c>
      <c r="Y24" s="29">
        <v>2.812027750345442E-2</v>
      </c>
      <c r="Z24" s="30">
        <f t="shared" si="41"/>
        <v>-0.57470653564428864</v>
      </c>
      <c r="AA24" s="30" t="str">
        <f t="shared" si="42"/>
        <v xml:space="preserve"> </v>
      </c>
      <c r="AB24" s="9"/>
      <c r="AC24" s="8">
        <v>1190</v>
      </c>
      <c r="AD24" s="8">
        <v>1191.7852994800044</v>
      </c>
      <c r="AE24" s="69">
        <v>3.8676701599115102</v>
      </c>
      <c r="AF24" s="9">
        <v>2.7010574494182385E-2</v>
      </c>
      <c r="AG24" s="30">
        <f t="shared" si="43"/>
        <v>7.0329138830053948</v>
      </c>
      <c r="AH24" s="30" t="str">
        <f t="shared" si="44"/>
        <v>*</v>
      </c>
      <c r="AI24" s="9"/>
      <c r="AJ24" s="81">
        <v>5229</v>
      </c>
      <c r="AK24" s="83">
        <v>4.1971186486295746</v>
      </c>
      <c r="AL24" s="84">
        <v>1.2988822984795208E-2</v>
      </c>
      <c r="AM24" s="30">
        <f t="shared" si="45"/>
        <v>-4.5527127206607529</v>
      </c>
      <c r="AN24" s="30" t="str">
        <f t="shared" si="46"/>
        <v>*</v>
      </c>
      <c r="AO24" s="9"/>
      <c r="AP24" s="78">
        <v>564</v>
      </c>
      <c r="AQ24" s="79">
        <v>4.3860012946004261</v>
      </c>
      <c r="AR24" s="80">
        <v>3.7246492985627142E-2</v>
      </c>
      <c r="AS24" s="30">
        <f t="shared" si="47"/>
        <v>-7.0090362776635509</v>
      </c>
      <c r="AT24" s="30" t="str">
        <f t="shared" si="48"/>
        <v>*</v>
      </c>
      <c r="AU24" s="80"/>
      <c r="AV24" s="78">
        <v>748</v>
      </c>
      <c r="AW24" s="79">
        <v>4.2801816623797313</v>
      </c>
      <c r="AX24" s="80">
        <v>3.2333331711567458E-2</v>
      </c>
      <c r="AY24" s="30">
        <f t="shared" si="49"/>
        <v>-4.9759115629794453</v>
      </c>
      <c r="AZ24" s="30" t="str">
        <f t="shared" si="50"/>
        <v>*</v>
      </c>
      <c r="BA24" s="80"/>
      <c r="BB24" s="78">
        <v>772</v>
      </c>
      <c r="BC24" s="79">
        <v>4.3764971237410029</v>
      </c>
      <c r="BD24" s="80">
        <v>2.9971744136722357E-2</v>
      </c>
      <c r="BE24" s="30">
        <f t="shared" si="51"/>
        <v>-8.0210794689883471</v>
      </c>
      <c r="BF24" s="30" t="str">
        <f t="shared" si="52"/>
        <v>*</v>
      </c>
      <c r="BG24" s="80"/>
      <c r="BH24" s="78">
        <v>1161</v>
      </c>
      <c r="BI24" s="79">
        <v>4.2006760267235057</v>
      </c>
      <c r="BJ24" s="80">
        <v>2.7306691490504815E-2</v>
      </c>
      <c r="BK24" s="30">
        <f t="shared" si="53"/>
        <v>-3.1995358092412487</v>
      </c>
      <c r="BL24" s="30" t="str">
        <f t="shared" si="54"/>
        <v>*</v>
      </c>
      <c r="BM24" s="80"/>
      <c r="BN24" s="78">
        <v>1256</v>
      </c>
      <c r="BO24" s="79">
        <v>4.0960472841147144</v>
      </c>
      <c r="BP24" s="80">
        <v>2.7439494028891974E-2</v>
      </c>
      <c r="BQ24" s="30">
        <f t="shared" si="55"/>
        <v>-1.2163957260514432E-3</v>
      </c>
      <c r="BR24" s="30" t="str">
        <f t="shared" si="56"/>
        <v xml:space="preserve"> </v>
      </c>
      <c r="BS24" s="9"/>
      <c r="BT24" s="27">
        <v>11359</v>
      </c>
      <c r="BU24" s="27">
        <v>11398.284961659152</v>
      </c>
      <c r="BV24" s="28">
        <v>4.2886289389268732</v>
      </c>
      <c r="BW24" s="29">
        <v>8.5394412991226399E-3</v>
      </c>
      <c r="BX24" s="30">
        <f t="shared" si="57"/>
        <v>-9.6618875003315807</v>
      </c>
      <c r="BY24" s="30" t="str">
        <f t="shared" si="58"/>
        <v>*</v>
      </c>
      <c r="BZ24" s="30"/>
      <c r="CA24" s="27">
        <v>472</v>
      </c>
      <c r="CB24" s="27">
        <v>472</v>
      </c>
      <c r="CC24" s="28">
        <v>4.2457627118644012</v>
      </c>
      <c r="CD24" s="29">
        <v>3.8847164466961855E-2</v>
      </c>
      <c r="CE24" s="30">
        <f t="shared" si="59"/>
        <v>-3.4972455114770971</v>
      </c>
      <c r="CF24" s="30" t="str">
        <f t="shared" si="0"/>
        <v>*</v>
      </c>
      <c r="CG24" s="30"/>
      <c r="CH24" s="27">
        <v>3054</v>
      </c>
      <c r="CI24" s="27">
        <v>3094.3356252898939</v>
      </c>
      <c r="CJ24" s="28">
        <v>4.0649963754145642</v>
      </c>
      <c r="CK24" s="29">
        <v>1.7577241457864809E-2</v>
      </c>
      <c r="CL24" s="30">
        <f t="shared" si="60"/>
        <v>1.2320985559398874</v>
      </c>
      <c r="CM24" s="30" t="str">
        <f t="shared" si="1"/>
        <v xml:space="preserve"> </v>
      </c>
      <c r="CN24" s="30"/>
      <c r="CO24" s="27">
        <v>2923</v>
      </c>
      <c r="CP24" s="27">
        <v>2922.8345294599339</v>
      </c>
      <c r="CQ24" s="28">
        <v>4.2701482279210019</v>
      </c>
      <c r="CR24" s="29">
        <v>1.6074481312818693E-2</v>
      </c>
      <c r="CS24" s="30">
        <f t="shared" si="61"/>
        <v>-7.212672633288709</v>
      </c>
      <c r="CT24" s="30" t="str">
        <f t="shared" si="2"/>
        <v>*</v>
      </c>
      <c r="CU24" s="30"/>
      <c r="CV24" s="27">
        <v>594</v>
      </c>
      <c r="CW24" s="27">
        <v>593.97596104000468</v>
      </c>
      <c r="CX24" s="28">
        <v>4.9560518238578322</v>
      </c>
      <c r="CY24" s="29">
        <v>9.3787401976693861E-3</v>
      </c>
      <c r="CZ24" s="30">
        <f t="shared" si="62"/>
        <v>-42.346080273365651</v>
      </c>
      <c r="DA24" s="30" t="str">
        <f t="shared" si="3"/>
        <v>*</v>
      </c>
      <c r="DB24" s="30"/>
      <c r="DC24" s="27">
        <v>875</v>
      </c>
      <c r="DD24" s="27">
        <v>875.0133557299888</v>
      </c>
      <c r="DE24" s="28">
        <v>4.9108918768503287</v>
      </c>
      <c r="DF24" s="29">
        <v>1.0035284478859981E-2</v>
      </c>
      <c r="DG24" s="30">
        <f t="shared" si="63"/>
        <v>-39.516641060964304</v>
      </c>
      <c r="DH24" s="30" t="str">
        <f t="shared" si="4"/>
        <v>*</v>
      </c>
      <c r="DI24" s="30"/>
      <c r="DJ24" s="27">
        <v>542</v>
      </c>
      <c r="DK24" s="27">
        <v>542</v>
      </c>
      <c r="DL24" s="28">
        <v>4.9963099630996268</v>
      </c>
      <c r="DM24" s="29">
        <v>2.6068374930979651E-3</v>
      </c>
      <c r="DN24" s="30">
        <f t="shared" si="64"/>
        <v>-49.460704240614049</v>
      </c>
      <c r="DO24" s="30" t="str">
        <f t="shared" si="5"/>
        <v>*</v>
      </c>
      <c r="DP24" s="8"/>
      <c r="DQ24" s="27">
        <v>943</v>
      </c>
      <c r="DR24" s="27">
        <v>943.63516271000901</v>
      </c>
      <c r="DS24" s="28">
        <v>4.0290904181772635</v>
      </c>
      <c r="DT24" s="29">
        <v>3.3272733176854218E-2</v>
      </c>
      <c r="DU24" s="29"/>
      <c r="DV24" s="27">
        <v>643</v>
      </c>
      <c r="DW24" s="27">
        <v>643.18601310999622</v>
      </c>
      <c r="DX24" s="28">
        <v>3.9839943664038602</v>
      </c>
      <c r="DY24" s="29">
        <v>4.0700412448911184E-2</v>
      </c>
      <c r="DZ24" s="10">
        <f t="shared" si="6"/>
        <v>0.85782966030815766</v>
      </c>
      <c r="EA24" s="10" t="str">
        <f t="shared" si="7"/>
        <v xml:space="preserve"> </v>
      </c>
      <c r="EB24" s="29"/>
      <c r="EC24" s="27">
        <v>671</v>
      </c>
      <c r="ED24" s="27">
        <v>670.62430167000286</v>
      </c>
      <c r="EE24" s="28">
        <v>4.0395632376636694</v>
      </c>
      <c r="EF24" s="29">
        <v>4.0010532025952873E-2</v>
      </c>
      <c r="EG24" s="10">
        <f t="shared" si="8"/>
        <v>-0.20125464270061205</v>
      </c>
      <c r="EH24" s="10" t="str">
        <f t="shared" si="9"/>
        <v xml:space="preserve"> </v>
      </c>
      <c r="EI24" s="29"/>
      <c r="EJ24" s="27">
        <v>634</v>
      </c>
      <c r="EK24" s="27">
        <v>629.01513254000201</v>
      </c>
      <c r="EL24" s="28">
        <v>4.0285994280890423</v>
      </c>
      <c r="EM24" s="29">
        <v>4.0282011019502725E-2</v>
      </c>
      <c r="EN24" s="10">
        <f t="shared" si="10"/>
        <v>9.3975372780226475E-3</v>
      </c>
      <c r="EO24" s="10" t="str">
        <f t="shared" si="65"/>
        <v xml:space="preserve"> </v>
      </c>
      <c r="EP24" s="29"/>
      <c r="EQ24" s="8">
        <v>722</v>
      </c>
      <c r="ER24" s="8">
        <v>722.22228607</v>
      </c>
      <c r="ES24" s="69">
        <v>4.0243644812952946</v>
      </c>
      <c r="ET24" s="9">
        <v>3.832493449223353E-2</v>
      </c>
      <c r="EU24" s="10">
        <f t="shared" si="11"/>
        <v>9.3116253338957469E-2</v>
      </c>
      <c r="EV24" s="10" t="str">
        <f t="shared" si="66"/>
        <v xml:space="preserve"> </v>
      </c>
      <c r="EW24" s="29"/>
      <c r="EX24" s="88">
        <v>4413</v>
      </c>
      <c r="EY24" s="88">
        <v>4413.52711376964</v>
      </c>
      <c r="EZ24" s="28">
        <v>4.1984952433455627</v>
      </c>
      <c r="FA24" s="29">
        <v>1.3929415534481987E-2</v>
      </c>
      <c r="FB24" s="30">
        <f t="shared" si="12"/>
        <v>-4.6964518266690112</v>
      </c>
      <c r="FC24" s="30" t="str">
        <f t="shared" si="67"/>
        <v>*</v>
      </c>
      <c r="FD24" s="30"/>
      <c r="FE24" s="27">
        <v>1041</v>
      </c>
      <c r="FF24" s="27">
        <v>1040.9664147800022</v>
      </c>
      <c r="FG24" s="28">
        <v>4.204572875624434</v>
      </c>
      <c r="FH24" s="29">
        <v>2.7311546169039625E-2</v>
      </c>
      <c r="FI24" s="30">
        <f t="shared" si="13"/>
        <v>-4.0765854074656973</v>
      </c>
      <c r="FJ24" s="30" t="str">
        <f t="shared" si="14"/>
        <v>*</v>
      </c>
      <c r="FK24" s="30"/>
      <c r="FL24" s="88">
        <v>312</v>
      </c>
      <c r="FM24" s="88">
        <v>311.96899346999891</v>
      </c>
      <c r="FN24" s="28">
        <v>4.3939787295297945</v>
      </c>
      <c r="FO24" s="29">
        <v>4.7910014309506976E-2</v>
      </c>
      <c r="FP24" s="30">
        <f t="shared" si="15"/>
        <v>-6.2555347797330842</v>
      </c>
      <c r="FQ24" s="30" t="str">
        <f t="shared" si="16"/>
        <v>*</v>
      </c>
      <c r="FR24" s="30"/>
      <c r="FS24" s="88">
        <v>627</v>
      </c>
      <c r="FT24" s="88">
        <v>626.96977831000049</v>
      </c>
      <c r="FU24" s="28">
        <v>4.2134638024032851</v>
      </c>
      <c r="FV24" s="29">
        <v>3.2761983131408746E-2</v>
      </c>
      <c r="FW24" s="30">
        <f t="shared" si="17"/>
        <v>-3.948461599341667</v>
      </c>
      <c r="FX24" s="30" t="str">
        <f t="shared" si="18"/>
        <v>*</v>
      </c>
      <c r="FY24" s="30"/>
      <c r="FZ24" s="88">
        <v>1126</v>
      </c>
      <c r="GA24" s="88">
        <v>1125.9867262200064</v>
      </c>
      <c r="GB24" s="28">
        <v>4.1731018490904637</v>
      </c>
      <c r="GC24" s="29">
        <v>2.9162347434621816E-2</v>
      </c>
      <c r="GD24" s="30">
        <f t="shared" si="19"/>
        <v>-3.2549488127815147</v>
      </c>
      <c r="GE24" s="30" t="str">
        <f t="shared" si="20"/>
        <v>*</v>
      </c>
      <c r="GF24" s="30"/>
      <c r="GG24" s="88">
        <v>364</v>
      </c>
      <c r="GH24" s="88">
        <v>364.00003827999922</v>
      </c>
      <c r="GI24" s="28">
        <v>4.5055082411789691</v>
      </c>
      <c r="GJ24" s="29">
        <v>3.8019268906969474E-2</v>
      </c>
      <c r="GK24" s="30">
        <f t="shared" si="21"/>
        <v>-9.4297842778781522</v>
      </c>
      <c r="GL24" s="30" t="str">
        <f t="shared" si="22"/>
        <v>*</v>
      </c>
      <c r="GM24" s="10"/>
      <c r="GN24" s="88">
        <v>911</v>
      </c>
      <c r="GO24" s="88">
        <v>910.97467815000891</v>
      </c>
      <c r="GP24" s="28">
        <v>4.1195058854885875</v>
      </c>
      <c r="GQ24" s="29">
        <v>3.2583684067428322E-2</v>
      </c>
      <c r="GR24" s="9"/>
      <c r="GS24" s="3">
        <v>645</v>
      </c>
      <c r="GT24" s="3">
        <v>644.97890684999822</v>
      </c>
      <c r="GU24" s="69">
        <v>4.1255213566058906</v>
      </c>
      <c r="GV24" s="9">
        <v>3.9164572894957873E-2</v>
      </c>
      <c r="GW24" s="10">
        <f t="shared" si="23"/>
        <v>-0.11807394932518887</v>
      </c>
      <c r="GX24" s="10" t="str">
        <f t="shared" si="68"/>
        <v xml:space="preserve"> </v>
      </c>
      <c r="GY24" s="9"/>
      <c r="GZ24" s="27">
        <v>684</v>
      </c>
      <c r="HA24" s="27">
        <v>684.07646675000433</v>
      </c>
      <c r="HB24" s="28">
        <v>4.2175186368520077</v>
      </c>
      <c r="HC24" s="29">
        <v>3.452101720338021E-2</v>
      </c>
      <c r="HD24" s="10">
        <f t="shared" si="24"/>
        <v>-2.0647321274152404</v>
      </c>
      <c r="HE24" s="10" t="str">
        <f t="shared" si="69"/>
        <v>*</v>
      </c>
      <c r="HF24" s="9"/>
      <c r="HG24" s="27">
        <v>1363</v>
      </c>
      <c r="HH24" s="27">
        <v>1363.7800247099906</v>
      </c>
      <c r="HI24" s="28">
        <v>3.9848232023017043</v>
      </c>
      <c r="HJ24" s="29">
        <v>2.7535072985623792E-2</v>
      </c>
      <c r="HK24" s="10">
        <f t="shared" si="25"/>
        <v>3.1571177226740548</v>
      </c>
      <c r="HL24" s="10" t="str">
        <f t="shared" si="70"/>
        <v>*</v>
      </c>
      <c r="HM24" s="29"/>
      <c r="HN24" s="8">
        <v>1368</v>
      </c>
      <c r="HO24" s="8">
        <v>1372.370225900007</v>
      </c>
      <c r="HP24" s="69">
        <v>4.028024929092866</v>
      </c>
      <c r="HQ24" s="9">
        <v>2.7230809963377636E-2</v>
      </c>
      <c r="HR24" s="10">
        <f t="shared" si="26"/>
        <v>2.1543046746989085</v>
      </c>
      <c r="HS24" s="10" t="str">
        <f t="shared" si="71"/>
        <v>*</v>
      </c>
      <c r="HT24" s="9"/>
      <c r="HU24" s="88">
        <v>4623</v>
      </c>
      <c r="HV24" s="88">
        <v>4624.1086305400213</v>
      </c>
      <c r="HW24" s="28">
        <v>4.2371615957348228</v>
      </c>
      <c r="HX24" s="29">
        <v>1.3301974293501592E-2</v>
      </c>
      <c r="HY24" s="30">
        <f t="shared" si="27"/>
        <v>-3.3430327946332667</v>
      </c>
      <c r="HZ24" s="30" t="str">
        <f t="shared" si="72"/>
        <v>*</v>
      </c>
      <c r="IA24" s="30"/>
      <c r="IB24" s="88">
        <v>1041</v>
      </c>
      <c r="IC24" s="88">
        <v>1040.9664147800022</v>
      </c>
      <c r="ID24" s="28">
        <v>4.204572875624434</v>
      </c>
      <c r="IE24" s="29">
        <v>2.7311546169039625E-2</v>
      </c>
      <c r="IF24" s="30">
        <f t="shared" si="28"/>
        <v>-2.000819243139492</v>
      </c>
      <c r="IG24" s="30" t="str">
        <f t="shared" si="29"/>
        <v>*</v>
      </c>
      <c r="IH24" s="30"/>
      <c r="II24" s="88">
        <v>574</v>
      </c>
      <c r="IJ24" s="88">
        <v>573.76297456000304</v>
      </c>
      <c r="IK24" s="28">
        <v>4.3154812439732835</v>
      </c>
      <c r="IL24" s="29">
        <v>3.6581032553652408E-2</v>
      </c>
      <c r="IM24" s="30">
        <f t="shared" si="30"/>
        <v>-4.0004399255368819</v>
      </c>
      <c r="IN24" s="30" t="str">
        <f t="shared" si="74"/>
        <v>*</v>
      </c>
      <c r="IO24" s="30"/>
      <c r="IP24" s="88">
        <v>773</v>
      </c>
      <c r="IQ24" s="88">
        <v>772.78427466000937</v>
      </c>
      <c r="IR24" s="28">
        <v>4.3159226072857333</v>
      </c>
      <c r="IS24" s="29">
        <v>3.2615182273766745E-2</v>
      </c>
      <c r="IT24" s="30">
        <f t="shared" si="32"/>
        <v>-4.2604292837406659</v>
      </c>
      <c r="IU24" s="30" t="str">
        <f t="shared" si="33"/>
        <v>*</v>
      </c>
      <c r="IV24" s="30"/>
      <c r="IW24" s="88">
        <v>312</v>
      </c>
      <c r="IX24" s="88">
        <v>311.96899346999891</v>
      </c>
      <c r="IY24" s="28">
        <v>4.3939787295297945</v>
      </c>
      <c r="IZ24" s="29">
        <v>4.7910014309506976E-2</v>
      </c>
      <c r="JA24" s="30">
        <f t="shared" si="34"/>
        <v>-4.737175195770261</v>
      </c>
      <c r="JB24" s="30" t="str">
        <f t="shared" si="73"/>
        <v>*</v>
      </c>
      <c r="JC24" s="30"/>
      <c r="JD24" s="88">
        <v>1012</v>
      </c>
      <c r="JE24" s="88">
        <v>1013.6512949200115</v>
      </c>
      <c r="JF24" s="28">
        <v>4.2237258776825106</v>
      </c>
      <c r="JG24" s="29">
        <v>2.7357401832280571E-2</v>
      </c>
      <c r="JH24" s="30">
        <f t="shared" si="35"/>
        <v>-2.4496096527015672</v>
      </c>
      <c r="JI24" s="30" t="str">
        <f t="shared" si="36"/>
        <v>*</v>
      </c>
      <c r="JK24" s="27"/>
      <c r="JL24" s="27"/>
      <c r="JM24" s="28"/>
      <c r="JN24" s="29"/>
    </row>
    <row r="25" spans="1:274" x14ac:dyDescent="0.2">
      <c r="B25" s="7"/>
      <c r="C25" s="27"/>
      <c r="D25" s="27"/>
      <c r="E25" s="28"/>
      <c r="F25" s="29"/>
      <c r="G25" s="29"/>
      <c r="H25" s="3"/>
      <c r="I25" s="3"/>
      <c r="J25" s="28"/>
      <c r="K25" s="29"/>
      <c r="L25" s="30"/>
      <c r="M25" s="30"/>
      <c r="N25" s="9"/>
      <c r="O25" s="27"/>
      <c r="P25" s="27"/>
      <c r="Q25" s="28"/>
      <c r="R25" s="29"/>
      <c r="S25" s="30"/>
      <c r="T25" s="30"/>
      <c r="U25" s="30"/>
      <c r="V25" s="27"/>
      <c r="W25" s="27"/>
      <c r="X25" s="28"/>
      <c r="Y25" s="29"/>
      <c r="Z25" s="30"/>
      <c r="AA25" s="30"/>
      <c r="AB25" s="9"/>
      <c r="AC25" s="8"/>
      <c r="AD25" s="8"/>
      <c r="AE25" s="69"/>
      <c r="AF25" s="9"/>
      <c r="AG25" s="30"/>
      <c r="AH25" s="30"/>
      <c r="AI25" s="9"/>
      <c r="AJ25" s="81"/>
      <c r="AK25" s="83"/>
      <c r="AL25" s="84"/>
      <c r="AM25" s="30"/>
      <c r="AN25" s="30"/>
      <c r="AO25" s="9"/>
      <c r="AP25" s="78"/>
      <c r="AQ25" s="79"/>
      <c r="AR25" s="80"/>
      <c r="AS25" s="30"/>
      <c r="AT25" s="30"/>
      <c r="AU25" s="80"/>
      <c r="AV25" s="78"/>
      <c r="AW25" s="79"/>
      <c r="AX25" s="80"/>
      <c r="AY25" s="30"/>
      <c r="AZ25" s="30"/>
      <c r="BA25" s="80"/>
      <c r="BB25" s="78"/>
      <c r="BC25" s="79"/>
      <c r="BD25" s="80"/>
      <c r="BE25" s="30"/>
      <c r="BF25" s="30"/>
      <c r="BG25" s="80"/>
      <c r="BH25" s="78"/>
      <c r="BI25" s="79"/>
      <c r="BJ25" s="80"/>
      <c r="BK25" s="30"/>
      <c r="BL25" s="30"/>
      <c r="BM25" s="80"/>
      <c r="BN25" s="78"/>
      <c r="BO25" s="79"/>
      <c r="BP25" s="80"/>
      <c r="BQ25" s="30"/>
      <c r="BR25" s="30"/>
      <c r="BS25" s="9"/>
      <c r="BT25" s="27"/>
      <c r="BU25" s="27"/>
      <c r="BV25" s="28"/>
      <c r="BW25" s="29"/>
      <c r="BX25" s="30"/>
      <c r="BY25" s="30"/>
      <c r="BZ25" s="30"/>
      <c r="CA25" s="27"/>
      <c r="CB25" s="27"/>
      <c r="CC25" s="28"/>
      <c r="CD25" s="29"/>
      <c r="CE25" s="30"/>
      <c r="CF25" s="30"/>
      <c r="CG25" s="30"/>
      <c r="CH25" s="27"/>
      <c r="CI25" s="27"/>
      <c r="CJ25" s="28"/>
      <c r="CK25" s="29"/>
      <c r="CL25" s="30"/>
      <c r="CM25" s="30"/>
      <c r="CN25" s="30"/>
      <c r="CO25" s="27"/>
      <c r="CP25" s="27"/>
      <c r="CQ25" s="28"/>
      <c r="CR25" s="29"/>
      <c r="CS25" s="30"/>
      <c r="CT25" s="30"/>
      <c r="CU25" s="30"/>
      <c r="CV25" s="27"/>
      <c r="CW25" s="27"/>
      <c r="CX25" s="28"/>
      <c r="CY25" s="29"/>
      <c r="CZ25" s="30"/>
      <c r="DA25" s="30"/>
      <c r="DB25" s="30"/>
      <c r="DC25" s="27"/>
      <c r="DD25" s="27"/>
      <c r="DE25" s="28"/>
      <c r="DF25" s="29"/>
      <c r="DG25" s="30"/>
      <c r="DH25" s="30"/>
      <c r="DI25" s="30"/>
      <c r="DJ25" s="27"/>
      <c r="DK25" s="27"/>
      <c r="DL25" s="28"/>
      <c r="DM25" s="29"/>
      <c r="DN25" s="30"/>
      <c r="DO25" s="30"/>
      <c r="DP25" s="8"/>
      <c r="DQ25" s="27"/>
      <c r="DR25" s="27"/>
      <c r="DS25" s="28"/>
      <c r="DT25" s="29"/>
      <c r="DU25" s="29"/>
      <c r="DV25" s="27"/>
      <c r="DW25" s="27"/>
      <c r="DX25" s="28"/>
      <c r="DY25" s="29"/>
      <c r="DZ25" s="10"/>
      <c r="EA25" s="10"/>
      <c r="EB25" s="29"/>
      <c r="EC25" s="27"/>
      <c r="ED25" s="27"/>
      <c r="EE25" s="28"/>
      <c r="EF25" s="29"/>
      <c r="EG25" s="10"/>
      <c r="EH25" s="10"/>
      <c r="EI25" s="29"/>
      <c r="EJ25" s="27"/>
      <c r="EK25" s="27"/>
      <c r="EL25" s="28"/>
      <c r="EM25" s="29"/>
      <c r="EN25" s="10"/>
      <c r="EO25" s="10"/>
      <c r="EP25" s="29"/>
      <c r="EQ25" s="8"/>
      <c r="ER25" s="8"/>
      <c r="ES25" s="69"/>
      <c r="ET25" s="9"/>
      <c r="EU25" s="10"/>
      <c r="EV25" s="10"/>
      <c r="EW25" s="29"/>
      <c r="EX25" s="88"/>
      <c r="EY25" s="88"/>
      <c r="EZ25" s="28"/>
      <c r="FA25" s="29"/>
      <c r="FB25" s="30"/>
      <c r="FC25" s="30"/>
      <c r="FD25" s="30"/>
      <c r="FE25" s="27"/>
      <c r="FF25" s="27"/>
      <c r="FG25" s="28"/>
      <c r="FH25" s="29"/>
      <c r="FI25" s="30"/>
      <c r="FJ25" s="30"/>
      <c r="FK25" s="30"/>
      <c r="FL25" s="88"/>
      <c r="FM25" s="88"/>
      <c r="FN25" s="28"/>
      <c r="FO25" s="29"/>
      <c r="FP25" s="30"/>
      <c r="FQ25" s="30"/>
      <c r="FR25" s="30"/>
      <c r="FS25" s="88"/>
      <c r="FT25" s="88"/>
      <c r="FU25" s="28"/>
      <c r="FV25" s="29"/>
      <c r="FW25" s="30"/>
      <c r="FX25" s="30"/>
      <c r="FY25" s="30"/>
      <c r="FZ25" s="88"/>
      <c r="GA25" s="88"/>
      <c r="GB25" s="28"/>
      <c r="GC25" s="29"/>
      <c r="GD25" s="30"/>
      <c r="GE25" s="30"/>
      <c r="GF25" s="30"/>
      <c r="GG25" s="88"/>
      <c r="GH25" s="88"/>
      <c r="GI25" s="28"/>
      <c r="GJ25" s="29"/>
      <c r="GK25" s="30"/>
      <c r="GL25" s="30"/>
      <c r="GM25" s="10"/>
      <c r="GN25" s="88"/>
      <c r="GO25" s="88"/>
      <c r="GP25" s="28"/>
      <c r="GQ25" s="29"/>
      <c r="GR25" s="9"/>
      <c r="GS25" s="3"/>
      <c r="GT25" s="3"/>
      <c r="GU25" s="69"/>
      <c r="GV25" s="9"/>
      <c r="GW25" s="10"/>
      <c r="GX25" s="10"/>
      <c r="GY25" s="9"/>
      <c r="GZ25" s="27"/>
      <c r="HA25" s="27"/>
      <c r="HB25" s="28"/>
      <c r="HC25" s="29"/>
      <c r="HD25" s="10"/>
      <c r="HE25" s="10"/>
      <c r="HF25" s="9"/>
      <c r="HG25" s="27"/>
      <c r="HH25" s="27"/>
      <c r="HI25" s="28"/>
      <c r="HJ25" s="29"/>
      <c r="HK25" s="10"/>
      <c r="HL25" s="10"/>
      <c r="HM25" s="29"/>
      <c r="HN25" s="8"/>
      <c r="HO25" s="8"/>
      <c r="HP25" s="69"/>
      <c r="HQ25" s="9"/>
      <c r="HR25" s="10"/>
      <c r="HS25" s="10"/>
      <c r="HT25" s="9"/>
      <c r="HU25" s="88"/>
      <c r="HV25" s="88"/>
      <c r="HW25" s="28"/>
      <c r="HX25" s="29"/>
      <c r="HY25" s="30"/>
      <c r="HZ25" s="30"/>
      <c r="IA25" s="30"/>
      <c r="IB25" s="88"/>
      <c r="IC25" s="88"/>
      <c r="ID25" s="28"/>
      <c r="IE25" s="29"/>
      <c r="IF25" s="30"/>
      <c r="IG25" s="30"/>
      <c r="IH25" s="30"/>
      <c r="II25" s="88"/>
      <c r="IJ25" s="88"/>
      <c r="IK25" s="28"/>
      <c r="IL25" s="29"/>
      <c r="IM25" s="30"/>
      <c r="IN25" s="30"/>
      <c r="IO25" s="30"/>
      <c r="IP25" s="88"/>
      <c r="IQ25" s="88"/>
      <c r="IR25" s="28"/>
      <c r="IS25" s="29"/>
      <c r="IT25" s="30"/>
      <c r="IU25" s="30"/>
      <c r="IV25" s="30"/>
      <c r="IW25" s="88"/>
      <c r="IX25" s="88"/>
      <c r="IY25" s="28"/>
      <c r="IZ25" s="29"/>
      <c r="JA25" s="30"/>
      <c r="JB25" s="30"/>
      <c r="JC25" s="30"/>
      <c r="JD25" s="88"/>
      <c r="JE25" s="88"/>
      <c r="JF25" s="28"/>
      <c r="JG25" s="29"/>
      <c r="JH25" s="30"/>
      <c r="JI25" s="30"/>
      <c r="JK25" s="27"/>
      <c r="JL25" s="27"/>
      <c r="JM25" s="28"/>
      <c r="JN25" s="29"/>
    </row>
    <row r="26" spans="1:274" x14ac:dyDescent="0.2">
      <c r="A26" s="73"/>
      <c r="B26" s="7" t="s">
        <v>24</v>
      </c>
      <c r="C26" s="27">
        <v>3071</v>
      </c>
      <c r="D26" s="27">
        <v>3071.2769156799181</v>
      </c>
      <c r="E26" s="28">
        <v>4.0839415541802184</v>
      </c>
      <c r="F26" s="29">
        <v>1.8378187955919282E-2</v>
      </c>
      <c r="G26" s="29"/>
      <c r="H26" s="3">
        <v>990</v>
      </c>
      <c r="I26" s="3">
        <v>990.00724512001693</v>
      </c>
      <c r="J26" s="28">
        <v>4.04628001383408</v>
      </c>
      <c r="K26" s="29">
        <v>3.3183748492696057E-2</v>
      </c>
      <c r="L26" s="30">
        <f t="shared" si="37"/>
        <v>0.99284147593356631</v>
      </c>
      <c r="M26" s="30" t="str">
        <f t="shared" si="38"/>
        <v xml:space="preserve"> </v>
      </c>
      <c r="N26" s="9"/>
      <c r="O26" s="27">
        <v>1067</v>
      </c>
      <c r="P26" s="27">
        <v>1067.1332636700083</v>
      </c>
      <c r="Q26" s="28">
        <v>3.804508417877873</v>
      </c>
      <c r="R26" s="29">
        <v>2.773690622164706E-2</v>
      </c>
      <c r="S26" s="30">
        <f t="shared" si="39"/>
        <v>8.3981901553219007</v>
      </c>
      <c r="T26" s="30" t="str">
        <f t="shared" si="40"/>
        <v>*</v>
      </c>
      <c r="U26" s="30"/>
      <c r="V26" s="27">
        <v>1080</v>
      </c>
      <c r="W26" s="27">
        <v>1080.9756570700195</v>
      </c>
      <c r="X26" s="28">
        <v>3.9219176536326641</v>
      </c>
      <c r="Y26" s="29">
        <v>2.6739441923398836E-2</v>
      </c>
      <c r="Z26" s="30">
        <f t="shared" si="41"/>
        <v>4.9936179672865348</v>
      </c>
      <c r="AA26" s="30" t="str">
        <f t="shared" si="42"/>
        <v>*</v>
      </c>
      <c r="AB26" s="9"/>
      <c r="AC26" s="8">
        <v>1231</v>
      </c>
      <c r="AD26" s="8">
        <v>1230.5873691400056</v>
      </c>
      <c r="AE26" s="69">
        <v>3.6144823791166156</v>
      </c>
      <c r="AF26" s="9">
        <v>2.9764165307128235E-2</v>
      </c>
      <c r="AG26" s="30">
        <f t="shared" si="43"/>
        <v>13.420443211524486</v>
      </c>
      <c r="AH26" s="30" t="str">
        <f t="shared" si="44"/>
        <v>*</v>
      </c>
      <c r="AI26" s="9"/>
      <c r="AJ26" s="81">
        <v>6180</v>
      </c>
      <c r="AK26" s="83">
        <v>4.1390310369578103</v>
      </c>
      <c r="AL26" s="84">
        <v>1.2625196346869308E-2</v>
      </c>
      <c r="AM26" s="30">
        <f t="shared" si="45"/>
        <v>-2.4707198177359802</v>
      </c>
      <c r="AN26" s="30" t="str">
        <f t="shared" si="46"/>
        <v>*</v>
      </c>
      <c r="AO26" s="9"/>
      <c r="AP26" s="78">
        <v>777</v>
      </c>
      <c r="AQ26" s="79">
        <v>4.3443192694784667</v>
      </c>
      <c r="AR26" s="80">
        <v>3.2141617553223548E-2</v>
      </c>
      <c r="AS26" s="30">
        <f t="shared" si="47"/>
        <v>-7.032507605775562</v>
      </c>
      <c r="AT26" s="30" t="str">
        <f t="shared" si="48"/>
        <v>*</v>
      </c>
      <c r="AU26" s="80"/>
      <c r="AV26" s="78">
        <v>985</v>
      </c>
      <c r="AW26" s="79">
        <v>4.2786858721145355</v>
      </c>
      <c r="AX26" s="80">
        <v>2.8450897227461219E-2</v>
      </c>
      <c r="AY26" s="30">
        <f t="shared" si="49"/>
        <v>-5.7496721070244261</v>
      </c>
      <c r="AZ26" s="30" t="str">
        <f t="shared" si="50"/>
        <v>*</v>
      </c>
      <c r="BA26" s="80"/>
      <c r="BB26" s="78">
        <v>1002</v>
      </c>
      <c r="BC26" s="79">
        <v>4.3495404985450339</v>
      </c>
      <c r="BD26" s="80">
        <v>2.8476952488568959E-2</v>
      </c>
      <c r="BE26" s="30">
        <f t="shared" si="51"/>
        <v>-7.8365345361900394</v>
      </c>
      <c r="BF26" s="30" t="str">
        <f t="shared" si="52"/>
        <v>*</v>
      </c>
      <c r="BG26" s="80"/>
      <c r="BH26" s="78">
        <v>1356</v>
      </c>
      <c r="BI26" s="79">
        <v>4.1814074905688399</v>
      </c>
      <c r="BJ26" s="80">
        <v>2.6076672437663404E-2</v>
      </c>
      <c r="BK26" s="30">
        <f t="shared" si="53"/>
        <v>-3.0551473976906385</v>
      </c>
      <c r="BL26" s="30" t="str">
        <f t="shared" si="54"/>
        <v>*</v>
      </c>
      <c r="BM26" s="80"/>
      <c r="BN26" s="78">
        <v>1413</v>
      </c>
      <c r="BO26" s="79">
        <v>4.2266227136787871</v>
      </c>
      <c r="BP26" s="80">
        <v>2.4213637951249894E-2</v>
      </c>
      <c r="BQ26" s="30">
        <f t="shared" si="55"/>
        <v>-4.6937180845463695</v>
      </c>
      <c r="BR26" s="30" t="str">
        <f t="shared" si="56"/>
        <v>*</v>
      </c>
      <c r="BS26" s="9"/>
      <c r="BT26" s="27">
        <v>11955</v>
      </c>
      <c r="BU26" s="27">
        <v>11958.482134989197</v>
      </c>
      <c r="BV26" s="28">
        <v>4.206224253615277</v>
      </c>
      <c r="BW26" s="29">
        <v>9.052153380449051E-3</v>
      </c>
      <c r="BX26" s="30">
        <f t="shared" si="57"/>
        <v>-5.9689220688441917</v>
      </c>
      <c r="BY26" s="30" t="str">
        <f t="shared" si="58"/>
        <v>*</v>
      </c>
      <c r="BZ26" s="30"/>
      <c r="CA26" s="27">
        <v>538</v>
      </c>
      <c r="CB26" s="27">
        <v>538</v>
      </c>
      <c r="CC26" s="28">
        <v>4.1356877323420109</v>
      </c>
      <c r="CD26" s="29">
        <v>4.0295080397619663E-2</v>
      </c>
      <c r="CE26" s="30">
        <f t="shared" si="59"/>
        <v>-1.1683945296298217</v>
      </c>
      <c r="CF26" s="30" t="str">
        <f t="shared" si="0"/>
        <v xml:space="preserve"> </v>
      </c>
      <c r="CG26" s="30"/>
      <c r="CH26" s="27">
        <v>3328</v>
      </c>
      <c r="CI26" s="27">
        <v>3331.2823299998558</v>
      </c>
      <c r="CJ26" s="28">
        <v>3.911284553504057</v>
      </c>
      <c r="CK26" s="29">
        <v>1.8818738447273602E-2</v>
      </c>
      <c r="CL26" s="30">
        <f t="shared" si="60"/>
        <v>6.5638957779348184</v>
      </c>
      <c r="CM26" s="30" t="str">
        <f t="shared" si="1"/>
        <v>*</v>
      </c>
      <c r="CN26" s="30"/>
      <c r="CO26" s="27">
        <v>2997</v>
      </c>
      <c r="CP26" s="27">
        <v>2996.9633967599261</v>
      </c>
      <c r="CQ26" s="28">
        <v>4.2022405628861721</v>
      </c>
      <c r="CR26" s="29">
        <v>1.6877019984257734E-2</v>
      </c>
      <c r="CS26" s="30">
        <f t="shared" si="61"/>
        <v>-4.7411039599883926</v>
      </c>
      <c r="CT26" s="30" t="str">
        <f t="shared" si="2"/>
        <v>*</v>
      </c>
      <c r="CU26" s="30"/>
      <c r="CV26" s="27">
        <v>589</v>
      </c>
      <c r="CW26" s="27">
        <v>588.95593024000459</v>
      </c>
      <c r="CX26" s="28">
        <v>4.8806694565901427</v>
      </c>
      <c r="CY26" s="29">
        <v>1.6652895800079795E-2</v>
      </c>
      <c r="CZ26" s="30">
        <f t="shared" si="62"/>
        <v>-32.12516583099405</v>
      </c>
      <c r="DA26" s="30" t="str">
        <f t="shared" si="3"/>
        <v>*</v>
      </c>
      <c r="DB26" s="30"/>
      <c r="DC26" s="27">
        <v>885</v>
      </c>
      <c r="DD26" s="27">
        <v>885.0035623099883</v>
      </c>
      <c r="DE26" s="28">
        <v>4.8633574637887849</v>
      </c>
      <c r="DF26" s="29">
        <v>1.3773114072756403E-2</v>
      </c>
      <c r="DG26" s="30">
        <f t="shared" si="63"/>
        <v>-33.937196030041598</v>
      </c>
      <c r="DH26" s="30" t="str">
        <f t="shared" si="4"/>
        <v>*</v>
      </c>
      <c r="DI26" s="30"/>
      <c r="DJ26" s="27">
        <v>547</v>
      </c>
      <c r="DK26" s="27">
        <v>547</v>
      </c>
      <c r="DL26" s="28">
        <v>4.9908592321755023</v>
      </c>
      <c r="DM26" s="29">
        <v>4.8254365168889351E-3</v>
      </c>
      <c r="DN26" s="30">
        <f t="shared" si="64"/>
        <v>-47.729691276097988</v>
      </c>
      <c r="DO26" s="30" t="str">
        <f t="shared" si="5"/>
        <v>*</v>
      </c>
      <c r="DP26" s="8"/>
      <c r="DQ26" s="27">
        <v>1015</v>
      </c>
      <c r="DR26" s="27">
        <v>1015.38184615001</v>
      </c>
      <c r="DS26" s="28">
        <v>3.9176219262072136</v>
      </c>
      <c r="DT26" s="29">
        <v>3.3641424935131274E-2</v>
      </c>
      <c r="DU26" s="29"/>
      <c r="DV26" s="27">
        <v>705</v>
      </c>
      <c r="DW26" s="27">
        <v>705.01812973999745</v>
      </c>
      <c r="DX26" s="28">
        <v>3.9954495523098377</v>
      </c>
      <c r="DY26" s="29">
        <v>3.9924883351771676E-2</v>
      </c>
      <c r="DZ26" s="10">
        <f t="shared" si="6"/>
        <v>-1.4907040387277601</v>
      </c>
      <c r="EA26" s="10" t="str">
        <f t="shared" si="7"/>
        <v xml:space="preserve"> </v>
      </c>
      <c r="EB26" s="29"/>
      <c r="EC26" s="27">
        <v>734</v>
      </c>
      <c r="ED26" s="27">
        <v>733.4034829900047</v>
      </c>
      <c r="EE26" s="28">
        <v>3.9638984850166552</v>
      </c>
      <c r="EF26" s="29">
        <v>3.9046562075125947E-2</v>
      </c>
      <c r="EG26" s="10">
        <f t="shared" si="8"/>
        <v>-0.89787524558525422</v>
      </c>
      <c r="EH26" s="10" t="str">
        <f t="shared" si="9"/>
        <v xml:space="preserve"> </v>
      </c>
      <c r="EI26" s="29"/>
      <c r="EJ26" s="27">
        <v>710</v>
      </c>
      <c r="EK26" s="27">
        <v>711.30883610000228</v>
      </c>
      <c r="EL26" s="28">
        <v>3.9431380053961345</v>
      </c>
      <c r="EM26" s="29">
        <v>3.8602259151775231E-2</v>
      </c>
      <c r="EN26" s="10">
        <f t="shared" si="10"/>
        <v>-0.49831911390125933</v>
      </c>
      <c r="EO26" s="10" t="str">
        <f t="shared" si="65"/>
        <v xml:space="preserve"> </v>
      </c>
      <c r="EP26" s="29"/>
      <c r="EQ26" s="8">
        <v>781</v>
      </c>
      <c r="ER26" s="8">
        <v>780.96228606000125</v>
      </c>
      <c r="ES26" s="69">
        <v>3.9930971606488335</v>
      </c>
      <c r="ET26" s="9">
        <v>3.7335403377986472E-2</v>
      </c>
      <c r="EU26" s="10">
        <f t="shared" si="11"/>
        <v>-1.5018117427354076</v>
      </c>
      <c r="EV26" s="10" t="str">
        <f t="shared" si="66"/>
        <v xml:space="preserve"> </v>
      </c>
      <c r="EW26" s="29"/>
      <c r="EX26" s="88">
        <v>4985</v>
      </c>
      <c r="EY26" s="88">
        <v>4985.3594542997671</v>
      </c>
      <c r="EZ26" s="28">
        <v>4.1211088700713914</v>
      </c>
      <c r="FA26" s="29">
        <v>1.3652156844426352E-2</v>
      </c>
      <c r="FB26" s="30">
        <f t="shared" si="12"/>
        <v>-5.6047719255033792</v>
      </c>
      <c r="FC26" s="30" t="str">
        <f t="shared" si="67"/>
        <v>*</v>
      </c>
      <c r="FD26" s="30"/>
      <c r="FE26" s="27">
        <v>1132</v>
      </c>
      <c r="FF26" s="27">
        <v>1132.0005079200007</v>
      </c>
      <c r="FG26" s="28">
        <v>4.2588646449624239</v>
      </c>
      <c r="FH26" s="29">
        <v>2.5293759282415295E-2</v>
      </c>
      <c r="FI26" s="30">
        <f t="shared" si="13"/>
        <v>-8.1075642048182441</v>
      </c>
      <c r="FJ26" s="30" t="str">
        <f t="shared" si="14"/>
        <v>*</v>
      </c>
      <c r="FK26" s="30"/>
      <c r="FL26" s="88">
        <v>384</v>
      </c>
      <c r="FM26" s="88">
        <v>384.00881474999858</v>
      </c>
      <c r="FN26" s="28">
        <v>4.2994138125054588</v>
      </c>
      <c r="FO26" s="29">
        <v>4.6684909064981107E-2</v>
      </c>
      <c r="FP26" s="30">
        <f t="shared" si="15"/>
        <v>-6.6348677306717825</v>
      </c>
      <c r="FQ26" s="30" t="str">
        <f t="shared" si="16"/>
        <v>*</v>
      </c>
      <c r="FR26" s="30"/>
      <c r="FS26" s="88">
        <v>715</v>
      </c>
      <c r="FT26" s="88">
        <v>714.95331785000485</v>
      </c>
      <c r="FU26" s="28">
        <v>4.0791943123367362</v>
      </c>
      <c r="FV26" s="29">
        <v>3.4524568743899746E-2</v>
      </c>
      <c r="FW26" s="30">
        <f t="shared" si="17"/>
        <v>-3.3517986448262356</v>
      </c>
      <c r="FX26" s="30" t="str">
        <f t="shared" si="18"/>
        <v>*</v>
      </c>
      <c r="FY26" s="30"/>
      <c r="FZ26" s="88">
        <v>1346</v>
      </c>
      <c r="GA26" s="88">
        <v>1346.0118332099867</v>
      </c>
      <c r="GB26" s="28">
        <v>4.0734747601171835</v>
      </c>
      <c r="GC26" s="29">
        <v>2.7467544597983094E-2</v>
      </c>
      <c r="GD26" s="30">
        <f t="shared" si="19"/>
        <v>-3.5885542157800772</v>
      </c>
      <c r="GE26" s="30" t="str">
        <f t="shared" si="20"/>
        <v>*</v>
      </c>
      <c r="GF26" s="30"/>
      <c r="GG26" s="88">
        <v>393</v>
      </c>
      <c r="GH26" s="88">
        <v>393.00313441999913</v>
      </c>
      <c r="GI26" s="28">
        <v>4.315228695269397</v>
      </c>
      <c r="GJ26" s="29">
        <v>4.0832649750471746E-2</v>
      </c>
      <c r="GK26" s="30">
        <f t="shared" si="21"/>
        <v>-7.5153356613458104</v>
      </c>
      <c r="GL26" s="30" t="str">
        <f t="shared" si="22"/>
        <v>*</v>
      </c>
      <c r="GM26" s="10"/>
      <c r="GN26" s="88">
        <v>952</v>
      </c>
      <c r="GO26" s="88">
        <v>951.96216822000929</v>
      </c>
      <c r="GP26" s="28">
        <v>3.9874837450396998</v>
      </c>
      <c r="GQ26" s="29">
        <v>3.4759690015022313E-2</v>
      </c>
      <c r="GR26" s="9"/>
      <c r="GS26" s="3">
        <v>688</v>
      </c>
      <c r="GT26" s="3">
        <v>687.98142780999956</v>
      </c>
      <c r="GU26" s="69">
        <v>3.9301880868893679</v>
      </c>
      <c r="GV26" s="9">
        <v>4.2283026796671952E-2</v>
      </c>
      <c r="GW26" s="10">
        <f t="shared" si="23"/>
        <v>1.0467530996714234</v>
      </c>
      <c r="GX26" s="10" t="str">
        <f t="shared" si="68"/>
        <v xml:space="preserve"> </v>
      </c>
      <c r="GY26" s="9"/>
      <c r="GZ26" s="27">
        <v>728</v>
      </c>
      <c r="HA26" s="27">
        <v>728.11856670000498</v>
      </c>
      <c r="HB26" s="28">
        <v>4.0215390212902751</v>
      </c>
      <c r="HC26" s="29">
        <v>3.8279526481712761E-2</v>
      </c>
      <c r="HD26" s="10">
        <f t="shared" si="24"/>
        <v>-0.65862708505966927</v>
      </c>
      <c r="HE26" s="10" t="str">
        <f t="shared" si="69"/>
        <v xml:space="preserve"> </v>
      </c>
      <c r="HF26" s="9"/>
      <c r="HG26" s="27">
        <v>1469</v>
      </c>
      <c r="HH26" s="27">
        <v>1468.8821150499905</v>
      </c>
      <c r="HI26" s="28">
        <v>3.8847904934330035</v>
      </c>
      <c r="HJ26" s="29">
        <v>2.8570955158091122E-2</v>
      </c>
      <c r="HK26" s="10">
        <f t="shared" si="25"/>
        <v>2.282334020816418</v>
      </c>
      <c r="HL26" s="10" t="str">
        <f t="shared" si="70"/>
        <v>*</v>
      </c>
      <c r="HM26" s="29"/>
      <c r="HN26" s="8">
        <v>1464</v>
      </c>
      <c r="HO26" s="8">
        <v>1464.002963710012</v>
      </c>
      <c r="HP26" s="69">
        <v>3.8660857560334558</v>
      </c>
      <c r="HQ26" s="9">
        <v>2.889247435512346E-2</v>
      </c>
      <c r="HR26" s="10">
        <f t="shared" si="26"/>
        <v>2.6858151972617419</v>
      </c>
      <c r="HS26" s="10" t="str">
        <f t="shared" si="71"/>
        <v>*</v>
      </c>
      <c r="HT26" s="9"/>
      <c r="HU26" s="88">
        <v>5265</v>
      </c>
      <c r="HV26" s="88">
        <v>5264.7495025502667</v>
      </c>
      <c r="HW26" s="28">
        <v>4.2371247704862807</v>
      </c>
      <c r="HX26" s="29">
        <v>1.2793951145943059E-2</v>
      </c>
      <c r="HY26" s="30">
        <f t="shared" si="27"/>
        <v>-6.7398676522761374</v>
      </c>
      <c r="HZ26" s="30" t="str">
        <f t="shared" si="72"/>
        <v>*</v>
      </c>
      <c r="IA26" s="30"/>
      <c r="IB26" s="88">
        <v>1132</v>
      </c>
      <c r="IC26" s="88">
        <v>1132.0005079200007</v>
      </c>
      <c r="ID26" s="28">
        <v>4.2588646449624239</v>
      </c>
      <c r="IE26" s="29">
        <v>2.5293759282415295E-2</v>
      </c>
      <c r="IF26" s="30">
        <f t="shared" si="28"/>
        <v>-6.3128734522261167</v>
      </c>
      <c r="IG26" s="30" t="str">
        <f t="shared" si="29"/>
        <v>*</v>
      </c>
      <c r="IH26" s="30"/>
      <c r="II26" s="88">
        <v>709</v>
      </c>
      <c r="IJ26" s="88">
        <v>708.92827826000416</v>
      </c>
      <c r="IK26" s="28">
        <v>4.4501495682232619</v>
      </c>
      <c r="IL26" s="29">
        <v>2.910788320062789E-2</v>
      </c>
      <c r="IM26" s="30">
        <f t="shared" si="30"/>
        <v>-10.204886056297653</v>
      </c>
      <c r="IN26" s="30" t="str">
        <f t="shared" si="74"/>
        <v>*</v>
      </c>
      <c r="IO26" s="30"/>
      <c r="IP26" s="88">
        <v>808</v>
      </c>
      <c r="IQ26" s="88">
        <v>807.94357484001</v>
      </c>
      <c r="IR26" s="28">
        <v>4.3068244796786601</v>
      </c>
      <c r="IS26" s="29">
        <v>3.3175992139183146E-2</v>
      </c>
      <c r="IT26" s="30">
        <f t="shared" si="32"/>
        <v>-6.6458939001765565</v>
      </c>
      <c r="IU26" s="30" t="str">
        <f t="shared" si="33"/>
        <v>*</v>
      </c>
      <c r="IV26" s="30"/>
      <c r="IW26" s="88">
        <v>384</v>
      </c>
      <c r="IX26" s="88">
        <v>384.00881474999858</v>
      </c>
      <c r="IY26" s="28">
        <v>4.2994138125054588</v>
      </c>
      <c r="IZ26" s="29">
        <v>4.6684909064981107E-2</v>
      </c>
      <c r="JA26" s="30">
        <f t="shared" si="34"/>
        <v>-5.3592459846856375</v>
      </c>
      <c r="JB26" s="30" t="str">
        <f t="shared" si="73"/>
        <v>*</v>
      </c>
      <c r="JC26" s="30"/>
      <c r="JD26" s="88">
        <v>1280</v>
      </c>
      <c r="JE26" s="88">
        <v>1279.9061585600105</v>
      </c>
      <c r="JF26" s="28">
        <v>4.2228948103749797</v>
      </c>
      <c r="JG26" s="29">
        <v>2.5473163148012151E-2</v>
      </c>
      <c r="JH26" s="30">
        <f t="shared" si="35"/>
        <v>-5.4626970034741582</v>
      </c>
      <c r="JI26" s="30" t="str">
        <f t="shared" si="36"/>
        <v>*</v>
      </c>
      <c r="JK26" s="27"/>
      <c r="JL26" s="27"/>
      <c r="JM26" s="28"/>
      <c r="JN26" s="29"/>
    </row>
    <row r="27" spans="1:274" x14ac:dyDescent="0.2">
      <c r="B27" s="7" t="s">
        <v>25</v>
      </c>
      <c r="C27" s="27">
        <v>2928</v>
      </c>
      <c r="D27" s="27">
        <v>2928.4297980499214</v>
      </c>
      <c r="E27" s="28">
        <v>4.05807099424519</v>
      </c>
      <c r="F27" s="29">
        <v>1.8690763751225595E-2</v>
      </c>
      <c r="G27" s="29"/>
      <c r="H27" s="3">
        <v>959</v>
      </c>
      <c r="I27" s="3">
        <v>959.03739302001566</v>
      </c>
      <c r="J27" s="28">
        <v>4.0452902273218143</v>
      </c>
      <c r="K27" s="29">
        <v>3.3689148551309243E-2</v>
      </c>
      <c r="L27" s="30">
        <f t="shared" si="37"/>
        <v>0.33173827094397434</v>
      </c>
      <c r="M27" s="30" t="str">
        <f t="shared" si="38"/>
        <v xml:space="preserve"> </v>
      </c>
      <c r="N27" s="9"/>
      <c r="O27" s="27">
        <v>1050</v>
      </c>
      <c r="P27" s="27">
        <v>1050.3013788600076</v>
      </c>
      <c r="Q27" s="28">
        <v>3.5025517587465362</v>
      </c>
      <c r="R27" s="29">
        <v>3.1063162003942508E-2</v>
      </c>
      <c r="S27" s="30">
        <f t="shared" si="39"/>
        <v>15.323489765243634</v>
      </c>
      <c r="T27" s="30" t="str">
        <f t="shared" si="40"/>
        <v>*</v>
      </c>
      <c r="U27" s="30"/>
      <c r="V27" s="27">
        <v>1043</v>
      </c>
      <c r="W27" s="27">
        <v>1042.6525636200199</v>
      </c>
      <c r="X27" s="28">
        <v>3.7253686991802613</v>
      </c>
      <c r="Y27" s="29">
        <v>2.8886669991633973E-2</v>
      </c>
      <c r="Z27" s="30">
        <f t="shared" si="41"/>
        <v>9.6698446975166021</v>
      </c>
      <c r="AA27" s="30" t="str">
        <f t="shared" si="42"/>
        <v>*</v>
      </c>
      <c r="AB27" s="9"/>
      <c r="AC27" s="8">
        <v>1214</v>
      </c>
      <c r="AD27" s="8">
        <v>1214.7379128400053</v>
      </c>
      <c r="AE27" s="69">
        <v>3.54640581203908</v>
      </c>
      <c r="AF27" s="9">
        <v>3.0340771421406162E-2</v>
      </c>
      <c r="AG27" s="30">
        <f t="shared" si="43"/>
        <v>14.35819662141925</v>
      </c>
      <c r="AH27" s="30" t="str">
        <f t="shared" si="44"/>
        <v>*</v>
      </c>
      <c r="AI27" s="9"/>
      <c r="AJ27" s="81">
        <v>5880</v>
      </c>
      <c r="AK27" s="83">
        <v>4.1997584752493209</v>
      </c>
      <c r="AL27" s="84">
        <v>1.230381730676877E-2</v>
      </c>
      <c r="AM27" s="30">
        <f t="shared" si="45"/>
        <v>-6.3318452689954183</v>
      </c>
      <c r="AN27" s="30" t="str">
        <f t="shared" si="46"/>
        <v>*</v>
      </c>
      <c r="AO27" s="9"/>
      <c r="AP27" s="78">
        <v>743</v>
      </c>
      <c r="AQ27" s="79">
        <v>4.3740635634403011</v>
      </c>
      <c r="AR27" s="80">
        <v>3.075039284373712E-2</v>
      </c>
      <c r="AS27" s="30">
        <f t="shared" si="47"/>
        <v>-8.7811926285839768</v>
      </c>
      <c r="AT27" s="30" t="str">
        <f t="shared" si="48"/>
        <v>*</v>
      </c>
      <c r="AU27" s="80"/>
      <c r="AV27" s="78">
        <v>937</v>
      </c>
      <c r="AW27" s="79">
        <v>4.3879291344021087</v>
      </c>
      <c r="AX27" s="80">
        <v>2.7144491174395765E-2</v>
      </c>
      <c r="AY27" s="30">
        <f t="shared" si="49"/>
        <v>-10.008723553309908</v>
      </c>
      <c r="AZ27" s="30" t="str">
        <f t="shared" si="50"/>
        <v>*</v>
      </c>
      <c r="BA27" s="80"/>
      <c r="BB27" s="78">
        <v>958</v>
      </c>
      <c r="BC27" s="79">
        <v>4.3430280331034732</v>
      </c>
      <c r="BD27" s="80">
        <v>2.8688538399495055E-2</v>
      </c>
      <c r="BE27" s="30">
        <f t="shared" si="51"/>
        <v>-8.322345962014591</v>
      </c>
      <c r="BF27" s="30" t="str">
        <f t="shared" si="52"/>
        <v>*</v>
      </c>
      <c r="BG27" s="80"/>
      <c r="BH27" s="78">
        <v>1275</v>
      </c>
      <c r="BI27" s="79">
        <v>4.205468892313406</v>
      </c>
      <c r="BJ27" s="80">
        <v>2.5954571745424232E-2</v>
      </c>
      <c r="BK27" s="30">
        <f t="shared" si="53"/>
        <v>-4.6084701154215013</v>
      </c>
      <c r="BL27" s="30" t="str">
        <f t="shared" si="54"/>
        <v>*</v>
      </c>
      <c r="BM27" s="80"/>
      <c r="BN27" s="78">
        <v>1336</v>
      </c>
      <c r="BO27" s="79">
        <v>4.2745094455662338</v>
      </c>
      <c r="BP27" s="80">
        <v>2.3716383570888407E-2</v>
      </c>
      <c r="BQ27" s="30">
        <f t="shared" si="55"/>
        <v>-7.1677340877308859</v>
      </c>
      <c r="BR27" s="30" t="str">
        <f t="shared" si="56"/>
        <v>*</v>
      </c>
      <c r="BS27" s="9"/>
      <c r="BT27" s="27">
        <v>11610</v>
      </c>
      <c r="BU27" s="27">
        <v>11612.469127269183</v>
      </c>
      <c r="BV27" s="28">
        <v>4.2415947931032107</v>
      </c>
      <c r="BW27" s="29">
        <v>8.8944264321303181E-3</v>
      </c>
      <c r="BX27" s="30">
        <f t="shared" si="57"/>
        <v>-8.8662412423962138</v>
      </c>
      <c r="BY27" s="30" t="str">
        <f t="shared" si="58"/>
        <v>*</v>
      </c>
      <c r="BZ27" s="30"/>
      <c r="CA27" s="27">
        <v>534</v>
      </c>
      <c r="CB27" s="27">
        <v>534</v>
      </c>
      <c r="CC27" s="28">
        <v>4.1086142322097405</v>
      </c>
      <c r="CD27" s="29">
        <v>4.0101110628259072E-2</v>
      </c>
      <c r="CE27" s="30">
        <f t="shared" si="59"/>
        <v>-1.1424005890189726</v>
      </c>
      <c r="CF27" s="30" t="str">
        <f t="shared" si="0"/>
        <v xml:space="preserve"> </v>
      </c>
      <c r="CG27" s="30"/>
      <c r="CH27" s="27">
        <v>3189</v>
      </c>
      <c r="CI27" s="27">
        <v>3191.2882156998785</v>
      </c>
      <c r="CJ27" s="28">
        <v>3.9683443333218817</v>
      </c>
      <c r="CK27" s="29">
        <v>1.8381891630834288E-2</v>
      </c>
      <c r="CL27" s="30">
        <f t="shared" si="60"/>
        <v>3.4226913505979346</v>
      </c>
      <c r="CM27" s="30" t="str">
        <f t="shared" si="1"/>
        <v>*</v>
      </c>
      <c r="CN27" s="30"/>
      <c r="CO27" s="27">
        <v>2979</v>
      </c>
      <c r="CP27" s="27">
        <v>2978.9607704899277</v>
      </c>
      <c r="CQ27" s="28">
        <v>4.296359468417835</v>
      </c>
      <c r="CR27" s="29">
        <v>1.6022569205291937E-2</v>
      </c>
      <c r="CS27" s="30">
        <f t="shared" si="61"/>
        <v>-9.6792695369221313</v>
      </c>
      <c r="CT27" s="30" t="str">
        <f t="shared" si="2"/>
        <v>*</v>
      </c>
      <c r="CU27" s="30"/>
      <c r="CV27" s="27">
        <v>549</v>
      </c>
      <c r="CW27" s="27">
        <v>548.7956838400039</v>
      </c>
      <c r="CX27" s="28">
        <v>4.9121853595079417</v>
      </c>
      <c r="CY27" s="29">
        <v>1.5483533699987045E-2</v>
      </c>
      <c r="CZ27" s="30">
        <f t="shared" si="62"/>
        <v>-35.190646149235945</v>
      </c>
      <c r="DA27" s="30" t="str">
        <f t="shared" si="3"/>
        <v>*</v>
      </c>
      <c r="DB27" s="30"/>
      <c r="DC27" s="27">
        <v>885</v>
      </c>
      <c r="DD27" s="27">
        <v>884.9946591899884</v>
      </c>
      <c r="DE27" s="28">
        <v>4.8497576521515988</v>
      </c>
      <c r="DF27" s="29">
        <v>1.5211214381595398E-2</v>
      </c>
      <c r="DG27" s="30">
        <f t="shared" si="63"/>
        <v>-32.852453227049459</v>
      </c>
      <c r="DH27" s="30" t="str">
        <f t="shared" si="4"/>
        <v>*</v>
      </c>
      <c r="DI27" s="30"/>
      <c r="DJ27" s="27">
        <v>546</v>
      </c>
      <c r="DK27" s="27">
        <v>546</v>
      </c>
      <c r="DL27" s="28">
        <v>4.9945054945054927</v>
      </c>
      <c r="DM27" s="29">
        <v>4.0923557215952512E-3</v>
      </c>
      <c r="DN27" s="30">
        <f t="shared" si="64"/>
        <v>-48.942062980911928</v>
      </c>
      <c r="DO27" s="30" t="str">
        <f t="shared" si="5"/>
        <v>*</v>
      </c>
      <c r="DP27" s="8"/>
      <c r="DQ27" s="27">
        <v>941</v>
      </c>
      <c r="DR27" s="27">
        <v>940.86634941000898</v>
      </c>
      <c r="DS27" s="28">
        <v>3.9552992234908029</v>
      </c>
      <c r="DT27" s="29">
        <v>3.3937424285579373E-2</v>
      </c>
      <c r="DU27" s="29"/>
      <c r="DV27" s="27">
        <v>652</v>
      </c>
      <c r="DW27" s="27">
        <v>651.92521408999676</v>
      </c>
      <c r="DX27" s="28">
        <v>4.0599397463780367</v>
      </c>
      <c r="DY27" s="29">
        <v>3.8476119756813351E-2</v>
      </c>
      <c r="DZ27" s="10">
        <f t="shared" si="6"/>
        <v>-2.0395939382102002</v>
      </c>
      <c r="EA27" s="10" t="str">
        <f t="shared" si="7"/>
        <v>*</v>
      </c>
      <c r="EB27" s="29"/>
      <c r="EC27" s="27">
        <v>696</v>
      </c>
      <c r="ED27" s="27">
        <v>696.43768290000355</v>
      </c>
      <c r="EE27" s="28">
        <v>4.0241472065382391</v>
      </c>
      <c r="EF27" s="29">
        <v>3.8132490460125769E-2</v>
      </c>
      <c r="EG27" s="10">
        <f t="shared" si="8"/>
        <v>-1.3487073232859734</v>
      </c>
      <c r="EH27" s="10" t="str">
        <f t="shared" si="9"/>
        <v xml:space="preserve"> </v>
      </c>
      <c r="EI27" s="29"/>
      <c r="EJ27" s="27">
        <v>666</v>
      </c>
      <c r="EK27" s="27">
        <v>668.37191065000218</v>
      </c>
      <c r="EL27" s="28">
        <v>4.0207604983077641</v>
      </c>
      <c r="EM27" s="29">
        <v>3.889241682018664E-2</v>
      </c>
      <c r="EN27" s="10">
        <f t="shared" si="10"/>
        <v>-1.2681986444149091</v>
      </c>
      <c r="EO27" s="10" t="str">
        <f t="shared" si="65"/>
        <v xml:space="preserve"> </v>
      </c>
      <c r="EP27" s="29"/>
      <c r="EQ27" s="8">
        <v>745</v>
      </c>
      <c r="ER27" s="8">
        <v>744.75200030000087</v>
      </c>
      <c r="ES27" s="69">
        <v>4.0769598470993165</v>
      </c>
      <c r="ET27" s="9">
        <v>3.6492527855424457E-2</v>
      </c>
      <c r="EU27" s="10">
        <f t="shared" si="11"/>
        <v>-2.4413049653878178</v>
      </c>
      <c r="EV27" s="10" t="str">
        <f t="shared" si="66"/>
        <v>*</v>
      </c>
      <c r="EW27" s="29"/>
      <c r="EX27" s="88">
        <v>4681</v>
      </c>
      <c r="EY27" s="88">
        <v>4680.6813895896566</v>
      </c>
      <c r="EZ27" s="28">
        <v>4.1529814339708109</v>
      </c>
      <c r="FA27" s="29">
        <v>1.3404465221675347E-2</v>
      </c>
      <c r="FB27" s="30">
        <f t="shared" si="12"/>
        <v>-5.4176216443182499</v>
      </c>
      <c r="FC27" s="30" t="str">
        <f t="shared" si="67"/>
        <v>*</v>
      </c>
      <c r="FD27" s="30"/>
      <c r="FE27" s="27">
        <v>1059</v>
      </c>
      <c r="FF27" s="27">
        <v>1059.0076273600043</v>
      </c>
      <c r="FG27" s="28">
        <v>4.2266679866115808</v>
      </c>
      <c r="FH27" s="29">
        <v>2.4735921102426763E-2</v>
      </c>
      <c r="FI27" s="30">
        <f t="shared" si="13"/>
        <v>-6.461867035354337</v>
      </c>
      <c r="FJ27" s="30" t="str">
        <f t="shared" si="14"/>
        <v>*</v>
      </c>
      <c r="FK27" s="30"/>
      <c r="FL27" s="88">
        <v>348</v>
      </c>
      <c r="FM27" s="88">
        <v>348.01869416999875</v>
      </c>
      <c r="FN27" s="28">
        <v>4.3731743331769435</v>
      </c>
      <c r="FO27" s="29">
        <v>4.3814112477951098E-2</v>
      </c>
      <c r="FP27" s="30">
        <f t="shared" si="15"/>
        <v>-7.5400900157711659</v>
      </c>
      <c r="FQ27" s="30" t="str">
        <f t="shared" si="16"/>
        <v>*</v>
      </c>
      <c r="FR27" s="30"/>
      <c r="FS27" s="88">
        <v>704</v>
      </c>
      <c r="FT27" s="88">
        <v>703.80500062000431</v>
      </c>
      <c r="FU27" s="28">
        <v>4.0859593391304481</v>
      </c>
      <c r="FV27" s="29">
        <v>3.3804849735411008E-2</v>
      </c>
      <c r="FW27" s="30">
        <f t="shared" si="17"/>
        <v>-2.7277052093755216</v>
      </c>
      <c r="FX27" s="30" t="str">
        <f t="shared" si="18"/>
        <v>*</v>
      </c>
      <c r="FY27" s="30"/>
      <c r="FZ27" s="88">
        <v>1245</v>
      </c>
      <c r="GA27" s="88">
        <v>1245.0030836099966</v>
      </c>
      <c r="GB27" s="28">
        <v>4.1388008307970905</v>
      </c>
      <c r="GC27" s="29">
        <v>2.719289647459858E-2</v>
      </c>
      <c r="GD27" s="30">
        <f t="shared" si="19"/>
        <v>-4.2195959720535301</v>
      </c>
      <c r="GE27" s="30" t="str">
        <f t="shared" si="20"/>
        <v>*</v>
      </c>
      <c r="GF27" s="30"/>
      <c r="GG27" s="88">
        <v>384</v>
      </c>
      <c r="GH27" s="88">
        <v>383.98063441999915</v>
      </c>
      <c r="GI27" s="28">
        <v>4.4033900346926762</v>
      </c>
      <c r="GJ27" s="29">
        <v>3.7104032821833104E-2</v>
      </c>
      <c r="GK27" s="30">
        <f t="shared" si="21"/>
        <v>-8.9112404953841651</v>
      </c>
      <c r="GL27" s="30" t="str">
        <f t="shared" si="22"/>
        <v>*</v>
      </c>
      <c r="GM27" s="10"/>
      <c r="GN27" s="88">
        <v>888</v>
      </c>
      <c r="GO27" s="88">
        <v>887.97228066000866</v>
      </c>
      <c r="GP27" s="28">
        <v>3.9910585499086784</v>
      </c>
      <c r="GQ27" s="29">
        <v>3.5950116181717569E-2</v>
      </c>
      <c r="GR27" s="9"/>
      <c r="GS27" s="3">
        <v>634</v>
      </c>
      <c r="GT27" s="3">
        <v>633.98282842999788</v>
      </c>
      <c r="GU27" s="69">
        <v>3.9652491715042819</v>
      </c>
      <c r="GV27" s="9">
        <v>4.1745216862900447E-2</v>
      </c>
      <c r="GW27" s="10">
        <f t="shared" si="23"/>
        <v>0.46848199452880435</v>
      </c>
      <c r="GX27" s="10" t="str">
        <f t="shared" si="68"/>
        <v xml:space="preserve"> </v>
      </c>
      <c r="GY27" s="9"/>
      <c r="GZ27" s="27">
        <v>678</v>
      </c>
      <c r="HA27" s="27">
        <v>677.34100576000446</v>
      </c>
      <c r="HB27" s="28">
        <v>4.0457843223520804</v>
      </c>
      <c r="HC27" s="29">
        <v>3.8100793899602053E-2</v>
      </c>
      <c r="HD27" s="10">
        <f t="shared" si="24"/>
        <v>-1.0447043649011278</v>
      </c>
      <c r="HE27" s="10" t="str">
        <f t="shared" si="69"/>
        <v xml:space="preserve"> </v>
      </c>
      <c r="HF27" s="9"/>
      <c r="HG27" s="27">
        <v>1334</v>
      </c>
      <c r="HH27" s="27">
        <v>1334.1687772199923</v>
      </c>
      <c r="HI27" s="28">
        <v>3.8942130591797528</v>
      </c>
      <c r="HJ27" s="29">
        <v>2.9420025360556011E-2</v>
      </c>
      <c r="HK27" s="10">
        <f t="shared" si="25"/>
        <v>2.0847733245318714</v>
      </c>
      <c r="HL27" s="10" t="str">
        <f t="shared" si="70"/>
        <v>*</v>
      </c>
      <c r="HM27" s="29"/>
      <c r="HN27" s="8">
        <v>1350</v>
      </c>
      <c r="HO27" s="8">
        <v>1348.7924992500061</v>
      </c>
      <c r="HP27" s="69">
        <v>3.8441563421157179</v>
      </c>
      <c r="HQ27" s="9">
        <v>3.0867458414262958E-2</v>
      </c>
      <c r="HR27" s="10">
        <f t="shared" si="26"/>
        <v>3.1002717104462287</v>
      </c>
      <c r="HS27" s="10" t="str">
        <f t="shared" si="71"/>
        <v>*</v>
      </c>
      <c r="HT27" s="9"/>
      <c r="HU27" s="88">
        <v>4960</v>
      </c>
      <c r="HV27" s="88">
        <v>4959.8926662301265</v>
      </c>
      <c r="HW27" s="28">
        <v>4.2365033947300343</v>
      </c>
      <c r="HX27" s="29">
        <v>1.2977142133728572E-2</v>
      </c>
      <c r="HY27" s="30">
        <f t="shared" si="27"/>
        <v>-6.4217884857955241</v>
      </c>
      <c r="HZ27" s="30" t="str">
        <f t="shared" si="72"/>
        <v>*</v>
      </c>
      <c r="IA27" s="30"/>
      <c r="IB27" s="88">
        <v>1059</v>
      </c>
      <c r="IC27" s="88">
        <v>1059.0076273600043</v>
      </c>
      <c r="ID27" s="28">
        <v>4.2266679866115808</v>
      </c>
      <c r="IE27" s="29">
        <v>2.4735921102426763E-2</v>
      </c>
      <c r="IF27" s="30">
        <f t="shared" si="28"/>
        <v>-5.3991781837300987</v>
      </c>
      <c r="IG27" s="30" t="str">
        <f t="shared" si="29"/>
        <v>*</v>
      </c>
      <c r="IH27" s="30"/>
      <c r="II27" s="88">
        <v>667</v>
      </c>
      <c r="IJ27" s="88">
        <v>667.16022902000384</v>
      </c>
      <c r="IK27" s="28">
        <v>4.3821541003343567</v>
      </c>
      <c r="IL27" s="29">
        <v>3.1384517348270566E-2</v>
      </c>
      <c r="IM27" s="30">
        <f t="shared" si="30"/>
        <v>-8.1952712549056432</v>
      </c>
      <c r="IN27" s="30" t="str">
        <f t="shared" si="74"/>
        <v>*</v>
      </c>
      <c r="IO27" s="30"/>
      <c r="IP27" s="88">
        <v>772</v>
      </c>
      <c r="IQ27" s="88">
        <v>772.07025220000912</v>
      </c>
      <c r="IR27" s="28">
        <v>4.2376083080228302</v>
      </c>
      <c r="IS27" s="29">
        <v>3.6120738178313037E-2</v>
      </c>
      <c r="IT27" s="30">
        <f t="shared" si="32"/>
        <v>-4.8379200957476378</v>
      </c>
      <c r="IU27" s="30" t="str">
        <f t="shared" si="33"/>
        <v>*</v>
      </c>
      <c r="IV27" s="30"/>
      <c r="IW27" s="88">
        <v>348</v>
      </c>
      <c r="IX27" s="88">
        <v>348.01869416999875</v>
      </c>
      <c r="IY27" s="28">
        <v>4.3731743331769435</v>
      </c>
      <c r="IZ27" s="29">
        <v>4.3814112477951098E-2</v>
      </c>
      <c r="JA27" s="30">
        <f t="shared" si="34"/>
        <v>-6.742194951319469</v>
      </c>
      <c r="JB27" s="30" t="str">
        <f t="shared" si="73"/>
        <v>*</v>
      </c>
      <c r="JC27" s="30"/>
      <c r="JD27" s="88">
        <v>1226</v>
      </c>
      <c r="JE27" s="88">
        <v>1225.6635828200097</v>
      </c>
      <c r="JF27" s="28">
        <v>4.3040378484629684</v>
      </c>
      <c r="JG27" s="29">
        <v>2.4654860452108733E-2</v>
      </c>
      <c r="JH27" s="30">
        <f t="shared" si="35"/>
        <v>-7.1797217635401926</v>
      </c>
      <c r="JI27" s="30" t="str">
        <f t="shared" si="36"/>
        <v>*</v>
      </c>
      <c r="JK27" s="27"/>
      <c r="JL27" s="27"/>
      <c r="JM27" s="28"/>
      <c r="JN27" s="29"/>
    </row>
    <row r="28" spans="1:274" x14ac:dyDescent="0.2">
      <c r="B28" s="7" t="s">
        <v>26</v>
      </c>
      <c r="C28" s="27">
        <v>3046</v>
      </c>
      <c r="D28" s="27">
        <v>3046.7040720199179</v>
      </c>
      <c r="E28" s="28">
        <v>3.7186345845851601</v>
      </c>
      <c r="F28" s="29">
        <v>2.1150977697430556E-2</v>
      </c>
      <c r="G28" s="29"/>
      <c r="H28" s="3">
        <v>990</v>
      </c>
      <c r="I28" s="3">
        <v>989.98056276001694</v>
      </c>
      <c r="J28" s="28">
        <v>3.7044099633793133</v>
      </c>
      <c r="K28" s="29">
        <v>3.6898646897024788E-2</v>
      </c>
      <c r="L28" s="30">
        <f t="shared" si="37"/>
        <v>0.33445412131598534</v>
      </c>
      <c r="M28" s="30" t="str">
        <f t="shared" si="38"/>
        <v xml:space="preserve"> </v>
      </c>
      <c r="N28" s="9"/>
      <c r="O28" s="27">
        <v>1070</v>
      </c>
      <c r="P28" s="27">
        <v>1070.1681130200079</v>
      </c>
      <c r="Q28" s="28">
        <v>2.8820230242763358</v>
      </c>
      <c r="R28" s="29">
        <v>4.0126185027551414E-2</v>
      </c>
      <c r="S28" s="30">
        <f t="shared" si="39"/>
        <v>18.444064062486429</v>
      </c>
      <c r="T28" s="30" t="str">
        <f t="shared" si="40"/>
        <v>*</v>
      </c>
      <c r="U28" s="30"/>
      <c r="V28" s="27">
        <v>1080</v>
      </c>
      <c r="W28" s="27">
        <v>1080.1223744800195</v>
      </c>
      <c r="X28" s="28">
        <v>3.1418478053597916</v>
      </c>
      <c r="Y28" s="29">
        <v>3.8493591864581768E-2</v>
      </c>
      <c r="Z28" s="30">
        <f t="shared" si="41"/>
        <v>13.132143574243026</v>
      </c>
      <c r="AA28" s="30" t="str">
        <f t="shared" si="42"/>
        <v>*</v>
      </c>
      <c r="AB28" s="9"/>
      <c r="AC28" s="8">
        <v>1234</v>
      </c>
      <c r="AD28" s="8">
        <v>1234.0136887600058</v>
      </c>
      <c r="AE28" s="69">
        <v>3.1762791068862355</v>
      </c>
      <c r="AF28" s="9">
        <v>3.3423446914416968E-2</v>
      </c>
      <c r="AG28" s="30">
        <f t="shared" si="43"/>
        <v>13.711897031001017</v>
      </c>
      <c r="AH28" s="30" t="str">
        <f t="shared" si="44"/>
        <v>*</v>
      </c>
      <c r="AI28" s="9"/>
      <c r="AJ28" s="81">
        <v>6175</v>
      </c>
      <c r="AK28" s="83">
        <v>3.958309323373034</v>
      </c>
      <c r="AL28" s="84">
        <v>1.332593801346057E-2</v>
      </c>
      <c r="AM28" s="30">
        <f t="shared" si="45"/>
        <v>-9.5874153841408347</v>
      </c>
      <c r="AN28" s="30" t="str">
        <f t="shared" si="46"/>
        <v>*</v>
      </c>
      <c r="AO28" s="9"/>
      <c r="AP28" s="78">
        <v>785</v>
      </c>
      <c r="AQ28" s="79">
        <v>4.1123643880858456</v>
      </c>
      <c r="AR28" s="80">
        <v>3.6852521971797003E-2</v>
      </c>
      <c r="AS28" s="30">
        <f t="shared" si="47"/>
        <v>-9.266225892332038</v>
      </c>
      <c r="AT28" s="30" t="str">
        <f t="shared" si="48"/>
        <v>*</v>
      </c>
      <c r="AU28" s="80"/>
      <c r="AV28" s="78">
        <v>982</v>
      </c>
      <c r="AW28" s="79">
        <v>3.9455756081137809</v>
      </c>
      <c r="AX28" s="80">
        <v>3.3069189943326659E-2</v>
      </c>
      <c r="AY28" s="30">
        <f t="shared" si="49"/>
        <v>-5.7812376711337858</v>
      </c>
      <c r="AZ28" s="30" t="str">
        <f t="shared" si="50"/>
        <v>*</v>
      </c>
      <c r="BA28" s="80"/>
      <c r="BB28" s="78">
        <v>996</v>
      </c>
      <c r="BC28" s="79">
        <v>4.0359170215497437</v>
      </c>
      <c r="BD28" s="80">
        <v>3.2256670930398697E-2</v>
      </c>
      <c r="BE28" s="30">
        <f t="shared" si="51"/>
        <v>-8.2255601670851171</v>
      </c>
      <c r="BF28" s="30" t="str">
        <f t="shared" si="52"/>
        <v>*</v>
      </c>
      <c r="BG28" s="80"/>
      <c r="BH28" s="78">
        <v>1360</v>
      </c>
      <c r="BI28" s="79">
        <v>3.8661978771211931</v>
      </c>
      <c r="BJ28" s="80">
        <v>2.9510205366001338E-2</v>
      </c>
      <c r="BK28" s="30">
        <f t="shared" si="53"/>
        <v>-4.0642932385468242</v>
      </c>
      <c r="BL28" s="30" t="str">
        <f t="shared" si="54"/>
        <v>*</v>
      </c>
      <c r="BM28" s="80"/>
      <c r="BN28" s="78">
        <v>1421</v>
      </c>
      <c r="BO28" s="79">
        <v>4.0552887756940059</v>
      </c>
      <c r="BP28" s="80">
        <v>2.5806397541916045E-2</v>
      </c>
      <c r="BQ28" s="30">
        <f t="shared" si="55"/>
        <v>-10.089538158163862</v>
      </c>
      <c r="BR28" s="30" t="str">
        <f t="shared" si="56"/>
        <v>*</v>
      </c>
      <c r="BS28" s="9"/>
      <c r="BT28" s="27">
        <v>11907</v>
      </c>
      <c r="BU28" s="27">
        <v>11910.130269189194</v>
      </c>
      <c r="BV28" s="28">
        <v>3.9633582832113401</v>
      </c>
      <c r="BW28" s="29">
        <v>1.014337379955778E-2</v>
      </c>
      <c r="BX28" s="30">
        <f t="shared" si="57"/>
        <v>-10.432664863155832</v>
      </c>
      <c r="BY28" s="30" t="str">
        <f t="shared" si="58"/>
        <v>*</v>
      </c>
      <c r="BZ28" s="30"/>
      <c r="CA28" s="27">
        <v>542</v>
      </c>
      <c r="CB28" s="27">
        <v>542</v>
      </c>
      <c r="CC28" s="28">
        <v>3.4630996309963096</v>
      </c>
      <c r="CD28" s="29">
        <v>4.5414440576254718E-2</v>
      </c>
      <c r="CE28" s="30">
        <f t="shared" si="59"/>
        <v>5.1006756156481172</v>
      </c>
      <c r="CF28" s="30" t="str">
        <f t="shared" si="0"/>
        <v>*</v>
      </c>
      <c r="CG28" s="30"/>
      <c r="CH28" s="27">
        <v>3313</v>
      </c>
      <c r="CI28" s="27">
        <v>3315.3112824698569</v>
      </c>
      <c r="CJ28" s="28">
        <v>3.8309672889350854</v>
      </c>
      <c r="CK28" s="29">
        <v>1.8938757643720883E-2</v>
      </c>
      <c r="CL28" s="30">
        <f t="shared" si="60"/>
        <v>-3.9566515943156433</v>
      </c>
      <c r="CM28" s="30" t="str">
        <f t="shared" si="1"/>
        <v>*</v>
      </c>
      <c r="CN28" s="30"/>
      <c r="CO28" s="27">
        <v>2998</v>
      </c>
      <c r="CP28" s="27">
        <v>2997.9364183799262</v>
      </c>
      <c r="CQ28" s="28">
        <v>3.8496161928598798</v>
      </c>
      <c r="CR28" s="29">
        <v>1.9644553563553678E-2</v>
      </c>
      <c r="CS28" s="30">
        <f t="shared" si="61"/>
        <v>-4.5375020590655879</v>
      </c>
      <c r="CT28" s="30" t="str">
        <f t="shared" si="2"/>
        <v>*</v>
      </c>
      <c r="CU28" s="30"/>
      <c r="CV28" s="27">
        <v>583</v>
      </c>
      <c r="CW28" s="27">
        <v>583.17226308000454</v>
      </c>
      <c r="CX28" s="28">
        <v>4.8282492969212685</v>
      </c>
      <c r="CY28" s="29">
        <v>1.888711460176043E-2</v>
      </c>
      <c r="CZ28" s="30">
        <f t="shared" si="62"/>
        <v>-39.130977610043551</v>
      </c>
      <c r="DA28" s="30" t="str">
        <f t="shared" si="3"/>
        <v>*</v>
      </c>
      <c r="DB28" s="30"/>
      <c r="DC28" s="27">
        <v>880</v>
      </c>
      <c r="DD28" s="27">
        <v>880.00623323998855</v>
      </c>
      <c r="DE28" s="28">
        <v>4.8080109425953168</v>
      </c>
      <c r="DF28" s="29">
        <v>1.7706214943884385E-2</v>
      </c>
      <c r="DG28" s="30">
        <f t="shared" si="63"/>
        <v>-39.493134192989046</v>
      </c>
      <c r="DH28" s="30" t="str">
        <f t="shared" si="4"/>
        <v>*</v>
      </c>
      <c r="DI28" s="30"/>
      <c r="DJ28" s="27">
        <v>545</v>
      </c>
      <c r="DK28" s="27">
        <v>545</v>
      </c>
      <c r="DL28" s="28">
        <v>4.9706422018348633</v>
      </c>
      <c r="DM28" s="29">
        <v>1.0634592623684002E-2</v>
      </c>
      <c r="DN28" s="30">
        <f t="shared" si="64"/>
        <v>-52.885336606992404</v>
      </c>
      <c r="DO28" s="30" t="str">
        <f t="shared" si="5"/>
        <v>*</v>
      </c>
      <c r="DP28" s="8"/>
      <c r="DQ28" s="27">
        <v>1009</v>
      </c>
      <c r="DR28" s="27">
        <v>1008.8431654500097</v>
      </c>
      <c r="DS28" s="28">
        <v>3.7364899390963151</v>
      </c>
      <c r="DT28" s="29">
        <v>3.4796056938258955E-2</v>
      </c>
      <c r="DU28" s="29"/>
      <c r="DV28" s="27">
        <v>700</v>
      </c>
      <c r="DW28" s="27">
        <v>699.9489396199973</v>
      </c>
      <c r="DX28" s="28">
        <v>3.7634243192083461</v>
      </c>
      <c r="DY28" s="29">
        <v>4.2907387908085702E-2</v>
      </c>
      <c r="DZ28" s="10">
        <f t="shared" si="6"/>
        <v>-0.48756023018302502</v>
      </c>
      <c r="EA28" s="10" t="str">
        <f t="shared" si="7"/>
        <v xml:space="preserve"> </v>
      </c>
      <c r="EB28" s="29"/>
      <c r="EC28" s="27">
        <v>732</v>
      </c>
      <c r="ED28" s="27">
        <v>732.02119999000479</v>
      </c>
      <c r="EE28" s="28">
        <v>3.764133332651626</v>
      </c>
      <c r="EF28" s="29">
        <v>4.1268349737924225E-2</v>
      </c>
      <c r="EG28" s="10">
        <f t="shared" si="8"/>
        <v>-0.51210419955451447</v>
      </c>
      <c r="EH28" s="10" t="str">
        <f t="shared" si="9"/>
        <v xml:space="preserve"> </v>
      </c>
      <c r="EI28" s="29"/>
      <c r="EJ28" s="27">
        <v>698</v>
      </c>
      <c r="EK28" s="27">
        <v>699.53670504000218</v>
      </c>
      <c r="EL28" s="28">
        <v>3.7816239903504956</v>
      </c>
      <c r="EM28" s="29">
        <v>4.1221082808806833E-2</v>
      </c>
      <c r="EN28" s="10">
        <f t="shared" si="10"/>
        <v>-0.83668514496106683</v>
      </c>
      <c r="EO28" s="10" t="str">
        <f t="shared" si="65"/>
        <v xml:space="preserve"> </v>
      </c>
      <c r="EP28" s="29"/>
      <c r="EQ28" s="8">
        <v>776</v>
      </c>
      <c r="ER28" s="8">
        <v>776.13085751000119</v>
      </c>
      <c r="ES28" s="69">
        <v>3.8085970776028799</v>
      </c>
      <c r="ET28" s="9">
        <v>3.8109342761616684E-2</v>
      </c>
      <c r="EU28" s="10">
        <f t="shared" si="11"/>
        <v>-1.3972867360782619</v>
      </c>
      <c r="EV28" s="10" t="str">
        <f t="shared" si="66"/>
        <v xml:space="preserve"> </v>
      </c>
      <c r="EW28" s="29"/>
      <c r="EX28" s="88">
        <v>4961</v>
      </c>
      <c r="EY28" s="88">
        <v>4960.7366967297576</v>
      </c>
      <c r="EZ28" s="28">
        <v>3.819210795922475</v>
      </c>
      <c r="FA28" s="29">
        <v>1.5137819889190135E-2</v>
      </c>
      <c r="FB28" s="30">
        <f t="shared" si="12"/>
        <v>-2.1799471633741434</v>
      </c>
      <c r="FC28" s="30" t="str">
        <f t="shared" si="67"/>
        <v>*</v>
      </c>
      <c r="FD28" s="30"/>
      <c r="FE28" s="27">
        <v>1127</v>
      </c>
      <c r="FF28" s="27">
        <v>1127.0045127200015</v>
      </c>
      <c r="FG28" s="28">
        <v>4.0408708016517485</v>
      </c>
      <c r="FH28" s="29">
        <v>2.7246087511575319E-2</v>
      </c>
      <c r="FI28" s="30">
        <f t="shared" si="13"/>
        <v>-6.8873705762441197</v>
      </c>
      <c r="FJ28" s="30" t="str">
        <f t="shared" si="14"/>
        <v>*</v>
      </c>
      <c r="FK28" s="30"/>
      <c r="FL28" s="88">
        <v>382</v>
      </c>
      <c r="FM28" s="88">
        <v>382.01101860999859</v>
      </c>
      <c r="FN28" s="28">
        <v>3.7745777994746406</v>
      </c>
      <c r="FO28" s="29">
        <v>6.0157223834614179E-2</v>
      </c>
      <c r="FP28" s="30">
        <f t="shared" si="15"/>
        <v>-0.54806040223758146</v>
      </c>
      <c r="FQ28" s="30" t="str">
        <f t="shared" si="16"/>
        <v xml:space="preserve"> </v>
      </c>
      <c r="FR28" s="30"/>
      <c r="FS28" s="88">
        <v>707</v>
      </c>
      <c r="FT28" s="88">
        <v>706.87998661000461</v>
      </c>
      <c r="FU28" s="28">
        <v>3.5899887248754356</v>
      </c>
      <c r="FV28" s="29">
        <v>3.9409550970010664E-2</v>
      </c>
      <c r="FW28" s="30">
        <f t="shared" si="17"/>
        <v>2.7866457777264704</v>
      </c>
      <c r="FX28" s="30" t="str">
        <f t="shared" si="18"/>
        <v>*</v>
      </c>
      <c r="FY28" s="30"/>
      <c r="FZ28" s="88">
        <v>1342</v>
      </c>
      <c r="GA28" s="88">
        <v>1342.0078019999871</v>
      </c>
      <c r="GB28" s="28">
        <v>3.768242578607603</v>
      </c>
      <c r="GC28" s="29">
        <v>3.0068864605622726E-2</v>
      </c>
      <c r="GD28" s="30">
        <f t="shared" si="19"/>
        <v>-0.69045390256563322</v>
      </c>
      <c r="GE28" s="30" t="str">
        <f t="shared" si="20"/>
        <v xml:space="preserve"> </v>
      </c>
      <c r="GF28" s="30"/>
      <c r="GG28" s="88">
        <v>394</v>
      </c>
      <c r="GH28" s="88">
        <v>393.99021133999912</v>
      </c>
      <c r="GI28" s="28">
        <v>4.0251120549070212</v>
      </c>
      <c r="GJ28" s="29">
        <v>5.1821140320902744E-2</v>
      </c>
      <c r="GK28" s="30">
        <f t="shared" si="21"/>
        <v>-4.6239081533555284</v>
      </c>
      <c r="GL28" s="30" t="str">
        <f t="shared" si="22"/>
        <v>*</v>
      </c>
      <c r="GM28" s="10"/>
      <c r="GN28" s="88">
        <v>950</v>
      </c>
      <c r="GO28" s="88">
        <v>949.96382460000927</v>
      </c>
      <c r="GP28" s="28">
        <v>4.0264304489916523</v>
      </c>
      <c r="GQ28" s="29">
        <v>3.3478320058650958E-2</v>
      </c>
      <c r="GR28" s="9"/>
      <c r="GS28" s="3">
        <v>686</v>
      </c>
      <c r="GT28" s="3">
        <v>685.99820651999948</v>
      </c>
      <c r="GU28" s="69">
        <v>3.9841138080735181</v>
      </c>
      <c r="GV28" s="9">
        <v>3.9116071316529707E-2</v>
      </c>
      <c r="GW28" s="10">
        <f t="shared" si="23"/>
        <v>0.82189698035716596</v>
      </c>
      <c r="GX28" s="10" t="str">
        <f t="shared" si="68"/>
        <v xml:space="preserve"> </v>
      </c>
      <c r="GY28" s="9"/>
      <c r="GZ28" s="27">
        <v>723</v>
      </c>
      <c r="HA28" s="27">
        <v>723.16796975000489</v>
      </c>
      <c r="HB28" s="28">
        <v>4.0631499416045571</v>
      </c>
      <c r="HC28" s="29">
        <v>3.6064150975592492E-2</v>
      </c>
      <c r="HD28" s="10">
        <f t="shared" si="24"/>
        <v>-0.7462107964073208</v>
      </c>
      <c r="HE28" s="10" t="str">
        <f t="shared" si="69"/>
        <v xml:space="preserve"> </v>
      </c>
      <c r="HF28" s="9"/>
      <c r="HG28" s="27">
        <v>1454</v>
      </c>
      <c r="HH28" s="27">
        <v>1454.0710491699908</v>
      </c>
      <c r="HI28" s="28">
        <v>3.9569118554586655</v>
      </c>
      <c r="HJ28" s="29">
        <v>2.6401755347206454E-2</v>
      </c>
      <c r="HK28" s="10">
        <f t="shared" si="25"/>
        <v>1.6305040550511438</v>
      </c>
      <c r="HL28" s="10" t="str">
        <f t="shared" si="70"/>
        <v xml:space="preserve"> </v>
      </c>
      <c r="HM28" s="29"/>
      <c r="HN28" s="8">
        <v>1458</v>
      </c>
      <c r="HO28" s="8">
        <v>1458.0565084000118</v>
      </c>
      <c r="HP28" s="69">
        <v>3.9548415825170933</v>
      </c>
      <c r="HQ28" s="9">
        <v>2.6570734684530341E-2</v>
      </c>
      <c r="HR28" s="10">
        <f t="shared" si="26"/>
        <v>1.6749419654190061</v>
      </c>
      <c r="HS28" s="10" t="str">
        <f t="shared" si="71"/>
        <v xml:space="preserve"> </v>
      </c>
      <c r="HT28" s="9"/>
      <c r="HU28" s="88">
        <v>5260</v>
      </c>
      <c r="HV28" s="88">
        <v>5259.8781691202666</v>
      </c>
      <c r="HW28" s="28">
        <v>4.0055412692505303</v>
      </c>
      <c r="HX28" s="29">
        <v>1.4122952943770962E-2</v>
      </c>
      <c r="HY28" s="30">
        <f t="shared" si="27"/>
        <v>0.57490006659013349</v>
      </c>
      <c r="HZ28" s="30" t="str">
        <f t="shared" si="72"/>
        <v xml:space="preserve"> </v>
      </c>
      <c r="IA28" s="30"/>
      <c r="IB28" s="88">
        <v>1127</v>
      </c>
      <c r="IC28" s="88">
        <v>1127.0045127200015</v>
      </c>
      <c r="ID28" s="28">
        <v>4.0408708016517485</v>
      </c>
      <c r="IE28" s="29">
        <v>2.7246087511575319E-2</v>
      </c>
      <c r="IF28" s="30">
        <f t="shared" si="28"/>
        <v>-0.3345447475448986</v>
      </c>
      <c r="IG28" s="30" t="str">
        <f t="shared" si="29"/>
        <v xml:space="preserve"> </v>
      </c>
      <c r="IH28" s="30"/>
      <c r="II28" s="88">
        <v>713</v>
      </c>
      <c r="IJ28" s="88">
        <v>712.9426221000042</v>
      </c>
      <c r="IK28" s="28">
        <v>4.1643393352678038</v>
      </c>
      <c r="IL28" s="29">
        <v>3.4133882367609662E-2</v>
      </c>
      <c r="IM28" s="30">
        <f t="shared" si="30"/>
        <v>-2.8844416156321242</v>
      </c>
      <c r="IN28" s="30" t="str">
        <f t="shared" si="74"/>
        <v>*</v>
      </c>
      <c r="IO28" s="30"/>
      <c r="IP28" s="88">
        <v>813</v>
      </c>
      <c r="IQ28" s="88">
        <v>812.95489386001009</v>
      </c>
      <c r="IR28" s="28">
        <v>4.1339489564334357</v>
      </c>
      <c r="IS28" s="29">
        <v>3.6096772771283758E-2</v>
      </c>
      <c r="IT28" s="30">
        <f t="shared" si="32"/>
        <v>-2.183921799762218</v>
      </c>
      <c r="IU28" s="30" t="str">
        <f t="shared" si="33"/>
        <v>*</v>
      </c>
      <c r="IV28" s="30"/>
      <c r="IW28" s="88">
        <v>382</v>
      </c>
      <c r="IX28" s="88">
        <v>382.01101860999859</v>
      </c>
      <c r="IY28" s="28">
        <v>3.7745777994746406</v>
      </c>
      <c r="IZ28" s="29">
        <v>6.0157223834614179E-2</v>
      </c>
      <c r="JA28" s="30">
        <f t="shared" si="34"/>
        <v>3.6582348144509353</v>
      </c>
      <c r="JB28" s="30" t="str">
        <f t="shared" si="73"/>
        <v>*</v>
      </c>
      <c r="JC28" s="30"/>
      <c r="JD28" s="88">
        <v>1275</v>
      </c>
      <c r="JE28" s="88">
        <v>1275.0012972300108</v>
      </c>
      <c r="JF28" s="28">
        <v>3.8572798636634045</v>
      </c>
      <c r="JG28" s="29">
        <v>3.0438705829409697E-2</v>
      </c>
      <c r="JH28" s="30">
        <f t="shared" si="35"/>
        <v>3.7383625028540788</v>
      </c>
      <c r="JI28" s="30" t="str">
        <f t="shared" si="36"/>
        <v>*</v>
      </c>
      <c r="JK28" s="27"/>
      <c r="JL28" s="27"/>
      <c r="JM28" s="28"/>
      <c r="JN28" s="29"/>
    </row>
    <row r="29" spans="1:274" x14ac:dyDescent="0.2">
      <c r="B29" s="7" t="s">
        <v>27</v>
      </c>
      <c r="C29" s="27">
        <v>657</v>
      </c>
      <c r="D29" s="27">
        <v>660.52663431999804</v>
      </c>
      <c r="E29" s="28">
        <v>3.6604596190872947</v>
      </c>
      <c r="F29" s="29">
        <v>4.8789726542752113E-2</v>
      </c>
      <c r="G29" s="29"/>
      <c r="H29" s="3">
        <v>249</v>
      </c>
      <c r="I29" s="3">
        <v>249.03327510000133</v>
      </c>
      <c r="J29" s="28">
        <v>3.6467214583887539</v>
      </c>
      <c r="K29" s="29">
        <v>8.1958261985045022E-2</v>
      </c>
      <c r="L29" s="30">
        <f t="shared" si="37"/>
        <v>0.1440340967177843</v>
      </c>
      <c r="M29" s="30" t="str">
        <f t="shared" si="38"/>
        <v xml:space="preserve"> </v>
      </c>
      <c r="N29" s="9"/>
      <c r="O29" s="27">
        <v>588</v>
      </c>
      <c r="P29" s="27">
        <v>587.6591892000032</v>
      </c>
      <c r="Q29" s="28">
        <v>2.0624912231526475</v>
      </c>
      <c r="R29" s="29">
        <v>5.1857479813861768E-2</v>
      </c>
      <c r="S29" s="30">
        <f t="shared" si="39"/>
        <v>22.44294331703718</v>
      </c>
      <c r="T29" s="30" t="str">
        <f t="shared" si="40"/>
        <v>*</v>
      </c>
      <c r="U29" s="30"/>
      <c r="V29" s="27">
        <v>532</v>
      </c>
      <c r="W29" s="27">
        <v>520.67475208000201</v>
      </c>
      <c r="X29" s="28">
        <v>2.2743080176625399</v>
      </c>
      <c r="Y29" s="29">
        <v>5.5925050004189403E-2</v>
      </c>
      <c r="Z29" s="30">
        <f t="shared" si="41"/>
        <v>18.677203378887043</v>
      </c>
      <c r="AA29" s="30" t="str">
        <f t="shared" si="42"/>
        <v>*</v>
      </c>
      <c r="AB29" s="9"/>
      <c r="AC29" s="8">
        <v>604</v>
      </c>
      <c r="AD29" s="8">
        <v>598.89030071999423</v>
      </c>
      <c r="AE29" s="69">
        <v>2.5559354788677098</v>
      </c>
      <c r="AF29" s="9">
        <v>4.8779270457474384E-2</v>
      </c>
      <c r="AG29" s="30">
        <f t="shared" si="43"/>
        <v>16.00952206256418</v>
      </c>
      <c r="AH29" s="30" t="str">
        <f t="shared" si="44"/>
        <v>*</v>
      </c>
      <c r="AI29" s="9"/>
      <c r="AJ29" s="81">
        <v>2126</v>
      </c>
      <c r="AK29" s="83">
        <v>4.0010329213596494</v>
      </c>
      <c r="AL29" s="84">
        <v>2.4316088432438349E-2</v>
      </c>
      <c r="AM29" s="30">
        <f t="shared" si="45"/>
        <v>-6.2475166000377698</v>
      </c>
      <c r="AN29" s="30" t="str">
        <f t="shared" si="46"/>
        <v>*</v>
      </c>
      <c r="AO29" s="9"/>
      <c r="AP29" s="78">
        <v>419</v>
      </c>
      <c r="AQ29" s="79">
        <v>4.2712954979073707</v>
      </c>
      <c r="AR29" s="80">
        <v>4.6910900104404206E-2</v>
      </c>
      <c r="AS29" s="30">
        <f t="shared" si="47"/>
        <v>-9.0248725210913712</v>
      </c>
      <c r="AT29" s="30" t="str">
        <f t="shared" si="48"/>
        <v>*</v>
      </c>
      <c r="AU29" s="80"/>
      <c r="AV29" s="78">
        <v>347</v>
      </c>
      <c r="AW29" s="79">
        <v>4.258067530208506</v>
      </c>
      <c r="AX29" s="80">
        <v>5.0980946099278293E-2</v>
      </c>
      <c r="AY29" s="30">
        <f t="shared" si="49"/>
        <v>-8.4688359272955402</v>
      </c>
      <c r="AZ29" s="30" t="str">
        <f t="shared" si="50"/>
        <v>*</v>
      </c>
      <c r="BA29" s="80"/>
      <c r="BB29" s="78">
        <v>492</v>
      </c>
      <c r="BC29" s="79">
        <v>4.1707793826096147</v>
      </c>
      <c r="BD29" s="80">
        <v>4.5911256577771571E-2</v>
      </c>
      <c r="BE29" s="30">
        <f t="shared" si="51"/>
        <v>-7.6173230311607858</v>
      </c>
      <c r="BF29" s="30" t="str">
        <f t="shared" si="52"/>
        <v>*</v>
      </c>
      <c r="BG29" s="80"/>
      <c r="BH29" s="78">
        <v>425</v>
      </c>
      <c r="BI29" s="79">
        <v>4.1481049318704342</v>
      </c>
      <c r="BJ29" s="80">
        <v>4.8254241646987113E-2</v>
      </c>
      <c r="BK29" s="30">
        <f t="shared" si="53"/>
        <v>-7.1063058230861866</v>
      </c>
      <c r="BL29" s="30" t="str">
        <f t="shared" si="54"/>
        <v>*</v>
      </c>
      <c r="BM29" s="80"/>
      <c r="BN29" s="78">
        <v>330</v>
      </c>
      <c r="BO29" s="79">
        <v>4.046316522119505</v>
      </c>
      <c r="BP29" s="80">
        <v>5.8870344884420236E-2</v>
      </c>
      <c r="BQ29" s="30">
        <f t="shared" si="55"/>
        <v>-5.0465097221233064</v>
      </c>
      <c r="BR29" s="30" t="str">
        <f t="shared" si="56"/>
        <v>*</v>
      </c>
      <c r="BS29" s="9"/>
      <c r="BT29" s="27">
        <v>3037</v>
      </c>
      <c r="BU29" s="27">
        <v>2972.4625854899205</v>
      </c>
      <c r="BV29" s="28">
        <v>3.9292504073368142</v>
      </c>
      <c r="BW29" s="29">
        <v>2.1838824249708119E-2</v>
      </c>
      <c r="BX29" s="30">
        <f t="shared" si="57"/>
        <v>-5.028413854939803</v>
      </c>
      <c r="BY29" s="30" t="str">
        <f t="shared" si="58"/>
        <v>*</v>
      </c>
      <c r="BZ29" s="30"/>
      <c r="CA29" s="27">
        <v>200</v>
      </c>
      <c r="CB29" s="27">
        <v>200</v>
      </c>
      <c r="CC29" s="28">
        <v>4.0549999999999944</v>
      </c>
      <c r="CD29" s="29">
        <v>7.0958087990420679E-2</v>
      </c>
      <c r="CE29" s="30">
        <f t="shared" si="59"/>
        <v>-4.5816467446153268</v>
      </c>
      <c r="CF29" s="30" t="str">
        <f t="shared" si="0"/>
        <v>*</v>
      </c>
      <c r="CG29" s="30"/>
      <c r="CH29" s="27">
        <v>849</v>
      </c>
      <c r="CI29" s="27">
        <v>783.8021878699991</v>
      </c>
      <c r="CJ29" s="28">
        <v>3.5431717731956778</v>
      </c>
      <c r="CK29" s="29">
        <v>4.5119996003935729E-2</v>
      </c>
      <c r="CL29" s="30">
        <f t="shared" si="60"/>
        <v>1.76492442465582</v>
      </c>
      <c r="CM29" s="30" t="str">
        <f t="shared" si="1"/>
        <v xml:space="preserve"> </v>
      </c>
      <c r="CN29" s="30"/>
      <c r="CO29" s="27">
        <v>873</v>
      </c>
      <c r="CP29" s="27">
        <v>871.96422098001824</v>
      </c>
      <c r="CQ29" s="28">
        <v>3.921912279045725</v>
      </c>
      <c r="CR29" s="29">
        <v>3.7220965545365726E-2</v>
      </c>
      <c r="CS29" s="30">
        <f t="shared" si="61"/>
        <v>-4.2605166377702366</v>
      </c>
      <c r="CT29" s="30" t="str">
        <f t="shared" si="2"/>
        <v>*</v>
      </c>
      <c r="CU29" s="30"/>
      <c r="CV29" s="27">
        <v>71</v>
      </c>
      <c r="CW29" s="27">
        <v>69.121109160000074</v>
      </c>
      <c r="CX29" s="28">
        <v>4.898322767018513</v>
      </c>
      <c r="CY29" s="29">
        <v>4.6837416983064699E-2</v>
      </c>
      <c r="CZ29" s="30">
        <f t="shared" si="62"/>
        <v>-18.302733616090766</v>
      </c>
      <c r="DA29" s="30" t="str">
        <f t="shared" si="3"/>
        <v>*</v>
      </c>
      <c r="DB29" s="30"/>
      <c r="DC29" s="27">
        <v>156</v>
      </c>
      <c r="DD29" s="27">
        <v>156.04843316000014</v>
      </c>
      <c r="DE29" s="28">
        <v>4.8781539262845133</v>
      </c>
      <c r="DF29" s="29">
        <v>3.3219858917890678E-2</v>
      </c>
      <c r="DG29" s="30">
        <f t="shared" si="63"/>
        <v>-20.630009323019099</v>
      </c>
      <c r="DH29" s="30" t="str">
        <f t="shared" si="4"/>
        <v>*</v>
      </c>
      <c r="DI29" s="30"/>
      <c r="DJ29" s="27">
        <v>231</v>
      </c>
      <c r="DK29" s="27">
        <v>231</v>
      </c>
      <c r="DL29" s="28">
        <v>4.9956709956709933</v>
      </c>
      <c r="DM29" s="29">
        <v>4.3290043290043307E-3</v>
      </c>
      <c r="DN29" s="30">
        <f t="shared" si="64"/>
        <v>-27.259558428776977</v>
      </c>
      <c r="DO29" s="30" t="str">
        <f t="shared" si="5"/>
        <v>*</v>
      </c>
      <c r="DP29" s="8"/>
      <c r="DQ29" s="27">
        <v>208</v>
      </c>
      <c r="DR29" s="27">
        <v>206.55127203999916</v>
      </c>
      <c r="DS29" s="28">
        <v>3.5362890082736875</v>
      </c>
      <c r="DT29" s="29">
        <v>8.5670562370670444E-2</v>
      </c>
      <c r="DU29" s="29"/>
      <c r="DV29" s="27">
        <v>175</v>
      </c>
      <c r="DW29" s="27">
        <v>174.9742166200005</v>
      </c>
      <c r="DX29" s="28">
        <v>3.5809805329820241</v>
      </c>
      <c r="DY29" s="29">
        <v>9.7801848379495196E-2</v>
      </c>
      <c r="DZ29" s="10">
        <f t="shared" si="6"/>
        <v>-0.34373370624287525</v>
      </c>
      <c r="EA29" s="10" t="str">
        <f t="shared" si="7"/>
        <v xml:space="preserve"> </v>
      </c>
      <c r="EB29" s="29"/>
      <c r="EC29" s="27">
        <v>171</v>
      </c>
      <c r="ED29" s="27">
        <v>171.83278566000027</v>
      </c>
      <c r="EE29" s="28">
        <v>3.6370147876586549</v>
      </c>
      <c r="EF29" s="29">
        <v>9.2974218161804248E-2</v>
      </c>
      <c r="EG29" s="10">
        <f t="shared" si="8"/>
        <v>-0.79671436772704296</v>
      </c>
      <c r="EH29" s="10" t="str">
        <f t="shared" si="9"/>
        <v xml:space="preserve"> </v>
      </c>
      <c r="EI29" s="29"/>
      <c r="EJ29" s="27">
        <v>184</v>
      </c>
      <c r="EK29" s="27">
        <v>186.87755248000033</v>
      </c>
      <c r="EL29" s="28">
        <v>3.6632078114532463</v>
      </c>
      <c r="EM29" s="29">
        <v>8.8869831963692733E-2</v>
      </c>
      <c r="EN29" s="10">
        <f t="shared" si="10"/>
        <v>-1.0281869061674382</v>
      </c>
      <c r="EO29" s="10" t="str">
        <f t="shared" si="65"/>
        <v xml:space="preserve"> </v>
      </c>
      <c r="EP29" s="29"/>
      <c r="EQ29" s="8">
        <v>201</v>
      </c>
      <c r="ER29" s="8">
        <v>200.32628571000021</v>
      </c>
      <c r="ES29" s="69">
        <v>3.6956080222129524</v>
      </c>
      <c r="ET29" s="9">
        <v>8.4875184043416471E-2</v>
      </c>
      <c r="EU29" s="10">
        <f t="shared" si="11"/>
        <v>-1.3211039544484517</v>
      </c>
      <c r="EV29" s="10" t="str">
        <f t="shared" si="66"/>
        <v xml:space="preserve"> </v>
      </c>
      <c r="EW29" s="29"/>
      <c r="EX29" s="88">
        <v>1241</v>
      </c>
      <c r="EY29" s="88">
        <v>1239.513956910012</v>
      </c>
      <c r="EZ29" s="28">
        <v>3.9512956834302244</v>
      </c>
      <c r="FA29" s="29">
        <v>3.152573764860938E-2</v>
      </c>
      <c r="FB29" s="30">
        <f t="shared" si="12"/>
        <v>-4.5461746985156761</v>
      </c>
      <c r="FC29" s="30" t="str">
        <f t="shared" si="67"/>
        <v>*</v>
      </c>
      <c r="FD29" s="30"/>
      <c r="FE29" s="27">
        <v>86</v>
      </c>
      <c r="FF29" s="27">
        <v>86.055214819999904</v>
      </c>
      <c r="FG29" s="28">
        <v>3.9882894083512777</v>
      </c>
      <c r="FH29" s="29">
        <v>0.12536847773411633</v>
      </c>
      <c r="FI29" s="30">
        <f t="shared" si="13"/>
        <v>-2.976735456168214</v>
      </c>
      <c r="FJ29" s="30" t="str">
        <f t="shared" si="14"/>
        <v>*</v>
      </c>
      <c r="FK29" s="30"/>
      <c r="FL29" s="88">
        <v>139</v>
      </c>
      <c r="FM29" s="88">
        <v>139.02557208999971</v>
      </c>
      <c r="FN29" s="28">
        <v>4.0790349473468579</v>
      </c>
      <c r="FO29" s="29">
        <v>9.0204088909525595E-2</v>
      </c>
      <c r="FP29" s="30">
        <f t="shared" si="15"/>
        <v>-4.3627878442877313</v>
      </c>
      <c r="FQ29" s="30" t="str">
        <f t="shared" si="16"/>
        <v>*</v>
      </c>
      <c r="FR29" s="30"/>
      <c r="FS29" s="88">
        <v>261</v>
      </c>
      <c r="FT29" s="88">
        <v>260.65402768000052</v>
      </c>
      <c r="FU29" s="28">
        <v>4.0249762204633601</v>
      </c>
      <c r="FV29" s="29">
        <v>6.6480819812947345E-2</v>
      </c>
      <c r="FW29" s="30">
        <f t="shared" si="17"/>
        <v>-4.5065387336306237</v>
      </c>
      <c r="FX29" s="30" t="str">
        <f t="shared" si="18"/>
        <v>*</v>
      </c>
      <c r="FY29" s="30"/>
      <c r="FZ29" s="88">
        <v>420</v>
      </c>
      <c r="GA29" s="88">
        <v>420.14942802000371</v>
      </c>
      <c r="GB29" s="28">
        <v>3.983251441818779</v>
      </c>
      <c r="GC29" s="29">
        <v>5.2701329240296975E-2</v>
      </c>
      <c r="GD29" s="30">
        <f t="shared" si="19"/>
        <v>-4.4437316342878859</v>
      </c>
      <c r="GE29" s="30" t="str">
        <f t="shared" si="20"/>
        <v>*</v>
      </c>
      <c r="GF29" s="30"/>
      <c r="GG29" s="88">
        <v>127</v>
      </c>
      <c r="GH29" s="88">
        <v>127.07844225999982</v>
      </c>
      <c r="GI29" s="28">
        <v>4.2042599671381886</v>
      </c>
      <c r="GJ29" s="29">
        <v>8.1636344290881832E-2</v>
      </c>
      <c r="GK29" s="30">
        <f t="shared" si="21"/>
        <v>-5.6445911704186935</v>
      </c>
      <c r="GL29" s="30" t="str">
        <f t="shared" si="22"/>
        <v>*</v>
      </c>
      <c r="GM29" s="10"/>
      <c r="GN29" s="88">
        <v>95</v>
      </c>
      <c r="GO29" s="88">
        <v>95.071442970000021</v>
      </c>
      <c r="GP29" s="28">
        <v>3.8533154311710565</v>
      </c>
      <c r="GQ29" s="29">
        <v>0.13374138579049044</v>
      </c>
      <c r="GR29" s="9"/>
      <c r="GS29" s="3">
        <v>69</v>
      </c>
      <c r="GT29" s="3">
        <v>68.961120380000082</v>
      </c>
      <c r="GU29" s="69">
        <v>3.9871867877851908</v>
      </c>
      <c r="GV29" s="9">
        <v>0.14955432928612034</v>
      </c>
      <c r="GW29" s="10">
        <f t="shared" si="23"/>
        <v>-0.66724781224202601</v>
      </c>
      <c r="GX29" s="10" t="str">
        <f t="shared" si="68"/>
        <v xml:space="preserve"> </v>
      </c>
      <c r="GY29" s="9"/>
      <c r="GZ29" s="27">
        <v>66</v>
      </c>
      <c r="HA29" s="27">
        <v>65.824726529999907</v>
      </c>
      <c r="HB29" s="28">
        <v>4.1028775531169703</v>
      </c>
      <c r="HC29" s="29">
        <v>0.11099981946868114</v>
      </c>
      <c r="HD29" s="10">
        <f t="shared" si="24"/>
        <v>-1.4358851666437515</v>
      </c>
      <c r="HE29" s="10" t="str">
        <f t="shared" si="69"/>
        <v xml:space="preserve"> </v>
      </c>
      <c r="HF29" s="9"/>
      <c r="HG29" s="27">
        <v>167</v>
      </c>
      <c r="HH29" s="27">
        <v>166.14261626000038</v>
      </c>
      <c r="HI29" s="28">
        <v>3.925191297393861</v>
      </c>
      <c r="HJ29" s="29">
        <v>7.8901858633178404E-2</v>
      </c>
      <c r="HK29" s="10">
        <f t="shared" si="25"/>
        <v>-0.46287541943184302</v>
      </c>
      <c r="HL29" s="10" t="str">
        <f t="shared" si="70"/>
        <v xml:space="preserve"> </v>
      </c>
      <c r="HM29" s="29"/>
      <c r="HN29" s="8">
        <v>162</v>
      </c>
      <c r="HO29" s="8">
        <v>155.88165124000017</v>
      </c>
      <c r="HP29" s="69">
        <v>3.5613602045135742</v>
      </c>
      <c r="HQ29" s="9">
        <v>0.10181082081099703</v>
      </c>
      <c r="HR29" s="10">
        <f t="shared" si="26"/>
        <v>1.7369611583115208</v>
      </c>
      <c r="HS29" s="10" t="str">
        <f t="shared" si="71"/>
        <v xml:space="preserve"> </v>
      </c>
      <c r="HT29" s="9"/>
      <c r="HU29" s="88">
        <v>1145</v>
      </c>
      <c r="HV29" s="88">
        <v>1143.4460450400102</v>
      </c>
      <c r="HW29" s="28">
        <v>4.0422794679728966</v>
      </c>
      <c r="HX29" s="29">
        <v>3.3420065072435924E-2</v>
      </c>
      <c r="HY29" s="30">
        <f t="shared" si="27"/>
        <v>-1.3707572242934027</v>
      </c>
      <c r="HZ29" s="30" t="str">
        <f t="shared" si="72"/>
        <v xml:space="preserve"> </v>
      </c>
      <c r="IA29" s="30"/>
      <c r="IB29" s="88">
        <v>86</v>
      </c>
      <c r="IC29" s="88">
        <v>86.055214819999904</v>
      </c>
      <c r="ID29" s="28">
        <v>3.9882894083512777</v>
      </c>
      <c r="IE29" s="29">
        <v>0.12536847773411633</v>
      </c>
      <c r="IF29" s="30">
        <f t="shared" si="28"/>
        <v>-0.73629943966535016</v>
      </c>
      <c r="IG29" s="30" t="str">
        <f t="shared" si="29"/>
        <v xml:space="preserve"> </v>
      </c>
      <c r="IH29" s="30"/>
      <c r="II29" s="88">
        <v>201</v>
      </c>
      <c r="IJ29" s="88">
        <v>201.0194159800005</v>
      </c>
      <c r="IK29" s="28">
        <v>4.2024715020764445</v>
      </c>
      <c r="IL29" s="29">
        <v>7.0669943558014328E-2</v>
      </c>
      <c r="IM29" s="30">
        <f t="shared" si="30"/>
        <v>-2.3082460697506937</v>
      </c>
      <c r="IN29" s="30" t="str">
        <f t="shared" si="74"/>
        <v>*</v>
      </c>
      <c r="IO29" s="30"/>
      <c r="IP29" s="88">
        <v>182</v>
      </c>
      <c r="IQ29" s="88">
        <v>182.6762335600001</v>
      </c>
      <c r="IR29" s="28">
        <v>3.9634349530323214</v>
      </c>
      <c r="IS29" s="29">
        <v>9.2032910877187929E-2</v>
      </c>
      <c r="IT29" s="30">
        <f t="shared" si="32"/>
        <v>-0.67829380916098347</v>
      </c>
      <c r="IU29" s="30" t="str">
        <f t="shared" si="33"/>
        <v xml:space="preserve"> </v>
      </c>
      <c r="IV29" s="30"/>
      <c r="IW29" s="88">
        <v>139</v>
      </c>
      <c r="IX29" s="88">
        <v>139.02557208999971</v>
      </c>
      <c r="IY29" s="28">
        <v>4.0790349473468579</v>
      </c>
      <c r="IZ29" s="29">
        <v>9.0204088909525595E-2</v>
      </c>
      <c r="JA29" s="30">
        <f t="shared" si="34"/>
        <v>-1.3992198507556777</v>
      </c>
      <c r="JB29" s="30" t="str">
        <f t="shared" si="73"/>
        <v xml:space="preserve"> </v>
      </c>
      <c r="JC29" s="30"/>
      <c r="JD29" s="88">
        <v>442</v>
      </c>
      <c r="JE29" s="88">
        <v>439.59816562000179</v>
      </c>
      <c r="JF29" s="28">
        <v>4.041602868620263</v>
      </c>
      <c r="JG29" s="29">
        <v>5.2718059681014957E-2</v>
      </c>
      <c r="JH29" s="30">
        <f t="shared" si="35"/>
        <v>-1.3097657685493351</v>
      </c>
      <c r="JI29" s="30" t="str">
        <f t="shared" si="36"/>
        <v xml:space="preserve"> </v>
      </c>
      <c r="JK29" s="27"/>
      <c r="JL29" s="27"/>
      <c r="JM29" s="28"/>
      <c r="JN29" s="29"/>
    </row>
    <row r="30" spans="1:274" x14ac:dyDescent="0.2">
      <c r="B30" s="7"/>
      <c r="C30" s="27"/>
      <c r="D30" s="27"/>
      <c r="E30" s="28"/>
      <c r="F30" s="29"/>
      <c r="G30" s="29"/>
      <c r="H30" s="3"/>
      <c r="I30" s="3"/>
      <c r="J30" s="28"/>
      <c r="K30" s="29"/>
      <c r="L30" s="30"/>
      <c r="M30" s="30"/>
      <c r="N30" s="9"/>
      <c r="O30" s="27"/>
      <c r="P30" s="27"/>
      <c r="Q30" s="28"/>
      <c r="R30" s="29"/>
      <c r="S30" s="30"/>
      <c r="T30" s="30"/>
      <c r="U30" s="30"/>
      <c r="V30" s="27"/>
      <c r="W30" s="27"/>
      <c r="X30" s="28"/>
      <c r="Y30" s="29"/>
      <c r="Z30" s="30"/>
      <c r="AA30" s="30"/>
      <c r="AB30" s="9"/>
      <c r="AC30" s="8"/>
      <c r="AD30" s="8"/>
      <c r="AE30" s="69"/>
      <c r="AF30" s="9"/>
      <c r="AG30" s="30"/>
      <c r="AH30" s="30"/>
      <c r="AI30" s="9"/>
      <c r="AJ30" s="81"/>
      <c r="AK30" s="83"/>
      <c r="AL30" s="84"/>
      <c r="AM30" s="30"/>
      <c r="AN30" s="30"/>
      <c r="AO30" s="9"/>
      <c r="AP30" s="78"/>
      <c r="AQ30" s="79"/>
      <c r="AR30" s="80"/>
      <c r="AS30" s="30"/>
      <c r="AT30" s="30"/>
      <c r="AU30" s="80"/>
      <c r="AV30" s="78"/>
      <c r="AW30" s="79"/>
      <c r="AX30" s="80"/>
      <c r="AY30" s="30"/>
      <c r="AZ30" s="30"/>
      <c r="BA30" s="80"/>
      <c r="BB30" s="78"/>
      <c r="BC30" s="79"/>
      <c r="BD30" s="80"/>
      <c r="BE30" s="30"/>
      <c r="BF30" s="30"/>
      <c r="BG30" s="80"/>
      <c r="BH30" s="78"/>
      <c r="BI30" s="79"/>
      <c r="BJ30" s="80"/>
      <c r="BK30" s="30"/>
      <c r="BL30" s="30"/>
      <c r="BM30" s="80"/>
      <c r="BN30" s="78"/>
      <c r="BO30" s="79"/>
      <c r="BP30" s="80"/>
      <c r="BQ30" s="30"/>
      <c r="BR30" s="30"/>
      <c r="BS30" s="9"/>
      <c r="BT30" s="27"/>
      <c r="BU30" s="27"/>
      <c r="BV30" s="28"/>
      <c r="BW30" s="29"/>
      <c r="BX30" s="30"/>
      <c r="BY30" s="30"/>
      <c r="BZ30" s="30"/>
      <c r="CA30" s="27"/>
      <c r="CB30" s="27"/>
      <c r="CC30" s="28"/>
      <c r="CD30" s="29"/>
      <c r="CE30" s="30"/>
      <c r="CF30" s="30"/>
      <c r="CG30" s="30"/>
      <c r="CH30" s="27"/>
      <c r="CI30" s="27"/>
      <c r="CJ30" s="28"/>
      <c r="CK30" s="29"/>
      <c r="CL30" s="30"/>
      <c r="CM30" s="30"/>
      <c r="CN30" s="30"/>
      <c r="CO30" s="27"/>
      <c r="CP30" s="27"/>
      <c r="CQ30" s="28"/>
      <c r="CR30" s="29"/>
      <c r="CS30" s="30"/>
      <c r="CT30" s="30"/>
      <c r="CU30" s="30"/>
      <c r="CV30" s="27"/>
      <c r="CW30" s="27"/>
      <c r="CX30" s="28"/>
      <c r="CY30" s="29"/>
      <c r="CZ30" s="30"/>
      <c r="DA30" s="30"/>
      <c r="DB30" s="30"/>
      <c r="DC30" s="27"/>
      <c r="DD30" s="27"/>
      <c r="DE30" s="28"/>
      <c r="DF30" s="29"/>
      <c r="DG30" s="30"/>
      <c r="DH30" s="30"/>
      <c r="DI30" s="30"/>
      <c r="DJ30" s="27"/>
      <c r="DK30" s="27"/>
      <c r="DL30" s="28"/>
      <c r="DM30" s="29"/>
      <c r="DN30" s="30"/>
      <c r="DO30" s="30"/>
      <c r="DP30" s="8"/>
      <c r="DQ30" s="27"/>
      <c r="DR30" s="27"/>
      <c r="DS30" s="28"/>
      <c r="DT30" s="29"/>
      <c r="DU30" s="29"/>
      <c r="DV30" s="27"/>
      <c r="DW30" s="27"/>
      <c r="DX30" s="28"/>
      <c r="DY30" s="29"/>
      <c r="DZ30" s="10"/>
      <c r="EA30" s="10"/>
      <c r="EB30" s="29"/>
      <c r="EC30" s="27"/>
      <c r="ED30" s="27"/>
      <c r="EE30" s="28"/>
      <c r="EF30" s="29"/>
      <c r="EG30" s="10"/>
      <c r="EH30" s="10"/>
      <c r="EI30" s="29"/>
      <c r="EJ30" s="27"/>
      <c r="EK30" s="27"/>
      <c r="EL30" s="28"/>
      <c r="EM30" s="29"/>
      <c r="EN30" s="10"/>
      <c r="EO30" s="10"/>
      <c r="EP30" s="29"/>
      <c r="EQ30" s="8"/>
      <c r="ER30" s="8"/>
      <c r="ES30" s="69"/>
      <c r="ET30" s="9"/>
      <c r="EU30" s="10"/>
      <c r="EV30" s="10"/>
      <c r="EW30" s="29"/>
      <c r="EX30" s="88"/>
      <c r="EY30" s="88"/>
      <c r="EZ30" s="28"/>
      <c r="FA30" s="29"/>
      <c r="FB30" s="30"/>
      <c r="FC30" s="30"/>
      <c r="FD30" s="30"/>
      <c r="FE30" s="27"/>
      <c r="FF30" s="27"/>
      <c r="FG30" s="28"/>
      <c r="FH30" s="29"/>
      <c r="FI30" s="30"/>
      <c r="FJ30" s="30"/>
      <c r="FK30" s="30"/>
      <c r="FL30" s="88"/>
      <c r="FM30" s="88"/>
      <c r="FN30" s="28"/>
      <c r="FO30" s="29"/>
      <c r="FP30" s="30"/>
      <c r="FQ30" s="30"/>
      <c r="FR30" s="30"/>
      <c r="FS30" s="88"/>
      <c r="FT30" s="88"/>
      <c r="FU30" s="28"/>
      <c r="FV30" s="29"/>
      <c r="FW30" s="30"/>
      <c r="FX30" s="30"/>
      <c r="FY30" s="30"/>
      <c r="FZ30" s="88"/>
      <c r="GA30" s="88"/>
      <c r="GB30" s="28"/>
      <c r="GC30" s="29"/>
      <c r="GD30" s="30"/>
      <c r="GE30" s="30"/>
      <c r="GF30" s="30"/>
      <c r="GG30" s="88"/>
      <c r="GH30" s="88"/>
      <c r="GI30" s="28"/>
      <c r="GJ30" s="29"/>
      <c r="GK30" s="30"/>
      <c r="GL30" s="30"/>
      <c r="GM30" s="10"/>
      <c r="GN30" s="88"/>
      <c r="GO30" s="88"/>
      <c r="GP30" s="28"/>
      <c r="GQ30" s="29"/>
      <c r="GR30" s="9"/>
      <c r="GS30" s="3"/>
      <c r="GT30" s="3"/>
      <c r="GU30" s="69"/>
      <c r="GV30" s="9"/>
      <c r="GW30" s="10"/>
      <c r="GX30" s="10"/>
      <c r="GY30" s="9"/>
      <c r="GZ30" s="27"/>
      <c r="HA30" s="27"/>
      <c r="HB30" s="28"/>
      <c r="HC30" s="29"/>
      <c r="HD30" s="10"/>
      <c r="HE30" s="10"/>
      <c r="HF30" s="9"/>
      <c r="HG30" s="27"/>
      <c r="HH30" s="27"/>
      <c r="HI30" s="28"/>
      <c r="HJ30" s="29"/>
      <c r="HK30" s="10"/>
      <c r="HL30" s="10"/>
      <c r="HM30" s="29"/>
      <c r="HN30" s="8"/>
      <c r="HO30" s="8"/>
      <c r="HP30" s="69"/>
      <c r="HQ30" s="9"/>
      <c r="HR30" s="10"/>
      <c r="HS30" s="10"/>
      <c r="HT30" s="9"/>
      <c r="HU30" s="88"/>
      <c r="HV30" s="88"/>
      <c r="HW30" s="28"/>
      <c r="HX30" s="29"/>
      <c r="HY30" s="30"/>
      <c r="HZ30" s="30"/>
      <c r="IA30" s="30"/>
      <c r="IB30" s="88"/>
      <c r="IC30" s="88"/>
      <c r="ID30" s="28"/>
      <c r="IE30" s="29"/>
      <c r="IF30" s="30"/>
      <c r="IG30" s="30"/>
      <c r="IH30" s="30"/>
      <c r="II30" s="88"/>
      <c r="IJ30" s="88"/>
      <c r="IK30" s="28"/>
      <c r="IL30" s="29"/>
      <c r="IM30" s="30"/>
      <c r="IN30" s="30"/>
      <c r="IO30" s="30"/>
      <c r="IP30" s="88"/>
      <c r="IQ30" s="88"/>
      <c r="IR30" s="28"/>
      <c r="IS30" s="29"/>
      <c r="IT30" s="30"/>
      <c r="IU30" s="30"/>
      <c r="IV30" s="30"/>
      <c r="IW30" s="88"/>
      <c r="IX30" s="88"/>
      <c r="IY30" s="28"/>
      <c r="IZ30" s="29"/>
      <c r="JA30" s="30"/>
      <c r="JB30" s="30"/>
      <c r="JC30" s="30"/>
      <c r="JD30" s="88"/>
      <c r="JE30" s="88"/>
      <c r="JF30" s="28"/>
      <c r="JG30" s="29"/>
      <c r="JH30" s="30"/>
      <c r="JI30" s="30"/>
      <c r="JK30" s="27"/>
      <c r="JL30" s="27"/>
      <c r="JM30" s="28"/>
      <c r="JN30" s="29"/>
    </row>
    <row r="31" spans="1:274" x14ac:dyDescent="0.2">
      <c r="A31" s="73"/>
      <c r="B31" s="7" t="s">
        <v>28</v>
      </c>
      <c r="C31" s="27">
        <v>2688</v>
      </c>
      <c r="D31" s="27">
        <v>2687.0343579099299</v>
      </c>
      <c r="E31" s="28">
        <v>4.0024501892320838</v>
      </c>
      <c r="F31" s="29">
        <v>1.9366686304725107E-2</v>
      </c>
      <c r="G31" s="29"/>
      <c r="H31" s="3">
        <v>862</v>
      </c>
      <c r="I31" s="3">
        <v>862.05727438001168</v>
      </c>
      <c r="J31" s="28">
        <v>3.9167388152815938</v>
      </c>
      <c r="K31" s="29">
        <v>3.5838837009696645E-2</v>
      </c>
      <c r="L31" s="30">
        <f t="shared" si="37"/>
        <v>2.1040256763585532</v>
      </c>
      <c r="M31" s="30" t="str">
        <f t="shared" si="38"/>
        <v>*</v>
      </c>
      <c r="N31" s="9"/>
      <c r="O31" s="27">
        <v>514</v>
      </c>
      <c r="P31" s="27">
        <v>513.16516674000138</v>
      </c>
      <c r="Q31" s="28">
        <v>3.9590374299885984</v>
      </c>
      <c r="R31" s="29">
        <v>4.5325778400359534E-2</v>
      </c>
      <c r="S31" s="30">
        <f t="shared" si="39"/>
        <v>0.88076370451247099</v>
      </c>
      <c r="T31" s="30" t="str">
        <f t="shared" si="40"/>
        <v xml:space="preserve"> </v>
      </c>
      <c r="U31" s="30"/>
      <c r="V31" s="27">
        <v>673</v>
      </c>
      <c r="W31" s="27">
        <v>675.63399833000619</v>
      </c>
      <c r="X31" s="28">
        <v>3.9022251778873107</v>
      </c>
      <c r="Y31" s="29">
        <v>3.85685579136264E-2</v>
      </c>
      <c r="Z31" s="30">
        <f t="shared" si="41"/>
        <v>2.3222878956377788</v>
      </c>
      <c r="AA31" s="30" t="str">
        <f t="shared" si="42"/>
        <v>*</v>
      </c>
      <c r="AB31" s="9"/>
      <c r="AC31" s="8">
        <v>1127</v>
      </c>
      <c r="AD31" s="8">
        <v>1126.9652972200024</v>
      </c>
      <c r="AE31" s="69">
        <v>3.7755778469098451</v>
      </c>
      <c r="AF31" s="9">
        <v>2.8340631392775338E-2</v>
      </c>
      <c r="AG31" s="30">
        <f t="shared" si="43"/>
        <v>6.609384252124987</v>
      </c>
      <c r="AH31" s="30" t="str">
        <f t="shared" si="44"/>
        <v>*</v>
      </c>
      <c r="AI31" s="9"/>
      <c r="AJ31" s="81">
        <v>5316</v>
      </c>
      <c r="AK31" s="83">
        <v>4.2215167459034957</v>
      </c>
      <c r="AL31" s="84">
        <v>1.2382404373172753E-2</v>
      </c>
      <c r="AM31" s="30">
        <f t="shared" si="45"/>
        <v>-9.5301068375490186</v>
      </c>
      <c r="AN31" s="30" t="str">
        <f t="shared" si="46"/>
        <v>*</v>
      </c>
      <c r="AO31" s="9"/>
      <c r="AP31" s="78">
        <v>700</v>
      </c>
      <c r="AQ31" s="79">
        <v>4.5025983210898772</v>
      </c>
      <c r="AR31" s="80">
        <v>3.1171402712093319E-2</v>
      </c>
      <c r="AS31" s="30">
        <f t="shared" si="47"/>
        <v>-13.628849894402613</v>
      </c>
      <c r="AT31" s="30" t="str">
        <f t="shared" si="48"/>
        <v>*</v>
      </c>
      <c r="AU31" s="80"/>
      <c r="AV31" s="78">
        <v>763</v>
      </c>
      <c r="AW31" s="79">
        <v>4.3587223693287145</v>
      </c>
      <c r="AX31" s="80">
        <v>2.817180723976051E-2</v>
      </c>
      <c r="AY31" s="30">
        <f t="shared" si="49"/>
        <v>-10.421417875394855</v>
      </c>
      <c r="AZ31" s="30" t="str">
        <f t="shared" si="50"/>
        <v>*</v>
      </c>
      <c r="BA31" s="80"/>
      <c r="BB31" s="78">
        <v>877</v>
      </c>
      <c r="BC31" s="79">
        <v>4.3773460759610776</v>
      </c>
      <c r="BD31" s="80">
        <v>2.7036170099008751E-2</v>
      </c>
      <c r="BE31" s="30">
        <f t="shared" si="51"/>
        <v>-11.272716631001483</v>
      </c>
      <c r="BF31" s="30" t="str">
        <f t="shared" si="52"/>
        <v>*</v>
      </c>
      <c r="BG31" s="80"/>
      <c r="BH31" s="78">
        <v>1085</v>
      </c>
      <c r="BI31" s="79">
        <v>4.2368542574999273</v>
      </c>
      <c r="BJ31" s="80">
        <v>2.6725888993151287E-2</v>
      </c>
      <c r="BK31" s="30">
        <f t="shared" si="53"/>
        <v>-7.1020395154904055</v>
      </c>
      <c r="BL31" s="30" t="str">
        <f t="shared" si="54"/>
        <v>*</v>
      </c>
      <c r="BM31" s="80"/>
      <c r="BN31" s="78">
        <v>1136</v>
      </c>
      <c r="BO31" s="79">
        <v>4.1870660637770252</v>
      </c>
      <c r="BP31" s="80">
        <v>2.6271752981217124E-2</v>
      </c>
      <c r="BQ31" s="30">
        <f t="shared" si="55"/>
        <v>-5.6563786110269456</v>
      </c>
      <c r="BR31" s="30" t="str">
        <f t="shared" si="56"/>
        <v>*</v>
      </c>
      <c r="BS31" s="9"/>
      <c r="BT31" s="27">
        <v>10530</v>
      </c>
      <c r="BU31" s="27">
        <v>10546.388211129091</v>
      </c>
      <c r="BV31" s="28">
        <v>4.2119579359397266</v>
      </c>
      <c r="BW31" s="29">
        <v>9.3023968603640692E-3</v>
      </c>
      <c r="BX31" s="30">
        <f t="shared" si="57"/>
        <v>-9.7513717986948141</v>
      </c>
      <c r="BY31" s="30" t="str">
        <f t="shared" si="58"/>
        <v>*</v>
      </c>
      <c r="BZ31" s="30"/>
      <c r="CA31" s="27">
        <v>453</v>
      </c>
      <c r="CB31" s="27">
        <v>453</v>
      </c>
      <c r="CC31" s="28">
        <v>4.1169977924944794</v>
      </c>
      <c r="CD31" s="29">
        <v>4.0194242872845357E-2</v>
      </c>
      <c r="CE31" s="30">
        <f t="shared" si="59"/>
        <v>-2.5673733083756307</v>
      </c>
      <c r="CF31" s="30" t="str">
        <f t="shared" si="0"/>
        <v>*</v>
      </c>
      <c r="CG31" s="30"/>
      <c r="CH31" s="27">
        <v>2890</v>
      </c>
      <c r="CI31" s="27">
        <v>2906.8310269399039</v>
      </c>
      <c r="CJ31" s="28">
        <v>3.9054605271950358</v>
      </c>
      <c r="CK31" s="29">
        <v>1.9480519365628359E-2</v>
      </c>
      <c r="CL31" s="30">
        <f t="shared" si="60"/>
        <v>3.5308461501524038</v>
      </c>
      <c r="CM31" s="30" t="str">
        <f t="shared" si="1"/>
        <v>*</v>
      </c>
      <c r="CN31" s="30"/>
      <c r="CO31" s="27">
        <v>2542</v>
      </c>
      <c r="CP31" s="27">
        <v>2542.0900715699963</v>
      </c>
      <c r="CQ31" s="28">
        <v>4.2361209468826102</v>
      </c>
      <c r="CR31" s="29">
        <v>1.6749194259201794E-2</v>
      </c>
      <c r="CS31" s="30">
        <f t="shared" si="61"/>
        <v>-9.1260649203898883</v>
      </c>
      <c r="CT31" s="30" t="str">
        <f t="shared" si="2"/>
        <v>*</v>
      </c>
      <c r="CU31" s="30"/>
      <c r="CV31" s="27">
        <v>525</v>
      </c>
      <c r="CW31" s="27">
        <v>525.42064540000354</v>
      </c>
      <c r="CX31" s="28">
        <v>4.9579610437591697</v>
      </c>
      <c r="CY31" s="29">
        <v>1.0292850408887942E-2</v>
      </c>
      <c r="CZ31" s="30">
        <f t="shared" si="62"/>
        <v>-43.567032721722313</v>
      </c>
      <c r="DA31" s="30" t="str">
        <f t="shared" si="3"/>
        <v>*</v>
      </c>
      <c r="DB31" s="30"/>
      <c r="DC31" s="27">
        <v>889</v>
      </c>
      <c r="DD31" s="27">
        <v>889.0121093099882</v>
      </c>
      <c r="DE31" s="28">
        <v>4.9066737943599064</v>
      </c>
      <c r="DF31" s="29">
        <v>1.0390330540517502E-2</v>
      </c>
      <c r="DG31" s="30">
        <f t="shared" si="63"/>
        <v>-41.142427127656383</v>
      </c>
      <c r="DH31" s="30" t="str">
        <f t="shared" si="4"/>
        <v>*</v>
      </c>
      <c r="DI31" s="30"/>
      <c r="DJ31" s="27">
        <v>543</v>
      </c>
      <c r="DK31" s="27">
        <v>543</v>
      </c>
      <c r="DL31" s="28">
        <v>4.9963167587476951</v>
      </c>
      <c r="DM31" s="29">
        <v>2.6020411325883151E-3</v>
      </c>
      <c r="DN31" s="30">
        <f t="shared" si="64"/>
        <v>-50.861346279447488</v>
      </c>
      <c r="DO31" s="30" t="str">
        <f t="shared" si="5"/>
        <v>*</v>
      </c>
      <c r="DP31" s="8"/>
      <c r="DQ31" s="27">
        <v>831</v>
      </c>
      <c r="DR31" s="27">
        <v>829.41685543000392</v>
      </c>
      <c r="DS31" s="28">
        <v>3.904442962533107</v>
      </c>
      <c r="DT31" s="29">
        <v>3.6356290021278742E-2</v>
      </c>
      <c r="DU31" s="29"/>
      <c r="DV31" s="27">
        <v>584</v>
      </c>
      <c r="DW31" s="27">
        <v>583.83302063999508</v>
      </c>
      <c r="DX31" s="28">
        <v>3.9379847353609594</v>
      </c>
      <c r="DY31" s="29">
        <v>4.2609409830115158E-2</v>
      </c>
      <c r="DZ31" s="10">
        <f t="shared" si="6"/>
        <v>-0.59883214785483951</v>
      </c>
      <c r="EA31" s="10" t="str">
        <f t="shared" si="7"/>
        <v xml:space="preserve"> </v>
      </c>
      <c r="EB31" s="29"/>
      <c r="EC31" s="27">
        <v>610</v>
      </c>
      <c r="ED31" s="27">
        <v>610.44666674000086</v>
      </c>
      <c r="EE31" s="28">
        <v>3.9735194784233556</v>
      </c>
      <c r="EF31" s="29">
        <v>4.1914785254285172E-2</v>
      </c>
      <c r="EG31" s="10">
        <f t="shared" si="8"/>
        <v>-1.2449495226053002</v>
      </c>
      <c r="EH31" s="10" t="str">
        <f t="shared" si="9"/>
        <v xml:space="preserve"> </v>
      </c>
      <c r="EI31" s="29"/>
      <c r="EJ31" s="27">
        <v>588</v>
      </c>
      <c r="EK31" s="27">
        <v>592.53572407000172</v>
      </c>
      <c r="EL31" s="28">
        <v>4.0164410043213685</v>
      </c>
      <c r="EM31" s="29">
        <v>4.0397973435331407E-2</v>
      </c>
      <c r="EN31" s="10">
        <f t="shared" si="10"/>
        <v>-2.0607326148362928</v>
      </c>
      <c r="EO31" s="10" t="str">
        <f t="shared" si="65"/>
        <v>*</v>
      </c>
      <c r="EP31" s="29"/>
      <c r="EQ31" s="8">
        <v>664</v>
      </c>
      <c r="ER31" s="8">
        <v>663.48228593999897</v>
      </c>
      <c r="ES31" s="69">
        <v>3.9726352902635864</v>
      </c>
      <c r="ET31" s="9">
        <v>4.0185910062353544E-2</v>
      </c>
      <c r="EU31" s="10">
        <f t="shared" si="11"/>
        <v>-1.258365116898283</v>
      </c>
      <c r="EV31" s="10" t="str">
        <f t="shared" si="66"/>
        <v xml:space="preserve"> </v>
      </c>
      <c r="EW31" s="29"/>
      <c r="EX31" s="88">
        <v>4063</v>
      </c>
      <c r="EY31" s="88">
        <v>4061.3264213898083</v>
      </c>
      <c r="EZ31" s="28">
        <v>4.1689878658546942</v>
      </c>
      <c r="FA31" s="29">
        <v>1.4020725948143407E-2</v>
      </c>
      <c r="FB31" s="30">
        <f t="shared" si="12"/>
        <v>-6.7890958295663744</v>
      </c>
      <c r="FC31" s="30" t="str">
        <f t="shared" si="67"/>
        <v>*</v>
      </c>
      <c r="FD31" s="30"/>
      <c r="FE31" s="27">
        <v>909</v>
      </c>
      <c r="FF31" s="27">
        <v>908.98227788000145</v>
      </c>
      <c r="FG31" s="28">
        <v>4.2123106617987087</v>
      </c>
      <c r="FH31" s="29">
        <v>2.7759586262905572E-2</v>
      </c>
      <c r="FI31" s="30">
        <f t="shared" si="13"/>
        <v>-6.7304549502805875</v>
      </c>
      <c r="FJ31" s="30" t="str">
        <f t="shared" si="14"/>
        <v>*</v>
      </c>
      <c r="FK31" s="30"/>
      <c r="FL31" s="88">
        <v>316</v>
      </c>
      <c r="FM31" s="88">
        <v>315.97948077999882</v>
      </c>
      <c r="FN31" s="28">
        <v>4.3416062695386017</v>
      </c>
      <c r="FO31" s="29">
        <v>4.5825525485002468E-2</v>
      </c>
      <c r="FP31" s="30">
        <f t="shared" si="15"/>
        <v>-7.4734136038471055</v>
      </c>
      <c r="FQ31" s="30" t="str">
        <f t="shared" si="16"/>
        <v>*</v>
      </c>
      <c r="FR31" s="30"/>
      <c r="FS31" s="88">
        <v>535</v>
      </c>
      <c r="FT31" s="88">
        <v>534.88625744999717</v>
      </c>
      <c r="FU31" s="28">
        <v>4.1601841230478991</v>
      </c>
      <c r="FV31" s="29">
        <v>3.3595873219039708E-2</v>
      </c>
      <c r="FW31" s="30">
        <f t="shared" si="17"/>
        <v>-5.1662640491350915</v>
      </c>
      <c r="FX31" s="30" t="str">
        <f t="shared" si="18"/>
        <v>*</v>
      </c>
      <c r="FY31" s="30"/>
      <c r="FZ31" s="88">
        <v>1109</v>
      </c>
      <c r="GA31" s="88">
        <v>1109.048588490009</v>
      </c>
      <c r="GB31" s="28">
        <v>4.195668870464428</v>
      </c>
      <c r="GC31" s="29">
        <v>2.6585734286382008E-2</v>
      </c>
      <c r="GD31" s="30">
        <f t="shared" si="19"/>
        <v>-6.4659720255465229</v>
      </c>
      <c r="GE31" s="30" t="str">
        <f t="shared" si="20"/>
        <v>*</v>
      </c>
      <c r="GF31" s="30"/>
      <c r="GG31" s="88">
        <v>363</v>
      </c>
      <c r="GH31" s="88">
        <v>363.01296135999922</v>
      </c>
      <c r="GI31" s="28">
        <v>4.4461486170445177</v>
      </c>
      <c r="GJ31" s="29">
        <v>3.89819554197018E-2</v>
      </c>
      <c r="GK31" s="30">
        <f t="shared" si="21"/>
        <v>-10.16246983075469</v>
      </c>
      <c r="GL31" s="30" t="str">
        <f t="shared" si="22"/>
        <v>*</v>
      </c>
      <c r="GM31" s="10"/>
      <c r="GN31" s="88">
        <v>809</v>
      </c>
      <c r="GO31" s="88">
        <v>808.9626471600078</v>
      </c>
      <c r="GP31" s="28">
        <v>3.9542207607730537</v>
      </c>
      <c r="GQ31" s="29">
        <v>3.7380158978277685E-2</v>
      </c>
      <c r="GR31" s="9"/>
      <c r="GS31" s="3">
        <v>563</v>
      </c>
      <c r="GT31" s="3">
        <v>562.99921505999566</v>
      </c>
      <c r="GU31" s="69">
        <v>4.0214843749625979</v>
      </c>
      <c r="GV31" s="9">
        <v>4.3181926729826368E-2</v>
      </c>
      <c r="GW31" s="10">
        <f t="shared" si="23"/>
        <v>-1.177717723583281</v>
      </c>
      <c r="GX31" s="10" t="str">
        <f t="shared" si="68"/>
        <v xml:space="preserve"> </v>
      </c>
      <c r="GY31" s="9"/>
      <c r="GZ31" s="27">
        <v>632</v>
      </c>
      <c r="HA31" s="27">
        <v>632.27236061000349</v>
      </c>
      <c r="HB31" s="28">
        <v>4.132489420523112</v>
      </c>
      <c r="HC31" s="29">
        <v>3.7775584043525358E-2</v>
      </c>
      <c r="HD31" s="10">
        <f t="shared" si="24"/>
        <v>-3.3544537888094723</v>
      </c>
      <c r="HE31" s="10" t="str">
        <f t="shared" si="69"/>
        <v>*</v>
      </c>
      <c r="HF31" s="9"/>
      <c r="HG31" s="27">
        <v>1199</v>
      </c>
      <c r="HH31" s="27">
        <v>1199.3490833599949</v>
      </c>
      <c r="HI31" s="28">
        <v>3.9414274761913375</v>
      </c>
      <c r="HJ31" s="29">
        <v>2.9753504317230887E-2</v>
      </c>
      <c r="HK31" s="10">
        <f t="shared" si="25"/>
        <v>0.26777631906147448</v>
      </c>
      <c r="HL31" s="10" t="str">
        <f t="shared" si="70"/>
        <v xml:space="preserve"> </v>
      </c>
      <c r="HM31" s="29"/>
      <c r="HN31" s="8">
        <v>1198</v>
      </c>
      <c r="HO31" s="8">
        <v>1198.251422219997</v>
      </c>
      <c r="HP31" s="69">
        <v>3.9030302118776343</v>
      </c>
      <c r="HQ31" s="9">
        <v>2.9968621997112449E-2</v>
      </c>
      <c r="HR31" s="10">
        <f t="shared" si="26"/>
        <v>1.0684669905291444</v>
      </c>
      <c r="HS31" s="10" t="str">
        <f t="shared" si="71"/>
        <v xml:space="preserve"> </v>
      </c>
      <c r="HT31" s="9"/>
      <c r="HU31" s="88">
        <v>4318</v>
      </c>
      <c r="HV31" s="88">
        <v>4318.1325071398924</v>
      </c>
      <c r="HW31" s="28">
        <v>4.1728054181167948</v>
      </c>
      <c r="HX31" s="29">
        <v>1.4351046606979133E-2</v>
      </c>
      <c r="HY31" s="30">
        <f t="shared" si="27"/>
        <v>-5.4591109259486119</v>
      </c>
      <c r="HZ31" s="30" t="str">
        <f t="shared" si="72"/>
        <v>*</v>
      </c>
      <c r="IA31" s="30"/>
      <c r="IB31" s="88">
        <v>909</v>
      </c>
      <c r="IC31" s="88">
        <v>908.98227788000145</v>
      </c>
      <c r="ID31" s="28">
        <v>4.2123106617987087</v>
      </c>
      <c r="IE31" s="29">
        <v>2.7759586262905572E-2</v>
      </c>
      <c r="IF31" s="30">
        <f t="shared" si="28"/>
        <v>-5.5431202709396805</v>
      </c>
      <c r="IG31" s="30" t="str">
        <f t="shared" si="29"/>
        <v>*</v>
      </c>
      <c r="IH31" s="30"/>
      <c r="II31" s="88">
        <v>547</v>
      </c>
      <c r="IJ31" s="88">
        <v>547.11247490000301</v>
      </c>
      <c r="IK31" s="28">
        <v>4.333615358328947</v>
      </c>
      <c r="IL31" s="29">
        <v>3.6627896513550411E-2</v>
      </c>
      <c r="IM31" s="30">
        <f t="shared" si="30"/>
        <v>-7.2494442159380297</v>
      </c>
      <c r="IN31" s="30" t="str">
        <f t="shared" si="74"/>
        <v>*</v>
      </c>
      <c r="IO31" s="30"/>
      <c r="IP31" s="88">
        <v>697</v>
      </c>
      <c r="IQ31" s="88">
        <v>697.10063450000746</v>
      </c>
      <c r="IR31" s="28">
        <v>4.2179423487528025</v>
      </c>
      <c r="IS31" s="29">
        <v>3.6503080284173858E-2</v>
      </c>
      <c r="IT31" s="30">
        <f t="shared" si="32"/>
        <v>-5.0475909486509272</v>
      </c>
      <c r="IU31" s="30" t="str">
        <f t="shared" si="33"/>
        <v>*</v>
      </c>
      <c r="IV31" s="30"/>
      <c r="IW31" s="88">
        <v>316</v>
      </c>
      <c r="IX31" s="88">
        <v>315.97948077999882</v>
      </c>
      <c r="IY31" s="28">
        <v>4.3416062695386017</v>
      </c>
      <c r="IZ31" s="29">
        <v>4.5825525485002468E-2</v>
      </c>
      <c r="JA31" s="30">
        <f t="shared" si="34"/>
        <v>-6.5505794191838058</v>
      </c>
      <c r="JB31" s="30" t="str">
        <f t="shared" si="73"/>
        <v>*</v>
      </c>
      <c r="JC31" s="30"/>
      <c r="JD31" s="88">
        <v>1040</v>
      </c>
      <c r="JE31" s="88">
        <v>1039.9949919200105</v>
      </c>
      <c r="JF31" s="28">
        <v>4.1421644473855066</v>
      </c>
      <c r="JG31" s="29">
        <v>2.9930875070846748E-2</v>
      </c>
      <c r="JH31" s="30">
        <f t="shared" si="35"/>
        <v>-3.9247596471888322</v>
      </c>
      <c r="JI31" s="30" t="str">
        <f t="shared" si="36"/>
        <v>*</v>
      </c>
      <c r="JK31" s="27"/>
      <c r="JL31" s="27"/>
      <c r="JM31" s="28"/>
      <c r="JN31" s="29"/>
    </row>
    <row r="32" spans="1:274" x14ac:dyDescent="0.2">
      <c r="B32" s="7" t="s">
        <v>29</v>
      </c>
      <c r="C32" s="27">
        <v>2437</v>
      </c>
      <c r="D32" s="27">
        <v>2434.7867659599397</v>
      </c>
      <c r="E32" s="28">
        <v>3.5876324990643984</v>
      </c>
      <c r="F32" s="29">
        <v>2.3386126886303722E-2</v>
      </c>
      <c r="G32" s="29"/>
      <c r="H32" s="3">
        <v>791</v>
      </c>
      <c r="I32" s="3">
        <v>790.99549316000878</v>
      </c>
      <c r="J32" s="28">
        <v>3.478946744116743</v>
      </c>
      <c r="K32" s="29">
        <v>4.3280585149048041E-2</v>
      </c>
      <c r="L32" s="30">
        <f t="shared" si="37"/>
        <v>2.2092973808326755</v>
      </c>
      <c r="M32" s="30" t="str">
        <f t="shared" si="38"/>
        <v>*</v>
      </c>
      <c r="N32" s="9"/>
      <c r="O32" s="27">
        <v>936</v>
      </c>
      <c r="P32" s="27">
        <v>937.50814476000471</v>
      </c>
      <c r="Q32" s="28">
        <v>3.7074288123755781</v>
      </c>
      <c r="R32" s="29">
        <v>2.9629139842518457E-2</v>
      </c>
      <c r="S32" s="30">
        <f t="shared" si="39"/>
        <v>-3.1737080874365109</v>
      </c>
      <c r="T32" s="30" t="str">
        <f t="shared" si="40"/>
        <v>*</v>
      </c>
      <c r="U32" s="30"/>
      <c r="V32" s="27">
        <v>888</v>
      </c>
      <c r="W32" s="27">
        <v>888.75164203001327</v>
      </c>
      <c r="X32" s="28">
        <v>3.6811336218825987</v>
      </c>
      <c r="Y32" s="29">
        <v>3.2583641624977767E-2</v>
      </c>
      <c r="Z32" s="30">
        <f t="shared" si="41"/>
        <v>-2.3312678189305327</v>
      </c>
      <c r="AA32" s="30" t="str">
        <f t="shared" si="42"/>
        <v>*</v>
      </c>
      <c r="AB32" s="9"/>
      <c r="AC32" s="8">
        <v>980</v>
      </c>
      <c r="AD32" s="8">
        <v>982.85133504000044</v>
      </c>
      <c r="AE32" s="69">
        <v>3.4326107478326766</v>
      </c>
      <c r="AF32" s="9">
        <v>3.2787310279986222E-2</v>
      </c>
      <c r="AG32" s="30">
        <f t="shared" si="43"/>
        <v>3.8492676104367258</v>
      </c>
      <c r="AH32" s="30" t="str">
        <f t="shared" si="44"/>
        <v>*</v>
      </c>
      <c r="AI32" s="9"/>
      <c r="AJ32" s="81">
        <v>4834</v>
      </c>
      <c r="AK32" s="83">
        <v>3.9199655739567176</v>
      </c>
      <c r="AL32" s="84">
        <v>1.502146934061685E-2</v>
      </c>
      <c r="AM32" s="30">
        <f t="shared" si="45"/>
        <v>-11.956628327991083</v>
      </c>
      <c r="AN32" s="30" t="str">
        <f t="shared" si="46"/>
        <v>*</v>
      </c>
      <c r="AO32" s="9"/>
      <c r="AP32" s="78">
        <v>635</v>
      </c>
      <c r="AQ32" s="79">
        <v>4.3605194961347422</v>
      </c>
      <c r="AR32" s="80">
        <v>3.521946867672212E-2</v>
      </c>
      <c r="AS32" s="30">
        <f t="shared" si="47"/>
        <v>-18.281617238687282</v>
      </c>
      <c r="AT32" s="30" t="str">
        <f t="shared" si="48"/>
        <v>*</v>
      </c>
      <c r="AU32" s="80"/>
      <c r="AV32" s="78">
        <v>736</v>
      </c>
      <c r="AW32" s="79">
        <v>4.0031809537569432</v>
      </c>
      <c r="AX32" s="80">
        <v>3.6637274314545533E-2</v>
      </c>
      <c r="AY32" s="30">
        <f t="shared" si="49"/>
        <v>-9.5605441467807228</v>
      </c>
      <c r="AZ32" s="30" t="str">
        <f t="shared" si="50"/>
        <v>*</v>
      </c>
      <c r="BA32" s="80"/>
      <c r="BB32" s="78">
        <v>778</v>
      </c>
      <c r="BC32" s="79">
        <v>4.218856211277326</v>
      </c>
      <c r="BD32" s="80">
        <v>3.2272497018030727E-2</v>
      </c>
      <c r="BE32" s="30">
        <f t="shared" si="51"/>
        <v>-15.837985785699663</v>
      </c>
      <c r="BF32" s="30" t="str">
        <f t="shared" si="52"/>
        <v>*</v>
      </c>
      <c r="BG32" s="80"/>
      <c r="BH32" s="78">
        <v>1032</v>
      </c>
      <c r="BI32" s="79">
        <v>3.7460747500550693</v>
      </c>
      <c r="BJ32" s="80">
        <v>3.3125160655886061E-2</v>
      </c>
      <c r="BK32" s="30">
        <f t="shared" si="53"/>
        <v>-3.9074674815880805</v>
      </c>
      <c r="BL32" s="30" t="str">
        <f t="shared" si="54"/>
        <v>*</v>
      </c>
      <c r="BM32" s="80"/>
      <c r="BN32" s="78">
        <v>1032</v>
      </c>
      <c r="BO32" s="79">
        <v>3.7890825248035367</v>
      </c>
      <c r="BP32" s="80">
        <v>3.3851565543017124E-2</v>
      </c>
      <c r="BQ32" s="30">
        <f t="shared" si="55"/>
        <v>-4.8962033347826495</v>
      </c>
      <c r="BR32" s="30" t="str">
        <f t="shared" si="56"/>
        <v>*</v>
      </c>
      <c r="BS32" s="9"/>
      <c r="BT32" s="27">
        <v>9676</v>
      </c>
      <c r="BU32" s="27">
        <v>9687.2607126690418</v>
      </c>
      <c r="BV32" s="28">
        <v>3.9112928557465239</v>
      </c>
      <c r="BW32" s="29">
        <v>1.1216549296882178E-2</v>
      </c>
      <c r="BX32" s="30">
        <f t="shared" si="57"/>
        <v>-12.478768342717919</v>
      </c>
      <c r="BY32" s="30" t="str">
        <f t="shared" si="58"/>
        <v>*</v>
      </c>
      <c r="BZ32" s="30"/>
      <c r="CA32" s="27">
        <v>405</v>
      </c>
      <c r="CB32" s="27">
        <v>405</v>
      </c>
      <c r="CC32" s="28">
        <v>3.728395061728393</v>
      </c>
      <c r="CD32" s="29">
        <v>4.8326312148258249E-2</v>
      </c>
      <c r="CE32" s="30">
        <f t="shared" si="59"/>
        <v>-2.6218890275193205</v>
      </c>
      <c r="CF32" s="30" t="str">
        <f t="shared" si="0"/>
        <v>*</v>
      </c>
      <c r="CG32" s="30"/>
      <c r="CH32" s="27">
        <v>2692</v>
      </c>
      <c r="CI32" s="27">
        <v>2704.8267577499209</v>
      </c>
      <c r="CJ32" s="28">
        <v>3.5658490398080604</v>
      </c>
      <c r="CK32" s="29">
        <v>2.1666002433441151E-2</v>
      </c>
      <c r="CL32" s="30">
        <f t="shared" si="60"/>
        <v>0.68329808439880491</v>
      </c>
      <c r="CM32" s="30" t="str">
        <f t="shared" si="1"/>
        <v xml:space="preserve"> </v>
      </c>
      <c r="CN32" s="30"/>
      <c r="CO32" s="27">
        <v>2333</v>
      </c>
      <c r="CP32" s="27">
        <v>2332.9271473300323</v>
      </c>
      <c r="CQ32" s="28">
        <v>3.925224149562645</v>
      </c>
      <c r="CR32" s="29">
        <v>1.9866208810896978E-2</v>
      </c>
      <c r="CS32" s="30">
        <f t="shared" si="61"/>
        <v>-11.00179970095925</v>
      </c>
      <c r="CT32" s="30" t="str">
        <f t="shared" si="2"/>
        <v>*</v>
      </c>
      <c r="CU32" s="30"/>
      <c r="CV32" s="27">
        <v>416</v>
      </c>
      <c r="CW32" s="27">
        <v>416.70508336000165</v>
      </c>
      <c r="CX32" s="28">
        <v>4.8217049447994977</v>
      </c>
      <c r="CY32" s="29">
        <v>2.6019204005927155E-2</v>
      </c>
      <c r="CZ32" s="30">
        <f t="shared" si="62"/>
        <v>-35.274911291382701</v>
      </c>
      <c r="DA32" s="30" t="str">
        <f t="shared" si="3"/>
        <v>*</v>
      </c>
      <c r="DB32" s="30"/>
      <c r="DC32" s="27">
        <v>857</v>
      </c>
      <c r="DD32" s="27">
        <v>857.01495826998928</v>
      </c>
      <c r="DE32" s="28">
        <v>4.8623406293652627</v>
      </c>
      <c r="DF32" s="29">
        <v>1.4093394402251762E-2</v>
      </c>
      <c r="DG32" s="30">
        <f t="shared" si="63"/>
        <v>-46.684942243319256</v>
      </c>
      <c r="DH32" s="30" t="str">
        <f t="shared" si="4"/>
        <v>*</v>
      </c>
      <c r="DI32" s="30"/>
      <c r="DJ32" s="27">
        <v>536</v>
      </c>
      <c r="DK32" s="27">
        <v>536</v>
      </c>
      <c r="DL32" s="28">
        <v>4.9738805970149249</v>
      </c>
      <c r="DM32" s="29">
        <v>8.6858519516183515E-3</v>
      </c>
      <c r="DN32" s="30">
        <f t="shared" si="64"/>
        <v>-55.567631702019554</v>
      </c>
      <c r="DO32" s="30" t="str">
        <f t="shared" si="5"/>
        <v>*</v>
      </c>
      <c r="DP32" s="8"/>
      <c r="DQ32" s="27">
        <v>768</v>
      </c>
      <c r="DR32" s="27">
        <v>767.65496896000343</v>
      </c>
      <c r="DS32" s="28">
        <v>3.5402871859370597</v>
      </c>
      <c r="DT32" s="29">
        <v>4.3786986816339718E-2</v>
      </c>
      <c r="DU32" s="29"/>
      <c r="DV32" s="27">
        <v>551</v>
      </c>
      <c r="DW32" s="27">
        <v>550.91271918999564</v>
      </c>
      <c r="DX32" s="28">
        <v>3.4841194054879301</v>
      </c>
      <c r="DY32" s="29">
        <v>5.3107207325303593E-2</v>
      </c>
      <c r="DZ32" s="10">
        <f t="shared" si="6"/>
        <v>0.8160271313620131</v>
      </c>
      <c r="EA32" s="10" t="str">
        <f t="shared" si="7"/>
        <v xml:space="preserve"> </v>
      </c>
      <c r="EB32" s="29"/>
      <c r="EC32" s="27">
        <v>537</v>
      </c>
      <c r="ED32" s="27">
        <v>538.31754363999914</v>
      </c>
      <c r="EE32" s="28">
        <v>3.5599996116634043</v>
      </c>
      <c r="EF32" s="29">
        <v>5.1712276283503271E-2</v>
      </c>
      <c r="EG32" s="10">
        <f t="shared" si="8"/>
        <v>-0.2909140389906264</v>
      </c>
      <c r="EH32" s="10" t="str">
        <f t="shared" si="9"/>
        <v xml:space="preserve"> </v>
      </c>
      <c r="EI32" s="29"/>
      <c r="EJ32" s="27">
        <v>545</v>
      </c>
      <c r="EK32" s="27">
        <v>545.68737482000222</v>
      </c>
      <c r="EL32" s="28">
        <v>3.6229120773998558</v>
      </c>
      <c r="EM32" s="29">
        <v>5.111691608745228E-2</v>
      </c>
      <c r="EN32" s="10">
        <f t="shared" si="10"/>
        <v>-1.2275814839047905</v>
      </c>
      <c r="EO32" s="10" t="str">
        <f t="shared" si="65"/>
        <v xml:space="preserve"> </v>
      </c>
      <c r="EP32" s="29"/>
      <c r="EQ32" s="8">
        <v>574</v>
      </c>
      <c r="ER32" s="8">
        <v>573.9737145399971</v>
      </c>
      <c r="ES32" s="69">
        <v>3.6003012580918243</v>
      </c>
      <c r="ET32" s="9">
        <v>4.9601768092609577E-2</v>
      </c>
      <c r="EU32" s="10">
        <f t="shared" si="11"/>
        <v>-0.90705431093346234</v>
      </c>
      <c r="EV32" s="10" t="str">
        <f t="shared" si="66"/>
        <v xml:space="preserve"> </v>
      </c>
      <c r="EW32" s="29"/>
      <c r="EX32" s="88">
        <v>3706</v>
      </c>
      <c r="EY32" s="88">
        <v>3705.7871947798544</v>
      </c>
      <c r="EZ32" s="28">
        <v>3.761232848862361</v>
      </c>
      <c r="FA32" s="29">
        <v>1.7500107211979775E-2</v>
      </c>
      <c r="FB32" s="30">
        <f t="shared" si="12"/>
        <v>-4.6855615125364363</v>
      </c>
      <c r="FC32" s="30" t="str">
        <f t="shared" si="67"/>
        <v>*</v>
      </c>
      <c r="FD32" s="30"/>
      <c r="FE32" s="27">
        <v>878</v>
      </c>
      <c r="FF32" s="27">
        <v>878.00710764000155</v>
      </c>
      <c r="FG32" s="28">
        <v>3.8337110523029345</v>
      </c>
      <c r="FH32" s="29">
        <v>3.2307844174717527E-2</v>
      </c>
      <c r="FI32" s="30">
        <f t="shared" si="13"/>
        <v>-5.3922388056290069</v>
      </c>
      <c r="FJ32" s="30" t="str">
        <f t="shared" si="14"/>
        <v>*</v>
      </c>
      <c r="FK32" s="30"/>
      <c r="FL32" s="88">
        <v>267</v>
      </c>
      <c r="FM32" s="88">
        <v>266.97389522999913</v>
      </c>
      <c r="FN32" s="28">
        <v>4.1572011897786609</v>
      </c>
      <c r="FO32" s="29">
        <v>5.4295030353963436E-2</v>
      </c>
      <c r="FP32" s="30">
        <f t="shared" si="15"/>
        <v>-8.844474297710569</v>
      </c>
      <c r="FQ32" s="30" t="str">
        <f t="shared" si="16"/>
        <v>*</v>
      </c>
      <c r="FR32" s="30"/>
      <c r="FS32" s="88">
        <v>467</v>
      </c>
      <c r="FT32" s="88">
        <v>467.08604600999683</v>
      </c>
      <c r="FU32" s="28">
        <v>3.7864775521085376</v>
      </c>
      <c r="FV32" s="29">
        <v>4.3182853345591479E-2</v>
      </c>
      <c r="FW32" s="30">
        <f t="shared" si="17"/>
        <v>-4.0031964451130495</v>
      </c>
      <c r="FX32" s="30" t="str">
        <f t="shared" si="18"/>
        <v>*</v>
      </c>
      <c r="FY32" s="30"/>
      <c r="FZ32" s="88">
        <v>1022</v>
      </c>
      <c r="GA32" s="88">
        <v>1022.0223501600078</v>
      </c>
      <c r="GB32" s="28">
        <v>3.6750257378931037</v>
      </c>
      <c r="GC32" s="29">
        <v>3.4778841589314373E-2</v>
      </c>
      <c r="GD32" s="30">
        <f t="shared" si="19"/>
        <v>-2.4095564161134031</v>
      </c>
      <c r="GE32" s="30" t="str">
        <f t="shared" si="20"/>
        <v>*</v>
      </c>
      <c r="GF32" s="30"/>
      <c r="GG32" s="88">
        <v>304</v>
      </c>
      <c r="GH32" s="88">
        <v>304.04282677999936</v>
      </c>
      <c r="GI32" s="28">
        <v>4.0130874781100498</v>
      </c>
      <c r="GJ32" s="29">
        <v>5.5506186853939633E-2</v>
      </c>
      <c r="GK32" s="30">
        <f t="shared" si="21"/>
        <v>-6.6875849843669801</v>
      </c>
      <c r="GL32" s="30" t="str">
        <f t="shared" si="22"/>
        <v>*</v>
      </c>
      <c r="GM32" s="10"/>
      <c r="GN32" s="88">
        <v>739</v>
      </c>
      <c r="GO32" s="88">
        <v>738.96700581000709</v>
      </c>
      <c r="GP32" s="28">
        <v>3.2486013766590736</v>
      </c>
      <c r="GQ32" s="29">
        <v>4.784161299623739E-2</v>
      </c>
      <c r="GR32" s="9"/>
      <c r="GS32" s="3">
        <v>538</v>
      </c>
      <c r="GT32" s="3">
        <v>537.9831366599949</v>
      </c>
      <c r="GU32" s="69">
        <v>3.2048689684480878</v>
      </c>
      <c r="GV32" s="9">
        <v>5.840349819222803E-2</v>
      </c>
      <c r="GW32" s="10">
        <f t="shared" si="23"/>
        <v>0.57926064240008535</v>
      </c>
      <c r="GX32" s="10" t="str">
        <f t="shared" si="68"/>
        <v xml:space="preserve"> </v>
      </c>
      <c r="GY32" s="9"/>
      <c r="GZ32" s="27">
        <v>551</v>
      </c>
      <c r="HA32" s="27">
        <v>550.16530286000261</v>
      </c>
      <c r="HB32" s="28">
        <v>3.454541624271855</v>
      </c>
      <c r="HC32" s="29">
        <v>5.2151748026522615E-2</v>
      </c>
      <c r="HD32" s="10">
        <f t="shared" si="24"/>
        <v>-2.9099262530078613</v>
      </c>
      <c r="HE32" s="10" t="str">
        <f t="shared" si="69"/>
        <v>*</v>
      </c>
      <c r="HF32" s="9"/>
      <c r="HG32" s="27">
        <v>1111</v>
      </c>
      <c r="HH32" s="27">
        <v>1110.9402855099966</v>
      </c>
      <c r="HI32" s="28">
        <v>3.2411493505584921</v>
      </c>
      <c r="HJ32" s="29">
        <v>3.8584117156802281E-2</v>
      </c>
      <c r="HK32" s="10">
        <f t="shared" si="25"/>
        <v>0.12124644811826668</v>
      </c>
      <c r="HL32" s="10" t="str">
        <f t="shared" si="70"/>
        <v xml:space="preserve"> </v>
      </c>
      <c r="HM32" s="29"/>
      <c r="HN32" s="8">
        <v>1147</v>
      </c>
      <c r="HO32" s="8">
        <v>1146.5288475899956</v>
      </c>
      <c r="HP32" s="69">
        <v>3.2153419292667347</v>
      </c>
      <c r="HQ32" s="9">
        <v>3.8165803658824146E-2</v>
      </c>
      <c r="HR32" s="10">
        <f t="shared" si="26"/>
        <v>0.54345440586807026</v>
      </c>
      <c r="HS32" s="10" t="str">
        <f t="shared" si="71"/>
        <v xml:space="preserve"> </v>
      </c>
      <c r="HT32" s="9"/>
      <c r="HU32" s="88">
        <v>4048</v>
      </c>
      <c r="HV32" s="88">
        <v>4048.4780567298308</v>
      </c>
      <c r="HW32" s="28">
        <v>3.7898842604800795</v>
      </c>
      <c r="HX32" s="29">
        <v>1.7210376068476627E-2</v>
      </c>
      <c r="HY32" s="30">
        <f t="shared" si="27"/>
        <v>-10.646150328383818</v>
      </c>
      <c r="HZ32" s="30" t="str">
        <f t="shared" si="72"/>
        <v>*</v>
      </c>
      <c r="IA32" s="30"/>
      <c r="IB32" s="88">
        <v>878</v>
      </c>
      <c r="IC32" s="88">
        <v>878.00710764000155</v>
      </c>
      <c r="ID32" s="28">
        <v>3.8337110523029345</v>
      </c>
      <c r="IE32" s="29">
        <v>3.2307844174717527E-2</v>
      </c>
      <c r="IF32" s="30">
        <f t="shared" si="28"/>
        <v>-10.135486390277997</v>
      </c>
      <c r="IG32" s="30" t="str">
        <f t="shared" si="29"/>
        <v>*</v>
      </c>
      <c r="IH32" s="30"/>
      <c r="II32" s="88">
        <v>547</v>
      </c>
      <c r="IJ32" s="88">
        <v>547.55879616000311</v>
      </c>
      <c r="IK32" s="28">
        <v>4.0489043737545449</v>
      </c>
      <c r="IL32" s="29">
        <v>4.0234727688441246E-2</v>
      </c>
      <c r="IM32" s="30">
        <f t="shared" si="30"/>
        <v>-12.802548623586889</v>
      </c>
      <c r="IN32" s="30" t="str">
        <f t="shared" si="74"/>
        <v>*</v>
      </c>
      <c r="IO32" s="30"/>
      <c r="IP32" s="88">
        <v>632</v>
      </c>
      <c r="IQ32" s="88">
        <v>632.31378892000589</v>
      </c>
      <c r="IR32" s="28">
        <v>3.7063602850775554</v>
      </c>
      <c r="IS32" s="29">
        <v>4.6615776649131795E-2</v>
      </c>
      <c r="IT32" s="30">
        <f t="shared" si="32"/>
        <v>-6.8529773163953642</v>
      </c>
      <c r="IU32" s="30" t="str">
        <f t="shared" si="33"/>
        <v>*</v>
      </c>
      <c r="IV32" s="30"/>
      <c r="IW32" s="88">
        <v>267</v>
      </c>
      <c r="IX32" s="88">
        <v>266.97389522999913</v>
      </c>
      <c r="IY32" s="28">
        <v>4.1572011897786609</v>
      </c>
      <c r="IZ32" s="29">
        <v>5.4295030353963436E-2</v>
      </c>
      <c r="JA32" s="30">
        <f t="shared" si="34"/>
        <v>-12.555698619154187</v>
      </c>
      <c r="JB32" s="30" t="str">
        <f t="shared" si="73"/>
        <v>*</v>
      </c>
      <c r="JC32" s="30"/>
      <c r="JD32" s="88">
        <v>985</v>
      </c>
      <c r="JE32" s="88">
        <v>984.65746297001169</v>
      </c>
      <c r="JF32" s="28">
        <v>3.9670327129476197</v>
      </c>
      <c r="JG32" s="29">
        <v>3.0720731874274321E-2</v>
      </c>
      <c r="JH32" s="30">
        <f t="shared" si="35"/>
        <v>-12.636022903789179</v>
      </c>
      <c r="JI32" s="30" t="str">
        <f t="shared" si="36"/>
        <v>*</v>
      </c>
      <c r="JK32" s="27"/>
      <c r="JL32" s="27"/>
      <c r="JM32" s="28"/>
      <c r="JN32" s="29"/>
    </row>
    <row r="33" spans="1:274" x14ac:dyDescent="0.2">
      <c r="B33" s="7" t="s">
        <v>30</v>
      </c>
      <c r="C33" s="27">
        <v>2379</v>
      </c>
      <c r="D33" s="27">
        <v>2377.3036380499402</v>
      </c>
      <c r="E33" s="28">
        <v>2.9094621405633529</v>
      </c>
      <c r="F33" s="29">
        <v>2.6019430112321815E-2</v>
      </c>
      <c r="G33" s="29"/>
      <c r="H33" s="3">
        <v>787</v>
      </c>
      <c r="I33" s="3">
        <v>786.97829554000862</v>
      </c>
      <c r="J33" s="28">
        <v>2.819914567093933</v>
      </c>
      <c r="K33" s="29">
        <v>4.4310554577170917E-2</v>
      </c>
      <c r="L33" s="30">
        <f t="shared" si="37"/>
        <v>1.7426733915187884</v>
      </c>
      <c r="M33" s="30" t="str">
        <f t="shared" si="38"/>
        <v xml:space="preserve"> </v>
      </c>
      <c r="N33" s="9"/>
      <c r="O33" s="27">
        <v>928</v>
      </c>
      <c r="P33" s="27">
        <v>928.93712760000426</v>
      </c>
      <c r="Q33" s="28">
        <v>2.6195733782833917</v>
      </c>
      <c r="R33" s="29">
        <v>3.2366577976244114E-2</v>
      </c>
      <c r="S33" s="30">
        <f t="shared" si="39"/>
        <v>6.9804981988704204</v>
      </c>
      <c r="T33" s="30" t="str">
        <f t="shared" si="40"/>
        <v>*</v>
      </c>
      <c r="U33" s="30"/>
      <c r="V33" s="27">
        <v>888</v>
      </c>
      <c r="W33" s="27">
        <v>889.3204970900133</v>
      </c>
      <c r="X33" s="28">
        <v>2.6059691610880109</v>
      </c>
      <c r="Y33" s="29">
        <v>3.5863402772067773E-2</v>
      </c>
      <c r="Z33" s="30">
        <f t="shared" si="41"/>
        <v>6.8496281571499411</v>
      </c>
      <c r="AA33" s="30" t="str">
        <f t="shared" si="42"/>
        <v>*</v>
      </c>
      <c r="AB33" s="9"/>
      <c r="AC33" s="8">
        <v>958</v>
      </c>
      <c r="AD33" s="8">
        <v>959.21097236000082</v>
      </c>
      <c r="AE33" s="69">
        <v>2.6190851470755807</v>
      </c>
      <c r="AF33" s="9">
        <v>3.5500158722038058E-2</v>
      </c>
      <c r="AG33" s="30">
        <f t="shared" si="43"/>
        <v>6.5973101608611886</v>
      </c>
      <c r="AH33" s="30" t="str">
        <f t="shared" si="44"/>
        <v>*</v>
      </c>
      <c r="AI33" s="9"/>
      <c r="AJ33" s="81">
        <v>4811</v>
      </c>
      <c r="AK33" s="83">
        <v>3.378286949667491</v>
      </c>
      <c r="AL33" s="84">
        <v>1.7742641116805298E-2</v>
      </c>
      <c r="AM33" s="30">
        <f t="shared" si="45"/>
        <v>-14.886612838722337</v>
      </c>
      <c r="AN33" s="30" t="str">
        <f t="shared" si="46"/>
        <v>*</v>
      </c>
      <c r="AO33" s="9"/>
      <c r="AP33" s="78">
        <v>636</v>
      </c>
      <c r="AQ33" s="79">
        <v>3.9014630835854835</v>
      </c>
      <c r="AR33" s="80">
        <v>4.8397124129158128E-2</v>
      </c>
      <c r="AS33" s="30">
        <f t="shared" si="47"/>
        <v>-18.053420607761261</v>
      </c>
      <c r="AT33" s="30" t="str">
        <f t="shared" si="48"/>
        <v>*</v>
      </c>
      <c r="AU33" s="80"/>
      <c r="AV33" s="78">
        <v>748</v>
      </c>
      <c r="AW33" s="79">
        <v>3.3795645496922169</v>
      </c>
      <c r="AX33" s="80">
        <v>4.1727430080880507E-2</v>
      </c>
      <c r="AY33" s="30">
        <f t="shared" si="49"/>
        <v>-9.5597677493637061</v>
      </c>
      <c r="AZ33" s="30" t="str">
        <f t="shared" si="50"/>
        <v>*</v>
      </c>
      <c r="BA33" s="80"/>
      <c r="BB33" s="78">
        <v>774</v>
      </c>
      <c r="BC33" s="79">
        <v>3.6495032419401823</v>
      </c>
      <c r="BD33" s="80">
        <v>4.0102966310774958E-2</v>
      </c>
      <c r="BE33" s="30">
        <f t="shared" si="51"/>
        <v>-15.480613221321949</v>
      </c>
      <c r="BF33" s="30" t="str">
        <f t="shared" si="52"/>
        <v>*</v>
      </c>
      <c r="BG33" s="80"/>
      <c r="BH33" s="78">
        <v>1010</v>
      </c>
      <c r="BI33" s="79">
        <v>3.1762774157045008</v>
      </c>
      <c r="BJ33" s="80">
        <v>3.7072935230496935E-2</v>
      </c>
      <c r="BK33" s="30">
        <f t="shared" si="53"/>
        <v>-5.8909333479489616</v>
      </c>
      <c r="BL33" s="30" t="str">
        <f t="shared" si="54"/>
        <v>*</v>
      </c>
      <c r="BM33" s="80"/>
      <c r="BN33" s="78">
        <v>1025</v>
      </c>
      <c r="BO33" s="79">
        <v>2.9758021018031728</v>
      </c>
      <c r="BP33" s="80">
        <v>3.6549278837079154E-2</v>
      </c>
      <c r="BQ33" s="30">
        <f t="shared" si="55"/>
        <v>-1.4786601604192062</v>
      </c>
      <c r="BR33" s="30" t="str">
        <f t="shared" si="56"/>
        <v xml:space="preserve"> </v>
      </c>
      <c r="BS33" s="9"/>
      <c r="BT33" s="27">
        <v>9548</v>
      </c>
      <c r="BU33" s="27">
        <v>9562.0447157790804</v>
      </c>
      <c r="BV33" s="28">
        <v>3.4226921948911322</v>
      </c>
      <c r="BW33" s="29">
        <v>1.3430521678008542E-2</v>
      </c>
      <c r="BX33" s="30">
        <f t="shared" si="57"/>
        <v>-17.527620462116779</v>
      </c>
      <c r="BY33" s="30" t="str">
        <f t="shared" si="58"/>
        <v>*</v>
      </c>
      <c r="BZ33" s="30"/>
      <c r="CA33" s="27">
        <v>407</v>
      </c>
      <c r="CB33" s="27">
        <v>407</v>
      </c>
      <c r="CC33" s="28">
        <v>2.8525798525798516</v>
      </c>
      <c r="CD33" s="29">
        <v>5.9202099068516069E-2</v>
      </c>
      <c r="CE33" s="30">
        <f t="shared" si="59"/>
        <v>0.87961023180312048</v>
      </c>
      <c r="CF33" s="30" t="str">
        <f t="shared" si="0"/>
        <v xml:space="preserve"> </v>
      </c>
      <c r="CG33" s="30"/>
      <c r="CH33" s="27">
        <v>2676</v>
      </c>
      <c r="CI33" s="27">
        <v>2691.11145982992</v>
      </c>
      <c r="CJ33" s="28">
        <v>3.0500405014099621</v>
      </c>
      <c r="CK33" s="29">
        <v>2.3891673086093336E-2</v>
      </c>
      <c r="CL33" s="30">
        <f t="shared" si="60"/>
        <v>-3.9796237968844022</v>
      </c>
      <c r="CM33" s="30" t="str">
        <f t="shared" si="1"/>
        <v>*</v>
      </c>
      <c r="CN33" s="30"/>
      <c r="CO33" s="27">
        <v>2281</v>
      </c>
      <c r="CP33" s="27">
        <v>2280.9227514200415</v>
      </c>
      <c r="CQ33" s="28">
        <v>3.3948109994340525</v>
      </c>
      <c r="CR33" s="29">
        <v>2.3170975646624611E-2</v>
      </c>
      <c r="CS33" s="30">
        <f t="shared" si="61"/>
        <v>-13.930339104790011</v>
      </c>
      <c r="CT33" s="30" t="str">
        <f t="shared" si="2"/>
        <v>*</v>
      </c>
      <c r="CU33" s="30"/>
      <c r="CV33" s="27">
        <v>410</v>
      </c>
      <c r="CW33" s="27">
        <v>410.68104640000155</v>
      </c>
      <c r="CX33" s="28">
        <v>4.6626266264427283</v>
      </c>
      <c r="CY33" s="29">
        <v>3.5183720727691201E-2</v>
      </c>
      <c r="CZ33" s="30">
        <f t="shared" si="62"/>
        <v>-40.063515380109919</v>
      </c>
      <c r="DA33" s="30" t="str">
        <f t="shared" si="3"/>
        <v>*</v>
      </c>
      <c r="DB33" s="30"/>
      <c r="DC33" s="27">
        <v>860</v>
      </c>
      <c r="DD33" s="27">
        <v>860.02582007998922</v>
      </c>
      <c r="DE33" s="28">
        <v>4.8116089240147133</v>
      </c>
      <c r="DF33" s="29">
        <v>1.8079439635288345E-2</v>
      </c>
      <c r="DG33" s="30">
        <f t="shared" si="63"/>
        <v>-60.034901289741377</v>
      </c>
      <c r="DH33" s="30" t="str">
        <f t="shared" si="4"/>
        <v>*</v>
      </c>
      <c r="DI33" s="30"/>
      <c r="DJ33" s="27">
        <v>535</v>
      </c>
      <c r="DK33" s="27">
        <v>535</v>
      </c>
      <c r="DL33" s="28">
        <v>4.9457943925233643</v>
      </c>
      <c r="DM33" s="29">
        <v>1.2884573795111789E-2</v>
      </c>
      <c r="DN33" s="30">
        <f t="shared" si="64"/>
        <v>-70.134052128180713</v>
      </c>
      <c r="DO33" s="30" t="str">
        <f t="shared" si="5"/>
        <v>*</v>
      </c>
      <c r="DP33" s="8"/>
      <c r="DQ33" s="27">
        <v>782</v>
      </c>
      <c r="DR33" s="27">
        <v>782.35210018000362</v>
      </c>
      <c r="DS33" s="28">
        <v>2.8669595100006062</v>
      </c>
      <c r="DT33" s="29">
        <v>4.3748558228982194E-2</v>
      </c>
      <c r="DU33" s="29"/>
      <c r="DV33" s="27">
        <v>532</v>
      </c>
      <c r="DW33" s="27">
        <v>531.82684540999594</v>
      </c>
      <c r="DX33" s="28">
        <v>2.8570869064509026</v>
      </c>
      <c r="DY33" s="29">
        <v>5.3532001677527023E-2</v>
      </c>
      <c r="DZ33" s="10">
        <f t="shared" si="6"/>
        <v>0.1428023638708075</v>
      </c>
      <c r="EA33" s="10" t="str">
        <f t="shared" si="7"/>
        <v xml:space="preserve"> </v>
      </c>
      <c r="EB33" s="29"/>
      <c r="EC33" s="27">
        <v>543</v>
      </c>
      <c r="ED33" s="27">
        <v>544.22555086999887</v>
      </c>
      <c r="EE33" s="28">
        <v>2.8397281194156268</v>
      </c>
      <c r="EF33" s="29">
        <v>5.5784115982810405E-2</v>
      </c>
      <c r="EG33" s="10">
        <f t="shared" si="8"/>
        <v>0.38412011305167054</v>
      </c>
      <c r="EH33" s="10" t="str">
        <f t="shared" si="9"/>
        <v xml:space="preserve"> </v>
      </c>
      <c r="EI33" s="29"/>
      <c r="EJ33" s="27">
        <v>529</v>
      </c>
      <c r="EK33" s="27">
        <v>528.39831435000269</v>
      </c>
      <c r="EL33" s="28">
        <v>2.9227224586432876</v>
      </c>
      <c r="EM33" s="29">
        <v>5.2646149656121265E-2</v>
      </c>
      <c r="EN33" s="10">
        <f t="shared" si="10"/>
        <v>-0.81463916112188328</v>
      </c>
      <c r="EO33" s="10" t="str">
        <f t="shared" si="65"/>
        <v xml:space="preserve"> </v>
      </c>
      <c r="EP33" s="29"/>
      <c r="EQ33" s="8">
        <v>571</v>
      </c>
      <c r="ER33" s="8">
        <v>570.92228595999688</v>
      </c>
      <c r="ES33" s="69">
        <v>2.8473187243454214</v>
      </c>
      <c r="ET33" s="9">
        <v>4.99678470646331E-2</v>
      </c>
      <c r="EU33" s="10">
        <f t="shared" si="11"/>
        <v>0.29573587360871256</v>
      </c>
      <c r="EV33" s="10" t="str">
        <f t="shared" si="66"/>
        <v xml:space="preserve"> </v>
      </c>
      <c r="EW33" s="29"/>
      <c r="EX33" s="88">
        <v>3701</v>
      </c>
      <c r="EY33" s="88">
        <v>3701.3752022198519</v>
      </c>
      <c r="EZ33" s="28">
        <v>3.1403216192156096</v>
      </c>
      <c r="FA33" s="29">
        <v>1.9123819260714589E-2</v>
      </c>
      <c r="FB33" s="30">
        <f t="shared" si="12"/>
        <v>-5.7253703039976989</v>
      </c>
      <c r="FC33" s="30" t="str">
        <f t="shared" si="67"/>
        <v>*</v>
      </c>
      <c r="FD33" s="30"/>
      <c r="FE33" s="27">
        <v>866</v>
      </c>
      <c r="FF33" s="27">
        <v>866.00388150000151</v>
      </c>
      <c r="FG33" s="28">
        <v>3.3498596657964304</v>
      </c>
      <c r="FH33" s="29">
        <v>3.5291758285223504E-2</v>
      </c>
      <c r="FI33" s="30">
        <f t="shared" si="13"/>
        <v>-8.5911633503583396</v>
      </c>
      <c r="FJ33" s="30" t="str">
        <f t="shared" si="14"/>
        <v>*</v>
      </c>
      <c r="FK33" s="30"/>
      <c r="FL33" s="88">
        <v>269</v>
      </c>
      <c r="FM33" s="88">
        <v>268.98658639999911</v>
      </c>
      <c r="FN33" s="28">
        <v>3.5239997093029762</v>
      </c>
      <c r="FO33" s="29">
        <v>6.2881605891893788E-2</v>
      </c>
      <c r="FP33" s="30">
        <f t="shared" si="15"/>
        <v>-8.5772027992819115</v>
      </c>
      <c r="FQ33" s="30" t="str">
        <f t="shared" si="16"/>
        <v>*</v>
      </c>
      <c r="FR33" s="30"/>
      <c r="FS33" s="88">
        <v>476</v>
      </c>
      <c r="FT33" s="88">
        <v>475.99442547999655</v>
      </c>
      <c r="FU33" s="28">
        <v>2.8497706052799048</v>
      </c>
      <c r="FV33" s="29">
        <v>5.2048755597943606E-2</v>
      </c>
      <c r="FW33" s="30">
        <f t="shared" si="17"/>
        <v>0.25280509383844307</v>
      </c>
      <c r="FX33" s="30" t="str">
        <f t="shared" si="18"/>
        <v xml:space="preserve"> </v>
      </c>
      <c r="FY33" s="30"/>
      <c r="FZ33" s="88">
        <v>1005</v>
      </c>
      <c r="GA33" s="88">
        <v>1005.0210165000078</v>
      </c>
      <c r="GB33" s="28">
        <v>3.067658597933411</v>
      </c>
      <c r="GC33" s="29">
        <v>3.6378491783409184E-2</v>
      </c>
      <c r="GD33" s="30">
        <f t="shared" si="19"/>
        <v>-3.5273767262454325</v>
      </c>
      <c r="GE33" s="30" t="str">
        <f t="shared" si="20"/>
        <v>*</v>
      </c>
      <c r="GF33" s="30"/>
      <c r="GG33" s="88">
        <v>303</v>
      </c>
      <c r="GH33" s="88">
        <v>303.01719215999941</v>
      </c>
      <c r="GI33" s="28">
        <v>3.6040871380107879</v>
      </c>
      <c r="GJ33" s="29">
        <v>6.8261355668511436E-2</v>
      </c>
      <c r="GK33" s="30">
        <f t="shared" si="21"/>
        <v>-9.0916505785365977</v>
      </c>
      <c r="GL33" s="30" t="str">
        <f t="shared" si="22"/>
        <v>*</v>
      </c>
      <c r="GM33" s="10"/>
      <c r="GN33" s="88">
        <v>741</v>
      </c>
      <c r="GO33" s="88">
        <v>740.96534943000711</v>
      </c>
      <c r="GP33" s="28">
        <v>2.6908234091564047</v>
      </c>
      <c r="GQ33" s="29">
        <v>4.3930510247621707E-2</v>
      </c>
      <c r="GR33" s="9"/>
      <c r="GS33" s="3">
        <v>530</v>
      </c>
      <c r="GT33" s="3">
        <v>529.99134394999464</v>
      </c>
      <c r="GU33" s="69">
        <v>2.6717424326529904</v>
      </c>
      <c r="GV33" s="9">
        <v>5.6249462482172351E-2</v>
      </c>
      <c r="GW33" s="10">
        <f t="shared" si="23"/>
        <v>0.26734726189939406</v>
      </c>
      <c r="GX33" s="10" t="str">
        <f t="shared" si="68"/>
        <v xml:space="preserve"> </v>
      </c>
      <c r="GY33" s="9"/>
      <c r="GZ33" s="27">
        <v>539</v>
      </c>
      <c r="HA33" s="27">
        <v>538.28387018000285</v>
      </c>
      <c r="HB33" s="28">
        <v>2.8997188609015008</v>
      </c>
      <c r="HC33" s="29">
        <v>5.2096220532491147E-2</v>
      </c>
      <c r="HD33" s="10">
        <f t="shared" si="24"/>
        <v>-3.0654008790361669</v>
      </c>
      <c r="HE33" s="10" t="str">
        <f t="shared" si="69"/>
        <v>*</v>
      </c>
      <c r="HF33" s="9"/>
      <c r="HG33" s="27">
        <v>1086</v>
      </c>
      <c r="HH33" s="27">
        <v>1086.3633523499991</v>
      </c>
      <c r="HI33" s="28">
        <v>2.7916722353433308</v>
      </c>
      <c r="HJ33" s="29">
        <v>3.6307559222205306E-2</v>
      </c>
      <c r="HK33" s="10">
        <f t="shared" si="25"/>
        <v>-1.7695149686904224</v>
      </c>
      <c r="HL33" s="10" t="str">
        <f t="shared" si="70"/>
        <v xml:space="preserve"> </v>
      </c>
      <c r="HM33" s="29"/>
      <c r="HN33" s="8">
        <v>1111</v>
      </c>
      <c r="HO33" s="8">
        <v>1109.6221888799939</v>
      </c>
      <c r="HP33" s="69">
        <v>2.7248718603688538</v>
      </c>
      <c r="HQ33" s="9">
        <v>3.6148611851107119E-2</v>
      </c>
      <c r="HR33" s="10">
        <f t="shared" si="26"/>
        <v>-0.59848331926205001</v>
      </c>
      <c r="HS33" s="10" t="str">
        <f t="shared" si="71"/>
        <v xml:space="preserve"> </v>
      </c>
      <c r="HT33" s="9"/>
      <c r="HU33" s="88">
        <v>4008</v>
      </c>
      <c r="HV33" s="88">
        <v>4008.1274776498362</v>
      </c>
      <c r="HW33" s="28">
        <v>3.2326307424575003</v>
      </c>
      <c r="HX33" s="29">
        <v>1.8615004646288607E-2</v>
      </c>
      <c r="HY33" s="30">
        <f t="shared" si="27"/>
        <v>-11.3558543858005</v>
      </c>
      <c r="HZ33" s="30" t="str">
        <f t="shared" si="72"/>
        <v>*</v>
      </c>
      <c r="IA33" s="30"/>
      <c r="IB33" s="88">
        <v>866</v>
      </c>
      <c r="IC33" s="88">
        <v>866.00388150000151</v>
      </c>
      <c r="ID33" s="28">
        <v>3.3498596657964304</v>
      </c>
      <c r="IE33" s="29">
        <v>3.5291758285223504E-2</v>
      </c>
      <c r="IF33" s="30">
        <f t="shared" si="28"/>
        <v>-11.695269364562794</v>
      </c>
      <c r="IG33" s="30" t="str">
        <f t="shared" si="29"/>
        <v>*</v>
      </c>
      <c r="IH33" s="30"/>
      <c r="II33" s="88">
        <v>533</v>
      </c>
      <c r="IJ33" s="88">
        <v>533.44483254000295</v>
      </c>
      <c r="IK33" s="28">
        <v>3.544510076884507</v>
      </c>
      <c r="IL33" s="29">
        <v>4.7117378937567102E-2</v>
      </c>
      <c r="IM33" s="30">
        <f t="shared" si="30"/>
        <v>-13.25188750064439</v>
      </c>
      <c r="IN33" s="30" t="str">
        <f t="shared" si="74"/>
        <v>*</v>
      </c>
      <c r="IO33" s="30"/>
      <c r="IP33" s="88">
        <v>631</v>
      </c>
      <c r="IQ33" s="88">
        <v>631.29951506000589</v>
      </c>
      <c r="IR33" s="28">
        <v>3.1517751271690631</v>
      </c>
      <c r="IS33" s="29">
        <v>5.0655893657334472E-2</v>
      </c>
      <c r="IT33" s="30">
        <f t="shared" si="32"/>
        <v>-6.8745878743419411</v>
      </c>
      <c r="IU33" s="30" t="str">
        <f t="shared" si="33"/>
        <v>*</v>
      </c>
      <c r="IV33" s="30"/>
      <c r="IW33" s="88">
        <v>269</v>
      </c>
      <c r="IX33" s="88">
        <v>268.98658639999911</v>
      </c>
      <c r="IY33" s="28">
        <v>3.5239997093029762</v>
      </c>
      <c r="IZ33" s="29">
        <v>6.2881605891893788E-2</v>
      </c>
      <c r="JA33" s="30">
        <f t="shared" si="34"/>
        <v>-10.861782177163134</v>
      </c>
      <c r="JB33" s="30" t="str">
        <f t="shared" si="73"/>
        <v>*</v>
      </c>
      <c r="JC33" s="30"/>
      <c r="JD33" s="88">
        <v>968</v>
      </c>
      <c r="JE33" s="88">
        <v>967.42731272001106</v>
      </c>
      <c r="JF33" s="28">
        <v>3.3424468533233203</v>
      </c>
      <c r="JG33" s="29">
        <v>3.7542519894925575E-2</v>
      </c>
      <c r="JH33" s="30">
        <f t="shared" si="35"/>
        <v>-11.276309747311387</v>
      </c>
      <c r="JI33" s="30" t="str">
        <f t="shared" si="36"/>
        <v>*</v>
      </c>
      <c r="JK33" s="27"/>
      <c r="JL33" s="27"/>
      <c r="JM33" s="28"/>
      <c r="JN33" s="29"/>
    </row>
    <row r="34" spans="1:274" x14ac:dyDescent="0.2">
      <c r="B34" s="7" t="s">
        <v>31</v>
      </c>
      <c r="C34" s="27">
        <v>988</v>
      </c>
      <c r="D34" s="27">
        <v>983.17490876999625</v>
      </c>
      <c r="E34" s="28">
        <v>3.625923630475766</v>
      </c>
      <c r="F34" s="29">
        <v>3.4435570680484293E-2</v>
      </c>
      <c r="G34" s="29"/>
      <c r="H34" s="3">
        <v>315</v>
      </c>
      <c r="I34" s="3">
        <v>314.85676512000055</v>
      </c>
      <c r="J34" s="28">
        <v>3.5836849678931242</v>
      </c>
      <c r="K34" s="29">
        <v>6.5212910233082844E-2</v>
      </c>
      <c r="L34" s="30">
        <f t="shared" si="37"/>
        <v>0.57275555087128571</v>
      </c>
      <c r="M34" s="30" t="str">
        <f t="shared" si="38"/>
        <v xml:space="preserve"> </v>
      </c>
      <c r="N34" s="9"/>
      <c r="O34" s="27">
        <v>147</v>
      </c>
      <c r="P34" s="27">
        <v>147.02025734999989</v>
      </c>
      <c r="Q34" s="28">
        <v>3.6395260500474156</v>
      </c>
      <c r="R34" s="29">
        <v>8.2945539913355168E-2</v>
      </c>
      <c r="S34" s="30">
        <f t="shared" si="39"/>
        <v>-0.15145834945135672</v>
      </c>
      <c r="T34" s="30" t="str">
        <f t="shared" si="40"/>
        <v xml:space="preserve"> </v>
      </c>
      <c r="U34" s="30"/>
      <c r="V34" s="27">
        <v>188</v>
      </c>
      <c r="W34" s="27">
        <v>193.3390435999994</v>
      </c>
      <c r="X34" s="28">
        <v>3.6968045666902221</v>
      </c>
      <c r="Y34" s="29">
        <v>7.5383189708503301E-2</v>
      </c>
      <c r="Z34" s="30">
        <f t="shared" si="41"/>
        <v>-0.85526477641605603</v>
      </c>
      <c r="AA34" s="30" t="str">
        <f t="shared" si="42"/>
        <v xml:space="preserve"> </v>
      </c>
      <c r="AB34" s="9"/>
      <c r="AC34" s="8">
        <v>281</v>
      </c>
      <c r="AD34" s="8">
        <v>285.56558517999923</v>
      </c>
      <c r="AE34" s="69">
        <v>3.4574253931812682</v>
      </c>
      <c r="AF34" s="9">
        <v>6.1932649776537577E-2</v>
      </c>
      <c r="AG34" s="30">
        <f t="shared" si="43"/>
        <v>2.3778271823658956</v>
      </c>
      <c r="AH34" s="30" t="str">
        <f t="shared" si="44"/>
        <v>*</v>
      </c>
      <c r="AI34" s="9"/>
      <c r="AJ34" s="81">
        <v>1975</v>
      </c>
      <c r="AK34" s="83">
        <v>3.9041775491586628</v>
      </c>
      <c r="AL34" s="84">
        <v>2.2740037912279919E-2</v>
      </c>
      <c r="AM34" s="30">
        <f t="shared" si="45"/>
        <v>-6.7428646180000733</v>
      </c>
      <c r="AN34" s="30" t="str">
        <f t="shared" si="46"/>
        <v>*</v>
      </c>
      <c r="AO34" s="9"/>
      <c r="AP34" s="78">
        <v>263</v>
      </c>
      <c r="AQ34" s="79">
        <v>4.2062147959845797</v>
      </c>
      <c r="AR34" s="80">
        <v>5.9800507254500743E-2</v>
      </c>
      <c r="AS34" s="30">
        <f t="shared" si="47"/>
        <v>-8.409213986724815</v>
      </c>
      <c r="AT34" s="30" t="str">
        <f t="shared" si="48"/>
        <v>*</v>
      </c>
      <c r="AU34" s="80"/>
      <c r="AV34" s="78">
        <v>187</v>
      </c>
      <c r="AW34" s="79">
        <v>3.8893073782434242</v>
      </c>
      <c r="AX34" s="80">
        <v>7.2544420122199707E-2</v>
      </c>
      <c r="AY34" s="30">
        <f t="shared" si="49"/>
        <v>-3.2798922241448629</v>
      </c>
      <c r="AZ34" s="30" t="str">
        <f t="shared" si="50"/>
        <v>*</v>
      </c>
      <c r="BA34" s="80"/>
      <c r="BB34" s="78">
        <v>268</v>
      </c>
      <c r="BC34" s="79">
        <v>3.9622656426789682</v>
      </c>
      <c r="BD34" s="80">
        <v>5.9772259312187062E-2</v>
      </c>
      <c r="BE34" s="30">
        <f t="shared" si="51"/>
        <v>-4.875786081392361</v>
      </c>
      <c r="BF34" s="30" t="str">
        <f t="shared" si="52"/>
        <v>*</v>
      </c>
      <c r="BG34" s="80"/>
      <c r="BH34" s="78">
        <v>302</v>
      </c>
      <c r="BI34" s="79">
        <v>3.6787852719340415</v>
      </c>
      <c r="BJ34" s="80">
        <v>5.8949313820900871E-2</v>
      </c>
      <c r="BK34" s="30">
        <f t="shared" si="53"/>
        <v>-0.7742995509531686</v>
      </c>
      <c r="BL34" s="30" t="str">
        <f t="shared" si="54"/>
        <v xml:space="preserve"> </v>
      </c>
      <c r="BM34" s="80"/>
      <c r="BN34" s="78">
        <v>331</v>
      </c>
      <c r="BO34" s="79">
        <v>3.6943375475251923</v>
      </c>
      <c r="BP34" s="80">
        <v>5.9656889824065952E-2</v>
      </c>
      <c r="BQ34" s="30">
        <f t="shared" si="55"/>
        <v>-0.99320214942707696</v>
      </c>
      <c r="BR34" s="30" t="str">
        <f t="shared" si="56"/>
        <v xml:space="preserve"> </v>
      </c>
      <c r="BS34" s="9"/>
      <c r="BT34" s="27">
        <v>4823</v>
      </c>
      <c r="BU34" s="27">
        <v>4857.8289074997829</v>
      </c>
      <c r="BV34" s="28">
        <v>4.1096932657379917</v>
      </c>
      <c r="BW34" s="29">
        <v>1.4685189636913865E-2</v>
      </c>
      <c r="BX34" s="30">
        <f t="shared" si="57"/>
        <v>-12.922535601329983</v>
      </c>
      <c r="BY34" s="30" t="str">
        <f t="shared" si="58"/>
        <v>*</v>
      </c>
      <c r="BZ34" s="30"/>
      <c r="CA34" s="27">
        <v>194</v>
      </c>
      <c r="CB34" s="27">
        <v>194</v>
      </c>
      <c r="CC34" s="28">
        <v>3.7783505154639183</v>
      </c>
      <c r="CD34" s="29">
        <v>6.6478145603465849E-2</v>
      </c>
      <c r="CE34" s="30">
        <f t="shared" si="59"/>
        <v>-2.035953538412155</v>
      </c>
      <c r="CF34" s="30" t="str">
        <f t="shared" si="0"/>
        <v>*</v>
      </c>
      <c r="CG34" s="30"/>
      <c r="CH34" s="27">
        <v>1163</v>
      </c>
      <c r="CI34" s="27">
        <v>1202.0269486099985</v>
      </c>
      <c r="CJ34" s="28">
        <v>3.720208614558179</v>
      </c>
      <c r="CK34" s="29">
        <v>3.0205774642209769E-2</v>
      </c>
      <c r="CL34" s="30">
        <f t="shared" si="60"/>
        <v>-2.0583506695036586</v>
      </c>
      <c r="CM34" s="30" t="str">
        <f t="shared" si="1"/>
        <v>*</v>
      </c>
      <c r="CN34" s="30"/>
      <c r="CO34" s="27">
        <v>1002</v>
      </c>
      <c r="CP34" s="27">
        <v>1001.9355836100252</v>
      </c>
      <c r="CQ34" s="28">
        <v>3.9394131201416345</v>
      </c>
      <c r="CR34" s="29">
        <v>2.947442462983059E-2</v>
      </c>
      <c r="CS34" s="30">
        <f t="shared" si="61"/>
        <v>-6.9161531648386934</v>
      </c>
      <c r="CT34" s="30" t="str">
        <f t="shared" si="2"/>
        <v>*</v>
      </c>
      <c r="CU34" s="30"/>
      <c r="CV34" s="27">
        <v>163</v>
      </c>
      <c r="CW34" s="27">
        <v>163.65300407999987</v>
      </c>
      <c r="CX34" s="28">
        <v>4.9141104294478577</v>
      </c>
      <c r="CY34" s="29">
        <v>2.5170861100044361E-2</v>
      </c>
      <c r="CZ34" s="30">
        <f t="shared" si="62"/>
        <v>-30.200702377194091</v>
      </c>
      <c r="DA34" s="30" t="str">
        <f t="shared" si="3"/>
        <v>*</v>
      </c>
      <c r="DB34" s="30"/>
      <c r="DC34" s="27">
        <v>793</v>
      </c>
      <c r="DD34" s="27">
        <v>793.03846242999066</v>
      </c>
      <c r="DE34" s="28">
        <v>4.8550375147533886</v>
      </c>
      <c r="DF34" s="29">
        <v>1.5773935470561919E-2</v>
      </c>
      <c r="DG34" s="30">
        <f t="shared" si="63"/>
        <v>-32.450608223517776</v>
      </c>
      <c r="DH34" s="30" t="str">
        <f t="shared" si="4"/>
        <v>*</v>
      </c>
      <c r="DI34" s="30"/>
      <c r="DJ34" s="27">
        <v>520</v>
      </c>
      <c r="DK34" s="27">
        <v>520</v>
      </c>
      <c r="DL34" s="28">
        <v>4.9865384615384558</v>
      </c>
      <c r="DM34" s="29">
        <v>5.0584874866671991E-3</v>
      </c>
      <c r="DN34" s="30">
        <f t="shared" si="64"/>
        <v>-39.092368618708328</v>
      </c>
      <c r="DO34" s="30" t="str">
        <f t="shared" si="5"/>
        <v>*</v>
      </c>
      <c r="DP34" s="8"/>
      <c r="DQ34" s="27">
        <v>280</v>
      </c>
      <c r="DR34" s="27">
        <v>278.29795547999913</v>
      </c>
      <c r="DS34" s="28">
        <v>3.4812170572328349</v>
      </c>
      <c r="DT34" s="29">
        <v>6.7036672796296951E-2</v>
      </c>
      <c r="DU34" s="29"/>
      <c r="DV34" s="27">
        <v>158</v>
      </c>
      <c r="DW34" s="27">
        <v>157.64523856000045</v>
      </c>
      <c r="DX34" s="28">
        <v>3.5823495622105885</v>
      </c>
      <c r="DY34" s="29">
        <v>9.213776885509703E-2</v>
      </c>
      <c r="DZ34" s="10">
        <f t="shared" si="6"/>
        <v>-0.8875615641356065</v>
      </c>
      <c r="EA34" s="10" t="str">
        <f t="shared" si="7"/>
        <v xml:space="preserve"> </v>
      </c>
      <c r="EB34" s="29"/>
      <c r="EC34" s="27">
        <v>210</v>
      </c>
      <c r="ED34" s="27">
        <v>212.33467516000059</v>
      </c>
      <c r="EE34" s="28">
        <v>3.5750481170726931</v>
      </c>
      <c r="EF34" s="29">
        <v>7.1705510066858685E-2</v>
      </c>
      <c r="EG34" s="10">
        <f t="shared" si="8"/>
        <v>-0.95588872239434919</v>
      </c>
      <c r="EH34" s="10" t="str">
        <f t="shared" si="9"/>
        <v xml:space="preserve"> </v>
      </c>
      <c r="EI34" s="29"/>
      <c r="EJ34" s="27">
        <v>176</v>
      </c>
      <c r="EK34" s="27">
        <v>185.40100800000022</v>
      </c>
      <c r="EL34" s="28">
        <v>3.5310521742147172</v>
      </c>
      <c r="EM34" s="29">
        <v>7.8350456959625156E-2</v>
      </c>
      <c r="EN34" s="10">
        <f t="shared" si="10"/>
        <v>-0.48329633932577915</v>
      </c>
      <c r="EO34" s="10" t="str">
        <f t="shared" si="65"/>
        <v xml:space="preserve"> </v>
      </c>
      <c r="EP34" s="29"/>
      <c r="EQ34" s="8">
        <v>224</v>
      </c>
      <c r="ER34" s="8">
        <v>223.21199999000032</v>
      </c>
      <c r="ES34" s="69">
        <v>3.551834130537419</v>
      </c>
      <c r="ET34" s="9">
        <v>7.2916699883475905E-2</v>
      </c>
      <c r="EU34" s="10">
        <f t="shared" si="11"/>
        <v>-0.71294885328447055</v>
      </c>
      <c r="EV34" s="10" t="str">
        <f t="shared" si="66"/>
        <v xml:space="preserve"> </v>
      </c>
      <c r="EW34" s="29"/>
      <c r="EX34" s="88">
        <v>1459</v>
      </c>
      <c r="EY34" s="88">
        <v>1457.4374612900017</v>
      </c>
      <c r="EZ34" s="28">
        <v>3.7572654502534379</v>
      </c>
      <c r="FA34" s="29">
        <v>2.5319312055181897E-2</v>
      </c>
      <c r="FB34" s="30">
        <f t="shared" si="12"/>
        <v>-3.8522611031125229</v>
      </c>
      <c r="FC34" s="30" t="str">
        <f t="shared" si="67"/>
        <v>*</v>
      </c>
      <c r="FD34" s="30"/>
      <c r="FE34" s="27">
        <v>383</v>
      </c>
      <c r="FF34" s="27">
        <v>382.99705694000164</v>
      </c>
      <c r="FG34" s="28">
        <v>3.8642033932700728</v>
      </c>
      <c r="FH34" s="29">
        <v>4.2397362969027921E-2</v>
      </c>
      <c r="FI34" s="30">
        <f t="shared" si="13"/>
        <v>-4.8284511270375816</v>
      </c>
      <c r="FJ34" s="30" t="str">
        <f t="shared" si="14"/>
        <v>*</v>
      </c>
      <c r="FK34" s="30"/>
      <c r="FL34" s="88">
        <v>78</v>
      </c>
      <c r="FM34" s="88">
        <v>77.958734550000017</v>
      </c>
      <c r="FN34" s="28">
        <v>3.8460509660748463</v>
      </c>
      <c r="FO34" s="29">
        <v>0.10335919224678461</v>
      </c>
      <c r="FP34" s="30">
        <f t="shared" si="15"/>
        <v>-2.9614314469234579</v>
      </c>
      <c r="FQ34" s="30" t="str">
        <f t="shared" si="16"/>
        <v>*</v>
      </c>
      <c r="FR34" s="30"/>
      <c r="FS34" s="88">
        <v>239</v>
      </c>
      <c r="FT34" s="88">
        <v>239.18049732000048</v>
      </c>
      <c r="FU34" s="28">
        <v>3.7730860938574442</v>
      </c>
      <c r="FV34" s="29">
        <v>5.6459374611378045E-2</v>
      </c>
      <c r="FW34" s="30">
        <f t="shared" si="17"/>
        <v>-3.3301427099763137</v>
      </c>
      <c r="FX34" s="30" t="str">
        <f t="shared" si="18"/>
        <v>*</v>
      </c>
      <c r="FY34" s="30"/>
      <c r="FZ34" s="88">
        <v>326</v>
      </c>
      <c r="GA34" s="88">
        <v>326.03714016000254</v>
      </c>
      <c r="GB34" s="28">
        <v>3.6470908850643986</v>
      </c>
      <c r="GC34" s="29">
        <v>5.799886108509663E-2</v>
      </c>
      <c r="GD34" s="30">
        <f t="shared" si="19"/>
        <v>-1.8712328826402835</v>
      </c>
      <c r="GE34" s="30" t="str">
        <f t="shared" si="20"/>
        <v xml:space="preserve"> </v>
      </c>
      <c r="GF34" s="30"/>
      <c r="GG34" s="88">
        <v>153</v>
      </c>
      <c r="GH34" s="88">
        <v>152.9660768399998</v>
      </c>
      <c r="GI34" s="28">
        <v>4.1565839886516329</v>
      </c>
      <c r="GJ34" s="29">
        <v>6.3658722217665886E-2</v>
      </c>
      <c r="GK34" s="30">
        <f t="shared" si="21"/>
        <v>-7.3054924303111397</v>
      </c>
      <c r="GL34" s="30" t="str">
        <f t="shared" si="22"/>
        <v>*</v>
      </c>
      <c r="GM34" s="10"/>
      <c r="GN34" s="88">
        <v>224</v>
      </c>
      <c r="GO34" s="88">
        <v>224.09328162000077</v>
      </c>
      <c r="GP34" s="28">
        <v>3.4775149405034629</v>
      </c>
      <c r="GQ34" s="29">
        <v>8.0282805297861873E-2</v>
      </c>
      <c r="GR34" s="9"/>
      <c r="GS34" s="3">
        <v>162</v>
      </c>
      <c r="GT34" s="3">
        <v>162.01543399000008</v>
      </c>
      <c r="GU34" s="69">
        <v>3.413768028076495</v>
      </c>
      <c r="GV34" s="9">
        <v>9.4560581013561157E-2</v>
      </c>
      <c r="GW34" s="10">
        <f t="shared" si="23"/>
        <v>0.51390367308911711</v>
      </c>
      <c r="GX34" s="10" t="str">
        <f t="shared" si="68"/>
        <v xml:space="preserve"> </v>
      </c>
      <c r="GY34" s="9"/>
      <c r="GZ34" s="27">
        <v>201</v>
      </c>
      <c r="HA34" s="27">
        <v>201.23928240999953</v>
      </c>
      <c r="HB34" s="28">
        <v>3.6099126228244822</v>
      </c>
      <c r="HC34" s="29">
        <v>7.7372697738163701E-2</v>
      </c>
      <c r="HD34" s="10">
        <f t="shared" si="24"/>
        <v>-1.1874416330601565</v>
      </c>
      <c r="HE34" s="10" t="str">
        <f t="shared" si="69"/>
        <v xml:space="preserve"> </v>
      </c>
      <c r="HF34" s="9"/>
      <c r="HG34" s="27">
        <v>345</v>
      </c>
      <c r="HH34" s="27">
        <v>346.5057907199996</v>
      </c>
      <c r="HI34" s="28">
        <v>3.2779119133042567</v>
      </c>
      <c r="HJ34" s="29">
        <v>6.0824019391532168E-2</v>
      </c>
      <c r="HK34" s="10">
        <f t="shared" si="25"/>
        <v>1.981725277206015</v>
      </c>
      <c r="HL34" s="10" t="str">
        <f t="shared" si="70"/>
        <v>*</v>
      </c>
      <c r="HM34" s="29"/>
      <c r="HN34" s="8">
        <v>332</v>
      </c>
      <c r="HO34" s="8">
        <v>336.62863480999914</v>
      </c>
      <c r="HP34" s="69">
        <v>3.3075504531527291</v>
      </c>
      <c r="HQ34" s="9">
        <v>6.5200364870503402E-2</v>
      </c>
      <c r="HR34" s="10">
        <f t="shared" si="26"/>
        <v>1.6433839379391919</v>
      </c>
      <c r="HS34" s="10" t="str">
        <f t="shared" si="71"/>
        <v xml:space="preserve"> </v>
      </c>
      <c r="HT34" s="9"/>
      <c r="HU34" s="88">
        <v>1367</v>
      </c>
      <c r="HV34" s="88">
        <v>1366.5555002500078</v>
      </c>
      <c r="HW34" s="28">
        <v>3.8044332901655942</v>
      </c>
      <c r="HX34" s="29">
        <v>2.7619857650157877E-2</v>
      </c>
      <c r="HY34" s="30">
        <f t="shared" si="27"/>
        <v>-3.8505815423941323</v>
      </c>
      <c r="HZ34" s="30" t="str">
        <f t="shared" si="72"/>
        <v>*</v>
      </c>
      <c r="IA34" s="30"/>
      <c r="IB34" s="88">
        <v>383</v>
      </c>
      <c r="IC34" s="88">
        <v>382.99705694000164</v>
      </c>
      <c r="ID34" s="28">
        <v>3.8642033932700728</v>
      </c>
      <c r="IE34" s="29">
        <v>4.2397362969027921E-2</v>
      </c>
      <c r="IF34" s="30">
        <f t="shared" si="28"/>
        <v>-4.2591418483948642</v>
      </c>
      <c r="IG34" s="30" t="str">
        <f t="shared" si="29"/>
        <v>*</v>
      </c>
      <c r="IH34" s="30"/>
      <c r="II34" s="88">
        <v>117</v>
      </c>
      <c r="IJ34" s="88">
        <v>116.84571569999986</v>
      </c>
      <c r="IK34" s="28">
        <v>3.9382400782367757</v>
      </c>
      <c r="IL34" s="29">
        <v>9.4367538141171894E-2</v>
      </c>
      <c r="IM34" s="30">
        <f t="shared" si="30"/>
        <v>-3.718602710358955</v>
      </c>
      <c r="IN34" s="30" t="str">
        <f t="shared" si="74"/>
        <v>*</v>
      </c>
      <c r="IO34" s="30"/>
      <c r="IP34" s="88">
        <v>251</v>
      </c>
      <c r="IQ34" s="88">
        <v>251.62025838000014</v>
      </c>
      <c r="IR34" s="28">
        <v>3.69818066904093</v>
      </c>
      <c r="IS34" s="29">
        <v>7.0328082753566792E-2</v>
      </c>
      <c r="IT34" s="30">
        <f t="shared" si="32"/>
        <v>-2.0675067989927114</v>
      </c>
      <c r="IU34" s="30" t="str">
        <f t="shared" si="33"/>
        <v>*</v>
      </c>
      <c r="IV34" s="30"/>
      <c r="IW34" s="88">
        <v>78</v>
      </c>
      <c r="IX34" s="88">
        <v>77.958734550000017</v>
      </c>
      <c r="IY34" s="28">
        <v>3.8460509660748463</v>
      </c>
      <c r="IZ34" s="29">
        <v>0.10335919224678461</v>
      </c>
      <c r="JA34" s="30">
        <f t="shared" si="34"/>
        <v>-2.8159237935157031</v>
      </c>
      <c r="JB34" s="30" t="str">
        <f t="shared" si="73"/>
        <v>*</v>
      </c>
      <c r="JC34" s="30"/>
      <c r="JD34" s="88">
        <v>314</v>
      </c>
      <c r="JE34" s="88">
        <v>313.04045306000143</v>
      </c>
      <c r="JF34" s="28">
        <v>3.9904301233571675</v>
      </c>
      <c r="JG34" s="29">
        <v>5.5474382446424046E-2</v>
      </c>
      <c r="JH34" s="30">
        <f t="shared" si="35"/>
        <v>-5.2561128868146065</v>
      </c>
      <c r="JI34" s="30" t="str">
        <f t="shared" si="36"/>
        <v>*</v>
      </c>
      <c r="JK34" s="27"/>
      <c r="JL34" s="27"/>
      <c r="JM34" s="28"/>
      <c r="JN34" s="29"/>
    </row>
    <row r="35" spans="1:274" x14ac:dyDescent="0.2">
      <c r="B35" s="7" t="s">
        <v>32</v>
      </c>
      <c r="C35" s="27">
        <v>1803</v>
      </c>
      <c r="D35" s="27">
        <v>1795.8198144999658</v>
      </c>
      <c r="E35" s="28">
        <v>3.6492491395884423</v>
      </c>
      <c r="F35" s="29">
        <v>2.4765992905567302E-2</v>
      </c>
      <c r="G35" s="29"/>
      <c r="H35" s="3">
        <v>601</v>
      </c>
      <c r="I35" s="3">
        <v>600.33202978000111</v>
      </c>
      <c r="J35" s="28">
        <v>3.5789269327964468</v>
      </c>
      <c r="K35" s="29">
        <v>4.557274690661943E-2</v>
      </c>
      <c r="L35" s="30">
        <f t="shared" si="37"/>
        <v>1.35580681403936</v>
      </c>
      <c r="M35" s="30" t="str">
        <f t="shared" si="38"/>
        <v xml:space="preserve"> </v>
      </c>
      <c r="N35" s="9"/>
      <c r="O35" s="27">
        <v>675</v>
      </c>
      <c r="P35" s="27">
        <v>678.79143783000245</v>
      </c>
      <c r="Q35" s="28">
        <v>3.4755340116868716</v>
      </c>
      <c r="R35" s="29">
        <v>3.3904344621189866E-2</v>
      </c>
      <c r="S35" s="30">
        <f t="shared" si="39"/>
        <v>4.1374127952808779</v>
      </c>
      <c r="T35" s="30" t="str">
        <f t="shared" si="40"/>
        <v>*</v>
      </c>
      <c r="U35" s="30"/>
      <c r="V35" s="27">
        <v>701</v>
      </c>
      <c r="W35" s="27">
        <v>713.90605827000695</v>
      </c>
      <c r="X35" s="28">
        <v>3.5500753135386303</v>
      </c>
      <c r="Y35" s="29">
        <v>3.5475670156396737E-2</v>
      </c>
      <c r="Z35" s="30">
        <f t="shared" si="41"/>
        <v>2.2922308186544491</v>
      </c>
      <c r="AA35" s="30" t="str">
        <f t="shared" si="42"/>
        <v>*</v>
      </c>
      <c r="AB35" s="9"/>
      <c r="AC35" s="8">
        <v>656</v>
      </c>
      <c r="AD35" s="8">
        <v>666.30413927999575</v>
      </c>
      <c r="AE35" s="69">
        <v>3.4839484705414594</v>
      </c>
      <c r="AF35" s="9">
        <v>3.7738318900155603E-2</v>
      </c>
      <c r="AG35" s="30">
        <f t="shared" si="43"/>
        <v>3.6620313675014438</v>
      </c>
      <c r="AH35" s="30" t="str">
        <f t="shared" si="44"/>
        <v>*</v>
      </c>
      <c r="AI35" s="9"/>
      <c r="AJ35" s="81">
        <v>3119</v>
      </c>
      <c r="AK35" s="83">
        <v>3.8202003190469829</v>
      </c>
      <c r="AL35" s="84">
        <v>1.8021464199048376E-2</v>
      </c>
      <c r="AM35" s="30">
        <f t="shared" si="45"/>
        <v>-5.5813743262815354</v>
      </c>
      <c r="AN35" s="30" t="str">
        <f t="shared" si="46"/>
        <v>*</v>
      </c>
      <c r="AO35" s="9"/>
      <c r="AP35" s="78">
        <v>360</v>
      </c>
      <c r="AQ35" s="79">
        <v>4.2199965796930083</v>
      </c>
      <c r="AR35" s="80">
        <v>4.694488551374313E-2</v>
      </c>
      <c r="AS35" s="30">
        <f t="shared" si="47"/>
        <v>-10.753180353010285</v>
      </c>
      <c r="AT35" s="30" t="str">
        <f t="shared" si="48"/>
        <v>*</v>
      </c>
      <c r="AU35" s="80"/>
      <c r="AV35" s="78">
        <v>421</v>
      </c>
      <c r="AW35" s="79">
        <v>3.8966618749127329</v>
      </c>
      <c r="AX35" s="80">
        <v>4.6899037283398066E-2</v>
      </c>
      <c r="AY35" s="30">
        <f t="shared" si="49"/>
        <v>-4.6649490351856855</v>
      </c>
      <c r="AZ35" s="30" t="str">
        <f t="shared" si="50"/>
        <v>*</v>
      </c>
      <c r="BA35" s="80"/>
      <c r="BB35" s="78">
        <v>510</v>
      </c>
      <c r="BC35" s="79">
        <v>3.9656674249875237</v>
      </c>
      <c r="BD35" s="80">
        <v>4.1123661221065366E-2</v>
      </c>
      <c r="BE35" s="30">
        <f t="shared" si="51"/>
        <v>-6.5913182639285637</v>
      </c>
      <c r="BF35" s="30" t="str">
        <f t="shared" si="52"/>
        <v>*</v>
      </c>
      <c r="BG35" s="80"/>
      <c r="BH35" s="78">
        <v>678</v>
      </c>
      <c r="BI35" s="79">
        <v>3.7713040650505998</v>
      </c>
      <c r="BJ35" s="80">
        <v>3.7153717383060315E-2</v>
      </c>
      <c r="BK35" s="30">
        <f t="shared" si="53"/>
        <v>-2.7335034088603005</v>
      </c>
      <c r="BL35" s="30" t="str">
        <f t="shared" si="54"/>
        <v>*</v>
      </c>
      <c r="BM35" s="80"/>
      <c r="BN35" s="78">
        <v>685</v>
      </c>
      <c r="BO35" s="79">
        <v>3.6155528843650568</v>
      </c>
      <c r="BP35" s="80">
        <v>4.0795287499068592E-2</v>
      </c>
      <c r="BQ35" s="30">
        <f t="shared" si="55"/>
        <v>0.70606058678973593</v>
      </c>
      <c r="BR35" s="30" t="str">
        <f t="shared" si="56"/>
        <v xml:space="preserve"> </v>
      </c>
      <c r="BS35" s="9"/>
      <c r="BT35" s="27">
        <v>7798</v>
      </c>
      <c r="BU35" s="27">
        <v>7846.5871497197149</v>
      </c>
      <c r="BV35" s="28">
        <v>4.0280715017786841</v>
      </c>
      <c r="BW35" s="29">
        <v>1.1616301668882143E-2</v>
      </c>
      <c r="BX35" s="30">
        <f t="shared" si="57"/>
        <v>-13.848406544855928</v>
      </c>
      <c r="BY35" s="30" t="str">
        <f t="shared" si="58"/>
        <v>*</v>
      </c>
      <c r="BZ35" s="30"/>
      <c r="CA35" s="27">
        <v>355</v>
      </c>
      <c r="CB35" s="27">
        <v>355</v>
      </c>
      <c r="CC35" s="28">
        <v>3.87042253521127</v>
      </c>
      <c r="CD35" s="29">
        <v>4.6183148861871581E-2</v>
      </c>
      <c r="CE35" s="30">
        <f t="shared" si="59"/>
        <v>-4.2204992525451575</v>
      </c>
      <c r="CF35" s="30" t="str">
        <f t="shared" si="0"/>
        <v>*</v>
      </c>
      <c r="CG35" s="30"/>
      <c r="CH35" s="27">
        <v>1831</v>
      </c>
      <c r="CI35" s="27">
        <v>1885.7336425899889</v>
      </c>
      <c r="CJ35" s="28">
        <v>3.6238472301762839</v>
      </c>
      <c r="CK35" s="29">
        <v>2.4778647671805883E-2</v>
      </c>
      <c r="CL35" s="30">
        <f t="shared" si="60"/>
        <v>0.72507789360004193</v>
      </c>
      <c r="CM35" s="30" t="str">
        <f t="shared" si="1"/>
        <v xml:space="preserve"> </v>
      </c>
      <c r="CN35" s="30"/>
      <c r="CO35" s="27">
        <v>2049</v>
      </c>
      <c r="CP35" s="27">
        <v>2049.2367307700815</v>
      </c>
      <c r="CQ35" s="28">
        <v>3.9974296841155854</v>
      </c>
      <c r="CR35" s="29">
        <v>2.0298969551553032E-2</v>
      </c>
      <c r="CS35" s="30">
        <f t="shared" si="61"/>
        <v>-10.873198072654542</v>
      </c>
      <c r="CT35" s="30" t="str">
        <f t="shared" si="2"/>
        <v>*</v>
      </c>
      <c r="CU35" s="30"/>
      <c r="CV35" s="27">
        <v>368</v>
      </c>
      <c r="CW35" s="27">
        <v>368.75315748000077</v>
      </c>
      <c r="CX35" s="28">
        <v>4.9074280212994505</v>
      </c>
      <c r="CY35" s="29">
        <v>1.9018039312921276E-2</v>
      </c>
      <c r="CZ35" s="30">
        <f t="shared" si="62"/>
        <v>-40.293141152974407</v>
      </c>
      <c r="DA35" s="30" t="str">
        <f t="shared" si="3"/>
        <v>*</v>
      </c>
      <c r="DB35" s="30"/>
      <c r="DC35" s="27">
        <v>858</v>
      </c>
      <c r="DD35" s="27">
        <v>858.0438043799893</v>
      </c>
      <c r="DE35" s="28">
        <v>4.8695651630969277</v>
      </c>
      <c r="DF35" s="29">
        <v>1.3361456542953065E-2</v>
      </c>
      <c r="DG35" s="30">
        <f t="shared" si="63"/>
        <v>-43.365247003612225</v>
      </c>
      <c r="DH35" s="30" t="str">
        <f t="shared" si="4"/>
        <v>*</v>
      </c>
      <c r="DI35" s="30"/>
      <c r="DJ35" s="27">
        <v>534</v>
      </c>
      <c r="DK35" s="27">
        <v>534</v>
      </c>
      <c r="DL35" s="28">
        <v>4.9925093632958788</v>
      </c>
      <c r="DM35" s="29">
        <v>3.7347631830624249E-3</v>
      </c>
      <c r="DN35" s="30">
        <f t="shared" si="64"/>
        <v>-53.631694739954938</v>
      </c>
      <c r="DO35" s="30" t="str">
        <f t="shared" si="5"/>
        <v>*</v>
      </c>
      <c r="DP35" s="8"/>
      <c r="DQ35" s="27">
        <v>494</v>
      </c>
      <c r="DR35" s="27">
        <v>491.47629617999951</v>
      </c>
      <c r="DS35" s="28">
        <v>3.3975586918609761</v>
      </c>
      <c r="DT35" s="29">
        <v>5.2187027449419207E-2</v>
      </c>
      <c r="DU35" s="29"/>
      <c r="DV35" s="27">
        <v>360</v>
      </c>
      <c r="DW35" s="27">
        <v>359.38382608999956</v>
      </c>
      <c r="DX35" s="28">
        <v>3.4125447727101421</v>
      </c>
      <c r="DY35" s="29">
        <v>6.2417838004576384E-2</v>
      </c>
      <c r="DZ35" s="10">
        <f t="shared" si="6"/>
        <v>-0.18419438438574084</v>
      </c>
      <c r="EA35" s="10" t="str">
        <f t="shared" si="7"/>
        <v xml:space="preserve"> </v>
      </c>
      <c r="EB35" s="29"/>
      <c r="EC35" s="27">
        <v>372</v>
      </c>
      <c r="ED35" s="27">
        <v>374.96676570000085</v>
      </c>
      <c r="EE35" s="28">
        <v>3.3639085367346202</v>
      </c>
      <c r="EF35" s="29">
        <v>5.8931686738663343E-2</v>
      </c>
      <c r="EG35" s="10">
        <f t="shared" si="8"/>
        <v>0.42748050420524536</v>
      </c>
      <c r="EH35" s="10" t="str">
        <f t="shared" si="9"/>
        <v xml:space="preserve"> </v>
      </c>
      <c r="EI35" s="29"/>
      <c r="EJ35" s="27">
        <v>342</v>
      </c>
      <c r="EK35" s="27">
        <v>356.66835982000174</v>
      </c>
      <c r="EL35" s="28">
        <v>3.4577359658210018</v>
      </c>
      <c r="EM35" s="29">
        <v>6.1387241948064705E-2</v>
      </c>
      <c r="EN35" s="10">
        <f t="shared" si="10"/>
        <v>-0.74687391489812593</v>
      </c>
      <c r="EO35" s="10" t="str">
        <f t="shared" si="65"/>
        <v xml:space="preserve"> </v>
      </c>
      <c r="EP35" s="29"/>
      <c r="EQ35" s="8">
        <v>371</v>
      </c>
      <c r="ER35" s="8">
        <v>369.78228571000011</v>
      </c>
      <c r="ES35" s="69">
        <v>3.4791638016942712</v>
      </c>
      <c r="ET35" s="9">
        <v>5.8982881023919194E-2</v>
      </c>
      <c r="EU35" s="10">
        <f t="shared" si="11"/>
        <v>-1.0361798783176133</v>
      </c>
      <c r="EV35" s="10" t="str">
        <f t="shared" si="66"/>
        <v xml:space="preserve"> </v>
      </c>
      <c r="EW35" s="29"/>
      <c r="EX35" s="88">
        <v>2602</v>
      </c>
      <c r="EY35" s="88">
        <v>2599.719733799966</v>
      </c>
      <c r="EZ35" s="28">
        <v>3.7154181411591658</v>
      </c>
      <c r="FA35" s="29">
        <v>1.9745735541381211E-2</v>
      </c>
      <c r="FB35" s="30">
        <f t="shared" si="12"/>
        <v>-5.6966438372880797</v>
      </c>
      <c r="FC35" s="30" t="str">
        <f t="shared" si="67"/>
        <v>*</v>
      </c>
      <c r="FD35" s="30"/>
      <c r="FE35" s="27">
        <v>575</v>
      </c>
      <c r="FF35" s="27">
        <v>575.02727908000145</v>
      </c>
      <c r="FG35" s="28">
        <v>3.643386306492999</v>
      </c>
      <c r="FH35" s="29">
        <v>3.8054603303635658E-2</v>
      </c>
      <c r="FI35" s="30">
        <f t="shared" si="13"/>
        <v>-3.8060748505988657</v>
      </c>
      <c r="FJ35" s="30" t="str">
        <f t="shared" si="14"/>
        <v>*</v>
      </c>
      <c r="FK35" s="30"/>
      <c r="FL35" s="88">
        <v>171</v>
      </c>
      <c r="FM35" s="88">
        <v>171.00520535999959</v>
      </c>
      <c r="FN35" s="28">
        <v>4.0235395310424984</v>
      </c>
      <c r="FO35" s="29">
        <v>7.0847781138759891E-2</v>
      </c>
      <c r="FP35" s="30">
        <f t="shared" si="15"/>
        <v>-7.1139266854467964</v>
      </c>
      <c r="FQ35" s="30" t="str">
        <f t="shared" si="16"/>
        <v>*</v>
      </c>
      <c r="FR35" s="30"/>
      <c r="FS35" s="88">
        <v>455</v>
      </c>
      <c r="FT35" s="88">
        <v>455.10268054999699</v>
      </c>
      <c r="FU35" s="28">
        <v>3.9398854443640303</v>
      </c>
      <c r="FV35" s="29">
        <v>4.0178819226137828E-2</v>
      </c>
      <c r="FW35" s="30">
        <f t="shared" si="17"/>
        <v>-8.2342698861929531</v>
      </c>
      <c r="FX35" s="30" t="str">
        <f t="shared" si="18"/>
        <v>*</v>
      </c>
      <c r="FY35" s="30"/>
      <c r="FZ35" s="88">
        <v>682</v>
      </c>
      <c r="GA35" s="88">
        <v>682.10100351000551</v>
      </c>
      <c r="GB35" s="28">
        <v>3.7108156199815521</v>
      </c>
      <c r="GC35" s="29">
        <v>3.9267203835709676E-2</v>
      </c>
      <c r="GD35" s="30">
        <f t="shared" si="19"/>
        <v>-4.7964602176864499</v>
      </c>
      <c r="GE35" s="30" t="str">
        <f t="shared" si="20"/>
        <v>*</v>
      </c>
      <c r="GF35" s="30"/>
      <c r="GG35" s="88">
        <v>225</v>
      </c>
      <c r="GH35" s="88">
        <v>225.00726911999962</v>
      </c>
      <c r="GI35" s="28">
        <v>3.919562684126674</v>
      </c>
      <c r="GJ35" s="29">
        <v>6.3383143277719586E-2</v>
      </c>
      <c r="GK35" s="30">
        <f t="shared" si="21"/>
        <v>-6.3579133159384495</v>
      </c>
      <c r="GL35" s="30" t="str">
        <f t="shared" si="22"/>
        <v>*</v>
      </c>
      <c r="GM35" s="10"/>
      <c r="GN35" s="88">
        <v>400</v>
      </c>
      <c r="GO35" s="88">
        <v>400.11908706000179</v>
      </c>
      <c r="GP35" s="28">
        <v>2.9646374048437294</v>
      </c>
      <c r="GQ35" s="29">
        <v>6.2389014261761841E-2</v>
      </c>
      <c r="GR35" s="9"/>
      <c r="GS35" s="3">
        <v>287</v>
      </c>
      <c r="GT35" s="3">
        <v>286.86019578999992</v>
      </c>
      <c r="GU35" s="69">
        <v>2.9457183924485677</v>
      </c>
      <c r="GV35" s="9">
        <v>7.7052336679461847E-2</v>
      </c>
      <c r="GW35" s="10">
        <f t="shared" si="23"/>
        <v>0.19082436044880102</v>
      </c>
      <c r="GX35" s="10" t="str">
        <f t="shared" si="68"/>
        <v xml:space="preserve"> </v>
      </c>
      <c r="GY35" s="9"/>
      <c r="GZ35" s="27">
        <v>360</v>
      </c>
      <c r="HA35" s="27">
        <v>358.82721435000076</v>
      </c>
      <c r="HB35" s="28">
        <v>3.3017534145957685</v>
      </c>
      <c r="HC35" s="29">
        <v>6.2685357294111191E-2</v>
      </c>
      <c r="HD35" s="10">
        <f t="shared" si="24"/>
        <v>-3.8117536708069606</v>
      </c>
      <c r="HE35" s="10" t="str">
        <f t="shared" si="69"/>
        <v>*</v>
      </c>
      <c r="HF35" s="9"/>
      <c r="HG35" s="27">
        <v>634</v>
      </c>
      <c r="HH35" s="27">
        <v>637.87677151000321</v>
      </c>
      <c r="HI35" s="28">
        <v>2.9412241755860653</v>
      </c>
      <c r="HJ35" s="29">
        <v>4.6920313106781894E-2</v>
      </c>
      <c r="HK35" s="10">
        <f t="shared" si="25"/>
        <v>0.29992556252720259</v>
      </c>
      <c r="HL35" s="10" t="str">
        <f t="shared" si="70"/>
        <v xml:space="preserve"> </v>
      </c>
      <c r="HM35" s="29"/>
      <c r="HN35" s="8">
        <v>612</v>
      </c>
      <c r="HO35" s="8">
        <v>613.68130724000093</v>
      </c>
      <c r="HP35" s="69">
        <v>2.9366474746561031</v>
      </c>
      <c r="HQ35" s="9">
        <v>4.9549887446728384E-2</v>
      </c>
      <c r="HR35" s="10">
        <f t="shared" si="26"/>
        <v>0.35131582130197991</v>
      </c>
      <c r="HS35" s="10" t="str">
        <f t="shared" si="71"/>
        <v xml:space="preserve"> </v>
      </c>
      <c r="HT35" s="9"/>
      <c r="HU35" s="88">
        <v>2467</v>
      </c>
      <c r="HV35" s="88">
        <v>2465.9428755399363</v>
      </c>
      <c r="HW35" s="28">
        <v>3.6645196201924097</v>
      </c>
      <c r="HX35" s="29">
        <v>2.1901909957159005E-2</v>
      </c>
      <c r="HY35" s="30">
        <f t="shared" si="27"/>
        <v>-10.584754040687114</v>
      </c>
      <c r="HZ35" s="30" t="str">
        <f t="shared" si="72"/>
        <v>*</v>
      </c>
      <c r="IA35" s="30"/>
      <c r="IB35" s="88">
        <v>575</v>
      </c>
      <c r="IC35" s="88">
        <v>575.02727908000145</v>
      </c>
      <c r="ID35" s="28">
        <v>3.643386306492999</v>
      </c>
      <c r="IE35" s="29">
        <v>3.8054603303635658E-2</v>
      </c>
      <c r="IF35" s="30">
        <f t="shared" si="28"/>
        <v>-9.2878774219464226</v>
      </c>
      <c r="IG35" s="30" t="str">
        <f t="shared" si="29"/>
        <v>*</v>
      </c>
      <c r="IH35" s="30"/>
      <c r="II35" s="88">
        <v>297</v>
      </c>
      <c r="IJ35" s="88">
        <v>296.85358670000124</v>
      </c>
      <c r="IK35" s="28">
        <v>3.9087199140114004</v>
      </c>
      <c r="IL35" s="29">
        <v>5.6490550987525527E-2</v>
      </c>
      <c r="IM35" s="30">
        <f t="shared" si="30"/>
        <v>-11.217183181234619</v>
      </c>
      <c r="IN35" s="30" t="str">
        <f t="shared" si="74"/>
        <v>*</v>
      </c>
      <c r="IO35" s="30"/>
      <c r="IP35" s="88">
        <v>438</v>
      </c>
      <c r="IQ35" s="88">
        <v>438.36702324000225</v>
      </c>
      <c r="IR35" s="28">
        <v>3.6115475073343464</v>
      </c>
      <c r="IS35" s="29">
        <v>5.550474568472144E-2</v>
      </c>
      <c r="IT35" s="30">
        <f t="shared" si="32"/>
        <v>-7.7469175655633524</v>
      </c>
      <c r="IU35" s="30" t="str">
        <f t="shared" si="33"/>
        <v>*</v>
      </c>
      <c r="IV35" s="30"/>
      <c r="IW35" s="88">
        <v>171</v>
      </c>
      <c r="IX35" s="88">
        <v>171.00520535999959</v>
      </c>
      <c r="IY35" s="28">
        <v>4.0235395310424984</v>
      </c>
      <c r="IZ35" s="29">
        <v>7.0847781138759891E-2</v>
      </c>
      <c r="JA35" s="30">
        <f t="shared" si="34"/>
        <v>-11.216908391897423</v>
      </c>
      <c r="JB35" s="30" t="str">
        <f t="shared" si="73"/>
        <v>*</v>
      </c>
      <c r="JC35" s="30"/>
      <c r="JD35" s="88">
        <v>586</v>
      </c>
      <c r="JE35" s="88">
        <v>584.57069410000463</v>
      </c>
      <c r="JF35" s="28">
        <v>3.9750443993391449</v>
      </c>
      <c r="JG35" s="29">
        <v>3.8502599000135848E-2</v>
      </c>
      <c r="JH35" s="30">
        <f t="shared" si="35"/>
        <v>-13.782043132539238</v>
      </c>
      <c r="JI35" s="30" t="str">
        <f t="shared" si="36"/>
        <v>*</v>
      </c>
      <c r="JK35" s="27"/>
      <c r="JL35" s="27"/>
      <c r="JM35" s="28"/>
      <c r="JN35" s="29"/>
    </row>
    <row r="36" spans="1:274" x14ac:dyDescent="0.2">
      <c r="B36" s="7" t="s">
        <v>33</v>
      </c>
      <c r="C36" s="27">
        <v>1679</v>
      </c>
      <c r="D36" s="27">
        <v>1671.9264033899726</v>
      </c>
      <c r="E36" s="28">
        <v>3.0319728310717577</v>
      </c>
      <c r="F36" s="29">
        <v>2.82982659460502E-2</v>
      </c>
      <c r="G36" s="29"/>
      <c r="H36" s="3">
        <v>555</v>
      </c>
      <c r="I36" s="3">
        <v>554.50113959999919</v>
      </c>
      <c r="J36" s="28">
        <v>2.9601420882273701</v>
      </c>
      <c r="K36" s="29">
        <v>5.1961188638268513E-2</v>
      </c>
      <c r="L36" s="30">
        <f t="shared" si="37"/>
        <v>1.2140298805671814</v>
      </c>
      <c r="M36" s="30" t="str">
        <f t="shared" si="38"/>
        <v xml:space="preserve"> </v>
      </c>
      <c r="N36" s="9"/>
      <c r="O36" s="27">
        <v>503</v>
      </c>
      <c r="P36" s="27">
        <v>505.44023006999976</v>
      </c>
      <c r="Q36" s="28">
        <v>2.8006333459723924</v>
      </c>
      <c r="R36" s="29">
        <v>4.3074751908106571E-2</v>
      </c>
      <c r="S36" s="30">
        <f t="shared" si="39"/>
        <v>4.4886655165565612</v>
      </c>
      <c r="T36" s="30" t="str">
        <f t="shared" si="40"/>
        <v>*</v>
      </c>
      <c r="U36" s="30"/>
      <c r="V36" s="27">
        <v>554</v>
      </c>
      <c r="W36" s="27">
        <v>568.01447064000149</v>
      </c>
      <c r="X36" s="28">
        <v>2.8187253573417181</v>
      </c>
      <c r="Y36" s="29">
        <v>4.3943375691697782E-2</v>
      </c>
      <c r="Z36" s="30">
        <f t="shared" si="41"/>
        <v>4.0799841972517816</v>
      </c>
      <c r="AA36" s="30" t="str">
        <f t="shared" si="42"/>
        <v>*</v>
      </c>
      <c r="AB36" s="9"/>
      <c r="AC36" s="8">
        <v>558</v>
      </c>
      <c r="AD36" s="8">
        <v>564.18517427999473</v>
      </c>
      <c r="AE36" s="69">
        <v>2.768493521180019</v>
      </c>
      <c r="AF36" s="9">
        <v>4.7427620763891461E-2</v>
      </c>
      <c r="AG36" s="30">
        <f t="shared" si="43"/>
        <v>4.7707253904075726</v>
      </c>
      <c r="AH36" s="30" t="str">
        <f t="shared" si="44"/>
        <v>*</v>
      </c>
      <c r="AI36" s="9"/>
      <c r="AJ36" s="81">
        <v>2946</v>
      </c>
      <c r="AK36" s="83">
        <v>3.3445082723856596</v>
      </c>
      <c r="AL36" s="84">
        <v>2.1688309859249397E-2</v>
      </c>
      <c r="AM36" s="30">
        <f t="shared" si="45"/>
        <v>-8.7659030505733853</v>
      </c>
      <c r="AN36" s="30" t="str">
        <f t="shared" si="46"/>
        <v>*</v>
      </c>
      <c r="AO36" s="9"/>
      <c r="AP36" s="78">
        <v>346</v>
      </c>
      <c r="AQ36" s="79">
        <v>3.6632036318777152</v>
      </c>
      <c r="AR36" s="80">
        <v>6.784978171502451E-2</v>
      </c>
      <c r="AS36" s="30">
        <f t="shared" si="47"/>
        <v>-8.5864778268238613</v>
      </c>
      <c r="AT36" s="30" t="str">
        <f t="shared" si="48"/>
        <v>*</v>
      </c>
      <c r="AU36" s="80"/>
      <c r="AV36" s="78">
        <v>386</v>
      </c>
      <c r="AW36" s="79">
        <v>3.2370735797847621</v>
      </c>
      <c r="AX36" s="80">
        <v>5.6660344344372067E-2</v>
      </c>
      <c r="AY36" s="30">
        <f t="shared" si="49"/>
        <v>-3.2384024510242648</v>
      </c>
      <c r="AZ36" s="30" t="str">
        <f t="shared" si="50"/>
        <v>*</v>
      </c>
      <c r="BA36" s="80"/>
      <c r="BB36" s="78">
        <v>453</v>
      </c>
      <c r="BC36" s="79">
        <v>3.4461070950855501</v>
      </c>
      <c r="BD36" s="80">
        <v>5.1609598923544997E-2</v>
      </c>
      <c r="BE36" s="30">
        <f t="shared" si="51"/>
        <v>-7.0360796898468321</v>
      </c>
      <c r="BF36" s="30" t="str">
        <f t="shared" si="52"/>
        <v>*</v>
      </c>
      <c r="BG36" s="80"/>
      <c r="BH36" s="78">
        <v>640</v>
      </c>
      <c r="BI36" s="79">
        <v>3.1485006792878654</v>
      </c>
      <c r="BJ36" s="80">
        <v>4.3527567290606514E-2</v>
      </c>
      <c r="BK36" s="30">
        <f t="shared" si="53"/>
        <v>-2.2444752166497555</v>
      </c>
      <c r="BL36" s="30" t="str">
        <f t="shared" si="54"/>
        <v>*</v>
      </c>
      <c r="BM36" s="80"/>
      <c r="BN36" s="78">
        <v>624</v>
      </c>
      <c r="BO36" s="79">
        <v>2.9871354826366332</v>
      </c>
      <c r="BP36" s="80">
        <v>4.376156869401425E-2</v>
      </c>
      <c r="BQ36" s="30">
        <f t="shared" si="55"/>
        <v>0.86037085954332237</v>
      </c>
      <c r="BR36" s="30" t="str">
        <f t="shared" si="56"/>
        <v xml:space="preserve"> </v>
      </c>
      <c r="BS36" s="9"/>
      <c r="BT36" s="27">
        <v>7400</v>
      </c>
      <c r="BU36" s="27">
        <v>7441.1802610496907</v>
      </c>
      <c r="BV36" s="28">
        <v>3.5883701045823591</v>
      </c>
      <c r="BW36" s="29">
        <v>1.4459923344346072E-2</v>
      </c>
      <c r="BX36" s="30">
        <f t="shared" si="57"/>
        <v>-17.508536308876543</v>
      </c>
      <c r="BY36" s="30" t="str">
        <f t="shared" si="58"/>
        <v>*</v>
      </c>
      <c r="BZ36" s="30"/>
      <c r="CA36" s="27">
        <v>315</v>
      </c>
      <c r="CB36" s="27">
        <v>315</v>
      </c>
      <c r="CC36" s="28">
        <v>2.9999999999999982</v>
      </c>
      <c r="CD36" s="29">
        <v>5.999359653087432E-2</v>
      </c>
      <c r="CE36" s="30">
        <f t="shared" si="59"/>
        <v>0.48200727822446537</v>
      </c>
      <c r="CF36" s="30" t="str">
        <f t="shared" si="0"/>
        <v xml:space="preserve"> </v>
      </c>
      <c r="CG36" s="30"/>
      <c r="CH36" s="27">
        <v>1735</v>
      </c>
      <c r="CI36" s="27">
        <v>1782.1331998299929</v>
      </c>
      <c r="CJ36" s="28">
        <v>3.2306618062551182</v>
      </c>
      <c r="CK36" s="29">
        <v>2.8147317886003966E-2</v>
      </c>
      <c r="CL36" s="30">
        <f t="shared" si="60"/>
        <v>-4.9780269701746027</v>
      </c>
      <c r="CM36" s="30" t="str">
        <f t="shared" si="1"/>
        <v>*</v>
      </c>
      <c r="CN36" s="30"/>
      <c r="CO36" s="27">
        <v>1919</v>
      </c>
      <c r="CP36" s="27">
        <v>1919.3837000600747</v>
      </c>
      <c r="CQ36" s="28">
        <v>3.3336170316388523</v>
      </c>
      <c r="CR36" s="29">
        <v>2.4967078352254719E-2</v>
      </c>
      <c r="CS36" s="30">
        <f t="shared" si="61"/>
        <v>-7.9931431724657163</v>
      </c>
      <c r="CT36" s="30" t="str">
        <f t="shared" si="2"/>
        <v>*</v>
      </c>
      <c r="CU36" s="30"/>
      <c r="CV36" s="27">
        <v>356</v>
      </c>
      <c r="CW36" s="27">
        <v>356.70508356000056</v>
      </c>
      <c r="CX36" s="28">
        <v>4.8480079619305974</v>
      </c>
      <c r="CY36" s="29">
        <v>2.4164310590613074E-2</v>
      </c>
      <c r="CZ36" s="30">
        <f t="shared" si="62"/>
        <v>-48.80288496688123</v>
      </c>
      <c r="DA36" s="30" t="str">
        <f t="shared" si="3"/>
        <v>*</v>
      </c>
      <c r="DB36" s="30"/>
      <c r="DC36" s="27">
        <v>867</v>
      </c>
      <c r="DD36" s="27">
        <v>867.03187420998904</v>
      </c>
      <c r="DE36" s="28">
        <v>4.8201277772606694</v>
      </c>
      <c r="DF36" s="29">
        <v>1.6559385796747681E-2</v>
      </c>
      <c r="DG36" s="30">
        <f t="shared" si="63"/>
        <v>-54.538084853212403</v>
      </c>
      <c r="DH36" s="30" t="str">
        <f t="shared" si="4"/>
        <v>*</v>
      </c>
      <c r="DI36" s="30"/>
      <c r="DJ36" s="27">
        <v>529</v>
      </c>
      <c r="DK36" s="27">
        <v>529</v>
      </c>
      <c r="DL36" s="28">
        <v>4.9584120982986768</v>
      </c>
      <c r="DM36" s="29">
        <v>1.1829343103524738E-2</v>
      </c>
      <c r="DN36" s="30">
        <f t="shared" si="64"/>
        <v>-62.80929660998649</v>
      </c>
      <c r="DO36" s="30" t="str">
        <f t="shared" si="5"/>
        <v>*</v>
      </c>
      <c r="DP36" s="8"/>
      <c r="DQ36" s="27">
        <v>465</v>
      </c>
      <c r="DR36" s="27">
        <v>462.55377424999921</v>
      </c>
      <c r="DS36" s="28">
        <v>2.9716034432941409</v>
      </c>
      <c r="DT36" s="29">
        <v>5.4995020229817504E-2</v>
      </c>
      <c r="DU36" s="29"/>
      <c r="DV36" s="27">
        <v>324</v>
      </c>
      <c r="DW36" s="27">
        <v>323.38555937000007</v>
      </c>
      <c r="DX36" s="28">
        <v>2.9238774709422479</v>
      </c>
      <c r="DY36" s="29">
        <v>6.1989563663891523E-2</v>
      </c>
      <c r="DZ36" s="10">
        <f t="shared" si="6"/>
        <v>0.5759254328890725</v>
      </c>
      <c r="EA36" s="10" t="str">
        <f t="shared" si="7"/>
        <v xml:space="preserve"> </v>
      </c>
      <c r="EB36" s="29"/>
      <c r="EC36" s="27">
        <v>332</v>
      </c>
      <c r="ED36" s="27">
        <v>334.18015583000118</v>
      </c>
      <c r="EE36" s="28">
        <v>2.9712516854086126</v>
      </c>
      <c r="EF36" s="29">
        <v>6.4381312028933907E-2</v>
      </c>
      <c r="EG36" s="10">
        <f t="shared" si="8"/>
        <v>4.1543421976910962E-3</v>
      </c>
      <c r="EH36" s="10" t="str">
        <f t="shared" si="9"/>
        <v xml:space="preserve"> </v>
      </c>
      <c r="EI36" s="29"/>
      <c r="EJ36" s="27">
        <v>308</v>
      </c>
      <c r="EK36" s="27">
        <v>317.62511090000135</v>
      </c>
      <c r="EL36" s="28">
        <v>2.8770775748511541</v>
      </c>
      <c r="EM36" s="29">
        <v>6.450991944843551E-2</v>
      </c>
      <c r="EN36" s="10">
        <f t="shared" si="10"/>
        <v>1.1150840784456004</v>
      </c>
      <c r="EO36" s="10" t="str">
        <f t="shared" si="65"/>
        <v xml:space="preserve"> </v>
      </c>
      <c r="EP36" s="29"/>
      <c r="EQ36" s="8">
        <v>358</v>
      </c>
      <c r="ER36" s="8">
        <v>356.7119999800002</v>
      </c>
      <c r="ES36" s="69">
        <v>2.9950099801237413</v>
      </c>
      <c r="ET36" s="9">
        <v>6.2860878702532125E-2</v>
      </c>
      <c r="EU36" s="10">
        <f t="shared" si="11"/>
        <v>-0.28024361131892128</v>
      </c>
      <c r="EV36" s="10" t="str">
        <f t="shared" si="66"/>
        <v xml:space="preserve"> </v>
      </c>
      <c r="EW36" s="29"/>
      <c r="EX36" s="88">
        <v>2389</v>
      </c>
      <c r="EY36" s="88">
        <v>2386.7239056799717</v>
      </c>
      <c r="EZ36" s="28">
        <v>3.1571098705709595</v>
      </c>
      <c r="FA36" s="29">
        <v>2.2451631160577797E-2</v>
      </c>
      <c r="FB36" s="30">
        <f t="shared" si="12"/>
        <v>-3.1229294828239524</v>
      </c>
      <c r="FC36" s="30" t="str">
        <f t="shared" si="67"/>
        <v>*</v>
      </c>
      <c r="FD36" s="30"/>
      <c r="FE36" s="27">
        <v>529</v>
      </c>
      <c r="FF36" s="27">
        <v>529.03844792000189</v>
      </c>
      <c r="FG36" s="28">
        <v>3.2381146895377446</v>
      </c>
      <c r="FH36" s="29">
        <v>4.1884491648344277E-2</v>
      </c>
      <c r="FI36" s="30">
        <f t="shared" si="13"/>
        <v>-3.8552966314220525</v>
      </c>
      <c r="FJ36" s="30" t="str">
        <f t="shared" si="14"/>
        <v>*</v>
      </c>
      <c r="FK36" s="30"/>
      <c r="FL36" s="88">
        <v>151</v>
      </c>
      <c r="FM36" s="88">
        <v>150.95276880999967</v>
      </c>
      <c r="FN36" s="28">
        <v>3.4168891959127223</v>
      </c>
      <c r="FO36" s="29">
        <v>7.7687574327602302E-2</v>
      </c>
      <c r="FP36" s="30">
        <f t="shared" si="15"/>
        <v>-4.6782046884024728</v>
      </c>
      <c r="FQ36" s="30" t="str">
        <f t="shared" si="16"/>
        <v>*</v>
      </c>
      <c r="FR36" s="30"/>
      <c r="FS36" s="88">
        <v>403</v>
      </c>
      <c r="FT36" s="88">
        <v>403.10089523999807</v>
      </c>
      <c r="FU36" s="28">
        <v>3.1770326242205749</v>
      </c>
      <c r="FV36" s="29">
        <v>5.3019371966617136E-2</v>
      </c>
      <c r="FW36" s="30">
        <f t="shared" si="17"/>
        <v>-2.6891985758932315</v>
      </c>
      <c r="FX36" s="30" t="str">
        <f t="shared" si="18"/>
        <v>*</v>
      </c>
      <c r="FY36" s="30"/>
      <c r="FZ36" s="88">
        <v>623</v>
      </c>
      <c r="GA36" s="88">
        <v>623.09596188000489</v>
      </c>
      <c r="GB36" s="28">
        <v>3.0320399795719526</v>
      </c>
      <c r="GC36" s="29">
        <v>4.6148959992204065E-2</v>
      </c>
      <c r="GD36" s="30">
        <f t="shared" si="19"/>
        <v>-0.84182114034026567</v>
      </c>
      <c r="GE36" s="30" t="str">
        <f t="shared" si="20"/>
        <v xml:space="preserve"> </v>
      </c>
      <c r="GF36" s="30"/>
      <c r="GG36" s="88">
        <v>218</v>
      </c>
      <c r="GH36" s="88">
        <v>217.98205757999963</v>
      </c>
      <c r="GI36" s="28">
        <v>3.4949234088241696</v>
      </c>
      <c r="GJ36" s="29">
        <v>7.3039033749387999E-2</v>
      </c>
      <c r="GK36" s="30">
        <f t="shared" si="21"/>
        <v>-5.7238227269141779</v>
      </c>
      <c r="GL36" s="30" t="str">
        <f t="shared" si="22"/>
        <v>*</v>
      </c>
      <c r="GM36" s="10"/>
      <c r="GN36" s="88">
        <v>371</v>
      </c>
      <c r="GO36" s="88">
        <v>371.08948992000165</v>
      </c>
      <c r="GP36" s="28">
        <v>2.8005211697158052</v>
      </c>
      <c r="GQ36" s="29">
        <v>6.3249276153445819E-2</v>
      </c>
      <c r="GR36" s="9"/>
      <c r="GS36" s="3">
        <v>260</v>
      </c>
      <c r="GT36" s="3">
        <v>259.93943950000011</v>
      </c>
      <c r="GU36" s="69">
        <v>2.70093669718019</v>
      </c>
      <c r="GV36" s="9">
        <v>7.9051418152635305E-2</v>
      </c>
      <c r="GW36" s="10">
        <f t="shared" si="23"/>
        <v>0.98364461511383994</v>
      </c>
      <c r="GX36" s="10" t="str">
        <f t="shared" si="68"/>
        <v xml:space="preserve"> </v>
      </c>
      <c r="GY36" s="9"/>
      <c r="GZ36" s="27">
        <v>322</v>
      </c>
      <c r="HA36" s="27">
        <v>321.36162646000008</v>
      </c>
      <c r="HB36" s="28">
        <v>2.9677060363294769</v>
      </c>
      <c r="HC36" s="29">
        <v>6.7402678472411784E-2</v>
      </c>
      <c r="HD36" s="10">
        <f t="shared" si="24"/>
        <v>-1.8087423731122731</v>
      </c>
      <c r="HE36" s="10" t="str">
        <f t="shared" si="69"/>
        <v xml:space="preserve"> </v>
      </c>
      <c r="HF36" s="9"/>
      <c r="HG36" s="27">
        <v>553</v>
      </c>
      <c r="HH36" s="27">
        <v>557.0064444900006</v>
      </c>
      <c r="HI36" s="28">
        <v>2.7098529350087226</v>
      </c>
      <c r="HJ36" s="29">
        <v>4.8565147075285808E-2</v>
      </c>
      <c r="HK36" s="10">
        <f t="shared" si="25"/>
        <v>1.136996767567535</v>
      </c>
      <c r="HL36" s="10" t="str">
        <f t="shared" si="70"/>
        <v xml:space="preserve"> </v>
      </c>
      <c r="HM36" s="29"/>
      <c r="HN36" s="8">
        <v>572</v>
      </c>
      <c r="HO36" s="8">
        <v>574.36404172000084</v>
      </c>
      <c r="HP36" s="69">
        <v>2.7318033790404046</v>
      </c>
      <c r="HQ36" s="9">
        <v>4.8200368385531038E-2</v>
      </c>
      <c r="HR36" s="10">
        <f t="shared" si="26"/>
        <v>0.86413573283021761</v>
      </c>
      <c r="HS36" s="10" t="str">
        <f t="shared" si="71"/>
        <v xml:space="preserve"> </v>
      </c>
      <c r="HT36" s="9"/>
      <c r="HU36" s="88">
        <v>2245</v>
      </c>
      <c r="HV36" s="88">
        <v>2243.9189395399694</v>
      </c>
      <c r="HW36" s="28">
        <v>3.2056316463528773</v>
      </c>
      <c r="HX36" s="29">
        <v>2.3872219573010812E-2</v>
      </c>
      <c r="HY36" s="30">
        <f t="shared" si="27"/>
        <v>-5.9923692141847242</v>
      </c>
      <c r="HZ36" s="30" t="str">
        <f t="shared" si="72"/>
        <v>*</v>
      </c>
      <c r="IA36" s="30"/>
      <c r="IB36" s="88">
        <v>529</v>
      </c>
      <c r="IC36" s="88">
        <v>529.03844792000189</v>
      </c>
      <c r="ID36" s="28">
        <v>3.2381146895377446</v>
      </c>
      <c r="IE36" s="29">
        <v>4.1884491648344277E-2</v>
      </c>
      <c r="IF36" s="30">
        <f t="shared" si="28"/>
        <v>-5.7684144996828968</v>
      </c>
      <c r="IG36" s="30" t="str">
        <f t="shared" si="29"/>
        <v>*</v>
      </c>
      <c r="IH36" s="30"/>
      <c r="II36" s="88">
        <v>261</v>
      </c>
      <c r="IJ36" s="88">
        <v>260.91577268000094</v>
      </c>
      <c r="IK36" s="28">
        <v>3.4098540128930921</v>
      </c>
      <c r="IL36" s="29">
        <v>7.1942114651344188E-2</v>
      </c>
      <c r="IM36" s="30">
        <f t="shared" si="30"/>
        <v>-6.3609883529079072</v>
      </c>
      <c r="IN36" s="30" t="str">
        <f t="shared" si="74"/>
        <v>*</v>
      </c>
      <c r="IO36" s="30"/>
      <c r="IP36" s="88">
        <v>412</v>
      </c>
      <c r="IQ36" s="88">
        <v>412.33618780000165</v>
      </c>
      <c r="IR36" s="28">
        <v>3.1560693911037814</v>
      </c>
      <c r="IS36" s="29">
        <v>5.9413271158020378E-2</v>
      </c>
      <c r="IT36" s="30">
        <f t="shared" si="32"/>
        <v>-4.0972198197037804</v>
      </c>
      <c r="IU36" s="30" t="str">
        <f t="shared" si="33"/>
        <v>*</v>
      </c>
      <c r="IV36" s="30"/>
      <c r="IW36" s="88">
        <v>151</v>
      </c>
      <c r="IX36" s="88">
        <v>150.95276880999967</v>
      </c>
      <c r="IY36" s="28">
        <v>3.4168891959127223</v>
      </c>
      <c r="IZ36" s="29">
        <v>7.7687574327602302E-2</v>
      </c>
      <c r="JA36" s="30">
        <f t="shared" si="34"/>
        <v>-6.1526675711387036</v>
      </c>
      <c r="JB36" s="30" t="str">
        <f t="shared" si="73"/>
        <v>*</v>
      </c>
      <c r="JC36" s="30"/>
      <c r="JD36" s="88">
        <v>521</v>
      </c>
      <c r="JE36" s="88">
        <v>519.58627241000318</v>
      </c>
      <c r="JF36" s="28">
        <v>3.3372922151640507</v>
      </c>
      <c r="JG36" s="29">
        <v>4.9239247562771704E-2</v>
      </c>
      <c r="JH36" s="30">
        <f t="shared" si="35"/>
        <v>-6.6965848976565843</v>
      </c>
      <c r="JI36" s="30" t="str">
        <f t="shared" si="36"/>
        <v>*</v>
      </c>
      <c r="JK36" s="27"/>
      <c r="JL36" s="27"/>
      <c r="JM36" s="28"/>
      <c r="JN36" s="29"/>
    </row>
    <row r="37" spans="1:274" x14ac:dyDescent="0.2">
      <c r="B37" s="7" t="s">
        <v>34</v>
      </c>
      <c r="C37" s="27">
        <v>2187</v>
      </c>
      <c r="D37" s="27">
        <v>2184.0457544099527</v>
      </c>
      <c r="E37" s="28">
        <v>3.4348352979292542</v>
      </c>
      <c r="F37" s="29">
        <v>2.8835837775030401E-2</v>
      </c>
      <c r="G37" s="29"/>
      <c r="H37" s="3">
        <v>683</v>
      </c>
      <c r="I37" s="3">
        <v>682.65122804000441</v>
      </c>
      <c r="J37" s="28">
        <v>3.2264143726273993</v>
      </c>
      <c r="K37" s="29">
        <v>5.4767426416101786E-2</v>
      </c>
      <c r="L37" s="30">
        <f t="shared" si="37"/>
        <v>3.3673369322310358</v>
      </c>
      <c r="M37" s="30" t="str">
        <f t="shared" si="38"/>
        <v>*</v>
      </c>
      <c r="N37" s="9"/>
      <c r="O37" s="27">
        <v>736</v>
      </c>
      <c r="P37" s="27">
        <v>737.99712276000207</v>
      </c>
      <c r="Q37" s="28">
        <v>2.7484215917730914</v>
      </c>
      <c r="R37" s="29">
        <v>4.3113958393669605E-2</v>
      </c>
      <c r="S37" s="30">
        <f t="shared" si="39"/>
        <v>13.233784600647898</v>
      </c>
      <c r="T37" s="30" t="str">
        <f t="shared" si="40"/>
        <v>*</v>
      </c>
      <c r="U37" s="30"/>
      <c r="V37" s="27">
        <v>807</v>
      </c>
      <c r="W37" s="27">
        <v>805.23950168001079</v>
      </c>
      <c r="X37" s="28">
        <v>2.7486449293561419</v>
      </c>
      <c r="Y37" s="29">
        <v>4.2720339864578016E-2</v>
      </c>
      <c r="Z37" s="30">
        <f t="shared" si="41"/>
        <v>13.313339658613</v>
      </c>
      <c r="AA37" s="30" t="str">
        <f t="shared" si="42"/>
        <v>*</v>
      </c>
      <c r="AB37" s="9"/>
      <c r="AC37" s="8">
        <v>943</v>
      </c>
      <c r="AD37" s="8">
        <v>946.2401216200002</v>
      </c>
      <c r="AE37" s="69">
        <v>2.4761988581593379</v>
      </c>
      <c r="AF37" s="9">
        <v>3.9576098358027841E-2</v>
      </c>
      <c r="AG37" s="30">
        <f t="shared" si="43"/>
        <v>19.577169070506784</v>
      </c>
      <c r="AH37" s="30" t="str">
        <f t="shared" si="44"/>
        <v>*</v>
      </c>
      <c r="AI37" s="9"/>
      <c r="AJ37" s="81">
        <v>4010</v>
      </c>
      <c r="AK37" s="83">
        <v>3.7759309991838159</v>
      </c>
      <c r="AL37" s="84">
        <v>1.9280624185745384E-2</v>
      </c>
      <c r="AM37" s="30">
        <f t="shared" si="45"/>
        <v>-9.8332859883924293</v>
      </c>
      <c r="AN37" s="30" t="str">
        <f t="shared" si="46"/>
        <v>*</v>
      </c>
      <c r="AO37" s="9"/>
      <c r="AP37" s="78">
        <v>489</v>
      </c>
      <c r="AQ37" s="79">
        <v>4.0343181788560374</v>
      </c>
      <c r="AR37" s="80">
        <v>5.6021968118280335E-2</v>
      </c>
      <c r="AS37" s="30">
        <f t="shared" si="47"/>
        <v>-9.5144429709890446</v>
      </c>
      <c r="AT37" s="30" t="str">
        <f t="shared" si="48"/>
        <v>*</v>
      </c>
      <c r="AU37" s="80"/>
      <c r="AV37" s="78">
        <v>590</v>
      </c>
      <c r="AW37" s="79">
        <v>4.0923056260060635</v>
      </c>
      <c r="AX37" s="80">
        <v>4.1503357735997719E-2</v>
      </c>
      <c r="AY37" s="30">
        <f t="shared" si="49"/>
        <v>-13.009565732822789</v>
      </c>
      <c r="AZ37" s="30" t="str">
        <f t="shared" si="50"/>
        <v>*</v>
      </c>
      <c r="BA37" s="80"/>
      <c r="BB37" s="78">
        <v>639</v>
      </c>
      <c r="BC37" s="79">
        <v>3.7913109254430264</v>
      </c>
      <c r="BD37" s="80">
        <v>4.8699536950391135E-2</v>
      </c>
      <c r="BE37" s="30">
        <f t="shared" si="51"/>
        <v>-6.2985585970978946</v>
      </c>
      <c r="BF37" s="30" t="str">
        <f t="shared" si="52"/>
        <v>*</v>
      </c>
      <c r="BG37" s="80"/>
      <c r="BH37" s="78">
        <v>823</v>
      </c>
      <c r="BI37" s="79">
        <v>3.8213882407282473</v>
      </c>
      <c r="BJ37" s="80">
        <v>4.1059356037169481E-2</v>
      </c>
      <c r="BK37" s="30">
        <f t="shared" si="53"/>
        <v>-7.7043307307619751</v>
      </c>
      <c r="BL37" s="30" t="str">
        <f t="shared" si="54"/>
        <v>*</v>
      </c>
      <c r="BM37" s="80"/>
      <c r="BN37" s="78">
        <v>941</v>
      </c>
      <c r="BO37" s="79">
        <v>3.8569652273962443</v>
      </c>
      <c r="BP37" s="80">
        <v>3.7526559033404253E-2</v>
      </c>
      <c r="BQ37" s="30">
        <f t="shared" si="55"/>
        <v>-8.9196240467860033</v>
      </c>
      <c r="BR37" s="30" t="str">
        <f t="shared" si="56"/>
        <v>*</v>
      </c>
      <c r="BS37" s="9"/>
      <c r="BT37" s="27">
        <v>8673</v>
      </c>
      <c r="BU37" s="27">
        <v>8701.1304668098128</v>
      </c>
      <c r="BV37" s="28">
        <v>3.8407606024889422</v>
      </c>
      <c r="BW37" s="29">
        <v>1.3853213156067076E-2</v>
      </c>
      <c r="BX37" s="30">
        <f t="shared" si="57"/>
        <v>-12.688778029968191</v>
      </c>
      <c r="BY37" s="30" t="str">
        <f t="shared" si="58"/>
        <v>*</v>
      </c>
      <c r="BZ37" s="30"/>
      <c r="CA37" s="27">
        <v>367</v>
      </c>
      <c r="CB37" s="27">
        <v>367</v>
      </c>
      <c r="CC37" s="28">
        <v>3.6948228882833787</v>
      </c>
      <c r="CD37" s="29">
        <v>6.351173935874635E-2</v>
      </c>
      <c r="CE37" s="30">
        <f t="shared" si="59"/>
        <v>-3.7273501361076922</v>
      </c>
      <c r="CF37" s="30" t="str">
        <f t="shared" si="0"/>
        <v>*</v>
      </c>
      <c r="CG37" s="30"/>
      <c r="CH37" s="27">
        <v>2248</v>
      </c>
      <c r="CI37" s="27">
        <v>2278.717401549985</v>
      </c>
      <c r="CJ37" s="28">
        <v>3.5284092801726752</v>
      </c>
      <c r="CK37" s="29">
        <v>2.7461336202155878E-2</v>
      </c>
      <c r="CL37" s="30">
        <f t="shared" si="60"/>
        <v>-2.3499256035535185</v>
      </c>
      <c r="CM37" s="30" t="str">
        <f t="shared" si="1"/>
        <v>*</v>
      </c>
      <c r="CN37" s="30"/>
      <c r="CO37" s="27">
        <v>2035</v>
      </c>
      <c r="CP37" s="27">
        <v>2035.528268600081</v>
      </c>
      <c r="CQ37" s="28">
        <v>3.7547100697877305</v>
      </c>
      <c r="CR37" s="29">
        <v>2.7404325117614335E-2</v>
      </c>
      <c r="CS37" s="30">
        <f t="shared" si="61"/>
        <v>-8.0409576802549214</v>
      </c>
      <c r="CT37" s="30" t="str">
        <f t="shared" si="2"/>
        <v>*</v>
      </c>
      <c r="CU37" s="30"/>
      <c r="CV37" s="27">
        <v>434</v>
      </c>
      <c r="CW37" s="27">
        <v>433.81571504000198</v>
      </c>
      <c r="CX37" s="28">
        <v>4.9097399220856115</v>
      </c>
      <c r="CY37" s="29">
        <v>2.0089983136705715E-2</v>
      </c>
      <c r="CZ37" s="30">
        <f t="shared" si="62"/>
        <v>-41.96725825050892</v>
      </c>
      <c r="DA37" s="30" t="str">
        <f t="shared" si="3"/>
        <v>*</v>
      </c>
      <c r="DB37" s="30"/>
      <c r="DC37" s="27">
        <v>863</v>
      </c>
      <c r="DD37" s="27">
        <v>863.02332720998925</v>
      </c>
      <c r="DE37" s="28">
        <v>4.7265619212832997</v>
      </c>
      <c r="DF37" s="29">
        <v>2.3518674595566242E-2</v>
      </c>
      <c r="DG37" s="30">
        <f t="shared" si="63"/>
        <v>-34.713881650297495</v>
      </c>
      <c r="DH37" s="30" t="str">
        <f t="shared" si="4"/>
        <v>*</v>
      </c>
      <c r="DI37" s="30"/>
      <c r="DJ37" s="27">
        <v>539</v>
      </c>
      <c r="DK37" s="27">
        <v>539</v>
      </c>
      <c r="DL37" s="28">
        <v>4.9517625231910962</v>
      </c>
      <c r="DM37" s="29">
        <v>1.5171430581111917E-2</v>
      </c>
      <c r="DN37" s="30">
        <f t="shared" si="64"/>
        <v>-46.555218408296987</v>
      </c>
      <c r="DO37" s="30" t="str">
        <f t="shared" si="5"/>
        <v>*</v>
      </c>
      <c r="DP37" s="8"/>
      <c r="DQ37" s="27">
        <v>630</v>
      </c>
      <c r="DR37" s="27">
        <v>626.81121253999959</v>
      </c>
      <c r="DS37" s="28">
        <v>3.3061271682624147</v>
      </c>
      <c r="DT37" s="29">
        <v>5.4271740839525448E-2</v>
      </c>
      <c r="DU37" s="29"/>
      <c r="DV37" s="27">
        <v>440</v>
      </c>
      <c r="DW37" s="27">
        <v>439.44940520999808</v>
      </c>
      <c r="DX37" s="28">
        <v>3.2825921782751184</v>
      </c>
      <c r="DY37" s="29">
        <v>6.915225259601683E-2</v>
      </c>
      <c r="DZ37" s="10">
        <f t="shared" si="6"/>
        <v>0.26772920626643237</v>
      </c>
      <c r="EA37" s="10" t="str">
        <f t="shared" si="7"/>
        <v xml:space="preserve"> </v>
      </c>
      <c r="EB37" s="29"/>
      <c r="EC37" s="27">
        <v>465</v>
      </c>
      <c r="ED37" s="27">
        <v>468.23429914000064</v>
      </c>
      <c r="EE37" s="28">
        <v>3.1062077908673897</v>
      </c>
      <c r="EF37" s="29">
        <v>6.615716039995885E-2</v>
      </c>
      <c r="EG37" s="10">
        <f t="shared" si="8"/>
        <v>2.3363308434472869</v>
      </c>
      <c r="EH37" s="10" t="str">
        <f t="shared" si="9"/>
        <v>*</v>
      </c>
      <c r="EI37" s="29"/>
      <c r="EJ37" s="27">
        <v>435</v>
      </c>
      <c r="EK37" s="27">
        <v>442.78238571000247</v>
      </c>
      <c r="EL37" s="28">
        <v>2.8926137006246186</v>
      </c>
      <c r="EM37" s="29">
        <v>6.9999402210704553E-2</v>
      </c>
      <c r="EN37" s="10">
        <f t="shared" si="10"/>
        <v>4.6685694580995811</v>
      </c>
      <c r="EO37" s="10" t="str">
        <f t="shared" si="65"/>
        <v>*</v>
      </c>
      <c r="EP37" s="29"/>
      <c r="EQ37" s="8">
        <v>493</v>
      </c>
      <c r="ER37" s="8">
        <v>491.94114292999933</v>
      </c>
      <c r="ES37" s="69">
        <v>2.806161480818512</v>
      </c>
      <c r="ET37" s="9">
        <v>6.7213158278482024E-2</v>
      </c>
      <c r="EU37" s="10">
        <f t="shared" si="11"/>
        <v>5.7873878948913537</v>
      </c>
      <c r="EV37" s="10" t="str">
        <f t="shared" si="66"/>
        <v>*</v>
      </c>
      <c r="EW37" s="29"/>
      <c r="EX37" s="88">
        <v>3281</v>
      </c>
      <c r="EY37" s="88">
        <v>3277.9509641699251</v>
      </c>
      <c r="EZ37" s="28">
        <v>3.7463611394441587</v>
      </c>
      <c r="FA37" s="29">
        <v>2.093908666240606E-2</v>
      </c>
      <c r="FB37" s="30">
        <f t="shared" si="12"/>
        <v>-7.5679263462912063</v>
      </c>
      <c r="FC37" s="30" t="str">
        <f t="shared" si="67"/>
        <v>*</v>
      </c>
      <c r="FD37" s="30"/>
      <c r="FE37" s="27">
        <v>775</v>
      </c>
      <c r="FF37" s="27">
        <v>775.03825588000109</v>
      </c>
      <c r="FG37" s="28">
        <v>3.9496926011533056</v>
      </c>
      <c r="FH37" s="29">
        <v>3.5384707390208971E-2</v>
      </c>
      <c r="FI37" s="30">
        <f t="shared" si="13"/>
        <v>-9.9333877711896044</v>
      </c>
      <c r="FJ37" s="30" t="str">
        <f t="shared" si="14"/>
        <v>*</v>
      </c>
      <c r="FK37" s="30"/>
      <c r="FL37" s="88">
        <v>240</v>
      </c>
      <c r="FM37" s="88">
        <v>240.06322745999924</v>
      </c>
      <c r="FN37" s="28">
        <v>4.0792447415678028</v>
      </c>
      <c r="FO37" s="29">
        <v>6.9789717145148228E-2</v>
      </c>
      <c r="FP37" s="30">
        <f t="shared" si="15"/>
        <v>-8.744853419192081</v>
      </c>
      <c r="FQ37" s="30" t="str">
        <f t="shared" si="16"/>
        <v>*</v>
      </c>
      <c r="FR37" s="30"/>
      <c r="FS37" s="88">
        <v>492</v>
      </c>
      <c r="FT37" s="88">
        <v>491.85616730999618</v>
      </c>
      <c r="FU37" s="28">
        <v>3.6126774991113786</v>
      </c>
      <c r="FV37" s="29">
        <v>5.6229833327229008E-2</v>
      </c>
      <c r="FW37" s="30">
        <f t="shared" si="17"/>
        <v>-3.9226553188825202</v>
      </c>
      <c r="FX37" s="30" t="str">
        <f t="shared" si="18"/>
        <v>*</v>
      </c>
      <c r="FY37" s="30"/>
      <c r="FZ37" s="88">
        <v>823</v>
      </c>
      <c r="GA37" s="88">
        <v>823.14304344000618</v>
      </c>
      <c r="GB37" s="28">
        <v>3.7983482440836562</v>
      </c>
      <c r="GC37" s="29">
        <v>4.1380025203560031E-2</v>
      </c>
      <c r="GD37" s="30">
        <f t="shared" si="19"/>
        <v>-7.212289117443313</v>
      </c>
      <c r="GE37" s="30" t="str">
        <f t="shared" si="20"/>
        <v>*</v>
      </c>
      <c r="GF37" s="30"/>
      <c r="GG37" s="88">
        <v>321</v>
      </c>
      <c r="GH37" s="88">
        <v>321.03905753999936</v>
      </c>
      <c r="GI37" s="28">
        <v>3.9376186015076864</v>
      </c>
      <c r="GJ37" s="29">
        <v>6.2283402318967424E-2</v>
      </c>
      <c r="GK37" s="30">
        <f t="shared" si="21"/>
        <v>-7.6441193740220141</v>
      </c>
      <c r="GL37" s="30" t="str">
        <f t="shared" si="22"/>
        <v>*</v>
      </c>
      <c r="GM37" s="10"/>
      <c r="GN37" s="88">
        <v>567</v>
      </c>
      <c r="GO37" s="88">
        <v>567.07728570000575</v>
      </c>
      <c r="GP37" s="28">
        <v>3.4122436934877922</v>
      </c>
      <c r="GQ37" s="29">
        <v>5.5416453674470588E-2</v>
      </c>
      <c r="GR37" s="9"/>
      <c r="GS37" s="3">
        <v>374</v>
      </c>
      <c r="GT37" s="3">
        <v>373.88630212999766</v>
      </c>
      <c r="GU37" s="69">
        <v>3.4307546871936507</v>
      </c>
      <c r="GV37" s="9">
        <v>6.9800849541973672E-2</v>
      </c>
      <c r="GW37" s="10">
        <f t="shared" si="23"/>
        <v>-0.20769860119621</v>
      </c>
      <c r="GX37" s="10" t="str">
        <f t="shared" si="68"/>
        <v xml:space="preserve"> </v>
      </c>
      <c r="GY37" s="9"/>
      <c r="GZ37" s="27">
        <v>423</v>
      </c>
      <c r="HA37" s="27">
        <v>422.95317415000198</v>
      </c>
      <c r="HB37" s="28">
        <v>3.2840086122805592</v>
      </c>
      <c r="HC37" s="29">
        <v>6.8383507324994597E-2</v>
      </c>
      <c r="HD37" s="10">
        <f t="shared" si="24"/>
        <v>1.456907628173586</v>
      </c>
      <c r="HE37" s="10" t="str">
        <f t="shared" si="69"/>
        <v xml:space="preserve"> </v>
      </c>
      <c r="HF37" s="9"/>
      <c r="HG37" s="27">
        <v>820</v>
      </c>
      <c r="HH37" s="27">
        <v>822.38006117000202</v>
      </c>
      <c r="HI37" s="28">
        <v>2.7449483158898711</v>
      </c>
      <c r="HJ37" s="29">
        <v>4.9248502910014813E-2</v>
      </c>
      <c r="HK37" s="10">
        <f t="shared" si="25"/>
        <v>9.0007565489772396</v>
      </c>
      <c r="HL37" s="10" t="str">
        <f t="shared" si="70"/>
        <v>*</v>
      </c>
      <c r="HM37" s="29"/>
      <c r="HN37" s="8">
        <v>871</v>
      </c>
      <c r="HO37" s="8">
        <v>869.46770388000232</v>
      </c>
      <c r="HP37" s="69">
        <v>2.6726661322439664</v>
      </c>
      <c r="HQ37" s="9">
        <v>4.8016761809513135E-2</v>
      </c>
      <c r="HR37" s="10">
        <f t="shared" si="26"/>
        <v>10.086259907259299</v>
      </c>
      <c r="HS37" s="10" t="str">
        <f t="shared" si="71"/>
        <v>*</v>
      </c>
      <c r="HT37" s="9"/>
      <c r="HU37" s="88">
        <v>3321</v>
      </c>
      <c r="HV37" s="88">
        <v>3320.0891496298691</v>
      </c>
      <c r="HW37" s="28">
        <v>3.718190583730475</v>
      </c>
      <c r="HX37" s="29">
        <v>2.1364019940771372E-2</v>
      </c>
      <c r="HY37" s="30">
        <f t="shared" si="27"/>
        <v>-5.1513184625746042</v>
      </c>
      <c r="HZ37" s="30" t="str">
        <f t="shared" si="72"/>
        <v>*</v>
      </c>
      <c r="IA37" s="30"/>
      <c r="IB37" s="88">
        <v>775</v>
      </c>
      <c r="IC37" s="88">
        <v>775.03825588000109</v>
      </c>
      <c r="ID37" s="28">
        <v>3.9496926011533056</v>
      </c>
      <c r="IE37" s="29">
        <v>3.5384707390208971E-2</v>
      </c>
      <c r="IF37" s="30">
        <f t="shared" si="28"/>
        <v>-8.1741294284902271</v>
      </c>
      <c r="IG37" s="30" t="str">
        <f t="shared" si="29"/>
        <v>*</v>
      </c>
      <c r="IH37" s="30"/>
      <c r="II37" s="88">
        <v>396</v>
      </c>
      <c r="IJ37" s="88">
        <v>396.27235692000215</v>
      </c>
      <c r="IK37" s="28">
        <v>3.6231303423212289</v>
      </c>
      <c r="IL37" s="29">
        <v>6.2057861251058749E-2</v>
      </c>
      <c r="IM37" s="30">
        <f t="shared" si="30"/>
        <v>-2.5347096741476927</v>
      </c>
      <c r="IN37" s="30" t="str">
        <f t="shared" si="74"/>
        <v>*</v>
      </c>
      <c r="IO37" s="30"/>
      <c r="IP37" s="88">
        <v>564</v>
      </c>
      <c r="IQ37" s="88">
        <v>564.30397092000487</v>
      </c>
      <c r="IR37" s="28">
        <v>3.7670366888510922</v>
      </c>
      <c r="IS37" s="29">
        <v>5.2993519046488947E-2</v>
      </c>
      <c r="IT37" s="30">
        <f t="shared" si="32"/>
        <v>-4.6271370120838888</v>
      </c>
      <c r="IU37" s="30" t="str">
        <f t="shared" si="33"/>
        <v>*</v>
      </c>
      <c r="IV37" s="30"/>
      <c r="IW37" s="88">
        <v>240</v>
      </c>
      <c r="IX37" s="88">
        <v>240.06322745999924</v>
      </c>
      <c r="IY37" s="28">
        <v>4.0792447415678028</v>
      </c>
      <c r="IZ37" s="29">
        <v>6.9789717145148228E-2</v>
      </c>
      <c r="JA37" s="30">
        <f t="shared" si="34"/>
        <v>-7.484673174304012</v>
      </c>
      <c r="JB37" s="30" t="str">
        <f t="shared" si="73"/>
        <v>*</v>
      </c>
      <c r="JC37" s="30"/>
      <c r="JD37" s="88">
        <v>779</v>
      </c>
      <c r="JE37" s="88">
        <v>777.33405275000734</v>
      </c>
      <c r="JF37" s="28">
        <v>3.6120617977519824</v>
      </c>
      <c r="JG37" s="29">
        <v>4.7778993523088481E-2</v>
      </c>
      <c r="JH37" s="30">
        <f t="shared" si="35"/>
        <v>-2.73088323672998</v>
      </c>
      <c r="JI37" s="30" t="str">
        <f t="shared" si="36"/>
        <v>*</v>
      </c>
      <c r="JK37" s="27"/>
      <c r="JL37" s="27"/>
      <c r="JM37" s="28"/>
      <c r="JN37" s="29"/>
    </row>
    <row r="38" spans="1:274" x14ac:dyDescent="0.2">
      <c r="B38" s="7" t="s">
        <v>35</v>
      </c>
      <c r="C38" s="27">
        <v>711</v>
      </c>
      <c r="D38" s="27">
        <v>707.91440919999616</v>
      </c>
      <c r="E38" s="28">
        <v>3.5599593798747051</v>
      </c>
      <c r="F38" s="29">
        <v>4.4104491287943991E-2</v>
      </c>
      <c r="G38" s="29"/>
      <c r="H38" s="3">
        <v>198</v>
      </c>
      <c r="I38" s="3">
        <v>197.99077608000073</v>
      </c>
      <c r="J38" s="28">
        <v>3.5052914497369132</v>
      </c>
      <c r="K38" s="29">
        <v>8.8226389670106528E-2</v>
      </c>
      <c r="L38" s="30">
        <f t="shared" si="37"/>
        <v>0.55423794123154924</v>
      </c>
      <c r="M38" s="30" t="str">
        <f t="shared" si="38"/>
        <v xml:space="preserve"> </v>
      </c>
      <c r="N38" s="9"/>
      <c r="O38" s="27">
        <v>105</v>
      </c>
      <c r="P38" s="27">
        <v>104.78547057000004</v>
      </c>
      <c r="Q38" s="28">
        <v>3.4719730228912029</v>
      </c>
      <c r="R38" s="29">
        <v>0.11510151070870579</v>
      </c>
      <c r="S38" s="30">
        <f t="shared" si="39"/>
        <v>0.71381473349026392</v>
      </c>
      <c r="T38" s="30" t="str">
        <f t="shared" si="40"/>
        <v xml:space="preserve"> </v>
      </c>
      <c r="U38" s="30"/>
      <c r="V38" s="27">
        <v>120</v>
      </c>
      <c r="W38" s="27">
        <v>120.70886445999992</v>
      </c>
      <c r="X38" s="28">
        <v>3.5237510051380694</v>
      </c>
      <c r="Y38" s="29">
        <v>0.1054061527068148</v>
      </c>
      <c r="Z38" s="30">
        <f t="shared" si="41"/>
        <v>0.31689075023048174</v>
      </c>
      <c r="AA38" s="30" t="str">
        <f t="shared" si="42"/>
        <v xml:space="preserve"> </v>
      </c>
      <c r="AB38" s="9"/>
      <c r="AC38" s="8">
        <v>211</v>
      </c>
      <c r="AD38" s="8">
        <v>211.26485593999962</v>
      </c>
      <c r="AE38" s="69">
        <v>3.33547657183516</v>
      </c>
      <c r="AF38" s="9">
        <v>7.1172803876315249E-2</v>
      </c>
      <c r="AG38" s="30">
        <f t="shared" si="43"/>
        <v>2.6810202701557411</v>
      </c>
      <c r="AH38" s="30" t="str">
        <f t="shared" si="44"/>
        <v>*</v>
      </c>
      <c r="AI38" s="9"/>
      <c r="AJ38" s="81">
        <v>1381</v>
      </c>
      <c r="AK38" s="83">
        <v>3.9320148069682066</v>
      </c>
      <c r="AL38" s="84">
        <v>2.8265751176628891E-2</v>
      </c>
      <c r="AM38" s="30">
        <f t="shared" si="45"/>
        <v>-7.102365543928097</v>
      </c>
      <c r="AN38" s="30" t="str">
        <f t="shared" si="46"/>
        <v>*</v>
      </c>
      <c r="AO38" s="9"/>
      <c r="AP38" s="78">
        <v>170</v>
      </c>
      <c r="AQ38" s="79">
        <v>4.4559800688537043</v>
      </c>
      <c r="AR38" s="80">
        <v>6.1994128213451502E-2</v>
      </c>
      <c r="AS38" s="30">
        <f t="shared" si="47"/>
        <v>-11.777031614340448</v>
      </c>
      <c r="AT38" s="30" t="str">
        <f t="shared" si="48"/>
        <v>*</v>
      </c>
      <c r="AU38" s="80"/>
      <c r="AV38" s="78">
        <v>107</v>
      </c>
      <c r="AW38" s="79">
        <v>3.7881520719891779</v>
      </c>
      <c r="AX38" s="80">
        <v>0.10392953902924187</v>
      </c>
      <c r="AY38" s="30">
        <f t="shared" si="49"/>
        <v>-2.0211815065888525</v>
      </c>
      <c r="AZ38" s="30" t="str">
        <f t="shared" si="50"/>
        <v>*</v>
      </c>
      <c r="BA38" s="80"/>
      <c r="BB38" s="78">
        <v>174</v>
      </c>
      <c r="BC38" s="79">
        <v>4.0083912535287256</v>
      </c>
      <c r="BD38" s="80">
        <v>8.2506534545791113E-2</v>
      </c>
      <c r="BE38" s="30">
        <f t="shared" si="51"/>
        <v>-4.7932442590652506</v>
      </c>
      <c r="BF38" s="30" t="str">
        <f t="shared" si="52"/>
        <v>*</v>
      </c>
      <c r="BG38" s="80"/>
      <c r="BH38" s="78">
        <v>229</v>
      </c>
      <c r="BI38" s="79">
        <v>3.7249291493399506</v>
      </c>
      <c r="BJ38" s="80">
        <v>7.47378466496115E-2</v>
      </c>
      <c r="BK38" s="30">
        <f t="shared" si="53"/>
        <v>-1.9009882450624849</v>
      </c>
      <c r="BL38" s="30" t="str">
        <f t="shared" si="54"/>
        <v xml:space="preserve"> </v>
      </c>
      <c r="BM38" s="80"/>
      <c r="BN38" s="78">
        <v>230</v>
      </c>
      <c r="BO38" s="79">
        <v>3.6537391185331485</v>
      </c>
      <c r="BP38" s="80">
        <v>7.7689715821652322E-2</v>
      </c>
      <c r="BQ38" s="30">
        <f t="shared" si="55"/>
        <v>-1.049743357807039</v>
      </c>
      <c r="BR38" s="30" t="str">
        <f t="shared" si="56"/>
        <v xml:space="preserve"> </v>
      </c>
      <c r="BS38" s="9"/>
      <c r="BT38" s="27">
        <v>3524</v>
      </c>
      <c r="BU38" s="27">
        <v>3537.8891915599265</v>
      </c>
      <c r="BV38" s="28">
        <v>4.1909292806177971</v>
      </c>
      <c r="BW38" s="29">
        <v>1.8042984564988544E-2</v>
      </c>
      <c r="BX38" s="30">
        <f t="shared" si="57"/>
        <v>-13.241081555528629</v>
      </c>
      <c r="BY38" s="30" t="str">
        <f t="shared" si="58"/>
        <v>*</v>
      </c>
      <c r="BZ38" s="30"/>
      <c r="CA38" s="27">
        <v>98</v>
      </c>
      <c r="CB38" s="27">
        <v>98</v>
      </c>
      <c r="CC38" s="28">
        <v>3.693877551020408</v>
      </c>
      <c r="CD38" s="29">
        <v>0.10600342902538148</v>
      </c>
      <c r="CE38" s="30">
        <f t="shared" si="59"/>
        <v>-1.1664065717100156</v>
      </c>
      <c r="CF38" s="30" t="str">
        <f t="shared" si="0"/>
        <v xml:space="preserve"> </v>
      </c>
      <c r="CG38" s="30"/>
      <c r="CH38" s="27">
        <v>810</v>
      </c>
      <c r="CI38" s="27">
        <v>826.6858711500023</v>
      </c>
      <c r="CJ38" s="28">
        <v>3.7334541993762711</v>
      </c>
      <c r="CK38" s="29">
        <v>3.809342601451067E-2</v>
      </c>
      <c r="CL38" s="30">
        <f t="shared" si="60"/>
        <v>-2.9770252170597336</v>
      </c>
      <c r="CM38" s="30" t="str">
        <f t="shared" si="1"/>
        <v>*</v>
      </c>
      <c r="CN38" s="30"/>
      <c r="CO38" s="27">
        <v>612</v>
      </c>
      <c r="CP38" s="27">
        <v>612.14673284000412</v>
      </c>
      <c r="CQ38" s="28">
        <v>4.0183761735324675</v>
      </c>
      <c r="CR38" s="29">
        <v>4.2207243190543989E-2</v>
      </c>
      <c r="CS38" s="30">
        <f t="shared" si="61"/>
        <v>-7.5093228630542974</v>
      </c>
      <c r="CT38" s="30" t="str">
        <f t="shared" si="2"/>
        <v>*</v>
      </c>
      <c r="CU38" s="30"/>
      <c r="CV38" s="27">
        <v>81</v>
      </c>
      <c r="CW38" s="27">
        <v>81.084129160000131</v>
      </c>
      <c r="CX38" s="28">
        <v>4.8637949513127641</v>
      </c>
      <c r="CY38" s="29">
        <v>6.5208941836350329E-2</v>
      </c>
      <c r="CZ38" s="30">
        <f t="shared" si="62"/>
        <v>-16.562185034869529</v>
      </c>
      <c r="DA38" s="30" t="str">
        <f t="shared" si="3"/>
        <v>*</v>
      </c>
      <c r="DB38" s="30"/>
      <c r="DC38" s="27">
        <v>723</v>
      </c>
      <c r="DD38" s="27">
        <v>723.05804920999276</v>
      </c>
      <c r="DE38" s="28">
        <v>4.9253176919902915</v>
      </c>
      <c r="DF38" s="29">
        <v>1.1241254260399488E-2</v>
      </c>
      <c r="DG38" s="30">
        <f t="shared" si="63"/>
        <v>-29.998298878496101</v>
      </c>
      <c r="DH38" s="30" t="str">
        <f t="shared" si="4"/>
        <v>*</v>
      </c>
      <c r="DI38" s="30"/>
      <c r="DJ38" s="27">
        <v>489</v>
      </c>
      <c r="DK38" s="27">
        <v>489</v>
      </c>
      <c r="DL38" s="28">
        <v>4.9959100204498963</v>
      </c>
      <c r="DM38" s="29">
        <v>2.8890875869033751E-3</v>
      </c>
      <c r="DN38" s="30">
        <f t="shared" si="64"/>
        <v>-32.488294626182061</v>
      </c>
      <c r="DO38" s="30" t="str">
        <f t="shared" si="5"/>
        <v>*</v>
      </c>
      <c r="DP38" s="8"/>
      <c r="DQ38" s="27">
        <v>194</v>
      </c>
      <c r="DR38" s="27">
        <v>193.44512409999936</v>
      </c>
      <c r="DS38" s="28">
        <v>3.5555738375418673</v>
      </c>
      <c r="DT38" s="29">
        <v>8.8177208666823867E-2</v>
      </c>
      <c r="DU38" s="29"/>
      <c r="DV38" s="27">
        <v>127</v>
      </c>
      <c r="DW38" s="27">
        <v>127.00256423000029</v>
      </c>
      <c r="DX38" s="28">
        <v>3.2598247630673054</v>
      </c>
      <c r="DY38" s="29">
        <v>0.12308313788532926</v>
      </c>
      <c r="DZ38" s="10">
        <f t="shared" si="6"/>
        <v>1.9533126514807471</v>
      </c>
      <c r="EA38" s="10" t="str">
        <f t="shared" si="7"/>
        <v xml:space="preserve"> </v>
      </c>
      <c r="EB38" s="29"/>
      <c r="EC38" s="27">
        <v>163</v>
      </c>
      <c r="ED38" s="27">
        <v>164.27154801000015</v>
      </c>
      <c r="EE38" s="28">
        <v>3.4157417471091378</v>
      </c>
      <c r="EF38" s="29">
        <v>0.10576326747087759</v>
      </c>
      <c r="EG38" s="10">
        <f t="shared" si="8"/>
        <v>1.0154889763976016</v>
      </c>
      <c r="EH38" s="10" t="str">
        <f t="shared" si="9"/>
        <v xml:space="preserve"> </v>
      </c>
      <c r="EI38" s="29"/>
      <c r="EJ38" s="27">
        <v>126</v>
      </c>
      <c r="EK38" s="27">
        <v>128.38603329999972</v>
      </c>
      <c r="EL38" s="28">
        <v>3.4458226564742689</v>
      </c>
      <c r="EM38" s="29">
        <v>0.11704718133260125</v>
      </c>
      <c r="EN38" s="10">
        <f t="shared" si="10"/>
        <v>0.74892781260328867</v>
      </c>
      <c r="EO38" s="10" t="str">
        <f t="shared" si="65"/>
        <v xml:space="preserve"> </v>
      </c>
      <c r="EP38" s="29"/>
      <c r="EQ38" s="8">
        <v>163</v>
      </c>
      <c r="ER38" s="8">
        <v>162.5902857300002</v>
      </c>
      <c r="ES38" s="69">
        <v>3.4763841098023756</v>
      </c>
      <c r="ET38" s="9">
        <v>9.5984303409935107E-2</v>
      </c>
      <c r="EU38" s="10">
        <f t="shared" si="11"/>
        <v>0.60756826655115537</v>
      </c>
      <c r="EV38" s="10" t="str">
        <f t="shared" si="66"/>
        <v xml:space="preserve"> </v>
      </c>
      <c r="EW38" s="29"/>
      <c r="EX38" s="88">
        <v>800</v>
      </c>
      <c r="EY38" s="88">
        <v>799.57594777000259</v>
      </c>
      <c r="EZ38" s="28">
        <v>3.8150147433492538</v>
      </c>
      <c r="FA38" s="29">
        <v>3.8539866728188557E-2</v>
      </c>
      <c r="FB38" s="30">
        <f t="shared" si="12"/>
        <v>-2.6960023215351163</v>
      </c>
      <c r="FC38" s="30" t="str">
        <f t="shared" si="67"/>
        <v>*</v>
      </c>
      <c r="FD38" s="30"/>
      <c r="FE38" s="27">
        <v>158</v>
      </c>
      <c r="FF38" s="27">
        <v>157.97614959999987</v>
      </c>
      <c r="FG38" s="28">
        <v>3.7150499771390808</v>
      </c>
      <c r="FH38" s="29">
        <v>9.3806649780267426E-2</v>
      </c>
      <c r="FI38" s="30">
        <f t="shared" si="13"/>
        <v>-1.2387114594100794</v>
      </c>
      <c r="FJ38" s="30" t="str">
        <f t="shared" si="14"/>
        <v xml:space="preserve"> </v>
      </c>
      <c r="FK38" s="30"/>
      <c r="FL38" s="88">
        <v>55</v>
      </c>
      <c r="FM38" s="88">
        <v>54.998973970000044</v>
      </c>
      <c r="FN38" s="28">
        <v>4.0181621219069443</v>
      </c>
      <c r="FO38" s="29">
        <v>0.12304190825402923</v>
      </c>
      <c r="FP38" s="30">
        <f t="shared" si="15"/>
        <v>-3.0559000116856492</v>
      </c>
      <c r="FQ38" s="30" t="str">
        <f t="shared" si="16"/>
        <v>*</v>
      </c>
      <c r="FR38" s="30"/>
      <c r="FS38" s="88">
        <v>109</v>
      </c>
      <c r="FT38" s="88">
        <v>109.1285472699998</v>
      </c>
      <c r="FU38" s="28">
        <v>4.0284677466869763</v>
      </c>
      <c r="FV38" s="29">
        <v>7.6410784834119061E-2</v>
      </c>
      <c r="FW38" s="30">
        <f t="shared" si="17"/>
        <v>-4.0529718562536692</v>
      </c>
      <c r="FX38" s="30" t="str">
        <f t="shared" si="18"/>
        <v>*</v>
      </c>
      <c r="FY38" s="30"/>
      <c r="FZ38" s="88">
        <v>203</v>
      </c>
      <c r="GA38" s="88">
        <v>203.00972979000093</v>
      </c>
      <c r="GB38" s="28">
        <v>3.8275504258529165</v>
      </c>
      <c r="GC38" s="29">
        <v>7.50592177957978E-2</v>
      </c>
      <c r="GD38" s="30">
        <f t="shared" si="19"/>
        <v>-2.3487219406300675</v>
      </c>
      <c r="GE38" s="30" t="str">
        <f t="shared" si="20"/>
        <v>*</v>
      </c>
      <c r="GF38" s="30"/>
      <c r="GG38" s="88">
        <v>81</v>
      </c>
      <c r="GH38" s="88">
        <v>81.017423039999912</v>
      </c>
      <c r="GI38" s="28">
        <v>4.1725680562944722</v>
      </c>
      <c r="GJ38" s="29">
        <v>9.9052827767630691E-2</v>
      </c>
      <c r="GK38" s="30">
        <f t="shared" si="21"/>
        <v>-4.6525294325047417</v>
      </c>
      <c r="GL38" s="30" t="str">
        <f t="shared" si="22"/>
        <v>*</v>
      </c>
      <c r="GM38" s="10"/>
      <c r="GN38" s="88">
        <v>166</v>
      </c>
      <c r="GO38" s="88">
        <v>165.99119562000055</v>
      </c>
      <c r="GP38" s="28">
        <v>3.2225249841838575</v>
      </c>
      <c r="GQ38" s="29">
        <v>0.10233782012948212</v>
      </c>
      <c r="GR38" s="9"/>
      <c r="GS38" s="3">
        <v>118</v>
      </c>
      <c r="GT38" s="3">
        <v>117.97221276000016</v>
      </c>
      <c r="GU38" s="69">
        <v>3.30625832197877</v>
      </c>
      <c r="GV38" s="9">
        <v>0.12709812614530838</v>
      </c>
      <c r="GW38" s="10">
        <f t="shared" si="23"/>
        <v>-0.51314202686712129</v>
      </c>
      <c r="GX38" s="10" t="str">
        <f t="shared" si="68"/>
        <v xml:space="preserve"> </v>
      </c>
      <c r="GY38" s="9"/>
      <c r="GZ38" s="27">
        <v>158</v>
      </c>
      <c r="HA38" s="27">
        <v>157.71045505999993</v>
      </c>
      <c r="HB38" s="28">
        <v>3.4309410825943232</v>
      </c>
      <c r="HC38" s="29">
        <v>0.10160726600004405</v>
      </c>
      <c r="HD38" s="10">
        <f t="shared" si="24"/>
        <v>-1.445207568309453</v>
      </c>
      <c r="HE38" s="10" t="str">
        <f t="shared" si="69"/>
        <v xml:space="preserve"> </v>
      </c>
      <c r="HF38" s="9"/>
      <c r="HG38" s="27">
        <v>281</v>
      </c>
      <c r="HH38" s="27">
        <v>281.53695181999984</v>
      </c>
      <c r="HI38" s="28">
        <v>3.2389856109297428</v>
      </c>
      <c r="HJ38" s="29">
        <v>7.3959147181286905E-2</v>
      </c>
      <c r="HK38" s="10">
        <f t="shared" si="25"/>
        <v>-0.13036516241158622</v>
      </c>
      <c r="HL38" s="10" t="str">
        <f t="shared" si="70"/>
        <v xml:space="preserve"> </v>
      </c>
      <c r="HM38" s="29"/>
      <c r="HN38" s="8">
        <v>253</v>
      </c>
      <c r="HO38" s="8">
        <v>254.16508866999905</v>
      </c>
      <c r="HP38" s="69">
        <v>3.0729673681269385</v>
      </c>
      <c r="HQ38" s="9">
        <v>8.4799413645325145E-2</v>
      </c>
      <c r="HR38" s="10">
        <f t="shared" si="26"/>
        <v>1.125289780762061</v>
      </c>
      <c r="HS38" s="10" t="str">
        <f t="shared" si="71"/>
        <v xml:space="preserve"> </v>
      </c>
      <c r="HT38" s="9"/>
      <c r="HU38" s="88">
        <v>820</v>
      </c>
      <c r="HV38" s="88">
        <v>819.65319358000852</v>
      </c>
      <c r="HW38" s="28">
        <v>3.6255491399728892</v>
      </c>
      <c r="HX38" s="29">
        <v>4.3216690618292607E-2</v>
      </c>
      <c r="HY38" s="30">
        <f t="shared" si="27"/>
        <v>-3.6279473207110997</v>
      </c>
      <c r="HZ38" s="30" t="str">
        <f t="shared" si="72"/>
        <v>*</v>
      </c>
      <c r="IA38" s="30"/>
      <c r="IB38" s="88">
        <v>158</v>
      </c>
      <c r="IC38" s="88">
        <v>157.97614959999987</v>
      </c>
      <c r="ID38" s="28">
        <v>3.7150499771390808</v>
      </c>
      <c r="IE38" s="29">
        <v>9.3806649780267426E-2</v>
      </c>
      <c r="IF38" s="30">
        <f t="shared" si="28"/>
        <v>-3.5477809844848487</v>
      </c>
      <c r="IG38" s="30" t="str">
        <f t="shared" si="29"/>
        <v>*</v>
      </c>
      <c r="IH38" s="30"/>
      <c r="II38" s="88">
        <v>83</v>
      </c>
      <c r="IJ38" s="88">
        <v>83.042593960000005</v>
      </c>
      <c r="IK38" s="28">
        <v>3.7076519118406397</v>
      </c>
      <c r="IL38" s="29">
        <v>0.13336071771271552</v>
      </c>
      <c r="IM38" s="30">
        <f t="shared" si="30"/>
        <v>-2.8859169053089437</v>
      </c>
      <c r="IN38" s="30" t="str">
        <f t="shared" si="74"/>
        <v>*</v>
      </c>
      <c r="IO38" s="30"/>
      <c r="IP38" s="88">
        <v>201</v>
      </c>
      <c r="IQ38" s="88">
        <v>201.28688382000004</v>
      </c>
      <c r="IR38" s="28">
        <v>3.5335984263934832</v>
      </c>
      <c r="IS38" s="29">
        <v>9.2933180340349142E-2</v>
      </c>
      <c r="IT38" s="30">
        <f t="shared" si="32"/>
        <v>-2.2502826664134097</v>
      </c>
      <c r="IU38" s="30" t="str">
        <f t="shared" si="33"/>
        <v>*</v>
      </c>
      <c r="IV38" s="30"/>
      <c r="IW38" s="88">
        <v>55</v>
      </c>
      <c r="IX38" s="88">
        <v>54.998973970000044</v>
      </c>
      <c r="IY38" s="28">
        <v>4.0181621219069443</v>
      </c>
      <c r="IZ38" s="29">
        <v>0.12304190825402923</v>
      </c>
      <c r="JA38" s="30">
        <f t="shared" si="34"/>
        <v>-4.9715339779950343</v>
      </c>
      <c r="JB38" s="30" t="str">
        <f t="shared" si="73"/>
        <v>*</v>
      </c>
      <c r="JC38" s="30"/>
      <c r="JD38" s="88">
        <v>157</v>
      </c>
      <c r="JE38" s="88">
        <v>156.35739661000017</v>
      </c>
      <c r="JF38" s="28">
        <v>3.8996429727648936</v>
      </c>
      <c r="JG38" s="29">
        <v>8.6834470550082449E-2</v>
      </c>
      <c r="JH38" s="30">
        <f t="shared" si="35"/>
        <v>-5.0450823161380756</v>
      </c>
      <c r="JI38" s="30" t="str">
        <f t="shared" si="36"/>
        <v>*</v>
      </c>
      <c r="JK38" s="27"/>
      <c r="JL38" s="27"/>
      <c r="JM38" s="28"/>
      <c r="JN38" s="29"/>
    </row>
    <row r="39" spans="1:274" x14ac:dyDescent="0.2">
      <c r="B39" s="7" t="s">
        <v>36</v>
      </c>
      <c r="C39" s="27">
        <v>2833</v>
      </c>
      <c r="D39" s="27">
        <v>2832.1280072299223</v>
      </c>
      <c r="E39" s="28">
        <v>3.9894738253059541</v>
      </c>
      <c r="F39" s="29">
        <v>1.7961366627445581E-2</v>
      </c>
      <c r="G39" s="29"/>
      <c r="H39" s="3">
        <v>909</v>
      </c>
      <c r="I39" s="3">
        <v>908.93582280001363</v>
      </c>
      <c r="J39" s="28">
        <v>3.9509061732845598</v>
      </c>
      <c r="K39" s="29">
        <v>3.327612290348194E-2</v>
      </c>
      <c r="L39" s="30">
        <f t="shared" si="37"/>
        <v>1.0199260620844766</v>
      </c>
      <c r="M39" s="30" t="str">
        <f t="shared" si="38"/>
        <v xml:space="preserve"> </v>
      </c>
      <c r="N39" s="9"/>
      <c r="O39" s="27">
        <v>1034</v>
      </c>
      <c r="P39" s="27">
        <v>1034.509233180007</v>
      </c>
      <c r="Q39" s="28">
        <v>3.5331237325689804</v>
      </c>
      <c r="R39" s="29">
        <v>2.9219534646811141E-2</v>
      </c>
      <c r="S39" s="30">
        <f t="shared" si="39"/>
        <v>13.305222179165147</v>
      </c>
      <c r="T39" s="30" t="str">
        <f t="shared" si="40"/>
        <v>*</v>
      </c>
      <c r="U39" s="30"/>
      <c r="V39" s="27">
        <v>1013</v>
      </c>
      <c r="W39" s="27">
        <v>1011.1954236200188</v>
      </c>
      <c r="X39" s="28">
        <v>3.8396290891532532</v>
      </c>
      <c r="Y39" s="29">
        <v>2.5323513289948064E-2</v>
      </c>
      <c r="Z39" s="30">
        <f t="shared" si="41"/>
        <v>4.8264468171518979</v>
      </c>
      <c r="AA39" s="30" t="str">
        <f t="shared" si="42"/>
        <v>*</v>
      </c>
      <c r="AB39" s="9"/>
      <c r="AC39" s="8">
        <v>1154</v>
      </c>
      <c r="AD39" s="8">
        <v>1151.5610527600036</v>
      </c>
      <c r="AE39" s="69">
        <v>3.5310995074504823</v>
      </c>
      <c r="AF39" s="9">
        <v>2.9983884115748313E-2</v>
      </c>
      <c r="AG39" s="30">
        <f t="shared" si="43"/>
        <v>13.114385445485365</v>
      </c>
      <c r="AH39" s="30" t="str">
        <f t="shared" si="44"/>
        <v>*</v>
      </c>
      <c r="AI39" s="9"/>
      <c r="AJ39" s="81">
        <v>5723</v>
      </c>
      <c r="AK39" s="83">
        <v>4.1215840172840652</v>
      </c>
      <c r="AL39" s="84">
        <v>1.225957936063175E-2</v>
      </c>
      <c r="AM39" s="30">
        <f t="shared" si="45"/>
        <v>-6.0750240795834829</v>
      </c>
      <c r="AN39" s="30" t="str">
        <f t="shared" si="46"/>
        <v>*</v>
      </c>
      <c r="AO39" s="9"/>
      <c r="AP39" s="78">
        <v>727</v>
      </c>
      <c r="AQ39" s="79">
        <v>4.3927886294594751</v>
      </c>
      <c r="AR39" s="80">
        <v>3.2487185449896434E-2</v>
      </c>
      <c r="AS39" s="30">
        <f t="shared" si="47"/>
        <v>-10.864635404050901</v>
      </c>
      <c r="AT39" s="30" t="str">
        <f t="shared" si="48"/>
        <v>*</v>
      </c>
      <c r="AU39" s="80"/>
      <c r="AV39" s="78">
        <v>921</v>
      </c>
      <c r="AW39" s="79">
        <v>4.2253405786582041</v>
      </c>
      <c r="AX39" s="80">
        <v>2.908693139522537E-2</v>
      </c>
      <c r="AY39" s="30">
        <f t="shared" si="49"/>
        <v>-6.899578962770188</v>
      </c>
      <c r="AZ39" s="30" t="str">
        <f t="shared" si="50"/>
        <v>*</v>
      </c>
      <c r="BA39" s="80"/>
      <c r="BB39" s="78">
        <v>940</v>
      </c>
      <c r="BC39" s="79">
        <v>4.2652247396104173</v>
      </c>
      <c r="BD39" s="80">
        <v>2.8320446349711204E-2</v>
      </c>
      <c r="BE39" s="30">
        <f t="shared" si="51"/>
        <v>-8.2225524177748603</v>
      </c>
      <c r="BF39" s="30" t="str">
        <f t="shared" si="52"/>
        <v>*</v>
      </c>
      <c r="BG39" s="80"/>
      <c r="BH39" s="78">
        <v>1269</v>
      </c>
      <c r="BI39" s="79">
        <v>4.048058488952134</v>
      </c>
      <c r="BJ39" s="80">
        <v>2.5325763248877569E-2</v>
      </c>
      <c r="BK39" s="30">
        <f t="shared" si="53"/>
        <v>-1.8868800955112908</v>
      </c>
      <c r="BL39" s="30" t="str">
        <f t="shared" si="54"/>
        <v xml:space="preserve"> </v>
      </c>
      <c r="BM39" s="80"/>
      <c r="BN39" s="78">
        <v>1291</v>
      </c>
      <c r="BO39" s="79">
        <v>4.2018963949584656</v>
      </c>
      <c r="BP39" s="80">
        <v>2.2839863774755286E-2</v>
      </c>
      <c r="BQ39" s="30">
        <f t="shared" si="55"/>
        <v>-7.3107168192138081</v>
      </c>
      <c r="BR39" s="30" t="str">
        <f t="shared" si="56"/>
        <v>*</v>
      </c>
      <c r="BS39" s="9"/>
      <c r="BT39" s="27">
        <v>11127</v>
      </c>
      <c r="BU39" s="27">
        <v>11135.233544069129</v>
      </c>
      <c r="BV39" s="28">
        <v>4.1778989299021214</v>
      </c>
      <c r="BW39" s="29">
        <v>8.828534066054463E-3</v>
      </c>
      <c r="BX39" s="30">
        <f t="shared" si="57"/>
        <v>-9.4147412480654555</v>
      </c>
      <c r="BY39" s="30" t="str">
        <f t="shared" si="58"/>
        <v>*</v>
      </c>
      <c r="BZ39" s="30"/>
      <c r="CA39" s="27">
        <v>506</v>
      </c>
      <c r="CB39" s="27">
        <v>506</v>
      </c>
      <c r="CC39" s="28">
        <v>3.946640316205531</v>
      </c>
      <c r="CD39" s="29">
        <v>4.1380668872553976E-2</v>
      </c>
      <c r="CE39" s="30">
        <f t="shared" si="59"/>
        <v>0.94952106021926541</v>
      </c>
      <c r="CF39" s="30" t="str">
        <f t="shared" si="0"/>
        <v xml:space="preserve"> </v>
      </c>
      <c r="CG39" s="30"/>
      <c r="CH39" s="27">
        <v>3077</v>
      </c>
      <c r="CI39" s="27">
        <v>3086.1909345298955</v>
      </c>
      <c r="CJ39" s="28">
        <v>3.9600347381881043</v>
      </c>
      <c r="CK39" s="29">
        <v>1.7392474235977475E-2</v>
      </c>
      <c r="CL39" s="30">
        <f t="shared" si="60"/>
        <v>1.1774609547715693</v>
      </c>
      <c r="CM39" s="30" t="str">
        <f t="shared" si="1"/>
        <v xml:space="preserve"> </v>
      </c>
      <c r="CN39" s="30"/>
      <c r="CO39" s="27">
        <v>2727</v>
      </c>
      <c r="CP39" s="27">
        <v>2727.0388820299677</v>
      </c>
      <c r="CQ39" s="28">
        <v>4.1137901233843044</v>
      </c>
      <c r="CR39" s="29">
        <v>1.7071808903962097E-2</v>
      </c>
      <c r="CS39" s="30">
        <f t="shared" si="61"/>
        <v>-5.0167631989555739</v>
      </c>
      <c r="CT39" s="30" t="str">
        <f t="shared" si="2"/>
        <v>*</v>
      </c>
      <c r="CU39" s="30"/>
      <c r="CV39" s="27">
        <v>564</v>
      </c>
      <c r="CW39" s="27">
        <v>563.85577624000416</v>
      </c>
      <c r="CX39" s="28">
        <v>4.939459324745</v>
      </c>
      <c r="CY39" s="29">
        <v>1.2315213558393143E-2</v>
      </c>
      <c r="CZ39" s="30">
        <f t="shared" si="62"/>
        <v>-43.62161890651921</v>
      </c>
      <c r="DA39" s="30" t="str">
        <f t="shared" si="3"/>
        <v>*</v>
      </c>
      <c r="DB39" s="30"/>
      <c r="DC39" s="27">
        <v>876</v>
      </c>
      <c r="DD39" s="27">
        <v>876.0199440399889</v>
      </c>
      <c r="DE39" s="28">
        <v>4.8927517943179284</v>
      </c>
      <c r="DF39" s="29">
        <v>1.2399354833074548E-2</v>
      </c>
      <c r="DG39" s="30">
        <f t="shared" si="63"/>
        <v>-41.386261214627275</v>
      </c>
      <c r="DH39" s="30" t="str">
        <f t="shared" si="4"/>
        <v>*</v>
      </c>
      <c r="DI39" s="30"/>
      <c r="DJ39" s="27">
        <v>544</v>
      </c>
      <c r="DK39" s="27">
        <v>544</v>
      </c>
      <c r="DL39" s="28">
        <v>4.9908088235294157</v>
      </c>
      <c r="DM39" s="29">
        <v>4.8519839563739113E-3</v>
      </c>
      <c r="DN39" s="30">
        <f t="shared" si="64"/>
        <v>-53.8202483458033</v>
      </c>
      <c r="DO39" s="30" t="str">
        <f t="shared" si="5"/>
        <v>*</v>
      </c>
      <c r="DP39" s="8"/>
      <c r="DQ39" s="27">
        <v>932</v>
      </c>
      <c r="DR39" s="27">
        <v>931.41188020000891</v>
      </c>
      <c r="DS39" s="28">
        <v>3.6553875221335175</v>
      </c>
      <c r="DT39" s="29">
        <v>3.624735000306057E-2</v>
      </c>
      <c r="DU39" s="29"/>
      <c r="DV39" s="27">
        <v>643</v>
      </c>
      <c r="DW39" s="27">
        <v>642.8735742699962</v>
      </c>
      <c r="DX39" s="28">
        <v>3.6619293199494303</v>
      </c>
      <c r="DY39" s="29">
        <v>4.3498425017459673E-2</v>
      </c>
      <c r="DZ39" s="10">
        <f t="shared" si="6"/>
        <v>-0.11553577594439715</v>
      </c>
      <c r="EA39" s="10" t="str">
        <f t="shared" si="7"/>
        <v xml:space="preserve"> </v>
      </c>
      <c r="EB39" s="29"/>
      <c r="EC39" s="27">
        <v>650</v>
      </c>
      <c r="ED39" s="27">
        <v>650.55590806000293</v>
      </c>
      <c r="EE39" s="28">
        <v>3.7305770064671617</v>
      </c>
      <c r="EF39" s="29">
        <v>4.2939020674243877E-2</v>
      </c>
      <c r="EG39" s="10">
        <f t="shared" si="8"/>
        <v>-1.3380627939394203</v>
      </c>
      <c r="EH39" s="10" t="str">
        <f t="shared" si="9"/>
        <v xml:space="preserve"> </v>
      </c>
      <c r="EI39" s="29"/>
      <c r="EJ39" s="27">
        <v>643</v>
      </c>
      <c r="EK39" s="27">
        <v>647.74287783000193</v>
      </c>
      <c r="EL39" s="28">
        <v>3.5817970605597376</v>
      </c>
      <c r="EM39" s="29">
        <v>4.1761120466995413E-2</v>
      </c>
      <c r="EN39" s="10">
        <f t="shared" si="10"/>
        <v>1.3307994625798032</v>
      </c>
      <c r="EO39" s="10" t="str">
        <f t="shared" si="65"/>
        <v xml:space="preserve"> </v>
      </c>
      <c r="EP39" s="29"/>
      <c r="EQ39" s="8">
        <v>704</v>
      </c>
      <c r="ER39" s="8">
        <v>703.50685738999971</v>
      </c>
      <c r="ES39" s="69">
        <v>3.7132942958817741</v>
      </c>
      <c r="ET39" s="9">
        <v>4.125937837039273E-2</v>
      </c>
      <c r="EU39" s="10">
        <f t="shared" si="11"/>
        <v>-1.0543840314131623</v>
      </c>
      <c r="EV39" s="10" t="str">
        <f t="shared" si="66"/>
        <v xml:space="preserve"> </v>
      </c>
      <c r="EW39" s="29"/>
      <c r="EX39" s="88">
        <v>4585</v>
      </c>
      <c r="EY39" s="88">
        <v>4584.279866369624</v>
      </c>
      <c r="EZ39" s="28">
        <v>4.0315099102739573</v>
      </c>
      <c r="FA39" s="29">
        <v>1.4047839804907661E-2</v>
      </c>
      <c r="FB39" s="30">
        <f t="shared" si="12"/>
        <v>-9.6753450369721747</v>
      </c>
      <c r="FC39" s="30" t="str">
        <f t="shared" si="67"/>
        <v>*</v>
      </c>
      <c r="FD39" s="30"/>
      <c r="FE39" s="27">
        <v>1008</v>
      </c>
      <c r="FF39" s="27">
        <v>1007.9800088000004</v>
      </c>
      <c r="FG39" s="28">
        <v>4.1844942942880383</v>
      </c>
      <c r="FH39" s="29">
        <v>2.6217880847110832E-2</v>
      </c>
      <c r="FI39" s="30">
        <f t="shared" si="13"/>
        <v>-11.827498504763525</v>
      </c>
      <c r="FJ39" s="30" t="str">
        <f t="shared" si="14"/>
        <v>*</v>
      </c>
      <c r="FK39" s="30"/>
      <c r="FL39" s="88">
        <v>363</v>
      </c>
      <c r="FM39" s="88">
        <v>363.01706024999868</v>
      </c>
      <c r="FN39" s="28">
        <v>4.3167276578704508</v>
      </c>
      <c r="FO39" s="29">
        <v>4.4700920235461919E-2</v>
      </c>
      <c r="FP39" s="30">
        <f t="shared" si="15"/>
        <v>-11.491505247380498</v>
      </c>
      <c r="FQ39" s="30" t="str">
        <f t="shared" si="16"/>
        <v>*</v>
      </c>
      <c r="FR39" s="30"/>
      <c r="FS39" s="88">
        <v>659</v>
      </c>
      <c r="FT39" s="88">
        <v>658.81989337000255</v>
      </c>
      <c r="FU39" s="28">
        <v>4.1086542998782809</v>
      </c>
      <c r="FV39" s="29">
        <v>3.2217165930332081E-2</v>
      </c>
      <c r="FW39" s="30">
        <f t="shared" si="17"/>
        <v>-9.3465687144593819</v>
      </c>
      <c r="FX39" s="30" t="str">
        <f t="shared" si="18"/>
        <v>*</v>
      </c>
      <c r="FY39" s="30"/>
      <c r="FZ39" s="88">
        <v>1254</v>
      </c>
      <c r="GA39" s="88">
        <v>1254.0384854699962</v>
      </c>
      <c r="GB39" s="28">
        <v>3.9824417982182236</v>
      </c>
      <c r="GC39" s="29">
        <v>2.7001508749293086E-2</v>
      </c>
      <c r="GD39" s="30">
        <f t="shared" si="19"/>
        <v>-7.2358701631800866</v>
      </c>
      <c r="GE39" s="30" t="str">
        <f t="shared" si="20"/>
        <v>*</v>
      </c>
      <c r="GF39" s="30"/>
      <c r="GG39" s="88">
        <v>369</v>
      </c>
      <c r="GH39" s="88">
        <v>369.01253827999921</v>
      </c>
      <c r="GI39" s="28">
        <v>4.3114185404529524</v>
      </c>
      <c r="GJ39" s="29">
        <v>4.1265479848952999E-2</v>
      </c>
      <c r="GK39" s="30">
        <f t="shared" si="21"/>
        <v>-11.944214045838528</v>
      </c>
      <c r="GL39" s="30" t="str">
        <f t="shared" si="22"/>
        <v>*</v>
      </c>
      <c r="GM39" s="10"/>
      <c r="GN39" s="88">
        <v>815</v>
      </c>
      <c r="GO39" s="88">
        <v>814.96840095000789</v>
      </c>
      <c r="GP39" s="28">
        <v>3.5888999856565564</v>
      </c>
      <c r="GQ39" s="29">
        <v>3.9810568515258604E-2</v>
      </c>
      <c r="GR39" s="9"/>
      <c r="GS39" s="3">
        <v>592</v>
      </c>
      <c r="GT39" s="3">
        <v>592.00137188999656</v>
      </c>
      <c r="GU39" s="69">
        <v>3.6183289661160032</v>
      </c>
      <c r="GV39" s="9">
        <v>4.6846263541687312E-2</v>
      </c>
      <c r="GW39" s="10">
        <f t="shared" si="23"/>
        <v>-0.47869699111594194</v>
      </c>
      <c r="GX39" s="10" t="str">
        <f t="shared" si="68"/>
        <v xml:space="preserve"> </v>
      </c>
      <c r="GY39" s="9"/>
      <c r="GZ39" s="27">
        <v>597</v>
      </c>
      <c r="HA39" s="27">
        <v>596.5055394500032</v>
      </c>
      <c r="HB39" s="28">
        <v>3.6968995475604349</v>
      </c>
      <c r="HC39" s="29">
        <v>4.3152484729845217E-2</v>
      </c>
      <c r="HD39" s="10">
        <f t="shared" si="24"/>
        <v>-1.8395017232686441</v>
      </c>
      <c r="HE39" s="10" t="str">
        <f t="shared" si="69"/>
        <v xml:space="preserve"> </v>
      </c>
      <c r="HF39" s="9"/>
      <c r="HG39" s="27">
        <v>1230</v>
      </c>
      <c r="HH39" s="27">
        <v>1230.807900019995</v>
      </c>
      <c r="HI39" s="28">
        <v>3.5267426894233211</v>
      </c>
      <c r="HJ39" s="29">
        <v>3.1005573460207561E-2</v>
      </c>
      <c r="HK39" s="10">
        <f t="shared" si="25"/>
        <v>1.2318095295477181</v>
      </c>
      <c r="HL39" s="10" t="str">
        <f t="shared" si="70"/>
        <v xml:space="preserve"> </v>
      </c>
      <c r="HM39" s="29"/>
      <c r="HN39" s="8">
        <v>1280</v>
      </c>
      <c r="HO39" s="8">
        <v>1279.6300205600003</v>
      </c>
      <c r="HP39" s="69">
        <v>3.5188125574292624</v>
      </c>
      <c r="HQ39" s="9">
        <v>3.2244593714213329E-2</v>
      </c>
      <c r="HR39" s="10">
        <f t="shared" si="26"/>
        <v>1.3680720181178097</v>
      </c>
      <c r="HS39" s="10" t="str">
        <f t="shared" si="71"/>
        <v xml:space="preserve"> </v>
      </c>
      <c r="HT39" s="9"/>
      <c r="HU39" s="88">
        <v>4765</v>
      </c>
      <c r="HV39" s="88">
        <v>4764.2746795400508</v>
      </c>
      <c r="HW39" s="28">
        <v>4.0526799855595765</v>
      </c>
      <c r="HX39" s="29">
        <v>1.4160053072264108E-2</v>
      </c>
      <c r="HY39" s="30">
        <f t="shared" si="27"/>
        <v>-10.976039301668267</v>
      </c>
      <c r="HZ39" s="30" t="str">
        <f t="shared" si="72"/>
        <v>*</v>
      </c>
      <c r="IA39" s="30"/>
      <c r="IB39" s="88">
        <v>1008</v>
      </c>
      <c r="IC39" s="88">
        <v>1007.9800088000004</v>
      </c>
      <c r="ID39" s="28">
        <v>4.1844942942880383</v>
      </c>
      <c r="IE39" s="29">
        <v>2.6217880847110832E-2</v>
      </c>
      <c r="IF39" s="30">
        <f t="shared" si="28"/>
        <v>-12.494579859392179</v>
      </c>
      <c r="IG39" s="30" t="str">
        <f t="shared" si="29"/>
        <v>*</v>
      </c>
      <c r="IH39" s="30"/>
      <c r="II39" s="88">
        <v>654</v>
      </c>
      <c r="IJ39" s="88">
        <v>653.98609118000377</v>
      </c>
      <c r="IK39" s="28">
        <v>4.2213423863171382</v>
      </c>
      <c r="IL39" s="29">
        <v>3.3341911171507033E-2</v>
      </c>
      <c r="IM39" s="30">
        <f t="shared" si="30"/>
        <v>-12.179110749293958</v>
      </c>
      <c r="IN39" s="30" t="str">
        <f t="shared" si="74"/>
        <v>*</v>
      </c>
      <c r="IO39" s="30"/>
      <c r="IP39" s="88">
        <v>739</v>
      </c>
      <c r="IQ39" s="88">
        <v>739.11965058000828</v>
      </c>
      <c r="IR39" s="28">
        <v>4.0549179975503895</v>
      </c>
      <c r="IS39" s="29">
        <v>3.8850632575369283E-2</v>
      </c>
      <c r="IT39" s="30">
        <f t="shared" si="32"/>
        <v>-8.3776997442042074</v>
      </c>
      <c r="IU39" s="30" t="str">
        <f t="shared" si="33"/>
        <v>*</v>
      </c>
      <c r="IV39" s="30"/>
      <c r="IW39" s="88">
        <v>363</v>
      </c>
      <c r="IX39" s="88">
        <v>363.01706024999868</v>
      </c>
      <c r="IY39" s="28">
        <v>4.3167276578704508</v>
      </c>
      <c r="IZ39" s="29">
        <v>4.4700920235461919E-2</v>
      </c>
      <c r="JA39" s="30">
        <f t="shared" si="34"/>
        <v>-12.159113402251897</v>
      </c>
      <c r="JB39" s="30" t="str">
        <f t="shared" si="73"/>
        <v>*</v>
      </c>
      <c r="JC39" s="30"/>
      <c r="JD39" s="88">
        <v>1186</v>
      </c>
      <c r="JE39" s="88">
        <v>1185.2034677800093</v>
      </c>
      <c r="JF39" s="28">
        <v>4.0841421144225993</v>
      </c>
      <c r="JG39" s="29">
        <v>2.6725808479293192E-2</v>
      </c>
      <c r="JH39" s="30">
        <f t="shared" si="35"/>
        <v>-10.328420459460801</v>
      </c>
      <c r="JI39" s="30" t="str">
        <f t="shared" si="36"/>
        <v>*</v>
      </c>
      <c r="JK39" s="27"/>
      <c r="JL39" s="27"/>
      <c r="JM39" s="28"/>
      <c r="JN39" s="29"/>
    </row>
    <row r="40" spans="1:274" ht="21.3" x14ac:dyDescent="0.2">
      <c r="B40" s="7" t="s">
        <v>37</v>
      </c>
      <c r="C40" s="27">
        <v>2774</v>
      </c>
      <c r="D40" s="27">
        <v>2772.7254986299258</v>
      </c>
      <c r="E40" s="28">
        <v>3.7012604067156052</v>
      </c>
      <c r="F40" s="29">
        <v>2.093106427466853E-2</v>
      </c>
      <c r="G40" s="29"/>
      <c r="H40" s="3">
        <v>901</v>
      </c>
      <c r="I40" s="3">
        <v>900.9414511000133</v>
      </c>
      <c r="J40" s="28">
        <v>3.7341844133960063</v>
      </c>
      <c r="K40" s="29">
        <v>3.6279871999362258E-2</v>
      </c>
      <c r="L40" s="30">
        <f t="shared" si="37"/>
        <v>-0.78606050503468483</v>
      </c>
      <c r="M40" s="30" t="str">
        <f t="shared" si="38"/>
        <v xml:space="preserve"> </v>
      </c>
      <c r="N40" s="9"/>
      <c r="O40" s="27">
        <v>1021</v>
      </c>
      <c r="P40" s="27">
        <v>1021.836304890007</v>
      </c>
      <c r="Q40" s="28">
        <v>3.2117708589765721</v>
      </c>
      <c r="R40" s="29">
        <v>3.2016607836589689E-2</v>
      </c>
      <c r="S40" s="30">
        <f t="shared" si="39"/>
        <v>12.796630748171882</v>
      </c>
      <c r="T40" s="30" t="str">
        <f t="shared" si="40"/>
        <v>*</v>
      </c>
      <c r="U40" s="30"/>
      <c r="V40" s="27">
        <v>998</v>
      </c>
      <c r="W40" s="27">
        <v>995.46685362001824</v>
      </c>
      <c r="X40" s="28">
        <v>3.4123134201981928</v>
      </c>
      <c r="Y40" s="29">
        <v>3.0271256918713612E-2</v>
      </c>
      <c r="Z40" s="30">
        <f t="shared" si="41"/>
        <v>7.8511870893328668</v>
      </c>
      <c r="AA40" s="30" t="str">
        <f t="shared" si="42"/>
        <v>*</v>
      </c>
      <c r="AB40" s="9"/>
      <c r="AC40" s="8">
        <v>1147</v>
      </c>
      <c r="AD40" s="8">
        <v>1144.7550919400035</v>
      </c>
      <c r="AE40" s="69">
        <v>3.2168880924034493</v>
      </c>
      <c r="AF40" s="9">
        <v>3.1848289696385861E-2</v>
      </c>
      <c r="AG40" s="30">
        <f t="shared" si="43"/>
        <v>12.709625438855042</v>
      </c>
      <c r="AH40" s="30" t="str">
        <f t="shared" si="44"/>
        <v>*</v>
      </c>
      <c r="AI40" s="9"/>
      <c r="AJ40" s="81">
        <v>5693</v>
      </c>
      <c r="AK40" s="83">
        <v>3.9913054821784097</v>
      </c>
      <c r="AL40" s="84">
        <v>1.3285458821427789E-2</v>
      </c>
      <c r="AM40" s="30">
        <f t="shared" si="45"/>
        <v>-11.699429154346706</v>
      </c>
      <c r="AN40" s="30" t="str">
        <f t="shared" si="46"/>
        <v>*</v>
      </c>
      <c r="AO40" s="9"/>
      <c r="AP40" s="78">
        <v>729</v>
      </c>
      <c r="AQ40" s="79">
        <v>4.3789495396719103</v>
      </c>
      <c r="AR40" s="80">
        <v>3.3736191414835436E-2</v>
      </c>
      <c r="AS40" s="30">
        <f t="shared" si="47"/>
        <v>-17.069442648741173</v>
      </c>
      <c r="AT40" s="30" t="str">
        <f t="shared" si="48"/>
        <v>*</v>
      </c>
      <c r="AU40" s="80"/>
      <c r="AV40" s="78">
        <v>918</v>
      </c>
      <c r="AW40" s="79">
        <v>4.026782299419807</v>
      </c>
      <c r="AX40" s="80">
        <v>3.2395971639895847E-2</v>
      </c>
      <c r="AY40" s="30">
        <f t="shared" si="49"/>
        <v>-8.4398725145568907</v>
      </c>
      <c r="AZ40" s="30" t="str">
        <f t="shared" si="50"/>
        <v>*</v>
      </c>
      <c r="BA40" s="80"/>
      <c r="BB40" s="78">
        <v>936</v>
      </c>
      <c r="BC40" s="79">
        <v>4.0897110362748785</v>
      </c>
      <c r="BD40" s="80">
        <v>3.2579159361988054E-2</v>
      </c>
      <c r="BE40" s="30">
        <f t="shared" si="51"/>
        <v>-10.03138712124205</v>
      </c>
      <c r="BF40" s="30" t="str">
        <f t="shared" si="52"/>
        <v>*</v>
      </c>
      <c r="BG40" s="80"/>
      <c r="BH40" s="78">
        <v>1261</v>
      </c>
      <c r="BI40" s="79">
        <v>3.8041311940273053</v>
      </c>
      <c r="BJ40" s="80">
        <v>2.8764663025488538E-2</v>
      </c>
      <c r="BK40" s="30">
        <f t="shared" si="53"/>
        <v>-2.8917341592780077</v>
      </c>
      <c r="BL40" s="30" t="str">
        <f t="shared" si="54"/>
        <v>*</v>
      </c>
      <c r="BM40" s="80"/>
      <c r="BN40" s="78">
        <v>1273</v>
      </c>
      <c r="BO40" s="79">
        <v>4.0352745692006584</v>
      </c>
      <c r="BP40" s="80">
        <v>2.5989703333136556E-2</v>
      </c>
      <c r="BQ40" s="30">
        <f t="shared" si="55"/>
        <v>-10.009337077380051</v>
      </c>
      <c r="BR40" s="30" t="str">
        <f t="shared" si="56"/>
        <v>*</v>
      </c>
      <c r="BS40" s="9"/>
      <c r="BT40" s="27">
        <v>11050</v>
      </c>
      <c r="BU40" s="27">
        <v>11066.468640919122</v>
      </c>
      <c r="BV40" s="28">
        <v>4.0419613149494555</v>
      </c>
      <c r="BW40" s="29">
        <v>9.7531043965289645E-3</v>
      </c>
      <c r="BX40" s="30">
        <f t="shared" si="57"/>
        <v>-14.754176918811298</v>
      </c>
      <c r="BY40" s="30" t="str">
        <f t="shared" si="58"/>
        <v>*</v>
      </c>
      <c r="BZ40" s="30"/>
      <c r="CA40" s="27">
        <v>511</v>
      </c>
      <c r="CB40" s="27">
        <v>511</v>
      </c>
      <c r="CC40" s="28">
        <v>3.726027397260276</v>
      </c>
      <c r="CD40" s="29">
        <v>4.6091378401498781E-2</v>
      </c>
      <c r="CE40" s="30">
        <f t="shared" si="59"/>
        <v>-0.48925944178281477</v>
      </c>
      <c r="CF40" s="30" t="str">
        <f t="shared" si="0"/>
        <v xml:space="preserve"> </v>
      </c>
      <c r="CG40" s="30"/>
      <c r="CH40" s="27">
        <v>3072</v>
      </c>
      <c r="CI40" s="27">
        <v>3089.8608400798976</v>
      </c>
      <c r="CJ40" s="28">
        <v>3.8253499134135649</v>
      </c>
      <c r="CK40" s="29">
        <v>1.8055062441713024E-2</v>
      </c>
      <c r="CL40" s="30">
        <f t="shared" si="60"/>
        <v>-4.4891224879116036</v>
      </c>
      <c r="CM40" s="30" t="str">
        <f t="shared" si="1"/>
        <v>*</v>
      </c>
      <c r="CN40" s="30"/>
      <c r="CO40" s="27">
        <v>2707</v>
      </c>
      <c r="CP40" s="27">
        <v>2706.97533319997</v>
      </c>
      <c r="CQ40" s="28">
        <v>4.0596644269746838</v>
      </c>
      <c r="CR40" s="29">
        <v>1.789404238206874E-2</v>
      </c>
      <c r="CS40" s="30">
        <f t="shared" si="61"/>
        <v>-13.015191659974931</v>
      </c>
      <c r="CT40" s="30" t="str">
        <f t="shared" si="2"/>
        <v>*</v>
      </c>
      <c r="CU40" s="30"/>
      <c r="CV40" s="27">
        <v>569</v>
      </c>
      <c r="CW40" s="27">
        <v>568.87580704000425</v>
      </c>
      <c r="CX40" s="28">
        <v>4.9399935644695097</v>
      </c>
      <c r="CY40" s="29">
        <v>1.270768466972357E-2</v>
      </c>
      <c r="CZ40" s="30">
        <f t="shared" si="62"/>
        <v>-50.588158379968299</v>
      </c>
      <c r="DA40" s="30" t="str">
        <f t="shared" si="3"/>
        <v>*</v>
      </c>
      <c r="DB40" s="30"/>
      <c r="DC40" s="27">
        <v>875</v>
      </c>
      <c r="DD40" s="27">
        <v>875.03116196998872</v>
      </c>
      <c r="DE40" s="28">
        <v>4.8434913285583097</v>
      </c>
      <c r="DF40" s="29">
        <v>1.5487487001528598E-2</v>
      </c>
      <c r="DG40" s="30">
        <f t="shared" si="63"/>
        <v>-43.868029650990884</v>
      </c>
      <c r="DH40" s="30" t="str">
        <f t="shared" si="4"/>
        <v>*</v>
      </c>
      <c r="DI40" s="30"/>
      <c r="DJ40" s="27">
        <v>542</v>
      </c>
      <c r="DK40" s="27">
        <v>542</v>
      </c>
      <c r="DL40" s="28">
        <v>4.9926199261992652</v>
      </c>
      <c r="DM40" s="29">
        <v>4.5123869793072457E-3</v>
      </c>
      <c r="DN40" s="30">
        <f t="shared" si="64"/>
        <v>-60.310258739039455</v>
      </c>
      <c r="DO40" s="30" t="str">
        <f t="shared" si="5"/>
        <v>*</v>
      </c>
      <c r="DP40" s="8"/>
      <c r="DQ40" s="27">
        <v>904</v>
      </c>
      <c r="DR40" s="27">
        <v>904.05054084000778</v>
      </c>
      <c r="DS40" s="28">
        <v>3.4186991810195622</v>
      </c>
      <c r="DT40" s="29">
        <v>3.8251904216402746E-2</v>
      </c>
      <c r="DU40" s="29"/>
      <c r="DV40" s="27">
        <v>634</v>
      </c>
      <c r="DW40" s="27">
        <v>633.97815386999594</v>
      </c>
      <c r="DX40" s="28">
        <v>3.3885715475781444</v>
      </c>
      <c r="DY40" s="29">
        <v>4.9451090695761431E-2</v>
      </c>
      <c r="DZ40" s="10">
        <f t="shared" si="6"/>
        <v>0.48189605882795894</v>
      </c>
      <c r="EA40" s="10" t="str">
        <f t="shared" si="7"/>
        <v xml:space="preserve"> </v>
      </c>
      <c r="EB40" s="29"/>
      <c r="EC40" s="27">
        <v>645</v>
      </c>
      <c r="ED40" s="27">
        <v>645.60998975000257</v>
      </c>
      <c r="EE40" s="28">
        <v>3.4695557901565155</v>
      </c>
      <c r="EF40" s="29">
        <v>4.6287057725002773E-2</v>
      </c>
      <c r="EG40" s="10">
        <f t="shared" si="8"/>
        <v>-0.84693993640473375</v>
      </c>
      <c r="EH40" s="10" t="str">
        <f t="shared" si="9"/>
        <v xml:space="preserve"> </v>
      </c>
      <c r="EI40" s="29"/>
      <c r="EJ40" s="27">
        <v>636</v>
      </c>
      <c r="EK40" s="27">
        <v>639.62424831000203</v>
      </c>
      <c r="EL40" s="28">
        <v>3.4187795147819018</v>
      </c>
      <c r="EM40" s="29">
        <v>4.4338820038389175E-2</v>
      </c>
      <c r="EN40" s="10">
        <f t="shared" si="10"/>
        <v>-1.3718466073210382E-3</v>
      </c>
      <c r="EO40" s="10" t="str">
        <f t="shared" si="65"/>
        <v xml:space="preserve"> </v>
      </c>
      <c r="EP40" s="29"/>
      <c r="EQ40" s="8">
        <v>698</v>
      </c>
      <c r="ER40" s="8">
        <v>697.50571452999975</v>
      </c>
      <c r="ES40" s="69">
        <v>3.4897557416575204</v>
      </c>
      <c r="ET40" s="9">
        <v>4.3513773953534875E-2</v>
      </c>
      <c r="EU40" s="10">
        <f t="shared" si="11"/>
        <v>-1.2264524617774284</v>
      </c>
      <c r="EV40" s="10" t="str">
        <f t="shared" si="66"/>
        <v xml:space="preserve"> </v>
      </c>
      <c r="EW40" s="29"/>
      <c r="EX40" s="88">
        <v>4503</v>
      </c>
      <c r="EY40" s="88">
        <v>4503.0015850096033</v>
      </c>
      <c r="EZ40" s="28">
        <v>3.8516365047607439</v>
      </c>
      <c r="FA40" s="29">
        <v>1.5379317186267701E-2</v>
      </c>
      <c r="FB40" s="30">
        <f t="shared" si="12"/>
        <v>-10.501101526024966</v>
      </c>
      <c r="FC40" s="30" t="str">
        <f t="shared" si="67"/>
        <v>*</v>
      </c>
      <c r="FD40" s="30"/>
      <c r="FE40" s="27">
        <v>980</v>
      </c>
      <c r="FF40" s="27">
        <v>979.98531880000041</v>
      </c>
      <c r="FG40" s="28">
        <v>3.9132636129446485</v>
      </c>
      <c r="FH40" s="29">
        <v>3.0586813476266614E-2</v>
      </c>
      <c r="FI40" s="30">
        <f t="shared" si="13"/>
        <v>-10.097860335036478</v>
      </c>
      <c r="FJ40" s="30" t="str">
        <f t="shared" si="14"/>
        <v>*</v>
      </c>
      <c r="FK40" s="30"/>
      <c r="FL40" s="88">
        <v>363</v>
      </c>
      <c r="FM40" s="88">
        <v>363.03195527999867</v>
      </c>
      <c r="FN40" s="28">
        <v>4.2397945445955525</v>
      </c>
      <c r="FO40" s="29">
        <v>4.4835207467604284E-2</v>
      </c>
      <c r="FP40" s="30">
        <f t="shared" si="15"/>
        <v>-13.932079676443857</v>
      </c>
      <c r="FQ40" s="30" t="str">
        <f t="shared" si="16"/>
        <v>*</v>
      </c>
      <c r="FR40" s="30"/>
      <c r="FS40" s="88">
        <v>662</v>
      </c>
      <c r="FT40" s="88">
        <v>661.86322151000275</v>
      </c>
      <c r="FU40" s="28">
        <v>4.0928116754544135</v>
      </c>
      <c r="FV40" s="29">
        <v>3.2510898320953205E-2</v>
      </c>
      <c r="FW40" s="30">
        <f t="shared" si="17"/>
        <v>-13.428198223120736</v>
      </c>
      <c r="FX40" s="30" t="str">
        <f t="shared" si="18"/>
        <v>*</v>
      </c>
      <c r="FY40" s="30"/>
      <c r="FZ40" s="88">
        <v>1233</v>
      </c>
      <c r="GA40" s="88">
        <v>1233.0471641399981</v>
      </c>
      <c r="GB40" s="28">
        <v>3.7729590808432216</v>
      </c>
      <c r="GC40" s="29">
        <v>3.0164979727772899E-2</v>
      </c>
      <c r="GD40" s="30">
        <f t="shared" si="19"/>
        <v>-7.2721168468035815</v>
      </c>
      <c r="GE40" s="30" t="str">
        <f t="shared" si="20"/>
        <v>*</v>
      </c>
      <c r="GF40" s="30"/>
      <c r="GG40" s="88">
        <v>361</v>
      </c>
      <c r="GH40" s="88">
        <v>361.02338443999923</v>
      </c>
      <c r="GI40" s="28">
        <v>4.2047376964643277</v>
      </c>
      <c r="GJ40" s="29">
        <v>4.5992077781561655E-2</v>
      </c>
      <c r="GK40" s="30">
        <f t="shared" si="21"/>
        <v>-13.139975828340054</v>
      </c>
      <c r="GL40" s="30" t="str">
        <f t="shared" si="22"/>
        <v>*</v>
      </c>
      <c r="GM40" s="10"/>
      <c r="GN40" s="88">
        <v>789</v>
      </c>
      <c r="GO40" s="88">
        <v>788.96848803000762</v>
      </c>
      <c r="GP40" s="28">
        <v>3.4789680267124079</v>
      </c>
      <c r="GQ40" s="29">
        <v>4.1198060232574822E-2</v>
      </c>
      <c r="GR40" s="9"/>
      <c r="GS40" s="3">
        <v>578</v>
      </c>
      <c r="GT40" s="3">
        <v>578.02064360999611</v>
      </c>
      <c r="GU40" s="69">
        <v>3.5208411183029122</v>
      </c>
      <c r="GV40" s="9">
        <v>4.8862635008183511E-2</v>
      </c>
      <c r="GW40" s="10">
        <f t="shared" si="23"/>
        <v>-0.65516041186125251</v>
      </c>
      <c r="GX40" s="10" t="str">
        <f t="shared" si="68"/>
        <v xml:space="preserve"> </v>
      </c>
      <c r="GY40" s="9"/>
      <c r="GZ40" s="27">
        <v>575</v>
      </c>
      <c r="HA40" s="27">
        <v>574.4050150100029</v>
      </c>
      <c r="HB40" s="28">
        <v>3.513481416566087</v>
      </c>
      <c r="HC40" s="29">
        <v>4.5656572727130453E-2</v>
      </c>
      <c r="HD40" s="10">
        <f t="shared" si="24"/>
        <v>-0.56122651065542628</v>
      </c>
      <c r="HE40" s="10" t="str">
        <f t="shared" si="69"/>
        <v xml:space="preserve"> </v>
      </c>
      <c r="HF40" s="9"/>
      <c r="HG40" s="27">
        <v>1235</v>
      </c>
      <c r="HH40" s="27">
        <v>1234.2417506899947</v>
      </c>
      <c r="HI40" s="28">
        <v>3.3367497329171081</v>
      </c>
      <c r="HJ40" s="29">
        <v>3.2846163992763674E-2</v>
      </c>
      <c r="HK40" s="10">
        <f t="shared" si="25"/>
        <v>2.6991930606813024</v>
      </c>
      <c r="HL40" s="10" t="str">
        <f t="shared" si="70"/>
        <v>*</v>
      </c>
      <c r="HM40" s="29"/>
      <c r="HN40" s="8">
        <v>1246</v>
      </c>
      <c r="HO40" s="8">
        <v>1246.413716629999</v>
      </c>
      <c r="HP40" s="69">
        <v>3.2623366596478633</v>
      </c>
      <c r="HQ40" s="9">
        <v>3.3629165578648722E-2</v>
      </c>
      <c r="HR40" s="10">
        <f t="shared" si="26"/>
        <v>4.0734858203080764</v>
      </c>
      <c r="HS40" s="10" t="str">
        <f t="shared" si="71"/>
        <v>*</v>
      </c>
      <c r="HT40" s="9"/>
      <c r="HU40" s="88">
        <v>4675</v>
      </c>
      <c r="HV40" s="88">
        <v>4674.2826635500151</v>
      </c>
      <c r="HW40" s="28">
        <v>3.7937465164338677</v>
      </c>
      <c r="HX40" s="29">
        <v>1.5941193334161694E-2</v>
      </c>
      <c r="HY40" s="30">
        <f t="shared" si="27"/>
        <v>-7.1257682766770021</v>
      </c>
      <c r="HZ40" s="30" t="str">
        <f t="shared" si="72"/>
        <v>*</v>
      </c>
      <c r="IA40" s="30"/>
      <c r="IB40" s="88">
        <v>980</v>
      </c>
      <c r="IC40" s="88">
        <v>979.98531880000041</v>
      </c>
      <c r="ID40" s="28">
        <v>3.9132636129446485</v>
      </c>
      <c r="IE40" s="29">
        <v>3.0586813476266614E-2</v>
      </c>
      <c r="IF40" s="30">
        <f t="shared" si="28"/>
        <v>-8.4639625361540372</v>
      </c>
      <c r="IG40" s="30" t="str">
        <f t="shared" si="29"/>
        <v>*</v>
      </c>
      <c r="IH40" s="30"/>
      <c r="II40" s="88">
        <v>642</v>
      </c>
      <c r="IJ40" s="88">
        <v>641.94305966000354</v>
      </c>
      <c r="IK40" s="28">
        <v>3.9295496264046337</v>
      </c>
      <c r="IL40" s="29">
        <v>4.0515011705401463E-2</v>
      </c>
      <c r="IM40" s="30">
        <f t="shared" si="30"/>
        <v>-7.7979732319546793</v>
      </c>
      <c r="IN40" s="30" t="str">
        <f t="shared" si="74"/>
        <v>*</v>
      </c>
      <c r="IO40" s="30"/>
      <c r="IP40" s="88">
        <v>729</v>
      </c>
      <c r="IQ40" s="88">
        <v>729.17707958000813</v>
      </c>
      <c r="IR40" s="28">
        <v>4.0100937551468796</v>
      </c>
      <c r="IS40" s="29">
        <v>3.7906382295530734E-2</v>
      </c>
      <c r="IT40" s="30">
        <f t="shared" si="32"/>
        <v>-9.4871504751238742</v>
      </c>
      <c r="IU40" s="30" t="str">
        <f t="shared" si="33"/>
        <v>*</v>
      </c>
      <c r="IV40" s="30"/>
      <c r="IW40" s="88">
        <v>363</v>
      </c>
      <c r="IX40" s="88">
        <v>363.03195527999867</v>
      </c>
      <c r="IY40" s="28">
        <v>4.2397945445955525</v>
      </c>
      <c r="IZ40" s="29">
        <v>4.4835207467604284E-2</v>
      </c>
      <c r="JA40" s="30">
        <f t="shared" si="34"/>
        <v>-12.495293659443496</v>
      </c>
      <c r="JB40" s="30" t="str">
        <f t="shared" si="73"/>
        <v>*</v>
      </c>
      <c r="JC40" s="30"/>
      <c r="JD40" s="88">
        <v>1172</v>
      </c>
      <c r="JE40" s="88">
        <v>1171.1767622000089</v>
      </c>
      <c r="JF40" s="28">
        <v>3.5583954582837953</v>
      </c>
      <c r="JG40" s="29">
        <v>3.4387490411043276E-2</v>
      </c>
      <c r="JH40" s="30">
        <f t="shared" si="35"/>
        <v>-1.480099421340487</v>
      </c>
      <c r="JI40" s="30" t="str">
        <f t="shared" si="36"/>
        <v xml:space="preserve"> </v>
      </c>
      <c r="JK40" s="27"/>
      <c r="JL40" s="27"/>
      <c r="JM40" s="28"/>
      <c r="JN40" s="29"/>
    </row>
    <row r="41" spans="1:274" x14ac:dyDescent="0.2">
      <c r="B41" s="7" t="s">
        <v>38</v>
      </c>
      <c r="C41" s="27">
        <v>2997</v>
      </c>
      <c r="D41" s="27">
        <v>2997.000963649919</v>
      </c>
      <c r="E41" s="28">
        <v>3.6696983031215344</v>
      </c>
      <c r="F41" s="29">
        <v>1.9337697847520298E-2</v>
      </c>
      <c r="G41" s="29"/>
      <c r="H41" s="3">
        <v>970</v>
      </c>
      <c r="I41" s="3">
        <v>969.88123348001614</v>
      </c>
      <c r="J41" s="28">
        <v>3.7027353635810472</v>
      </c>
      <c r="K41" s="29">
        <v>3.3553742604233182E-2</v>
      </c>
      <c r="L41" s="30">
        <f t="shared" si="37"/>
        <v>-0.85307004924738439</v>
      </c>
      <c r="M41" s="30" t="str">
        <f t="shared" si="38"/>
        <v xml:space="preserve"> </v>
      </c>
      <c r="N41" s="9"/>
      <c r="O41" s="27">
        <v>1057</v>
      </c>
      <c r="P41" s="27">
        <v>1057.410816690008</v>
      </c>
      <c r="Q41" s="28">
        <v>3.3333748854806253</v>
      </c>
      <c r="R41" s="29">
        <v>2.7296932585376382E-2</v>
      </c>
      <c r="S41" s="30">
        <f t="shared" si="39"/>
        <v>10.053763344049912</v>
      </c>
      <c r="T41" s="30" t="str">
        <f t="shared" si="40"/>
        <v>*</v>
      </c>
      <c r="U41" s="30"/>
      <c r="V41" s="27">
        <v>1059</v>
      </c>
      <c r="W41" s="27">
        <v>1059.24008660002</v>
      </c>
      <c r="X41" s="28">
        <v>3.4458538551216504</v>
      </c>
      <c r="Y41" s="29">
        <v>2.7874493945694041E-2</v>
      </c>
      <c r="Z41" s="30">
        <f t="shared" si="41"/>
        <v>6.5981338690369</v>
      </c>
      <c r="AA41" s="30" t="str">
        <f t="shared" si="42"/>
        <v>*</v>
      </c>
      <c r="AB41" s="9"/>
      <c r="AC41" s="8">
        <v>1222</v>
      </c>
      <c r="AD41" s="8">
        <v>1220.0112140400056</v>
      </c>
      <c r="AE41" s="69">
        <v>3.3938987392162203</v>
      </c>
      <c r="AF41" s="9">
        <v>2.8224040708350582E-2</v>
      </c>
      <c r="AG41" s="30">
        <f t="shared" si="43"/>
        <v>8.0612034691705343</v>
      </c>
      <c r="AH41" s="30" t="str">
        <f t="shared" si="44"/>
        <v>*</v>
      </c>
      <c r="AI41" s="9"/>
      <c r="AJ41" s="81">
        <v>6035</v>
      </c>
      <c r="AK41" s="83">
        <v>3.8828092664249789</v>
      </c>
      <c r="AL41" s="84">
        <v>1.3171798886873724E-2</v>
      </c>
      <c r="AM41" s="30">
        <f t="shared" si="45"/>
        <v>-9.1082805809282252</v>
      </c>
      <c r="AN41" s="30" t="str">
        <f t="shared" si="46"/>
        <v>*</v>
      </c>
      <c r="AO41" s="9"/>
      <c r="AP41" s="78">
        <v>763</v>
      </c>
      <c r="AQ41" s="79">
        <v>4.2576235816362189</v>
      </c>
      <c r="AR41" s="80">
        <v>3.5967393211336712E-2</v>
      </c>
      <c r="AS41" s="30">
        <f t="shared" si="47"/>
        <v>-14.39713904935199</v>
      </c>
      <c r="AT41" s="30" t="str">
        <f t="shared" si="48"/>
        <v>*</v>
      </c>
      <c r="AU41" s="80"/>
      <c r="AV41" s="78">
        <v>961</v>
      </c>
      <c r="AW41" s="79">
        <v>3.8626672819679264</v>
      </c>
      <c r="AX41" s="80">
        <v>3.2101693432492973E-2</v>
      </c>
      <c r="AY41" s="30">
        <f t="shared" si="49"/>
        <v>-5.149107929141949</v>
      </c>
      <c r="AZ41" s="30" t="str">
        <f t="shared" si="50"/>
        <v>*</v>
      </c>
      <c r="BA41" s="80"/>
      <c r="BB41" s="78">
        <v>984</v>
      </c>
      <c r="BC41" s="79">
        <v>4.1215721719648863</v>
      </c>
      <c r="BD41" s="80">
        <v>2.9284719895935875E-2</v>
      </c>
      <c r="BE41" s="30">
        <f t="shared" si="51"/>
        <v>-12.876348533826599</v>
      </c>
      <c r="BF41" s="30" t="str">
        <f t="shared" si="52"/>
        <v>*</v>
      </c>
      <c r="BG41" s="80"/>
      <c r="BH41" s="78">
        <v>1354</v>
      </c>
      <c r="BI41" s="79">
        <v>3.5923788350391894</v>
      </c>
      <c r="BJ41" s="80">
        <v>2.85660411470651E-2</v>
      </c>
      <c r="BK41" s="30">
        <f t="shared" si="53"/>
        <v>2.2414121170564107</v>
      </c>
      <c r="BL41" s="30" t="str">
        <f t="shared" si="54"/>
        <v>*</v>
      </c>
      <c r="BM41" s="80"/>
      <c r="BN41" s="78">
        <v>1370</v>
      </c>
      <c r="BO41" s="79">
        <v>3.9734953270916682</v>
      </c>
      <c r="BP41" s="80">
        <v>2.5903966098120582E-2</v>
      </c>
      <c r="BQ41" s="30">
        <f t="shared" si="55"/>
        <v>-9.397952868379738</v>
      </c>
      <c r="BR41" s="30" t="str">
        <f t="shared" si="56"/>
        <v>*</v>
      </c>
      <c r="BS41" s="9"/>
      <c r="BT41" s="27">
        <v>11696</v>
      </c>
      <c r="BU41" s="27">
        <v>11702.660075359201</v>
      </c>
      <c r="BV41" s="28">
        <v>3.889910385633379</v>
      </c>
      <c r="BW41" s="29">
        <v>9.7956216920494915E-3</v>
      </c>
      <c r="BX41" s="30">
        <f t="shared" si="57"/>
        <v>-10.158698455238865</v>
      </c>
      <c r="BY41" s="30" t="str">
        <f t="shared" si="58"/>
        <v>*</v>
      </c>
      <c r="BZ41" s="30"/>
      <c r="CA41" s="27">
        <v>533</v>
      </c>
      <c r="CB41" s="27">
        <v>533</v>
      </c>
      <c r="CC41" s="28">
        <v>3.4615384615384626</v>
      </c>
      <c r="CD41" s="29">
        <v>4.3496055556249795E-2</v>
      </c>
      <c r="CE41" s="30">
        <f t="shared" si="59"/>
        <v>4.3730157767500097</v>
      </c>
      <c r="CF41" s="30" t="str">
        <f t="shared" si="0"/>
        <v>*</v>
      </c>
      <c r="CG41" s="30"/>
      <c r="CH41" s="27">
        <v>3236</v>
      </c>
      <c r="CI41" s="27">
        <v>3242.678689139876</v>
      </c>
      <c r="CJ41" s="28">
        <v>3.6616820588656678</v>
      </c>
      <c r="CK41" s="29">
        <v>1.8702296016315019E-2</v>
      </c>
      <c r="CL41" s="30">
        <f t="shared" si="60"/>
        <v>0.2979784961900766</v>
      </c>
      <c r="CM41" s="30" t="str">
        <f t="shared" si="1"/>
        <v xml:space="preserve"> </v>
      </c>
      <c r="CN41" s="30"/>
      <c r="CO41" s="27">
        <v>2919</v>
      </c>
      <c r="CP41" s="27">
        <v>2918.9711628099349</v>
      </c>
      <c r="CQ41" s="28">
        <v>3.7340256566177938</v>
      </c>
      <c r="CR41" s="29">
        <v>1.7967890208468333E-2</v>
      </c>
      <c r="CS41" s="30">
        <f t="shared" si="61"/>
        <v>-2.4369365389263851</v>
      </c>
      <c r="CT41" s="30" t="str">
        <f t="shared" si="2"/>
        <v>*</v>
      </c>
      <c r="CU41" s="30"/>
      <c r="CV41" s="27">
        <v>594</v>
      </c>
      <c r="CW41" s="27">
        <v>593.97596104000468</v>
      </c>
      <c r="CX41" s="28">
        <v>4.9611227672588551</v>
      </c>
      <c r="CY41" s="29">
        <v>8.9508312384080826E-3</v>
      </c>
      <c r="CZ41" s="30">
        <f t="shared" si="62"/>
        <v>-60.605285797254702</v>
      </c>
      <c r="DA41" s="30" t="str">
        <f t="shared" si="3"/>
        <v>*</v>
      </c>
      <c r="DB41" s="30"/>
      <c r="DC41" s="27">
        <v>876</v>
      </c>
      <c r="DD41" s="27">
        <v>876.03329871998858</v>
      </c>
      <c r="DE41" s="28">
        <v>4.8665391681790764</v>
      </c>
      <c r="DF41" s="29">
        <v>1.3086524795452747E-2</v>
      </c>
      <c r="DG41" s="30">
        <f t="shared" si="63"/>
        <v>-51.257452321674066</v>
      </c>
      <c r="DH41" s="30" t="str">
        <f t="shared" si="4"/>
        <v>*</v>
      </c>
      <c r="DI41" s="30"/>
      <c r="DJ41" s="27">
        <v>541</v>
      </c>
      <c r="DK41" s="27">
        <v>541</v>
      </c>
      <c r="DL41" s="28">
        <v>4.9833641404805942</v>
      </c>
      <c r="DM41" s="29">
        <v>6.6322476832711939E-3</v>
      </c>
      <c r="DN41" s="30">
        <f t="shared" si="64"/>
        <v>-64.258625967005798</v>
      </c>
      <c r="DO41" s="30" t="str">
        <f t="shared" si="5"/>
        <v>*</v>
      </c>
      <c r="DP41" s="8"/>
      <c r="DQ41" s="27">
        <v>989</v>
      </c>
      <c r="DR41" s="27">
        <v>989.19833681001057</v>
      </c>
      <c r="DS41" s="28">
        <v>3.5738408128045931</v>
      </c>
      <c r="DT41" s="29">
        <v>3.5043911246408641E-2</v>
      </c>
      <c r="DU41" s="29"/>
      <c r="DV41" s="27">
        <v>692</v>
      </c>
      <c r="DW41" s="27">
        <v>691.9840402199975</v>
      </c>
      <c r="DX41" s="28">
        <v>3.531352140409338</v>
      </c>
      <c r="DY41" s="29">
        <v>4.2623841399270494E-2</v>
      </c>
      <c r="DZ41" s="10">
        <f t="shared" si="6"/>
        <v>0.76999686485207697</v>
      </c>
      <c r="EA41" s="10" t="str">
        <f t="shared" si="7"/>
        <v xml:space="preserve"> </v>
      </c>
      <c r="EB41" s="29"/>
      <c r="EC41" s="27">
        <v>698</v>
      </c>
      <c r="ED41" s="27">
        <v>697.95543961000396</v>
      </c>
      <c r="EE41" s="28">
        <v>3.5650777789343944</v>
      </c>
      <c r="EF41" s="29">
        <v>4.0778244543532453E-2</v>
      </c>
      <c r="EG41" s="10">
        <f t="shared" si="8"/>
        <v>0.16298021272871704</v>
      </c>
      <c r="EH41" s="10" t="str">
        <f t="shared" si="9"/>
        <v xml:space="preserve"> </v>
      </c>
      <c r="EI41" s="29"/>
      <c r="EJ41" s="27">
        <v>686</v>
      </c>
      <c r="EK41" s="27">
        <v>685.71657805000211</v>
      </c>
      <c r="EL41" s="28">
        <v>3.5737699259493696</v>
      </c>
      <c r="EM41" s="29">
        <v>3.9947266151542829E-2</v>
      </c>
      <c r="EN41" s="10">
        <f t="shared" si="10"/>
        <v>1.333964110998368E-3</v>
      </c>
      <c r="EO41" s="10" t="str">
        <f t="shared" si="65"/>
        <v xml:space="preserve"> </v>
      </c>
      <c r="EP41" s="29"/>
      <c r="EQ41" s="8">
        <v>754</v>
      </c>
      <c r="ER41" s="8">
        <v>754.10971464000045</v>
      </c>
      <c r="ES41" s="69">
        <v>3.5773536551214544</v>
      </c>
      <c r="ET41" s="9">
        <v>3.8415971305271052E-2</v>
      </c>
      <c r="EU41" s="10">
        <f t="shared" si="11"/>
        <v>-6.7556376768191456E-2</v>
      </c>
      <c r="EV41" s="10" t="str">
        <f t="shared" si="66"/>
        <v xml:space="preserve"> </v>
      </c>
      <c r="EW41" s="29"/>
      <c r="EX41" s="88">
        <v>4872</v>
      </c>
      <c r="EY41" s="88">
        <v>4872.0874018297245</v>
      </c>
      <c r="EZ41" s="28">
        <v>3.7579023720147173</v>
      </c>
      <c r="FA41" s="29">
        <v>1.4482643336757174E-2</v>
      </c>
      <c r="FB41" s="30">
        <f t="shared" si="12"/>
        <v>-4.8541191539888073</v>
      </c>
      <c r="FC41" s="30" t="str">
        <f t="shared" si="67"/>
        <v>*</v>
      </c>
      <c r="FD41" s="30"/>
      <c r="FE41" s="27">
        <v>1103</v>
      </c>
      <c r="FF41" s="27">
        <v>1102.9895020000038</v>
      </c>
      <c r="FG41" s="28">
        <v>3.9229829158609704</v>
      </c>
      <c r="FH41" s="29">
        <v>2.7158381426716779E-2</v>
      </c>
      <c r="FI41" s="30">
        <f t="shared" si="13"/>
        <v>-7.8749671878060008</v>
      </c>
      <c r="FJ41" s="30" t="str">
        <f t="shared" si="14"/>
        <v>*</v>
      </c>
      <c r="FK41" s="30"/>
      <c r="FL41" s="88">
        <v>378</v>
      </c>
      <c r="FM41" s="88">
        <v>378.0154263299986</v>
      </c>
      <c r="FN41" s="28">
        <v>4.0370341182790224</v>
      </c>
      <c r="FO41" s="29">
        <v>4.6449116417891373E-2</v>
      </c>
      <c r="FP41" s="30">
        <f t="shared" si="15"/>
        <v>-7.9605797776463358</v>
      </c>
      <c r="FQ41" s="30" t="str">
        <f t="shared" si="16"/>
        <v>*</v>
      </c>
      <c r="FR41" s="30"/>
      <c r="FS41" s="88">
        <v>692</v>
      </c>
      <c r="FT41" s="88">
        <v>691.85329301000399</v>
      </c>
      <c r="FU41" s="28">
        <v>3.8526542594218327</v>
      </c>
      <c r="FV41" s="29">
        <v>3.3367483188898296E-2</v>
      </c>
      <c r="FW41" s="30">
        <f t="shared" si="17"/>
        <v>-5.7619556659692597</v>
      </c>
      <c r="FX41" s="30" t="str">
        <f t="shared" si="18"/>
        <v>*</v>
      </c>
      <c r="FY41" s="30"/>
      <c r="FZ41" s="88">
        <v>1319</v>
      </c>
      <c r="GA41" s="88">
        <v>1319.0249977199894</v>
      </c>
      <c r="GB41" s="28">
        <v>3.5193978596116251</v>
      </c>
      <c r="GC41" s="29">
        <v>2.9659002184746652E-2</v>
      </c>
      <c r="GD41" s="30">
        <f t="shared" si="19"/>
        <v>1.1858614941494678</v>
      </c>
      <c r="GE41" s="30" t="str">
        <f t="shared" si="20"/>
        <v xml:space="preserve"> </v>
      </c>
      <c r="GF41" s="30"/>
      <c r="GG41" s="88">
        <v>391</v>
      </c>
      <c r="GH41" s="88">
        <v>391.00584595999914</v>
      </c>
      <c r="GI41" s="28">
        <v>4.1249408329945974</v>
      </c>
      <c r="GJ41" s="29">
        <v>4.3225085252061923E-2</v>
      </c>
      <c r="GK41" s="30">
        <f t="shared" si="21"/>
        <v>-9.9036669510156834</v>
      </c>
      <c r="GL41" s="30" t="str">
        <f t="shared" si="22"/>
        <v>*</v>
      </c>
      <c r="GM41" s="19"/>
      <c r="GN41" s="88">
        <v>919</v>
      </c>
      <c r="GO41" s="88">
        <v>918.97877556000901</v>
      </c>
      <c r="GP41" s="28">
        <v>3.2304297898620788</v>
      </c>
      <c r="GQ41" s="29">
        <v>3.8759062850897565E-2</v>
      </c>
      <c r="GR41" s="9"/>
      <c r="GS41" s="3">
        <v>659</v>
      </c>
      <c r="GT41" s="3">
        <v>658.95963512999867</v>
      </c>
      <c r="GU41" s="69">
        <v>3.2952710150320677</v>
      </c>
      <c r="GV41" s="9">
        <v>4.7360641839631921E-2</v>
      </c>
      <c r="GW41" s="10">
        <f t="shared" si="23"/>
        <v>-1.0595176031457965</v>
      </c>
      <c r="GX41" s="10" t="str">
        <f t="shared" si="68"/>
        <v xml:space="preserve"> </v>
      </c>
      <c r="GY41" s="9"/>
      <c r="GZ41" s="27">
        <v>698</v>
      </c>
      <c r="HA41" s="27">
        <v>697.62024035000468</v>
      </c>
      <c r="HB41" s="28">
        <v>3.4164285375296073</v>
      </c>
      <c r="HC41" s="29">
        <v>4.1809165643943554E-2</v>
      </c>
      <c r="HD41" s="10">
        <f t="shared" si="24"/>
        <v>-3.2624977032315865</v>
      </c>
      <c r="HE41" s="10" t="str">
        <f t="shared" si="69"/>
        <v>*</v>
      </c>
      <c r="HF41" s="9"/>
      <c r="HG41" s="27">
        <v>1404</v>
      </c>
      <c r="HH41" s="27">
        <v>1404.8458661199911</v>
      </c>
      <c r="HI41" s="28">
        <v>3.2466112700084677</v>
      </c>
      <c r="HJ41" s="29">
        <v>3.0491770347846111E-2</v>
      </c>
      <c r="HK41" s="10">
        <f t="shared" si="25"/>
        <v>-0.32812196038753744</v>
      </c>
      <c r="HL41" s="10" t="str">
        <f t="shared" si="70"/>
        <v xml:space="preserve"> </v>
      </c>
      <c r="HM41" s="29"/>
      <c r="HN41" s="8">
        <v>1404</v>
      </c>
      <c r="HO41" s="8">
        <v>1404.0342662000076</v>
      </c>
      <c r="HP41" s="69">
        <v>3.183031641247275</v>
      </c>
      <c r="HQ41" s="9">
        <v>3.1263426714547425E-2</v>
      </c>
      <c r="HR41" s="10">
        <f t="shared" si="26"/>
        <v>0.95184167187636148</v>
      </c>
      <c r="HS41" s="10" t="str">
        <f t="shared" si="71"/>
        <v xml:space="preserve"> </v>
      </c>
      <c r="HT41" s="9"/>
      <c r="HU41" s="88">
        <v>5168</v>
      </c>
      <c r="HV41" s="88">
        <v>5167.7051411502252</v>
      </c>
      <c r="HW41" s="28">
        <v>3.7531233311415071</v>
      </c>
      <c r="HX41" s="29">
        <v>1.467990910638897E-2</v>
      </c>
      <c r="HY41" s="30">
        <f t="shared" si="27"/>
        <v>-12.611458026547426</v>
      </c>
      <c r="HZ41" s="30" t="str">
        <f t="shared" si="72"/>
        <v>*</v>
      </c>
      <c r="IA41" s="30"/>
      <c r="IB41" s="88">
        <v>1103</v>
      </c>
      <c r="IC41" s="88">
        <v>1102.9895020000038</v>
      </c>
      <c r="ID41" s="28">
        <v>3.9229829158609704</v>
      </c>
      <c r="IE41" s="29">
        <v>2.7158381426716779E-2</v>
      </c>
      <c r="IF41" s="30">
        <f t="shared" si="28"/>
        <v>-14.633369549709739</v>
      </c>
      <c r="IG41" s="30" t="str">
        <f t="shared" si="29"/>
        <v>*</v>
      </c>
      <c r="IH41" s="30"/>
      <c r="II41" s="88">
        <v>701</v>
      </c>
      <c r="IJ41" s="88">
        <v>700.89959058000409</v>
      </c>
      <c r="IK41" s="28">
        <v>3.9097931910222936</v>
      </c>
      <c r="IL41" s="29">
        <v>3.5290690973418373E-2</v>
      </c>
      <c r="IM41" s="30">
        <f t="shared" si="30"/>
        <v>-12.960377811610778</v>
      </c>
      <c r="IN41" s="30" t="str">
        <f t="shared" si="74"/>
        <v>*</v>
      </c>
      <c r="IO41" s="30"/>
      <c r="IP41" s="88">
        <v>801</v>
      </c>
      <c r="IQ41" s="88">
        <v>801.02380866000976</v>
      </c>
      <c r="IR41" s="28">
        <v>3.8505272843758593</v>
      </c>
      <c r="IS41" s="29">
        <v>3.8620837778447929E-2</v>
      </c>
      <c r="IT41" s="30">
        <f t="shared" si="32"/>
        <v>-11.333031969055297</v>
      </c>
      <c r="IU41" s="30" t="str">
        <f t="shared" si="33"/>
        <v>*</v>
      </c>
      <c r="IV41" s="30"/>
      <c r="IW41" s="88">
        <v>378</v>
      </c>
      <c r="IX41" s="88">
        <v>378.0154263299986</v>
      </c>
      <c r="IY41" s="28">
        <v>4.0370341182790224</v>
      </c>
      <c r="IZ41" s="29">
        <v>4.6449116417891373E-2</v>
      </c>
      <c r="JA41" s="30">
        <f t="shared" si="34"/>
        <v>-13.333149228661631</v>
      </c>
      <c r="JB41" s="30" t="str">
        <f t="shared" si="73"/>
        <v>*</v>
      </c>
      <c r="JC41" s="30"/>
      <c r="JD41" s="88">
        <v>1266</v>
      </c>
      <c r="JE41" s="88">
        <v>1265.7980380200099</v>
      </c>
      <c r="JF41" s="28">
        <v>3.7514133808800953</v>
      </c>
      <c r="JG41" s="29">
        <v>2.93332403804549E-2</v>
      </c>
      <c r="JH41" s="30">
        <f t="shared" si="35"/>
        <v>-10.718139167514952</v>
      </c>
      <c r="JI41" s="30" t="str">
        <f t="shared" si="36"/>
        <v>*</v>
      </c>
      <c r="JK41" s="27"/>
      <c r="JL41" s="27"/>
      <c r="JM41" s="28"/>
      <c r="JN41" s="29"/>
    </row>
    <row r="42" spans="1:274" x14ac:dyDescent="0.2">
      <c r="B42" s="7"/>
      <c r="C42" s="27"/>
      <c r="D42" s="27"/>
      <c r="E42" s="28"/>
      <c r="F42" s="29"/>
      <c r="G42" s="29"/>
      <c r="H42" s="3"/>
      <c r="I42" s="3"/>
      <c r="J42" s="28"/>
      <c r="K42" s="29"/>
      <c r="L42" s="30"/>
      <c r="M42" s="30"/>
      <c r="N42" s="9"/>
      <c r="O42" s="27"/>
      <c r="P42" s="27"/>
      <c r="Q42" s="28"/>
      <c r="R42" s="29"/>
      <c r="S42" s="30"/>
      <c r="T42" s="30"/>
      <c r="U42" s="30"/>
      <c r="V42" s="27"/>
      <c r="W42" s="27"/>
      <c r="X42" s="28"/>
      <c r="Y42" s="29"/>
      <c r="Z42" s="30"/>
      <c r="AA42" s="30"/>
      <c r="AB42" s="9"/>
      <c r="AC42" s="8"/>
      <c r="AD42" s="8"/>
      <c r="AE42" s="69"/>
      <c r="AF42" s="9"/>
      <c r="AG42" s="30"/>
      <c r="AH42" s="30"/>
      <c r="AI42" s="9"/>
      <c r="AJ42" s="81"/>
      <c r="AK42" s="83"/>
      <c r="AL42" s="84"/>
      <c r="AM42" s="30"/>
      <c r="AN42" s="30"/>
      <c r="AO42" s="9"/>
      <c r="AP42" s="78"/>
      <c r="AQ42" s="79"/>
      <c r="AR42" s="80"/>
      <c r="AS42" s="30"/>
      <c r="AT42" s="30"/>
      <c r="AU42" s="80"/>
      <c r="AV42" s="78"/>
      <c r="AW42" s="79"/>
      <c r="AX42" s="80"/>
      <c r="AY42" s="30"/>
      <c r="AZ42" s="30"/>
      <c r="BA42" s="80"/>
      <c r="BB42" s="78"/>
      <c r="BC42" s="79"/>
      <c r="BD42" s="80"/>
      <c r="BE42" s="30"/>
      <c r="BF42" s="30"/>
      <c r="BG42" s="80"/>
      <c r="BH42" s="78"/>
      <c r="BI42" s="79"/>
      <c r="BJ42" s="80"/>
      <c r="BK42" s="30"/>
      <c r="BL42" s="30"/>
      <c r="BM42" s="80"/>
      <c r="BN42" s="78"/>
      <c r="BO42" s="79"/>
      <c r="BP42" s="80"/>
      <c r="BQ42" s="30"/>
      <c r="BR42" s="30"/>
      <c r="BS42" s="9"/>
      <c r="BT42" s="27"/>
      <c r="BU42" s="27"/>
      <c r="BV42" s="28"/>
      <c r="BW42" s="29"/>
      <c r="BX42" s="30"/>
      <c r="BY42" s="30"/>
      <c r="BZ42" s="30"/>
      <c r="CA42" s="27"/>
      <c r="CB42" s="27"/>
      <c r="CC42" s="28"/>
      <c r="CD42" s="29"/>
      <c r="CE42" s="30"/>
      <c r="CF42" s="30"/>
      <c r="CG42" s="30"/>
      <c r="CH42" s="27"/>
      <c r="CI42" s="27"/>
      <c r="CJ42" s="28"/>
      <c r="CK42" s="29"/>
      <c r="CL42" s="30"/>
      <c r="CM42" s="30"/>
      <c r="CN42" s="30"/>
      <c r="CO42" s="27"/>
      <c r="CP42" s="27"/>
      <c r="CQ42" s="28"/>
      <c r="CR42" s="29"/>
      <c r="CS42" s="30"/>
      <c r="CT42" s="30"/>
      <c r="CU42" s="30"/>
      <c r="CV42" s="27"/>
      <c r="CW42" s="27"/>
      <c r="CX42" s="28"/>
      <c r="CY42" s="29"/>
      <c r="CZ42" s="30"/>
      <c r="DA42" s="30"/>
      <c r="DB42" s="30"/>
      <c r="DC42" s="27"/>
      <c r="DD42" s="27"/>
      <c r="DE42" s="28"/>
      <c r="DF42" s="29"/>
      <c r="DG42" s="30"/>
      <c r="DH42" s="30"/>
      <c r="DI42" s="30"/>
      <c r="DJ42" s="27"/>
      <c r="DK42" s="27"/>
      <c r="DL42" s="28"/>
      <c r="DM42" s="29"/>
      <c r="DN42" s="30"/>
      <c r="DO42" s="30"/>
      <c r="DP42" s="8"/>
      <c r="DQ42" s="27"/>
      <c r="DR42" s="27"/>
      <c r="DS42" s="28"/>
      <c r="DT42" s="29"/>
      <c r="DU42" s="29"/>
      <c r="DV42" s="27"/>
      <c r="DW42" s="27"/>
      <c r="DX42" s="28"/>
      <c r="DY42" s="29"/>
      <c r="DZ42" s="10"/>
      <c r="EA42" s="10"/>
      <c r="EB42" s="29"/>
      <c r="EC42" s="27"/>
      <c r="ED42" s="27"/>
      <c r="EE42" s="28"/>
      <c r="EF42" s="29"/>
      <c r="EG42" s="10"/>
      <c r="EH42" s="10"/>
      <c r="EI42" s="29"/>
      <c r="EJ42" s="27"/>
      <c r="EK42" s="27"/>
      <c r="EL42" s="28"/>
      <c r="EM42" s="29"/>
      <c r="EN42" s="10"/>
      <c r="EO42" s="10"/>
      <c r="EP42" s="29"/>
      <c r="EQ42" s="8"/>
      <c r="ER42" s="8"/>
      <c r="ES42" s="69"/>
      <c r="ET42" s="9"/>
      <c r="EU42" s="10"/>
      <c r="EV42" s="10"/>
      <c r="EW42" s="29"/>
      <c r="EX42" s="88"/>
      <c r="EY42" s="88"/>
      <c r="EZ42" s="28"/>
      <c r="FA42" s="29"/>
      <c r="FB42" s="30"/>
      <c r="FC42" s="30"/>
      <c r="FD42" s="30"/>
      <c r="FE42" s="27"/>
      <c r="FF42" s="27"/>
      <c r="FG42" s="28"/>
      <c r="FH42" s="29"/>
      <c r="FI42" s="30"/>
      <c r="FJ42" s="30"/>
      <c r="FK42" s="30"/>
      <c r="FL42" s="88"/>
      <c r="FM42" s="88"/>
      <c r="FN42" s="28"/>
      <c r="FO42" s="29"/>
      <c r="FP42" s="30"/>
      <c r="FQ42" s="30"/>
      <c r="FR42" s="30"/>
      <c r="FS42" s="88"/>
      <c r="FT42" s="88"/>
      <c r="FU42" s="28"/>
      <c r="FV42" s="29"/>
      <c r="FW42" s="30"/>
      <c r="FX42" s="30"/>
      <c r="FY42" s="30"/>
      <c r="FZ42" s="88"/>
      <c r="GA42" s="88"/>
      <c r="GB42" s="28"/>
      <c r="GC42" s="29"/>
      <c r="GD42" s="30"/>
      <c r="GE42" s="30"/>
      <c r="GF42" s="30"/>
      <c r="GG42" s="88"/>
      <c r="GH42" s="88"/>
      <c r="GI42" s="28"/>
      <c r="GJ42" s="29"/>
      <c r="GK42" s="30"/>
      <c r="GL42" s="30"/>
      <c r="GM42" s="19"/>
      <c r="GN42" s="88"/>
      <c r="GO42" s="88"/>
      <c r="GP42" s="28"/>
      <c r="GQ42" s="29"/>
      <c r="GR42" s="9"/>
      <c r="GS42" s="3"/>
      <c r="GT42" s="3"/>
      <c r="GU42" s="69"/>
      <c r="GV42" s="9"/>
      <c r="GW42" s="10"/>
      <c r="GX42" s="10"/>
      <c r="GY42" s="9"/>
      <c r="GZ42" s="27"/>
      <c r="HA42" s="27"/>
      <c r="HB42" s="28"/>
      <c r="HC42" s="29"/>
      <c r="HD42" s="10"/>
      <c r="HE42" s="10"/>
      <c r="HF42" s="9"/>
      <c r="HG42" s="27"/>
      <c r="HH42" s="27"/>
      <c r="HI42" s="28"/>
      <c r="HJ42" s="29"/>
      <c r="HK42" s="10"/>
      <c r="HL42" s="10"/>
      <c r="HM42" s="29"/>
      <c r="HN42" s="8"/>
      <c r="HO42" s="8"/>
      <c r="HP42" s="69"/>
      <c r="HQ42" s="9"/>
      <c r="HR42" s="10"/>
      <c r="HS42" s="10"/>
      <c r="HT42" s="9"/>
      <c r="HU42" s="88"/>
      <c r="HV42" s="88"/>
      <c r="HW42" s="28"/>
      <c r="HX42" s="29"/>
      <c r="HY42" s="30"/>
      <c r="HZ42" s="30"/>
      <c r="IA42" s="30"/>
      <c r="IB42" s="88"/>
      <c r="IC42" s="88"/>
      <c r="ID42" s="28"/>
      <c r="IE42" s="29"/>
      <c r="IF42" s="30"/>
      <c r="IG42" s="30"/>
      <c r="IH42" s="30"/>
      <c r="II42" s="88"/>
      <c r="IJ42" s="88"/>
      <c r="IK42" s="28"/>
      <c r="IL42" s="29"/>
      <c r="IM42" s="30"/>
      <c r="IN42" s="30"/>
      <c r="IO42" s="30"/>
      <c r="IP42" s="88"/>
      <c r="IQ42" s="88"/>
      <c r="IR42" s="28"/>
      <c r="IS42" s="29"/>
      <c r="IT42" s="30"/>
      <c r="IU42" s="30"/>
      <c r="IV42" s="30"/>
      <c r="IW42" s="88"/>
      <c r="IX42" s="88"/>
      <c r="IY42" s="28"/>
      <c r="IZ42" s="29"/>
      <c r="JA42" s="30"/>
      <c r="JB42" s="30"/>
      <c r="JC42" s="30"/>
      <c r="JD42" s="88"/>
      <c r="JE42" s="88"/>
      <c r="JF42" s="28"/>
      <c r="JG42" s="29"/>
      <c r="JH42" s="30"/>
      <c r="JI42" s="30"/>
      <c r="JK42" s="27"/>
      <c r="JL42" s="27"/>
      <c r="JM42" s="28"/>
      <c r="JN42" s="29"/>
    </row>
    <row r="43" spans="1:274" x14ac:dyDescent="0.2">
      <c r="A43" s="73"/>
      <c r="B43" s="7" t="s">
        <v>39</v>
      </c>
      <c r="C43" s="27">
        <v>3075</v>
      </c>
      <c r="D43" s="27">
        <v>3075.1802643599176</v>
      </c>
      <c r="E43" s="28">
        <v>3.9629216167840693</v>
      </c>
      <c r="F43" s="29">
        <v>1.7389710369061947E-2</v>
      </c>
      <c r="G43" s="29"/>
      <c r="H43" s="3">
        <v>1003</v>
      </c>
      <c r="I43" s="3">
        <v>1002.9997667800175</v>
      </c>
      <c r="J43" s="28">
        <v>3.9796611304252907</v>
      </c>
      <c r="K43" s="29">
        <v>3.0774162213192846E-2</v>
      </c>
      <c r="L43" s="30">
        <f t="shared" si="37"/>
        <v>-0.47356893512196385</v>
      </c>
      <c r="M43" s="30" t="str">
        <f t="shared" si="38"/>
        <v xml:space="preserve"> </v>
      </c>
      <c r="N43" s="9"/>
      <c r="O43" s="27">
        <v>1078</v>
      </c>
      <c r="P43" s="27">
        <v>1078.0641858600088</v>
      </c>
      <c r="Q43" s="28">
        <v>3.5283443359966782</v>
      </c>
      <c r="R43" s="29">
        <v>2.6628572222122591E-2</v>
      </c>
      <c r="S43" s="30">
        <f t="shared" si="39"/>
        <v>13.664311338981152</v>
      </c>
      <c r="T43" s="30" t="str">
        <f t="shared" si="40"/>
        <v>*</v>
      </c>
      <c r="U43" s="30"/>
      <c r="V43" s="27">
        <v>1079</v>
      </c>
      <c r="W43" s="27">
        <v>1079.2634215000196</v>
      </c>
      <c r="X43" s="28">
        <v>3.6331557986466994</v>
      </c>
      <c r="Y43" s="29">
        <v>2.6104849248621474E-2</v>
      </c>
      <c r="Z43" s="30">
        <f t="shared" si="41"/>
        <v>10.513270562831202</v>
      </c>
      <c r="AA43" s="30" t="str">
        <f t="shared" si="42"/>
        <v>*</v>
      </c>
      <c r="AB43" s="9"/>
      <c r="AC43" s="8">
        <v>1242</v>
      </c>
      <c r="AD43" s="8">
        <v>1240.7729711600059</v>
      </c>
      <c r="AE43" s="69">
        <v>3.5416096962135888</v>
      </c>
      <c r="AF43" s="9">
        <v>2.6928370080037123E-2</v>
      </c>
      <c r="AG43" s="30">
        <f t="shared" si="43"/>
        <v>13.143304209388136</v>
      </c>
      <c r="AH43" s="30" t="str">
        <f t="shared" si="44"/>
        <v>*</v>
      </c>
      <c r="AI43" s="9"/>
      <c r="AJ43" s="81">
        <v>6213</v>
      </c>
      <c r="AK43" s="83">
        <v>4.1212358048317954</v>
      </c>
      <c r="AL43" s="84">
        <v>1.1446328912927314E-2</v>
      </c>
      <c r="AM43" s="30">
        <f t="shared" si="45"/>
        <v>-7.6044030499672832</v>
      </c>
      <c r="AN43" s="30" t="str">
        <f t="shared" si="46"/>
        <v>*</v>
      </c>
      <c r="AO43" s="9"/>
      <c r="AP43" s="78">
        <v>796</v>
      </c>
      <c r="AQ43" s="79">
        <v>4.4347744441202206</v>
      </c>
      <c r="AR43" s="80">
        <v>2.9126709324906404E-2</v>
      </c>
      <c r="AS43" s="30">
        <f t="shared" si="47"/>
        <v>-13.909541672264883</v>
      </c>
      <c r="AT43" s="30" t="str">
        <f t="shared" si="48"/>
        <v>*</v>
      </c>
      <c r="AU43" s="80"/>
      <c r="AV43" s="78">
        <v>983</v>
      </c>
      <c r="AW43" s="79">
        <v>4.219785232222466</v>
      </c>
      <c r="AX43" s="80">
        <v>2.6573104776040548E-2</v>
      </c>
      <c r="AY43" s="30">
        <f t="shared" si="49"/>
        <v>-8.0883095910882403</v>
      </c>
      <c r="AZ43" s="30" t="str">
        <f t="shared" si="50"/>
        <v>*</v>
      </c>
      <c r="BA43" s="80"/>
      <c r="BB43" s="78">
        <v>1001</v>
      </c>
      <c r="BC43" s="79">
        <v>4.3135239848120355</v>
      </c>
      <c r="BD43" s="80">
        <v>2.6654103054707584E-2</v>
      </c>
      <c r="BE43" s="30">
        <f t="shared" si="51"/>
        <v>-11.016502286459255</v>
      </c>
      <c r="BF43" s="30" t="str">
        <f t="shared" si="52"/>
        <v>*</v>
      </c>
      <c r="BG43" s="80"/>
      <c r="BH43" s="78">
        <v>1369</v>
      </c>
      <c r="BI43" s="79">
        <v>3.936477986622358</v>
      </c>
      <c r="BJ43" s="80">
        <v>2.5159274961141488E-2</v>
      </c>
      <c r="BK43" s="30">
        <f t="shared" si="53"/>
        <v>0.86461834870583898</v>
      </c>
      <c r="BL43" s="30" t="str">
        <f t="shared" si="54"/>
        <v xml:space="preserve"> </v>
      </c>
      <c r="BM43" s="80"/>
      <c r="BN43" s="78">
        <v>1424</v>
      </c>
      <c r="BO43" s="79">
        <v>4.2240904435422113</v>
      </c>
      <c r="BP43" s="80">
        <v>2.1855071250902528E-2</v>
      </c>
      <c r="BQ43" s="30">
        <f t="shared" si="55"/>
        <v>-9.3510673456798745</v>
      </c>
      <c r="BR43" s="30" t="str">
        <f t="shared" si="56"/>
        <v>*</v>
      </c>
      <c r="BS43" s="9"/>
      <c r="BT43" s="27">
        <v>11982</v>
      </c>
      <c r="BU43" s="27">
        <v>11982.061963149194</v>
      </c>
      <c r="BV43" s="28">
        <v>4.1800569318857752</v>
      </c>
      <c r="BW43" s="29">
        <v>8.3892620037922527E-3</v>
      </c>
      <c r="BX43" s="30">
        <f t="shared" si="57"/>
        <v>-11.246131194556673</v>
      </c>
      <c r="BY43" s="30" t="str">
        <f t="shared" si="58"/>
        <v>*</v>
      </c>
      <c r="BZ43" s="30"/>
      <c r="CA43" s="27">
        <v>542</v>
      </c>
      <c r="CB43" s="27">
        <v>542</v>
      </c>
      <c r="CC43" s="28">
        <v>4.0369003690036918</v>
      </c>
      <c r="CD43" s="29">
        <v>3.548697892817216E-2</v>
      </c>
      <c r="CE43" s="30">
        <f t="shared" si="59"/>
        <v>-1.8719935378452814</v>
      </c>
      <c r="CF43" s="30" t="str">
        <f>IF(ABS(CE43)&gt;=1.96,"*"," ")</f>
        <v xml:space="preserve"> </v>
      </c>
      <c r="CG43" s="30"/>
      <c r="CH43" s="27">
        <v>3351</v>
      </c>
      <c r="CI43" s="27">
        <v>3350.9073100598548</v>
      </c>
      <c r="CJ43" s="28">
        <v>3.89433927365969</v>
      </c>
      <c r="CK43" s="29">
        <v>1.670065287816094E-2</v>
      </c>
      <c r="CL43" s="30">
        <f t="shared" si="60"/>
        <v>2.8445068886882727</v>
      </c>
      <c r="CM43" s="30" t="str">
        <f>IF(ABS(CL43)&gt;=1.96,"*"," ")</f>
        <v>*</v>
      </c>
      <c r="CN43" s="30"/>
      <c r="CO43" s="27">
        <v>2995</v>
      </c>
      <c r="CP43" s="27">
        <v>2994.9886336899267</v>
      </c>
      <c r="CQ43" s="28">
        <v>4.2135457552611761</v>
      </c>
      <c r="CR43" s="29">
        <v>1.4830468583538261E-2</v>
      </c>
      <c r="CS43" s="30">
        <f t="shared" si="61"/>
        <v>-10.965899183571654</v>
      </c>
      <c r="CT43" s="30" t="str">
        <f>IF(ABS(CS43)&gt;=1.96,"*"," ")</f>
        <v>*</v>
      </c>
      <c r="CU43" s="30"/>
      <c r="CV43" s="27">
        <v>596</v>
      </c>
      <c r="CW43" s="27">
        <v>595.98397336000471</v>
      </c>
      <c r="CX43" s="28">
        <v>4.9882076642424131</v>
      </c>
      <c r="CY43" s="29">
        <v>4.4255922018562642E-3</v>
      </c>
      <c r="CZ43" s="30">
        <f t="shared" si="62"/>
        <v>-57.138031772896724</v>
      </c>
      <c r="DA43" s="30" t="str">
        <f>IF(ABS(CZ43)&gt;=1.96,"*"," ")</f>
        <v>*</v>
      </c>
      <c r="DB43" s="30"/>
      <c r="DC43" s="27">
        <v>880</v>
      </c>
      <c r="DD43" s="27">
        <v>880.00178167998877</v>
      </c>
      <c r="DE43" s="28">
        <v>4.951148400758993</v>
      </c>
      <c r="DF43" s="29">
        <v>8.4213031230838103E-3</v>
      </c>
      <c r="DG43" s="30">
        <f t="shared" si="63"/>
        <v>-51.146482919670838</v>
      </c>
      <c r="DH43" s="30" t="str">
        <f>IF(ABS(DG43)&gt;=1.96,"*"," ")</f>
        <v>*</v>
      </c>
      <c r="DI43" s="30"/>
      <c r="DJ43" s="27">
        <v>543</v>
      </c>
      <c r="DK43" s="27">
        <v>543</v>
      </c>
      <c r="DL43" s="28">
        <v>4.9944751381215484</v>
      </c>
      <c r="DM43" s="29">
        <v>4.1149486803638054E-3</v>
      </c>
      <c r="DN43" s="30">
        <f t="shared" si="64"/>
        <v>-57.725622033764751</v>
      </c>
      <c r="DO43" s="30" t="str">
        <f>IF(ABS(DN43)&gt;=1.96,"*"," ")</f>
        <v>*</v>
      </c>
      <c r="DP43" s="8"/>
      <c r="DQ43" s="27">
        <v>1014</v>
      </c>
      <c r="DR43" s="27">
        <v>1014.0858274600099</v>
      </c>
      <c r="DS43" s="28">
        <v>3.8336093407471918</v>
      </c>
      <c r="DT43" s="29">
        <v>3.2017470283853218E-2</v>
      </c>
      <c r="DU43" s="29"/>
      <c r="DV43" s="27">
        <v>702</v>
      </c>
      <c r="DW43" s="27">
        <v>702.09638388999758</v>
      </c>
      <c r="DX43" s="28">
        <v>3.7697459721209303</v>
      </c>
      <c r="DY43" s="29">
        <v>3.7835571910992072E-2</v>
      </c>
      <c r="DZ43" s="10">
        <f t="shared" si="6"/>
        <v>1.2884876970323262</v>
      </c>
      <c r="EA43" s="10" t="str">
        <f>IF(ABS(DZ43)&gt;=1.96,"*"," ")</f>
        <v xml:space="preserve"> </v>
      </c>
      <c r="EB43" s="29"/>
      <c r="EC43" s="27">
        <v>733</v>
      </c>
      <c r="ED43" s="27">
        <v>732.84781520000467</v>
      </c>
      <c r="EE43" s="28">
        <v>3.7872717024373599</v>
      </c>
      <c r="EF43" s="29">
        <v>3.704223925512444E-2</v>
      </c>
      <c r="EG43" s="10">
        <f t="shared" si="8"/>
        <v>0.94640625888508023</v>
      </c>
      <c r="EH43" s="10" t="str">
        <f>IF(ABS(EG43)&gt;=1.96,"*"," ")</f>
        <v xml:space="preserve"> </v>
      </c>
      <c r="EI43" s="29"/>
      <c r="EJ43" s="27">
        <v>711</v>
      </c>
      <c r="EK43" s="27">
        <v>712.17606947000229</v>
      </c>
      <c r="EL43" s="28">
        <v>3.7495394085584142</v>
      </c>
      <c r="EM43" s="29">
        <v>3.7011712134171211E-2</v>
      </c>
      <c r="EN43" s="10">
        <f t="shared" si="10"/>
        <v>1.7178659699684764</v>
      </c>
      <c r="EO43" s="10" t="str">
        <f t="shared" si="65"/>
        <v xml:space="preserve"> </v>
      </c>
      <c r="EP43" s="29"/>
      <c r="EQ43" s="8">
        <v>785</v>
      </c>
      <c r="ER43" s="8">
        <v>784.92914320000148</v>
      </c>
      <c r="ES43" s="69">
        <v>3.7734871062435542</v>
      </c>
      <c r="ET43" s="9">
        <v>3.5222023126294209E-2</v>
      </c>
      <c r="EU43" s="10">
        <f t="shared" si="11"/>
        <v>1.2630862807081757</v>
      </c>
      <c r="EV43" s="10" t="str">
        <f t="shared" si="66"/>
        <v xml:space="preserve"> </v>
      </c>
      <c r="EW43" s="29"/>
      <c r="EX43" s="88">
        <v>5009</v>
      </c>
      <c r="EY43" s="88">
        <v>5009.070505179774</v>
      </c>
      <c r="EZ43" s="28">
        <v>4.0619294844640645</v>
      </c>
      <c r="FA43" s="29">
        <v>1.3083635275829916E-2</v>
      </c>
      <c r="FB43" s="30">
        <f t="shared" si="12"/>
        <v>-6.6012197921559217</v>
      </c>
      <c r="FC43" s="30" t="str">
        <f t="shared" si="67"/>
        <v>*</v>
      </c>
      <c r="FD43" s="30"/>
      <c r="FE43" s="27">
        <v>1128</v>
      </c>
      <c r="FF43" s="27">
        <v>1128.0037117600014</v>
      </c>
      <c r="FG43" s="28">
        <v>4.0958118360367575</v>
      </c>
      <c r="FH43" s="29">
        <v>2.6065061230057047E-2</v>
      </c>
      <c r="FI43" s="30">
        <f t="shared" si="13"/>
        <v>-6.3509336583338927</v>
      </c>
      <c r="FJ43" s="30" t="str">
        <f>IF(ABS(FI43)&gt;=1.96,"*"," ")</f>
        <v>*</v>
      </c>
      <c r="FK43" s="30"/>
      <c r="FL43" s="88">
        <v>387</v>
      </c>
      <c r="FM43" s="88">
        <v>387.00550895999856</v>
      </c>
      <c r="FN43" s="28">
        <v>4.3410509603976788</v>
      </c>
      <c r="FO43" s="29">
        <v>4.016655124124021E-2</v>
      </c>
      <c r="FP43" s="30">
        <f t="shared" si="15"/>
        <v>-9.8789317350060042</v>
      </c>
      <c r="FQ43" s="30" t="str">
        <f>IF(ABS(FP43)&gt;=1.96,"*"," ")</f>
        <v>*</v>
      </c>
      <c r="FR43" s="30"/>
      <c r="FS43" s="88">
        <v>721</v>
      </c>
      <c r="FT43" s="88">
        <v>720.97665843000505</v>
      </c>
      <c r="FU43" s="28">
        <v>4.335719360203802</v>
      </c>
      <c r="FV43" s="29">
        <v>2.7333265007173035E-2</v>
      </c>
      <c r="FW43" s="30">
        <f t="shared" si="17"/>
        <v>-11.927223649290609</v>
      </c>
      <c r="FX43" s="30" t="str">
        <f>IF(ABS(FW43)&gt;=1.96,"*"," ")</f>
        <v>*</v>
      </c>
      <c r="FY43" s="30"/>
      <c r="FZ43" s="88">
        <v>1364</v>
      </c>
      <c r="GA43" s="88">
        <v>1363.9983756899846</v>
      </c>
      <c r="GB43" s="28">
        <v>3.8621494207682745</v>
      </c>
      <c r="GC43" s="29">
        <v>2.650545159591142E-2</v>
      </c>
      <c r="GD43" s="30">
        <f t="shared" si="19"/>
        <v>-0.68663569744720543</v>
      </c>
      <c r="GE43" s="30" t="str">
        <f>IF(ABS(GD43)&gt;=1.96,"*"," ")</f>
        <v xml:space="preserve"> </v>
      </c>
      <c r="GF43" s="30"/>
      <c r="GG43" s="88">
        <v>395</v>
      </c>
      <c r="GH43" s="88">
        <v>395.00042287999912</v>
      </c>
      <c r="GI43" s="28">
        <v>4.4680020303070949</v>
      </c>
      <c r="GJ43" s="29">
        <v>3.4432457259523208E-2</v>
      </c>
      <c r="GK43" s="30">
        <f t="shared" si="21"/>
        <v>-13.492487820216027</v>
      </c>
      <c r="GL43" s="30" t="str">
        <f>IF(ABS(GK43)&gt;=1.96,"*"," ")</f>
        <v>*</v>
      </c>
      <c r="GM43" s="19"/>
      <c r="GN43" s="88">
        <v>959</v>
      </c>
      <c r="GO43" s="88">
        <v>958.97781675000942</v>
      </c>
      <c r="GP43" s="28">
        <v>3.450263119123401</v>
      </c>
      <c r="GQ43" s="29">
        <v>3.6935039186333909E-2</v>
      </c>
      <c r="GR43" s="9"/>
      <c r="GS43" s="3">
        <v>685</v>
      </c>
      <c r="GT43" s="3">
        <v>684.99677794999945</v>
      </c>
      <c r="GU43" s="69">
        <v>3.5815106778342742</v>
      </c>
      <c r="GV43" s="9">
        <v>4.3896122982575857E-2</v>
      </c>
      <c r="GW43" s="10">
        <f t="shared" si="23"/>
        <v>-2.2878254653503296</v>
      </c>
      <c r="GX43" s="10" t="str">
        <f t="shared" si="68"/>
        <v>*</v>
      </c>
      <c r="GY43" s="9"/>
      <c r="GZ43" s="27">
        <v>723</v>
      </c>
      <c r="HA43" s="27">
        <v>722.85007189000498</v>
      </c>
      <c r="HB43" s="28">
        <v>3.6572250548552119</v>
      </c>
      <c r="HC43" s="29">
        <v>3.881382861816246E-2</v>
      </c>
      <c r="HD43" s="10">
        <f t="shared" si="24"/>
        <v>-3.8627427449473193</v>
      </c>
      <c r="HE43" s="10" t="str">
        <f t="shared" si="69"/>
        <v>*</v>
      </c>
      <c r="HF43" s="9"/>
      <c r="HG43" s="27">
        <v>1452</v>
      </c>
      <c r="HH43" s="27">
        <v>1452.1487442399909</v>
      </c>
      <c r="HI43" s="28">
        <v>3.4378362025322344</v>
      </c>
      <c r="HJ43" s="29">
        <v>2.8319759819674398E-2</v>
      </c>
      <c r="HK43" s="10">
        <f t="shared" si="25"/>
        <v>0.26700138527142275</v>
      </c>
      <c r="HL43" s="10" t="str">
        <f t="shared" si="70"/>
        <v xml:space="preserve"> </v>
      </c>
      <c r="HM43" s="29"/>
      <c r="HN43" s="8">
        <v>1462</v>
      </c>
      <c r="HO43" s="8">
        <v>1461.8135137700117</v>
      </c>
      <c r="HP43" s="69">
        <v>3.4095107941615201</v>
      </c>
      <c r="HQ43" s="9">
        <v>2.9123556195531461E-2</v>
      </c>
      <c r="HR43" s="10">
        <f t="shared" si="26"/>
        <v>0.86640841518077194</v>
      </c>
      <c r="HS43" s="10" t="str">
        <f t="shared" si="71"/>
        <v xml:space="preserve"> </v>
      </c>
      <c r="HT43" s="9"/>
      <c r="HU43" s="88">
        <v>5289</v>
      </c>
      <c r="HV43" s="88">
        <v>5288.9269651602744</v>
      </c>
      <c r="HW43" s="28">
        <v>3.9814222660499525</v>
      </c>
      <c r="HX43" s="29">
        <v>1.3582681671559713E-2</v>
      </c>
      <c r="HY43" s="30">
        <f t="shared" si="27"/>
        <v>-13.497176524869213</v>
      </c>
      <c r="HZ43" s="30" t="str">
        <f t="shared" si="72"/>
        <v>*</v>
      </c>
      <c r="IA43" s="30"/>
      <c r="IB43" s="88">
        <v>1128</v>
      </c>
      <c r="IC43" s="88">
        <v>1128.0037117600014</v>
      </c>
      <c r="ID43" s="28">
        <v>4.0958118360367575</v>
      </c>
      <c r="IE43" s="29">
        <v>2.6065061230057047E-2</v>
      </c>
      <c r="IF43" s="30">
        <f t="shared" si="28"/>
        <v>-14.28014832389545</v>
      </c>
      <c r="IG43" s="30" t="str">
        <f>IF(ABS(IF43)&gt;=1.96,"*"," ")</f>
        <v>*</v>
      </c>
      <c r="IH43" s="30"/>
      <c r="II43" s="88">
        <v>710</v>
      </c>
      <c r="IJ43" s="88">
        <v>709.9956244000042</v>
      </c>
      <c r="IK43" s="28">
        <v>4.1955798625623189</v>
      </c>
      <c r="IL43" s="29">
        <v>3.1821392777051039E-2</v>
      </c>
      <c r="IM43" s="30">
        <f t="shared" si="30"/>
        <v>-15.287790639827929</v>
      </c>
      <c r="IN43" s="30" t="str">
        <f>IF(ABS(IM43)&gt;=1.96,"*"," ")</f>
        <v>*</v>
      </c>
      <c r="IO43" s="30"/>
      <c r="IP43" s="88">
        <v>816</v>
      </c>
      <c r="IQ43" s="88">
        <v>815.9977154400101</v>
      </c>
      <c r="IR43" s="28">
        <v>4.1046971368221694</v>
      </c>
      <c r="IS43" s="29">
        <v>3.4157278961990917E-2</v>
      </c>
      <c r="IT43" s="30">
        <f t="shared" si="32"/>
        <v>-13.008491259819689</v>
      </c>
      <c r="IU43" s="30" t="str">
        <f>IF(ABS(IT43)&gt;=1.96,"*"," ")</f>
        <v>*</v>
      </c>
      <c r="IV43" s="30"/>
      <c r="IW43" s="88">
        <v>387</v>
      </c>
      <c r="IX43" s="88">
        <v>387.00550895999856</v>
      </c>
      <c r="IY43" s="28">
        <v>4.3410509603976788</v>
      </c>
      <c r="IZ43" s="29">
        <v>4.016655124124021E-2</v>
      </c>
      <c r="JA43" s="30">
        <f t="shared" si="34"/>
        <v>-16.324685566892033</v>
      </c>
      <c r="JB43" s="30" t="str">
        <f>IF(ABS(JA43)&gt;=1.96,"*"," ")</f>
        <v>*</v>
      </c>
      <c r="JC43" s="30"/>
      <c r="JD43" s="88">
        <v>1289</v>
      </c>
      <c r="JE43" s="88">
        <v>1288.9465878500105</v>
      </c>
      <c r="JF43" s="28">
        <v>3.9725132268055487</v>
      </c>
      <c r="JG43" s="29">
        <v>2.6155293463079689E-2</v>
      </c>
      <c r="JH43" s="30">
        <f t="shared" si="35"/>
        <v>-11.539370752802583</v>
      </c>
      <c r="JI43" s="30" t="str">
        <f>IF(ABS(JH43)&gt;=1.96,"*"," ")</f>
        <v>*</v>
      </c>
      <c r="JK43" s="27"/>
      <c r="JL43" s="27"/>
      <c r="JM43" s="28"/>
      <c r="JN43" s="29"/>
    </row>
    <row r="44" spans="1:274" x14ac:dyDescent="0.2">
      <c r="B44" s="7" t="s">
        <v>40</v>
      </c>
      <c r="C44" s="27">
        <v>3015</v>
      </c>
      <c r="D44" s="27">
        <v>3015.0967759399191</v>
      </c>
      <c r="E44" s="28">
        <v>3.7570102905829277</v>
      </c>
      <c r="F44" s="29">
        <v>1.872731434255856E-2</v>
      </c>
      <c r="G44" s="29"/>
      <c r="H44" s="3">
        <v>995</v>
      </c>
      <c r="I44" s="3">
        <v>995.04541862001713</v>
      </c>
      <c r="J44" s="28">
        <v>3.7564059798032536</v>
      </c>
      <c r="K44" s="29">
        <v>3.3519061308605463E-2</v>
      </c>
      <c r="L44" s="30">
        <f t="shared" si="37"/>
        <v>1.573896897639163E-2</v>
      </c>
      <c r="M44" s="30" t="str">
        <f t="shared" si="38"/>
        <v xml:space="preserve"> </v>
      </c>
      <c r="N44" s="9"/>
      <c r="O44" s="27">
        <v>1059</v>
      </c>
      <c r="P44" s="27">
        <v>1058.899718670008</v>
      </c>
      <c r="Q44" s="28">
        <v>3.6408988616621718</v>
      </c>
      <c r="R44" s="29">
        <v>2.6292609584981794E-2</v>
      </c>
      <c r="S44" s="30">
        <f t="shared" si="39"/>
        <v>3.5969820590305392</v>
      </c>
      <c r="T44" s="30" t="str">
        <f t="shared" si="40"/>
        <v>*</v>
      </c>
      <c r="U44" s="30"/>
      <c r="V44" s="27">
        <v>1071</v>
      </c>
      <c r="W44" s="27">
        <v>1070.6852324800204</v>
      </c>
      <c r="X44" s="28">
        <v>3.74433772541538</v>
      </c>
      <c r="Y44" s="29">
        <v>2.6988357538457162E-2</v>
      </c>
      <c r="Z44" s="30">
        <f t="shared" si="41"/>
        <v>0.38577755649123463</v>
      </c>
      <c r="AA44" s="30" t="str">
        <f t="shared" si="42"/>
        <v xml:space="preserve"> </v>
      </c>
      <c r="AB44" s="9"/>
      <c r="AC44" s="8">
        <v>1222</v>
      </c>
      <c r="AD44" s="8">
        <v>1220.3084102800058</v>
      </c>
      <c r="AE44" s="69">
        <v>3.5348201599874671</v>
      </c>
      <c r="AF44" s="9">
        <v>2.7808792487988915E-2</v>
      </c>
      <c r="AG44" s="30">
        <f t="shared" si="43"/>
        <v>6.6272543843953393</v>
      </c>
      <c r="AH44" s="30" t="str">
        <f t="shared" si="44"/>
        <v>*</v>
      </c>
      <c r="AI44" s="9"/>
      <c r="AJ44" s="81">
        <v>6138</v>
      </c>
      <c r="AK44" s="83">
        <v>3.9517776394660111</v>
      </c>
      <c r="AL44" s="84">
        <v>1.2320671374090297E-2</v>
      </c>
      <c r="AM44" s="30">
        <f t="shared" si="45"/>
        <v>-8.688469085994047</v>
      </c>
      <c r="AN44" s="30" t="str">
        <f t="shared" si="46"/>
        <v>*</v>
      </c>
      <c r="AO44" s="9"/>
      <c r="AP44" s="78">
        <v>793</v>
      </c>
      <c r="AQ44" s="79">
        <v>4.3285157663702032</v>
      </c>
      <c r="AR44" s="80">
        <v>3.098383115578543E-2</v>
      </c>
      <c r="AS44" s="30">
        <f t="shared" si="47"/>
        <v>-15.785817354192066</v>
      </c>
      <c r="AT44" s="30" t="str">
        <f t="shared" si="48"/>
        <v>*</v>
      </c>
      <c r="AU44" s="80"/>
      <c r="AV44" s="78">
        <v>960</v>
      </c>
      <c r="AW44" s="79">
        <v>4.0529038493096463</v>
      </c>
      <c r="AX44" s="80">
        <v>2.8600705434968964E-2</v>
      </c>
      <c r="AY44" s="30">
        <f t="shared" si="49"/>
        <v>-8.65529028525361</v>
      </c>
      <c r="AZ44" s="30" t="str">
        <f t="shared" si="50"/>
        <v>*</v>
      </c>
      <c r="BA44" s="80"/>
      <c r="BB44" s="78">
        <v>989</v>
      </c>
      <c r="BC44" s="79">
        <v>4.1683686809490217</v>
      </c>
      <c r="BD44" s="80">
        <v>2.8026239573645667E-2</v>
      </c>
      <c r="BE44" s="30">
        <f t="shared" si="51"/>
        <v>-12.203835072319617</v>
      </c>
      <c r="BF44" s="30" t="str">
        <f t="shared" si="52"/>
        <v>*</v>
      </c>
      <c r="BG44" s="80"/>
      <c r="BH44" s="78">
        <v>1351</v>
      </c>
      <c r="BI44" s="79">
        <v>3.7498662043218087</v>
      </c>
      <c r="BJ44" s="80">
        <v>2.7018997949994853E-2</v>
      </c>
      <c r="BK44" s="30">
        <f t="shared" si="53"/>
        <v>0.21731333048069848</v>
      </c>
      <c r="BL44" s="30" t="str">
        <f t="shared" si="54"/>
        <v xml:space="preserve"> </v>
      </c>
      <c r="BM44" s="80"/>
      <c r="BN44" s="78">
        <v>1407</v>
      </c>
      <c r="BO44" s="79">
        <v>4.0245255705258778</v>
      </c>
      <c r="BP44" s="80">
        <v>2.4124270651457703E-2</v>
      </c>
      <c r="BQ44" s="30">
        <f t="shared" si="55"/>
        <v>-8.7594995708159527</v>
      </c>
      <c r="BR44" s="30" t="str">
        <f t="shared" si="56"/>
        <v>*</v>
      </c>
      <c r="BS44" s="9"/>
      <c r="BT44" s="27">
        <v>11818</v>
      </c>
      <c r="BU44" s="27">
        <v>11813.813708889198</v>
      </c>
      <c r="BV44" s="28">
        <v>4.0228862946464545</v>
      </c>
      <c r="BW44" s="29">
        <v>9.1357297492019474E-3</v>
      </c>
      <c r="BX44" s="30">
        <f t="shared" si="57"/>
        <v>-12.759901045937704</v>
      </c>
      <c r="BY44" s="30" t="str">
        <f t="shared" si="58"/>
        <v>*</v>
      </c>
      <c r="BZ44" s="30"/>
      <c r="CA44" s="27">
        <v>535</v>
      </c>
      <c r="CB44" s="27">
        <v>535</v>
      </c>
      <c r="CC44" s="28">
        <v>3.8878504672897183</v>
      </c>
      <c r="CD44" s="29">
        <v>3.6339521815823783E-2</v>
      </c>
      <c r="CE44" s="30">
        <f t="shared" si="59"/>
        <v>-3.2004968507870397</v>
      </c>
      <c r="CF44" s="30" t="str">
        <f>IF(ABS(CE44)&gt;=1.96,"*"," ")</f>
        <v>*</v>
      </c>
      <c r="CG44" s="30"/>
      <c r="CH44" s="27">
        <v>3301</v>
      </c>
      <c r="CI44" s="27">
        <v>3296.3541078598646</v>
      </c>
      <c r="CJ44" s="28">
        <v>3.723249920154283</v>
      </c>
      <c r="CK44" s="29">
        <v>1.7795912457341637E-2</v>
      </c>
      <c r="CL44" s="30">
        <f t="shared" si="60"/>
        <v>1.3068083136304001</v>
      </c>
      <c r="CM44" s="30" t="str">
        <f>IF(ABS(CL44)&gt;=1.96,"*"," ")</f>
        <v xml:space="preserve"> </v>
      </c>
      <c r="CN44" s="30"/>
      <c r="CO44" s="27">
        <v>2949</v>
      </c>
      <c r="CP44" s="27">
        <v>2948.9085269899297</v>
      </c>
      <c r="CQ44" s="28">
        <v>3.9992730769942875</v>
      </c>
      <c r="CR44" s="29">
        <v>1.602482994185906E-2</v>
      </c>
      <c r="CS44" s="30">
        <f t="shared" si="61"/>
        <v>-9.8290352869055209</v>
      </c>
      <c r="CT44" s="30" t="str">
        <f>IF(ABS(CS44)&gt;=1.96,"*"," ")</f>
        <v>*</v>
      </c>
      <c r="CU44" s="30"/>
      <c r="CV44" s="27">
        <v>593</v>
      </c>
      <c r="CW44" s="27">
        <v>593.45269448000465</v>
      </c>
      <c r="CX44" s="28">
        <v>4.9915409756384994</v>
      </c>
      <c r="CY44" s="29">
        <v>3.7626050276250368E-3</v>
      </c>
      <c r="CZ44" s="30">
        <f t="shared" si="62"/>
        <v>-64.629844178756713</v>
      </c>
      <c r="DA44" s="30" t="str">
        <f>IF(ABS(CZ44)&gt;=1.96,"*"," ")</f>
        <v>*</v>
      </c>
      <c r="DB44" s="30"/>
      <c r="DC44" s="27">
        <v>882</v>
      </c>
      <c r="DD44" s="27">
        <v>882.0016036199886</v>
      </c>
      <c r="DE44" s="28">
        <v>4.9603034005082245</v>
      </c>
      <c r="DF44" s="29">
        <v>6.7712016848655975E-3</v>
      </c>
      <c r="DG44" s="30">
        <f t="shared" si="63"/>
        <v>-60.424931875947692</v>
      </c>
      <c r="DH44" s="30" t="str">
        <f>IF(ABS(DG44)&gt;=1.96,"*"," ")</f>
        <v>*</v>
      </c>
      <c r="DI44" s="30"/>
      <c r="DJ44" s="27">
        <v>543</v>
      </c>
      <c r="DK44" s="27">
        <v>543</v>
      </c>
      <c r="DL44" s="28">
        <v>4.998158379373848</v>
      </c>
      <c r="DM44" s="29">
        <v>1.8416206261510134E-3</v>
      </c>
      <c r="DN44" s="30">
        <f t="shared" si="64"/>
        <v>-65.956601030722524</v>
      </c>
      <c r="DO44" s="30" t="str">
        <f>IF(ABS(DN44)&gt;=1.96,"*"," ")</f>
        <v>*</v>
      </c>
      <c r="DP44" s="8"/>
      <c r="DQ44" s="27">
        <v>996</v>
      </c>
      <c r="DR44" s="27">
        <v>996.23754456001052</v>
      </c>
      <c r="DS44" s="28">
        <v>3.5665044851519472</v>
      </c>
      <c r="DT44" s="29">
        <v>3.5267320007746135E-2</v>
      </c>
      <c r="DU44" s="29"/>
      <c r="DV44" s="27">
        <v>683</v>
      </c>
      <c r="DW44" s="27">
        <v>683.01051010999686</v>
      </c>
      <c r="DX44" s="28">
        <v>3.5392380902025748</v>
      </c>
      <c r="DY44" s="29">
        <v>4.2512347903115963E-2</v>
      </c>
      <c r="DZ44" s="10">
        <f t="shared" si="6"/>
        <v>0.49362900281363137</v>
      </c>
      <c r="EA44" s="10" t="str">
        <f>IF(ABS(DZ44)&gt;=1.96,"*"," ")</f>
        <v xml:space="preserve"> </v>
      </c>
      <c r="EB44" s="29"/>
      <c r="EC44" s="27">
        <v>724</v>
      </c>
      <c r="ED44" s="27">
        <v>723.78259379000485</v>
      </c>
      <c r="EE44" s="28">
        <v>3.5648525495331556</v>
      </c>
      <c r="EF44" s="29">
        <v>4.0247277114747529E-2</v>
      </c>
      <c r="EG44" s="10">
        <f t="shared" si="8"/>
        <v>3.086987563653204E-2</v>
      </c>
      <c r="EH44" s="10" t="str">
        <f>IF(ABS(EG44)&gt;=1.96,"*"," ")</f>
        <v xml:space="preserve"> </v>
      </c>
      <c r="EI44" s="29"/>
      <c r="EJ44" s="27">
        <v>700</v>
      </c>
      <c r="EK44" s="27">
        <v>699.22317585000224</v>
      </c>
      <c r="EL44" s="28">
        <v>3.5060821159851145</v>
      </c>
      <c r="EM44" s="29">
        <v>4.0964292140752215E-2</v>
      </c>
      <c r="EN44" s="10">
        <f t="shared" si="10"/>
        <v>1.1178107056248516</v>
      </c>
      <c r="EO44" s="10" t="str">
        <f t="shared" si="65"/>
        <v xml:space="preserve"> </v>
      </c>
      <c r="EP44" s="29"/>
      <c r="EQ44" s="8">
        <v>770</v>
      </c>
      <c r="ER44" s="8">
        <v>769.97714320000125</v>
      </c>
      <c r="ES44" s="69">
        <v>3.5595772785271937</v>
      </c>
      <c r="ET44" s="9">
        <v>3.8211613083195636E-2</v>
      </c>
      <c r="EU44" s="10">
        <f t="shared" si="11"/>
        <v>0.13321769862190611</v>
      </c>
      <c r="EV44" s="10" t="str">
        <f t="shared" si="66"/>
        <v xml:space="preserve"> </v>
      </c>
      <c r="EW44" s="29"/>
      <c r="EX44" s="88">
        <v>4941</v>
      </c>
      <c r="EY44" s="88">
        <v>4941.2609121697515</v>
      </c>
      <c r="EZ44" s="28">
        <v>3.8564062388767182</v>
      </c>
      <c r="FA44" s="29">
        <v>1.4184460290990226E-2</v>
      </c>
      <c r="FB44" s="30">
        <f t="shared" si="12"/>
        <v>-7.6263987290259596</v>
      </c>
      <c r="FC44" s="30" t="str">
        <f t="shared" si="67"/>
        <v>*</v>
      </c>
      <c r="FD44" s="30"/>
      <c r="FE44" s="27">
        <v>1124</v>
      </c>
      <c r="FF44" s="27">
        <v>1123.9983571600019</v>
      </c>
      <c r="FG44" s="28">
        <v>3.9235449090182573</v>
      </c>
      <c r="FH44" s="29">
        <v>2.7685318409220686E-2</v>
      </c>
      <c r="FI44" s="30">
        <f t="shared" si="13"/>
        <v>-7.9632655161543653</v>
      </c>
      <c r="FJ44" s="30" t="str">
        <f>IF(ABS(FI44)&gt;=1.96,"*"," ")</f>
        <v>*</v>
      </c>
      <c r="FK44" s="30"/>
      <c r="FL44" s="88">
        <v>382</v>
      </c>
      <c r="FM44" s="88">
        <v>382.01101860999859</v>
      </c>
      <c r="FN44" s="28">
        <v>4.1755062751172849</v>
      </c>
      <c r="FO44" s="29">
        <v>4.3793808226604711E-2</v>
      </c>
      <c r="FP44" s="30">
        <f t="shared" si="15"/>
        <v>-10.830774408452916</v>
      </c>
      <c r="FQ44" s="30" t="str">
        <f>IF(ABS(FP44)&gt;=1.96,"*"," ")</f>
        <v>*</v>
      </c>
      <c r="FR44" s="30"/>
      <c r="FS44" s="88">
        <v>707</v>
      </c>
      <c r="FT44" s="88">
        <v>707.00661801000444</v>
      </c>
      <c r="FU44" s="28">
        <v>4.0895611643611272</v>
      </c>
      <c r="FV44" s="29">
        <v>3.1343701603557129E-2</v>
      </c>
      <c r="FW44" s="30">
        <f t="shared" si="17"/>
        <v>-11.085761787967432</v>
      </c>
      <c r="FX44" s="30" t="str">
        <f>IF(ABS(FW44)&gt;=1.96,"*"," ")</f>
        <v>*</v>
      </c>
      <c r="FY44" s="30"/>
      <c r="FZ44" s="88">
        <v>1341</v>
      </c>
      <c r="GA44" s="88">
        <v>1341.0015278699871</v>
      </c>
      <c r="GB44" s="28">
        <v>3.6741112228677757</v>
      </c>
      <c r="GC44" s="29">
        <v>2.8175544250442486E-2</v>
      </c>
      <c r="GD44" s="30">
        <f t="shared" si="19"/>
        <v>-2.3838294851485013</v>
      </c>
      <c r="GE44" s="30" t="str">
        <f>IF(ABS(GD44)&gt;=1.96,"*"," ")</f>
        <v>*</v>
      </c>
      <c r="GF44" s="30"/>
      <c r="GG44" s="88">
        <v>391</v>
      </c>
      <c r="GH44" s="88">
        <v>391.00584595999914</v>
      </c>
      <c r="GI44" s="28">
        <v>4.2939018617428983</v>
      </c>
      <c r="GJ44" s="29">
        <v>3.8770282183726447E-2</v>
      </c>
      <c r="GK44" s="30">
        <f t="shared" si="21"/>
        <v>-13.878701402966433</v>
      </c>
      <c r="GL44" s="30" t="str">
        <f>IF(ABS(GK44)&gt;=1.96,"*"," ")</f>
        <v>*</v>
      </c>
      <c r="GM44" s="19"/>
      <c r="GN44" s="88">
        <v>950</v>
      </c>
      <c r="GO44" s="88">
        <v>949.97454753000932</v>
      </c>
      <c r="GP44" s="28">
        <v>3.1324124094556622</v>
      </c>
      <c r="GQ44" s="29">
        <v>3.9870917505051742E-2</v>
      </c>
      <c r="GR44" s="9"/>
      <c r="GS44" s="3">
        <v>677</v>
      </c>
      <c r="GT44" s="3">
        <v>676.98534938999921</v>
      </c>
      <c r="GU44" s="69">
        <v>3.162862197903316</v>
      </c>
      <c r="GV44" s="9">
        <v>4.92963696562587E-2</v>
      </c>
      <c r="GW44" s="10">
        <f t="shared" si="23"/>
        <v>-0.48026491559562778</v>
      </c>
      <c r="GX44" s="10" t="str">
        <f t="shared" si="68"/>
        <v xml:space="preserve"> </v>
      </c>
      <c r="GY44" s="9"/>
      <c r="GZ44" s="27">
        <v>708</v>
      </c>
      <c r="HA44" s="27">
        <v>708.15722997000466</v>
      </c>
      <c r="HB44" s="28">
        <v>3.3560499784499536</v>
      </c>
      <c r="HC44" s="29">
        <v>4.4909610224690429E-2</v>
      </c>
      <c r="HD44" s="10">
        <f t="shared" si="24"/>
        <v>-3.7238998448961946</v>
      </c>
      <c r="HE44" s="10" t="str">
        <f t="shared" si="69"/>
        <v>*</v>
      </c>
      <c r="HF44" s="9"/>
      <c r="HG44" s="27">
        <v>1437</v>
      </c>
      <c r="HH44" s="27">
        <v>1436.9307891099918</v>
      </c>
      <c r="HI44" s="28">
        <v>3.0618269823385345</v>
      </c>
      <c r="HJ44" s="29">
        <v>3.2614396444740928E-2</v>
      </c>
      <c r="HK44" s="10">
        <f t="shared" si="25"/>
        <v>1.3702966358492179</v>
      </c>
      <c r="HL44" s="10" t="str">
        <f t="shared" si="70"/>
        <v xml:space="preserve"> </v>
      </c>
      <c r="HM44" s="29"/>
      <c r="HN44" s="8">
        <v>1426</v>
      </c>
      <c r="HO44" s="8">
        <v>1424.6881805500084</v>
      </c>
      <c r="HP44" s="69">
        <v>3.0780951506785481</v>
      </c>
      <c r="HQ44" s="9">
        <v>3.2348593504443537E-2</v>
      </c>
      <c r="HR44" s="10">
        <f t="shared" si="26"/>
        <v>1.0579256023873509</v>
      </c>
      <c r="HS44" s="10" t="str">
        <f t="shared" si="71"/>
        <v xml:space="preserve"> </v>
      </c>
      <c r="HT44" s="9"/>
      <c r="HU44" s="88">
        <v>5222</v>
      </c>
      <c r="HV44" s="88">
        <v>5221.6370770902558</v>
      </c>
      <c r="HW44" s="28">
        <v>3.8015517270902546</v>
      </c>
      <c r="HX44" s="29">
        <v>1.4644724235142032E-2</v>
      </c>
      <c r="HY44" s="30">
        <f t="shared" si="27"/>
        <v>-15.753580032965592</v>
      </c>
      <c r="HZ44" s="30" t="str">
        <f t="shared" si="72"/>
        <v>*</v>
      </c>
      <c r="IA44" s="30"/>
      <c r="IB44" s="88">
        <v>1124</v>
      </c>
      <c r="IC44" s="88">
        <v>1123.9983571600019</v>
      </c>
      <c r="ID44" s="28">
        <v>3.9235449090182573</v>
      </c>
      <c r="IE44" s="29">
        <v>2.7685318409220686E-2</v>
      </c>
      <c r="IF44" s="30">
        <f t="shared" si="28"/>
        <v>-16.298446026807181</v>
      </c>
      <c r="IG44" s="30" t="str">
        <f>IF(ABS(IF44)&gt;=1.96,"*"," ")</f>
        <v>*</v>
      </c>
      <c r="IH44" s="30"/>
      <c r="II44" s="88">
        <v>700</v>
      </c>
      <c r="IJ44" s="88">
        <v>700.02352498000414</v>
      </c>
      <c r="IK44" s="28">
        <v>4.0327006103697007</v>
      </c>
      <c r="IL44" s="29">
        <v>3.3777196449453512E-2</v>
      </c>
      <c r="IM44" s="30">
        <f t="shared" si="30"/>
        <v>-17.228734767825202</v>
      </c>
      <c r="IN44" s="30" t="str">
        <f>IF(ABS(IM44)&gt;=1.96,"*"," ")</f>
        <v>*</v>
      </c>
      <c r="IO44" s="30"/>
      <c r="IP44" s="88">
        <v>803</v>
      </c>
      <c r="IQ44" s="88">
        <v>802.87220554000999</v>
      </c>
      <c r="IR44" s="28">
        <v>3.943134462440018</v>
      </c>
      <c r="IS44" s="29">
        <v>3.6493301839950573E-2</v>
      </c>
      <c r="IT44" s="30">
        <f t="shared" si="32"/>
        <v>-14.999358070947896</v>
      </c>
      <c r="IU44" s="30" t="str">
        <f>IF(ABS(IT44)&gt;=1.96,"*"," ")</f>
        <v>*</v>
      </c>
      <c r="IV44" s="30"/>
      <c r="IW44" s="88">
        <v>382</v>
      </c>
      <c r="IX44" s="88">
        <v>382.01101860999859</v>
      </c>
      <c r="IY44" s="28">
        <v>4.1755062751172849</v>
      </c>
      <c r="IZ44" s="29">
        <v>4.3793808226604711E-2</v>
      </c>
      <c r="JA44" s="30">
        <f t="shared" si="34"/>
        <v>-17.612423592089719</v>
      </c>
      <c r="JB44" s="30" t="str">
        <f>IF(ABS(JA44)&gt;=1.96,"*"," ")</f>
        <v>*</v>
      </c>
      <c r="JC44" s="30"/>
      <c r="JD44" s="88">
        <v>1263</v>
      </c>
      <c r="JE44" s="88">
        <v>1262.7574232700099</v>
      </c>
      <c r="JF44" s="28">
        <v>3.8650698075099981</v>
      </c>
      <c r="JG44" s="29">
        <v>2.740885806423839E-2</v>
      </c>
      <c r="JH44" s="30">
        <f t="shared" si="35"/>
        <v>-15.14280080814852</v>
      </c>
      <c r="JI44" s="30" t="str">
        <f>IF(ABS(JH44)&gt;=1.96,"*"," ")</f>
        <v>*</v>
      </c>
      <c r="JK44" s="27"/>
      <c r="JL44" s="27"/>
      <c r="JM44" s="28"/>
      <c r="JN44" s="29"/>
    </row>
    <row r="45" spans="1:274" x14ac:dyDescent="0.2">
      <c r="B45" s="7"/>
      <c r="C45" s="27"/>
      <c r="D45" s="27"/>
      <c r="E45" s="28"/>
      <c r="F45" s="29"/>
      <c r="G45" s="29"/>
      <c r="H45" s="3"/>
      <c r="I45" s="3"/>
      <c r="J45" s="28"/>
      <c r="K45" s="29"/>
      <c r="L45" s="30"/>
      <c r="M45" s="30"/>
      <c r="N45" s="9"/>
      <c r="O45" s="27"/>
      <c r="P45" s="27"/>
      <c r="Q45" s="28"/>
      <c r="R45" s="29"/>
      <c r="S45" s="30"/>
      <c r="T45" s="30"/>
      <c r="U45" s="30"/>
      <c r="V45" s="27"/>
      <c r="W45" s="27"/>
      <c r="X45" s="28"/>
      <c r="Y45" s="29"/>
      <c r="Z45" s="30"/>
      <c r="AA45" s="30"/>
      <c r="AB45" s="9"/>
      <c r="AC45" s="8"/>
      <c r="AD45" s="8"/>
      <c r="AE45" s="69"/>
      <c r="AF45" s="9"/>
      <c r="AG45" s="30"/>
      <c r="AH45" s="30"/>
      <c r="AI45" s="9"/>
      <c r="AJ45" s="81"/>
      <c r="AK45" s="83"/>
      <c r="AL45" s="84"/>
      <c r="AM45" s="30"/>
      <c r="AN45" s="30"/>
      <c r="AO45" s="9"/>
      <c r="AP45" s="78"/>
      <c r="AQ45" s="79"/>
      <c r="AR45" s="80"/>
      <c r="AS45" s="30"/>
      <c r="AT45" s="30"/>
      <c r="AU45" s="80"/>
      <c r="AV45" s="78"/>
      <c r="AW45" s="79"/>
      <c r="AX45" s="80"/>
      <c r="AY45" s="30"/>
      <c r="AZ45" s="30"/>
      <c r="BA45" s="80"/>
      <c r="BB45" s="78"/>
      <c r="BC45" s="79"/>
      <c r="BD45" s="80"/>
      <c r="BE45" s="30"/>
      <c r="BF45" s="30"/>
      <c r="BG45" s="80"/>
      <c r="BH45" s="78"/>
      <c r="BI45" s="79"/>
      <c r="BJ45" s="80"/>
      <c r="BK45" s="30"/>
      <c r="BL45" s="30"/>
      <c r="BM45" s="80"/>
      <c r="BN45" s="78"/>
      <c r="BO45" s="79"/>
      <c r="BP45" s="80"/>
      <c r="BQ45" s="30"/>
      <c r="BR45" s="30"/>
      <c r="BS45" s="9"/>
      <c r="BT45" s="27"/>
      <c r="BU45" s="27"/>
      <c r="BV45" s="28"/>
      <c r="BW45" s="29"/>
      <c r="BX45" s="30"/>
      <c r="BY45" s="30"/>
      <c r="BZ45" s="30"/>
      <c r="CA45" s="27"/>
      <c r="CB45" s="27"/>
      <c r="CC45" s="28"/>
      <c r="CD45" s="29"/>
      <c r="CE45" s="30"/>
      <c r="CF45" s="30"/>
      <c r="CG45" s="30"/>
      <c r="CH45" s="27"/>
      <c r="CI45" s="27"/>
      <c r="CJ45" s="28"/>
      <c r="CK45" s="29"/>
      <c r="CL45" s="30"/>
      <c r="CM45" s="30"/>
      <c r="CN45" s="30"/>
      <c r="CO45" s="27"/>
      <c r="CP45" s="27"/>
      <c r="CQ45" s="28"/>
      <c r="CR45" s="29"/>
      <c r="CS45" s="30"/>
      <c r="CT45" s="30"/>
      <c r="CU45" s="30"/>
      <c r="CV45" s="27"/>
      <c r="CW45" s="27"/>
      <c r="CX45" s="28"/>
      <c r="CY45" s="29"/>
      <c r="CZ45" s="30"/>
      <c r="DA45" s="30"/>
      <c r="DB45" s="30"/>
      <c r="DC45" s="27"/>
      <c r="DD45" s="27"/>
      <c r="DE45" s="28"/>
      <c r="DF45" s="29"/>
      <c r="DG45" s="30"/>
      <c r="DH45" s="30"/>
      <c r="DI45" s="30"/>
      <c r="DJ45" s="27"/>
      <c r="DK45" s="27"/>
      <c r="DL45" s="28"/>
      <c r="DM45" s="29"/>
      <c r="DN45" s="30"/>
      <c r="DO45" s="30"/>
      <c r="DP45" s="8"/>
      <c r="DQ45" s="27"/>
      <c r="DR45" s="27"/>
      <c r="DS45" s="28"/>
      <c r="DT45" s="29"/>
      <c r="DU45" s="29"/>
      <c r="DV45" s="27"/>
      <c r="DW45" s="27"/>
      <c r="DX45" s="28"/>
      <c r="DY45" s="29"/>
      <c r="DZ45" s="10"/>
      <c r="EA45" s="10"/>
      <c r="EB45" s="29"/>
      <c r="EC45" s="27"/>
      <c r="ED45" s="27"/>
      <c r="EE45" s="28"/>
      <c r="EF45" s="29"/>
      <c r="EG45" s="10"/>
      <c r="EH45" s="10"/>
      <c r="EI45" s="29"/>
      <c r="EJ45" s="27"/>
      <c r="EK45" s="27"/>
      <c r="EL45" s="28"/>
      <c r="EM45" s="29"/>
      <c r="EN45" s="10"/>
      <c r="EO45" s="10"/>
      <c r="EP45" s="29"/>
      <c r="EQ45" s="8"/>
      <c r="ER45" s="8"/>
      <c r="ES45" s="69"/>
      <c r="ET45" s="9"/>
      <c r="EU45" s="10"/>
      <c r="EV45" s="10"/>
      <c r="EW45" s="29"/>
      <c r="EX45" s="88"/>
      <c r="EY45" s="88"/>
      <c r="EZ45" s="28"/>
      <c r="FA45" s="29"/>
      <c r="FB45" s="30"/>
      <c r="FC45" s="30"/>
      <c r="FD45" s="30"/>
      <c r="FE45" s="27"/>
      <c r="FF45" s="27"/>
      <c r="FG45" s="28"/>
      <c r="FH45" s="29"/>
      <c r="FI45" s="30"/>
      <c r="FJ45" s="30"/>
      <c r="FK45" s="30"/>
      <c r="FL45" s="88"/>
      <c r="FM45" s="88"/>
      <c r="FN45" s="28"/>
      <c r="FO45" s="29"/>
      <c r="FP45" s="30"/>
      <c r="FQ45" s="30"/>
      <c r="FR45" s="30"/>
      <c r="FS45" s="88"/>
      <c r="FT45" s="88"/>
      <c r="FU45" s="28"/>
      <c r="FV45" s="29"/>
      <c r="FW45" s="30"/>
      <c r="FX45" s="30"/>
      <c r="FY45" s="30"/>
      <c r="FZ45" s="88"/>
      <c r="GA45" s="88"/>
      <c r="GB45" s="28"/>
      <c r="GC45" s="29"/>
      <c r="GD45" s="30"/>
      <c r="GE45" s="30"/>
      <c r="GF45" s="30"/>
      <c r="GG45" s="88"/>
      <c r="GH45" s="88"/>
      <c r="GI45" s="28"/>
      <c r="GJ45" s="29"/>
      <c r="GK45" s="30"/>
      <c r="GL45" s="30"/>
      <c r="GM45" s="19"/>
      <c r="GN45" s="88"/>
      <c r="GO45" s="88"/>
      <c r="GP45" s="28"/>
      <c r="GQ45" s="29"/>
      <c r="GR45" s="9"/>
      <c r="GS45" s="3"/>
      <c r="GT45" s="3"/>
      <c r="GU45" s="69"/>
      <c r="GV45" s="9"/>
      <c r="GW45" s="10"/>
      <c r="GX45" s="10"/>
      <c r="GY45" s="9"/>
      <c r="GZ45" s="27"/>
      <c r="HA45" s="27"/>
      <c r="HB45" s="28"/>
      <c r="HC45" s="29"/>
      <c r="HD45" s="10"/>
      <c r="HE45" s="10"/>
      <c r="HF45" s="9"/>
      <c r="HG45" s="27"/>
      <c r="HH45" s="27"/>
      <c r="HI45" s="28"/>
      <c r="HJ45" s="29"/>
      <c r="HK45" s="10"/>
      <c r="HL45" s="10"/>
      <c r="HM45" s="29"/>
      <c r="HN45" s="8"/>
      <c r="HO45" s="8"/>
      <c r="HP45" s="69"/>
      <c r="HQ45" s="9"/>
      <c r="HR45" s="10"/>
      <c r="HS45" s="10"/>
      <c r="HT45" s="9"/>
      <c r="HU45" s="88"/>
      <c r="HV45" s="88"/>
      <c r="HW45" s="28"/>
      <c r="HX45" s="29"/>
      <c r="HY45" s="30"/>
      <c r="HZ45" s="30"/>
      <c r="IA45" s="30"/>
      <c r="IB45" s="88"/>
      <c r="IC45" s="88"/>
      <c r="ID45" s="28"/>
      <c r="IE45" s="29"/>
      <c r="IF45" s="30"/>
      <c r="IG45" s="30"/>
      <c r="IH45" s="30"/>
      <c r="II45" s="88"/>
      <c r="IJ45" s="88"/>
      <c r="IK45" s="28"/>
      <c r="IL45" s="29"/>
      <c r="IM45" s="30"/>
      <c r="IN45" s="30"/>
      <c r="IO45" s="30"/>
      <c r="IP45" s="88"/>
      <c r="IQ45" s="88"/>
      <c r="IR45" s="28"/>
      <c r="IS45" s="29"/>
      <c r="IT45" s="30"/>
      <c r="IU45" s="30"/>
      <c r="IV45" s="30"/>
      <c r="IW45" s="88"/>
      <c r="IX45" s="88"/>
      <c r="IY45" s="28"/>
      <c r="IZ45" s="29"/>
      <c r="JA45" s="30"/>
      <c r="JB45" s="30"/>
      <c r="JC45" s="30"/>
      <c r="JD45" s="88"/>
      <c r="JE45" s="88"/>
      <c r="JF45" s="28"/>
      <c r="JG45" s="29"/>
      <c r="JH45" s="30"/>
      <c r="JI45" s="30"/>
      <c r="JK45" s="27"/>
      <c r="JL45" s="27"/>
      <c r="JM45" s="28"/>
      <c r="JN45" s="29"/>
    </row>
    <row r="46" spans="1:274" x14ac:dyDescent="0.2">
      <c r="A46" s="73"/>
      <c r="B46" s="7" t="s">
        <v>41</v>
      </c>
      <c r="C46" s="27">
        <v>2032</v>
      </c>
      <c r="D46" s="27">
        <v>2028.4860757499612</v>
      </c>
      <c r="E46" s="28">
        <v>3.8879723629574441</v>
      </c>
      <c r="F46" s="29">
        <v>2.3165093726854446E-2</v>
      </c>
      <c r="G46" s="29"/>
      <c r="H46" s="3">
        <v>631</v>
      </c>
      <c r="I46" s="3">
        <v>630.61443550000229</v>
      </c>
      <c r="J46" s="28">
        <v>3.8231127540371688</v>
      </c>
      <c r="K46" s="29">
        <v>4.2974815371715991E-2</v>
      </c>
      <c r="L46" s="30">
        <f t="shared" si="37"/>
        <v>1.3285280449917576</v>
      </c>
      <c r="M46" s="30" t="str">
        <f t="shared" si="38"/>
        <v xml:space="preserve"> </v>
      </c>
      <c r="N46" s="9"/>
      <c r="O46" s="27">
        <v>440</v>
      </c>
      <c r="P46" s="27">
        <v>441.37092156000034</v>
      </c>
      <c r="Q46" s="28">
        <v>3.5780140727175658</v>
      </c>
      <c r="R46" s="29">
        <v>5.3843779682416125E-2</v>
      </c>
      <c r="S46" s="30">
        <f t="shared" si="39"/>
        <v>5.2879939663308928</v>
      </c>
      <c r="T46" s="30" t="str">
        <f t="shared" si="40"/>
        <v>*</v>
      </c>
      <c r="U46" s="30"/>
      <c r="V46" s="27">
        <v>606</v>
      </c>
      <c r="W46" s="27">
        <v>630.59895999000321</v>
      </c>
      <c r="X46" s="28">
        <v>3.4958679524224991</v>
      </c>
      <c r="Y46" s="29">
        <v>4.4371171506604433E-2</v>
      </c>
      <c r="Z46" s="30">
        <f t="shared" si="41"/>
        <v>7.8335973883488377</v>
      </c>
      <c r="AA46" s="30" t="str">
        <f t="shared" si="42"/>
        <v>*</v>
      </c>
      <c r="AB46" s="9"/>
      <c r="AC46" s="8">
        <v>741</v>
      </c>
      <c r="AD46" s="8">
        <v>769.32711997999616</v>
      </c>
      <c r="AE46" s="69">
        <v>3.2917955427150885</v>
      </c>
      <c r="AF46" s="9">
        <v>4.110025778360564E-2</v>
      </c>
      <c r="AG46" s="30">
        <f t="shared" si="43"/>
        <v>12.636501999758492</v>
      </c>
      <c r="AH46" s="30" t="str">
        <f t="shared" si="44"/>
        <v>*</v>
      </c>
      <c r="AI46" s="9"/>
      <c r="AJ46" s="81">
        <v>3379</v>
      </c>
      <c r="AK46" s="83">
        <v>4.0578788558018353</v>
      </c>
      <c r="AL46" s="84">
        <v>1.623261101086123E-2</v>
      </c>
      <c r="AM46" s="30">
        <f t="shared" si="45"/>
        <v>-6.0066540802119839</v>
      </c>
      <c r="AN46" s="30" t="str">
        <f t="shared" si="46"/>
        <v>*</v>
      </c>
      <c r="AO46" s="9"/>
      <c r="AP46" s="78">
        <v>281</v>
      </c>
      <c r="AQ46" s="79">
        <v>4.2805186195713869</v>
      </c>
      <c r="AR46" s="80">
        <v>5.785288388338946E-2</v>
      </c>
      <c r="AS46" s="30">
        <f t="shared" si="47"/>
        <v>-6.2990468515926796</v>
      </c>
      <c r="AT46" s="30" t="str">
        <f t="shared" si="48"/>
        <v>*</v>
      </c>
      <c r="AU46" s="80"/>
      <c r="AV46" s="78">
        <v>399</v>
      </c>
      <c r="AW46" s="79">
        <v>4.1437246599951623</v>
      </c>
      <c r="AX46" s="80">
        <v>4.4263998056251981E-2</v>
      </c>
      <c r="AY46" s="30">
        <f t="shared" si="49"/>
        <v>-5.1192217638454229</v>
      </c>
      <c r="AZ46" s="30" t="str">
        <f t="shared" si="50"/>
        <v>*</v>
      </c>
      <c r="BA46" s="80"/>
      <c r="BB46" s="78">
        <v>473</v>
      </c>
      <c r="BC46" s="79">
        <v>4.1623771088161838</v>
      </c>
      <c r="BD46" s="80">
        <v>4.1709209268171961E-2</v>
      </c>
      <c r="BE46" s="30">
        <f t="shared" si="51"/>
        <v>-5.7514692885342029</v>
      </c>
      <c r="BF46" s="30" t="str">
        <f t="shared" si="52"/>
        <v>*</v>
      </c>
      <c r="BG46" s="80"/>
      <c r="BH46" s="78">
        <v>708</v>
      </c>
      <c r="BI46" s="79">
        <v>4.0083655918987198</v>
      </c>
      <c r="BJ46" s="80">
        <v>3.5532194338348151E-2</v>
      </c>
      <c r="BK46" s="30">
        <f t="shared" si="53"/>
        <v>-2.8383592411961414</v>
      </c>
      <c r="BL46" s="30" t="str">
        <f t="shared" si="54"/>
        <v>*</v>
      </c>
      <c r="BM46" s="80"/>
      <c r="BN46" s="78">
        <v>717</v>
      </c>
      <c r="BO46" s="79">
        <v>3.9625515707969674</v>
      </c>
      <c r="BP46" s="80">
        <v>3.8284279847090937E-2</v>
      </c>
      <c r="BQ46" s="30">
        <f t="shared" si="55"/>
        <v>-1.6666805324124268</v>
      </c>
      <c r="BR46" s="30" t="str">
        <f t="shared" si="56"/>
        <v xml:space="preserve"> </v>
      </c>
      <c r="BS46" s="9"/>
      <c r="BT46" s="27">
        <v>7699</v>
      </c>
      <c r="BU46" s="27">
        <v>7748.12793193977</v>
      </c>
      <c r="BV46" s="28">
        <v>4.1202679024721265</v>
      </c>
      <c r="BW46" s="29">
        <v>1.1512343192776829E-2</v>
      </c>
      <c r="BX46" s="30">
        <f t="shared" si="57"/>
        <v>-8.9800200840240549</v>
      </c>
      <c r="BY46" s="30" t="str">
        <f t="shared" si="58"/>
        <v>*</v>
      </c>
      <c r="BZ46" s="30"/>
      <c r="CA46" s="27">
        <v>382</v>
      </c>
      <c r="CB46" s="27">
        <v>382</v>
      </c>
      <c r="CC46" s="28">
        <v>3.8900523560209428</v>
      </c>
      <c r="CD46" s="29">
        <v>4.800382398384434E-2</v>
      </c>
      <c r="CE46" s="30">
        <f t="shared" si="59"/>
        <v>-3.9023582324871416E-2</v>
      </c>
      <c r="CF46" s="30" t="str">
        <f>IF(ABS(CE46)&gt;=1.96,"*"," ")</f>
        <v xml:space="preserve"> </v>
      </c>
      <c r="CG46" s="30"/>
      <c r="CH46" s="27">
        <v>1808</v>
      </c>
      <c r="CI46" s="27">
        <v>1859.6169658899912</v>
      </c>
      <c r="CJ46" s="28">
        <v>3.9168942822286921</v>
      </c>
      <c r="CK46" s="29">
        <v>2.401518101854562E-2</v>
      </c>
      <c r="CL46" s="30">
        <f t="shared" si="60"/>
        <v>-0.86678454252719372</v>
      </c>
      <c r="CM46" s="30" t="str">
        <f>IF(ABS(CL46)&gt;=1.96,"*"," ")</f>
        <v xml:space="preserve"> </v>
      </c>
      <c r="CN46" s="30"/>
      <c r="CO46" s="27">
        <v>1932</v>
      </c>
      <c r="CP46" s="27">
        <v>1931.9755414600754</v>
      </c>
      <c r="CQ46" s="28">
        <v>3.9620449829273783</v>
      </c>
      <c r="CR46" s="29">
        <v>2.3229433127550526E-2</v>
      </c>
      <c r="CS46" s="30">
        <f t="shared" si="61"/>
        <v>-2.2579043291001595</v>
      </c>
      <c r="CT46" s="30" t="str">
        <f>IF(ABS(CS46)&gt;=1.96,"*"," ")</f>
        <v>*</v>
      </c>
      <c r="CU46" s="30"/>
      <c r="CV46" s="27">
        <v>317</v>
      </c>
      <c r="CW46" s="27">
        <v>318.02958291999988</v>
      </c>
      <c r="CX46" s="28">
        <v>4.9021342899165736</v>
      </c>
      <c r="CY46" s="29">
        <v>2.3181701244088533E-2</v>
      </c>
      <c r="CZ46" s="30">
        <f t="shared" si="62"/>
        <v>-30.94586066561607</v>
      </c>
      <c r="DA46" s="30" t="str">
        <f>IF(ABS(CZ46)&gt;=1.96,"*"," ")</f>
        <v>*</v>
      </c>
      <c r="DB46" s="30"/>
      <c r="DC46" s="27">
        <v>828</v>
      </c>
      <c r="DD46" s="27">
        <v>828.01976591998948</v>
      </c>
      <c r="DE46" s="28">
        <v>4.8974002823524287</v>
      </c>
      <c r="DF46" s="29">
        <v>1.172952390157966E-2</v>
      </c>
      <c r="DG46" s="30">
        <f t="shared" si="63"/>
        <v>-38.875848064232798</v>
      </c>
      <c r="DH46" s="30" t="str">
        <f>IF(ABS(DG46)&gt;=1.96,"*"," ")</f>
        <v>*</v>
      </c>
      <c r="DI46" s="30"/>
      <c r="DJ46" s="27">
        <v>400</v>
      </c>
      <c r="DK46" s="27">
        <v>400</v>
      </c>
      <c r="DL46" s="28">
        <v>4.9975000000000005</v>
      </c>
      <c r="DM46" s="29">
        <v>2.5000000000000001E-3</v>
      </c>
      <c r="DN46" s="30">
        <f t="shared" si="64"/>
        <v>-47.620020313194885</v>
      </c>
      <c r="DO46" s="30" t="str">
        <f>IF(ABS(DN46)&gt;=1.96,"*"," ")</f>
        <v>*</v>
      </c>
      <c r="DP46" s="8"/>
      <c r="DQ46" s="27">
        <v>572</v>
      </c>
      <c r="DR46" s="27">
        <v>570.11521215999755</v>
      </c>
      <c r="DS46" s="28">
        <v>3.8032250891798398</v>
      </c>
      <c r="DT46" s="29">
        <v>4.322132658625337E-2</v>
      </c>
      <c r="DU46" s="29"/>
      <c r="DV46" s="27">
        <v>411</v>
      </c>
      <c r="DW46" s="27">
        <v>410.95417514999878</v>
      </c>
      <c r="DX46" s="28">
        <v>3.7643343344190403</v>
      </c>
      <c r="DY46" s="29">
        <v>5.3226531308052084E-2</v>
      </c>
      <c r="DZ46" s="10">
        <f t="shared" si="6"/>
        <v>0.56721077137296927</v>
      </c>
      <c r="EA46" s="10" t="str">
        <f>IF(ABS(DZ46)&gt;=1.96,"*"," ")</f>
        <v xml:space="preserve"> </v>
      </c>
      <c r="EB46" s="29"/>
      <c r="EC46" s="27">
        <v>439</v>
      </c>
      <c r="ED46" s="27">
        <v>441.18788157000085</v>
      </c>
      <c r="EE46" s="28">
        <v>3.9377439571724913</v>
      </c>
      <c r="EF46" s="29">
        <v>4.8874140348284224E-2</v>
      </c>
      <c r="EG46" s="10">
        <f t="shared" si="8"/>
        <v>-2.0617850367381489</v>
      </c>
      <c r="EH46" s="10" t="str">
        <f>IF(ABS(EG46)&gt;=1.96,"*"," ")</f>
        <v>*</v>
      </c>
      <c r="EI46" s="29"/>
      <c r="EJ46" s="27">
        <v>412</v>
      </c>
      <c r="EK46" s="27">
        <v>420.10535696000227</v>
      </c>
      <c r="EL46" s="28">
        <v>3.8508871240697724</v>
      </c>
      <c r="EM46" s="29">
        <v>4.9385543523129807E-2</v>
      </c>
      <c r="EN46" s="10">
        <f t="shared" si="10"/>
        <v>-0.72624706296477048</v>
      </c>
      <c r="EO46" s="10" t="str">
        <f t="shared" si="65"/>
        <v xml:space="preserve"> </v>
      </c>
      <c r="EP46" s="29"/>
      <c r="EQ46" s="8">
        <v>467</v>
      </c>
      <c r="ER46" s="8">
        <v>466.15657151999909</v>
      </c>
      <c r="ES46" s="69">
        <v>3.8965742965227457</v>
      </c>
      <c r="ET46" s="9">
        <v>4.7123607140055486E-2</v>
      </c>
      <c r="EU46" s="10">
        <f t="shared" si="11"/>
        <v>-1.4598797556573555</v>
      </c>
      <c r="EV46" s="10" t="str">
        <f t="shared" si="66"/>
        <v xml:space="preserve"> </v>
      </c>
      <c r="EW46" s="29"/>
      <c r="EX46" s="88">
        <v>2727</v>
      </c>
      <c r="EY46" s="88">
        <v>2724.6731068699683</v>
      </c>
      <c r="EZ46" s="28">
        <v>3.9632111942760195</v>
      </c>
      <c r="FA46" s="29">
        <v>1.7990247553776154E-2</v>
      </c>
      <c r="FB46" s="30">
        <f t="shared" si="12"/>
        <v>-3.4173427021910245</v>
      </c>
      <c r="FC46" s="30" t="str">
        <f t="shared" si="67"/>
        <v>*</v>
      </c>
      <c r="FD46" s="30"/>
      <c r="FE46" s="27">
        <v>686</v>
      </c>
      <c r="FF46" s="27">
        <v>685.97688550000157</v>
      </c>
      <c r="FG46" s="28">
        <v>3.855652385505925</v>
      </c>
      <c r="FH46" s="29">
        <v>3.4050496989249307E-2</v>
      </c>
      <c r="FI46" s="30">
        <f t="shared" si="13"/>
        <v>-0.95282686400220629</v>
      </c>
      <c r="FJ46" s="30" t="str">
        <f>IF(ABS(FI46)&gt;=1.96,"*"," ")</f>
        <v xml:space="preserve"> </v>
      </c>
      <c r="FK46" s="30"/>
      <c r="FL46" s="88">
        <v>154</v>
      </c>
      <c r="FM46" s="88">
        <v>153.99414810999966</v>
      </c>
      <c r="FN46" s="28">
        <v>4.2405844587258974</v>
      </c>
      <c r="FO46" s="29">
        <v>7.1377683174859652E-2</v>
      </c>
      <c r="FP46" s="30">
        <f t="shared" si="15"/>
        <v>-5.241368633703166</v>
      </c>
      <c r="FQ46" s="30" t="str">
        <f>IF(ABS(FP46)&gt;=1.96,"*"," ")</f>
        <v>*</v>
      </c>
      <c r="FR46" s="30"/>
      <c r="FS46" s="88">
        <v>398</v>
      </c>
      <c r="FT46" s="88">
        <v>397.406077289998</v>
      </c>
      <c r="FU46" s="28">
        <v>4.0149176556896826</v>
      </c>
      <c r="FV46" s="29">
        <v>4.4151796212766894E-2</v>
      </c>
      <c r="FW46" s="30">
        <f t="shared" si="17"/>
        <v>-3.4262426969743958</v>
      </c>
      <c r="FX46" s="30" t="str">
        <f>IF(ABS(FW46)&gt;=1.96,"*"," ")</f>
        <v>*</v>
      </c>
      <c r="FY46" s="30"/>
      <c r="FZ46" s="88">
        <v>646</v>
      </c>
      <c r="GA46" s="88">
        <v>646.12791855000523</v>
      </c>
      <c r="GB46" s="28">
        <v>3.9999347952335862</v>
      </c>
      <c r="GC46" s="29">
        <v>3.8320441310009529E-2</v>
      </c>
      <c r="GD46" s="30">
        <f t="shared" si="19"/>
        <v>-3.4054747730930623</v>
      </c>
      <c r="GE46" s="30" t="str">
        <f>IF(ABS(GD46)&gt;=1.96,"*"," ")</f>
        <v>*</v>
      </c>
      <c r="GF46" s="30"/>
      <c r="GG46" s="88">
        <v>271</v>
      </c>
      <c r="GH46" s="88">
        <v>271.05286525999946</v>
      </c>
      <c r="GI46" s="28">
        <v>4.2509886483389243</v>
      </c>
      <c r="GJ46" s="29">
        <v>4.5708813285906737E-2</v>
      </c>
      <c r="GK46" s="30">
        <f t="shared" si="21"/>
        <v>-7.1177862354252506</v>
      </c>
      <c r="GL46" s="30" t="str">
        <f>IF(ABS(GK46)&gt;=1.96,"*"," ")</f>
        <v>*</v>
      </c>
      <c r="GM46" s="10"/>
      <c r="GN46" s="88">
        <v>450</v>
      </c>
      <c r="GO46" s="88">
        <v>450.05623170000217</v>
      </c>
      <c r="GP46" s="28">
        <v>3.8331109596098956</v>
      </c>
      <c r="GQ46" s="29">
        <v>4.7844585222676247E-2</v>
      </c>
      <c r="GR46" s="9"/>
      <c r="GS46" s="3">
        <v>322</v>
      </c>
      <c r="GT46" s="3">
        <v>322.00837498999891</v>
      </c>
      <c r="GU46" s="69">
        <v>4.0468931031699729</v>
      </c>
      <c r="GV46" s="9">
        <v>5.2995977496567793E-2</v>
      </c>
      <c r="GW46" s="10">
        <f t="shared" si="23"/>
        <v>-2.994230494847173</v>
      </c>
      <c r="GX46" s="10" t="str">
        <f t="shared" si="68"/>
        <v>*</v>
      </c>
      <c r="GY46" s="9"/>
      <c r="GZ46" s="27">
        <v>384</v>
      </c>
      <c r="HA46" s="27">
        <v>384.97431366000131</v>
      </c>
      <c r="HB46" s="28">
        <v>3.9947615606588713</v>
      </c>
      <c r="HC46" s="29">
        <v>4.5582457880859802E-2</v>
      </c>
      <c r="HD46" s="10">
        <f t="shared" si="24"/>
        <v>-2.4462027528439054</v>
      </c>
      <c r="HE46" s="10" t="str">
        <f t="shared" si="69"/>
        <v>*</v>
      </c>
      <c r="HF46" s="9"/>
      <c r="HG46" s="27">
        <v>693</v>
      </c>
      <c r="HH46" s="27">
        <v>696.97369559000265</v>
      </c>
      <c r="HI46" s="28">
        <v>3.8007515678157104</v>
      </c>
      <c r="HJ46" s="29">
        <v>3.6929203128593498E-2</v>
      </c>
      <c r="HK46" s="10">
        <f t="shared" si="25"/>
        <v>0.53540598236774151</v>
      </c>
      <c r="HL46" s="10" t="str">
        <f t="shared" si="70"/>
        <v xml:space="preserve"> </v>
      </c>
      <c r="HM46" s="29"/>
      <c r="HN46" s="8">
        <v>689</v>
      </c>
      <c r="HO46" s="8">
        <v>690.71183892000113</v>
      </c>
      <c r="HP46" s="69">
        <v>3.8749764920708096</v>
      </c>
      <c r="HQ46" s="9">
        <v>3.6076006673412771E-2</v>
      </c>
      <c r="HR46" s="10">
        <f t="shared" si="26"/>
        <v>-0.69867331878315508</v>
      </c>
      <c r="HS46" s="10" t="str">
        <f t="shared" si="71"/>
        <v xml:space="preserve"> </v>
      </c>
      <c r="HT46" s="9"/>
      <c r="HU46" s="88">
        <v>2633</v>
      </c>
      <c r="HV46" s="88">
        <v>2630.865941339905</v>
      </c>
      <c r="HW46" s="28">
        <v>4.016851990895228</v>
      </c>
      <c r="HX46" s="29">
        <v>1.8644174352705125E-2</v>
      </c>
      <c r="HY46" s="30">
        <f t="shared" si="27"/>
        <v>-3.578285607857592</v>
      </c>
      <c r="HZ46" s="30" t="str">
        <f t="shared" si="72"/>
        <v>*</v>
      </c>
      <c r="IA46" s="30"/>
      <c r="IB46" s="88">
        <v>686</v>
      </c>
      <c r="IC46" s="88">
        <v>685.97688550000157</v>
      </c>
      <c r="ID46" s="28">
        <v>3.855652385505925</v>
      </c>
      <c r="IE46" s="29">
        <v>3.4050496989249307E-2</v>
      </c>
      <c r="IF46" s="30">
        <f t="shared" si="28"/>
        <v>-0.38385191171015182</v>
      </c>
      <c r="IG46" s="30" t="str">
        <f>IF(ABS(IF46)&gt;=1.96,"*"," ")</f>
        <v xml:space="preserve"> </v>
      </c>
      <c r="IH46" s="30"/>
      <c r="II46" s="88">
        <v>303</v>
      </c>
      <c r="IJ46" s="88">
        <v>302.42878120000125</v>
      </c>
      <c r="IK46" s="28">
        <v>4.2162750210494799</v>
      </c>
      <c r="IL46" s="29">
        <v>5.0395839288861655E-2</v>
      </c>
      <c r="IM46" s="30">
        <f t="shared" si="30"/>
        <v>-5.5139539847230665</v>
      </c>
      <c r="IN46" s="30" t="str">
        <f>IF(ABS(IM46)&gt;=1.96,"*"," ")</f>
        <v>*</v>
      </c>
      <c r="IO46" s="30"/>
      <c r="IP46" s="88">
        <v>527</v>
      </c>
      <c r="IQ46" s="88">
        <v>527.17617330000417</v>
      </c>
      <c r="IR46" s="28">
        <v>4.1215396794565251</v>
      </c>
      <c r="IS46" s="29">
        <v>4.4628738292458565E-2</v>
      </c>
      <c r="IT46" s="30">
        <f t="shared" si="32"/>
        <v>-4.4083349151320128</v>
      </c>
      <c r="IU46" s="30" t="str">
        <f>IF(ABS(IT46)&gt;=1.96,"*"," ")</f>
        <v>*</v>
      </c>
      <c r="IV46" s="30"/>
      <c r="IW46" s="88">
        <v>154</v>
      </c>
      <c r="IX46" s="88">
        <v>153.99414810999966</v>
      </c>
      <c r="IY46" s="28">
        <v>4.2405844587258974</v>
      </c>
      <c r="IZ46" s="29">
        <v>7.1377683174859652E-2</v>
      </c>
      <c r="JA46" s="30">
        <f t="shared" si="34"/>
        <v>-4.741951555033463</v>
      </c>
      <c r="JB46" s="30" t="str">
        <f>IF(ABS(JA46)&gt;=1.96,"*"," ")</f>
        <v>*</v>
      </c>
      <c r="JC46" s="30"/>
      <c r="JD46" s="88">
        <v>513</v>
      </c>
      <c r="JE46" s="88">
        <v>511.2337215300023</v>
      </c>
      <c r="JF46" s="28">
        <v>4.1015869913169531</v>
      </c>
      <c r="JG46" s="29">
        <v>4.0665206465901244E-2</v>
      </c>
      <c r="JH46" s="30">
        <f t="shared" si="35"/>
        <v>-4.2756797053683133</v>
      </c>
      <c r="JI46" s="30" t="str">
        <f>IF(ABS(JH46)&gt;=1.96,"*"," ")</f>
        <v>*</v>
      </c>
      <c r="JK46" s="27"/>
      <c r="JL46" s="27"/>
      <c r="JM46" s="28"/>
      <c r="JN46" s="29"/>
    </row>
    <row r="47" spans="1:274" x14ac:dyDescent="0.2">
      <c r="B47" s="7" t="s">
        <v>42</v>
      </c>
      <c r="C47" s="27">
        <v>1777</v>
      </c>
      <c r="D47" s="27">
        <v>1773.5145645199661</v>
      </c>
      <c r="E47" s="28">
        <v>3.7127699576925277</v>
      </c>
      <c r="F47" s="29">
        <v>2.6181605482564926E-2</v>
      </c>
      <c r="G47" s="29"/>
      <c r="H47" s="3">
        <v>554</v>
      </c>
      <c r="I47" s="3">
        <v>553.68028141999912</v>
      </c>
      <c r="J47" s="28">
        <v>3.689582008376374</v>
      </c>
      <c r="K47" s="29">
        <v>4.7781968892603319E-2</v>
      </c>
      <c r="L47" s="30">
        <f t="shared" si="37"/>
        <v>0.42558568506450528</v>
      </c>
      <c r="M47" s="30" t="str">
        <f t="shared" si="38"/>
        <v xml:space="preserve"> </v>
      </c>
      <c r="N47" s="9"/>
      <c r="O47" s="27">
        <v>411</v>
      </c>
      <c r="P47" s="27">
        <v>413.6651599499998</v>
      </c>
      <c r="Q47" s="28">
        <v>3.5179634382936626</v>
      </c>
      <c r="R47" s="29">
        <v>5.0161708554501937E-2</v>
      </c>
      <c r="S47" s="30">
        <f t="shared" si="39"/>
        <v>3.4428251605709259</v>
      </c>
      <c r="T47" s="30" t="str">
        <f t="shared" si="40"/>
        <v>*</v>
      </c>
      <c r="U47" s="30"/>
      <c r="V47" s="27">
        <v>488</v>
      </c>
      <c r="W47" s="27">
        <v>509.33258124999838</v>
      </c>
      <c r="X47" s="28">
        <v>3.5833835803136136</v>
      </c>
      <c r="Y47" s="29">
        <v>4.5094106315953453E-2</v>
      </c>
      <c r="Z47" s="30">
        <f t="shared" si="41"/>
        <v>2.4813472888909467</v>
      </c>
      <c r="AA47" s="30" t="str">
        <f t="shared" si="42"/>
        <v>*</v>
      </c>
      <c r="AB47" s="9"/>
      <c r="AC47" s="8">
        <v>592</v>
      </c>
      <c r="AD47" s="8">
        <v>605.69156279999402</v>
      </c>
      <c r="AE47" s="69">
        <v>3.3968930739082754</v>
      </c>
      <c r="AF47" s="9">
        <v>4.5137755875864168E-2</v>
      </c>
      <c r="AG47" s="30">
        <f t="shared" si="43"/>
        <v>6.0534438674032494</v>
      </c>
      <c r="AH47" s="30" t="str">
        <f t="shared" si="44"/>
        <v>*</v>
      </c>
      <c r="AI47" s="9"/>
      <c r="AJ47" s="81">
        <v>3185</v>
      </c>
      <c r="AK47" s="83">
        <v>3.8173564173516805</v>
      </c>
      <c r="AL47" s="84">
        <v>1.8665796260655412E-2</v>
      </c>
      <c r="AM47" s="30">
        <f t="shared" si="45"/>
        <v>-3.2526596888436794</v>
      </c>
      <c r="AN47" s="30" t="str">
        <f t="shared" si="46"/>
        <v>*</v>
      </c>
      <c r="AO47" s="9"/>
      <c r="AP47" s="78">
        <v>278</v>
      </c>
      <c r="AQ47" s="79">
        <v>4.1427452624790657</v>
      </c>
      <c r="AR47" s="80">
        <v>6.3157234782248758E-2</v>
      </c>
      <c r="AS47" s="30">
        <f t="shared" si="47"/>
        <v>-6.2890439333398573</v>
      </c>
      <c r="AT47" s="30" t="str">
        <f t="shared" si="48"/>
        <v>*</v>
      </c>
      <c r="AU47" s="80"/>
      <c r="AV47" s="78">
        <v>392</v>
      </c>
      <c r="AW47" s="79">
        <v>3.6999102338387106</v>
      </c>
      <c r="AX47" s="80">
        <v>5.6958708885663061E-2</v>
      </c>
      <c r="AY47" s="30">
        <f t="shared" si="49"/>
        <v>0.20513889979309918</v>
      </c>
      <c r="AZ47" s="30" t="str">
        <f t="shared" si="50"/>
        <v xml:space="preserve"> </v>
      </c>
      <c r="BA47" s="80"/>
      <c r="BB47" s="78">
        <v>426</v>
      </c>
      <c r="BC47" s="79">
        <v>3.9266657509957521</v>
      </c>
      <c r="BD47" s="80">
        <v>5.0004089030817517E-2</v>
      </c>
      <c r="BE47" s="30">
        <f t="shared" si="51"/>
        <v>-3.789545880815413</v>
      </c>
      <c r="BF47" s="30" t="str">
        <f t="shared" si="52"/>
        <v>*</v>
      </c>
      <c r="BG47" s="80"/>
      <c r="BH47" s="78">
        <v>669</v>
      </c>
      <c r="BI47" s="79">
        <v>3.8714080008945237</v>
      </c>
      <c r="BJ47" s="80">
        <v>3.7572942572767103E-2</v>
      </c>
      <c r="BK47" s="30">
        <f t="shared" si="53"/>
        <v>-3.4640740166814181</v>
      </c>
      <c r="BL47" s="30" t="str">
        <f t="shared" si="54"/>
        <v>*</v>
      </c>
      <c r="BM47" s="80"/>
      <c r="BN47" s="78">
        <v>669</v>
      </c>
      <c r="BO47" s="79">
        <v>3.723605423755652</v>
      </c>
      <c r="BP47" s="80">
        <v>4.111549242300476E-2</v>
      </c>
      <c r="BQ47" s="30">
        <f t="shared" si="55"/>
        <v>-0.22229414147894139</v>
      </c>
      <c r="BR47" s="30" t="str">
        <f t="shared" si="56"/>
        <v xml:space="preserve"> </v>
      </c>
      <c r="BS47" s="9"/>
      <c r="BT47" s="27">
        <v>6665</v>
      </c>
      <c r="BU47" s="27">
        <v>6711.6214278697653</v>
      </c>
      <c r="BV47" s="28">
        <v>3.9812004379692763</v>
      </c>
      <c r="BW47" s="29">
        <v>1.3377515552206846E-2</v>
      </c>
      <c r="BX47" s="30">
        <f t="shared" si="57"/>
        <v>-9.1298955876395933</v>
      </c>
      <c r="BY47" s="30" t="str">
        <f t="shared" si="58"/>
        <v>*</v>
      </c>
      <c r="BZ47" s="30"/>
      <c r="CA47" s="27">
        <v>256</v>
      </c>
      <c r="CB47" s="27">
        <v>256</v>
      </c>
      <c r="CC47" s="28">
        <v>3.4492187500000013</v>
      </c>
      <c r="CD47" s="29">
        <v>6.7262181334216423E-2</v>
      </c>
      <c r="CE47" s="30">
        <f t="shared" si="59"/>
        <v>3.6514015092821026</v>
      </c>
      <c r="CF47" s="30" t="str">
        <f>IF(ABS(CE47)&gt;=1.96,"*"," ")</f>
        <v>*</v>
      </c>
      <c r="CG47" s="30"/>
      <c r="CH47" s="27">
        <v>1691</v>
      </c>
      <c r="CI47" s="27">
        <v>1739.3969672099927</v>
      </c>
      <c r="CJ47" s="28">
        <v>3.7104632947544998</v>
      </c>
      <c r="CK47" s="29">
        <v>2.6491210582204258E-2</v>
      </c>
      <c r="CL47" s="30">
        <f t="shared" si="60"/>
        <v>6.1930572609785295E-2</v>
      </c>
      <c r="CM47" s="30" t="str">
        <f>IF(ABS(CL47)&gt;=1.96,"*"," ")</f>
        <v xml:space="preserve"> </v>
      </c>
      <c r="CN47" s="30"/>
      <c r="CO47" s="27">
        <v>1422</v>
      </c>
      <c r="CP47" s="27">
        <v>1422.6957124400478</v>
      </c>
      <c r="CQ47" s="28">
        <v>3.7927099879887769</v>
      </c>
      <c r="CR47" s="29">
        <v>2.816352519177856E-2</v>
      </c>
      <c r="CS47" s="30">
        <f t="shared" si="61"/>
        <v>-2.0788830370662601</v>
      </c>
      <c r="CT47" s="30" t="str">
        <f>IF(ABS(CS47)&gt;=1.96,"*"," ")</f>
        <v>*</v>
      </c>
      <c r="CU47" s="30"/>
      <c r="CV47" s="27">
        <v>308</v>
      </c>
      <c r="CW47" s="27">
        <v>308.99352747999973</v>
      </c>
      <c r="CX47" s="28">
        <v>4.7400576851720686</v>
      </c>
      <c r="CY47" s="29">
        <v>3.7204652965700538E-2</v>
      </c>
      <c r="CZ47" s="30">
        <f t="shared" si="62"/>
        <v>-22.580955599691649</v>
      </c>
      <c r="DA47" s="30" t="str">
        <f>IF(ABS(CZ47)&gt;=1.96,"*"," ")</f>
        <v>*</v>
      </c>
      <c r="DB47" s="30"/>
      <c r="DC47" s="27">
        <v>818</v>
      </c>
      <c r="DD47" s="27">
        <v>818.02065621998975</v>
      </c>
      <c r="DE47" s="28">
        <v>4.8705012009971673</v>
      </c>
      <c r="DF47" s="29">
        <v>1.437880549084462E-2</v>
      </c>
      <c r="DG47" s="30">
        <f t="shared" si="63"/>
        <v>-38.758788299261937</v>
      </c>
      <c r="DH47" s="30" t="str">
        <f>IF(ABS(DG47)&gt;=1.96,"*"," ")</f>
        <v>*</v>
      </c>
      <c r="DI47" s="30"/>
      <c r="DJ47" s="27">
        <v>393</v>
      </c>
      <c r="DK47" s="27">
        <v>393</v>
      </c>
      <c r="DL47" s="28">
        <v>4.9720101781170456</v>
      </c>
      <c r="DM47" s="29">
        <v>1.2660177947850229E-2</v>
      </c>
      <c r="DN47" s="30">
        <f t="shared" si="64"/>
        <v>-43.299800589964576</v>
      </c>
      <c r="DO47" s="30" t="str">
        <f>IF(ABS(DN47)&gt;=1.96,"*"," ")</f>
        <v>*</v>
      </c>
      <c r="DP47" s="8"/>
      <c r="DQ47" s="27">
        <v>488</v>
      </c>
      <c r="DR47" s="27">
        <v>486.97053855999928</v>
      </c>
      <c r="DS47" s="28">
        <v>3.4764125810280708</v>
      </c>
      <c r="DT47" s="29">
        <v>5.3586038572955165E-2</v>
      </c>
      <c r="DU47" s="29"/>
      <c r="DV47" s="27">
        <v>330</v>
      </c>
      <c r="DW47" s="27">
        <v>329.90600189000003</v>
      </c>
      <c r="DX47" s="28">
        <v>3.530218130248882</v>
      </c>
      <c r="DY47" s="29">
        <v>5.9686671444072963E-2</v>
      </c>
      <c r="DZ47" s="10">
        <f t="shared" si="6"/>
        <v>-0.67079190605244809</v>
      </c>
      <c r="EA47" s="10" t="str">
        <f>IF(ABS(DZ47)&gt;=1.96,"*"," ")</f>
        <v xml:space="preserve"> </v>
      </c>
      <c r="EB47" s="29"/>
      <c r="EC47" s="27">
        <v>360</v>
      </c>
      <c r="ED47" s="27">
        <v>361.11864559000082</v>
      </c>
      <c r="EE47" s="28">
        <v>3.6324179693265997</v>
      </c>
      <c r="EF47" s="29">
        <v>6.2543609414175499E-2</v>
      </c>
      <c r="EG47" s="10">
        <f t="shared" si="8"/>
        <v>-1.8941892022728151</v>
      </c>
      <c r="EH47" s="10" t="str">
        <f>IF(ABS(EG47)&gt;=1.96,"*"," ")</f>
        <v xml:space="preserve"> </v>
      </c>
      <c r="EI47" s="29"/>
      <c r="EJ47" s="27">
        <v>351</v>
      </c>
      <c r="EK47" s="27">
        <v>355.59881112000176</v>
      </c>
      <c r="EL47" s="28">
        <v>3.5931900009891131</v>
      </c>
      <c r="EM47" s="29">
        <v>6.0215286771101321E-2</v>
      </c>
      <c r="EN47" s="10">
        <f t="shared" si="10"/>
        <v>-1.448741615965488</v>
      </c>
      <c r="EO47" s="10" t="str">
        <f t="shared" si="65"/>
        <v xml:space="preserve"> </v>
      </c>
      <c r="EP47" s="29"/>
      <c r="EQ47" s="8">
        <v>413</v>
      </c>
      <c r="ER47" s="8">
        <v>412.50228582999995</v>
      </c>
      <c r="ES47" s="69">
        <v>3.654173344899255</v>
      </c>
      <c r="ET47" s="9">
        <v>5.3739259452634164E-2</v>
      </c>
      <c r="EU47" s="10">
        <f t="shared" si="11"/>
        <v>-2.3423315058536009</v>
      </c>
      <c r="EV47" s="10" t="str">
        <f t="shared" si="66"/>
        <v>*</v>
      </c>
      <c r="EW47" s="29"/>
      <c r="EX47" s="88">
        <v>2492</v>
      </c>
      <c r="EY47" s="88">
        <v>2491.0796835099682</v>
      </c>
      <c r="EZ47" s="28">
        <v>3.6435432459997315</v>
      </c>
      <c r="FA47" s="29">
        <v>2.1284230435034249E-2</v>
      </c>
      <c r="FB47" s="30">
        <f t="shared" si="12"/>
        <v>-2.8986391158406613</v>
      </c>
      <c r="FC47" s="30" t="str">
        <f t="shared" si="67"/>
        <v>*</v>
      </c>
      <c r="FD47" s="30"/>
      <c r="FE47" s="27">
        <v>654</v>
      </c>
      <c r="FF47" s="27">
        <v>653.97684090000143</v>
      </c>
      <c r="FG47" s="28">
        <v>3.5184294556263129</v>
      </c>
      <c r="FH47" s="29">
        <v>3.6768057418556564E-2</v>
      </c>
      <c r="FI47" s="30">
        <f t="shared" si="13"/>
        <v>-0.64653944134546049</v>
      </c>
      <c r="FJ47" s="30" t="str">
        <f>IF(ABS(FI47)&gt;=1.96,"*"," ")</f>
        <v xml:space="preserve"> </v>
      </c>
      <c r="FK47" s="30"/>
      <c r="FL47" s="88">
        <v>166</v>
      </c>
      <c r="FM47" s="88">
        <v>165.9362398599996</v>
      </c>
      <c r="FN47" s="28">
        <v>4.0781672520176615</v>
      </c>
      <c r="FO47" s="29">
        <v>6.7289456152566166E-2</v>
      </c>
      <c r="FP47" s="30">
        <f t="shared" si="15"/>
        <v>-6.9955705606875123</v>
      </c>
      <c r="FQ47" s="30" t="str">
        <f>IF(ABS(FP47)&gt;=1.96,"*"," ")</f>
        <v>*</v>
      </c>
      <c r="FR47" s="30"/>
      <c r="FS47" s="88">
        <v>329</v>
      </c>
      <c r="FT47" s="88">
        <v>329.0873961199996</v>
      </c>
      <c r="FU47" s="28">
        <v>3.5229270544510571</v>
      </c>
      <c r="FV47" s="29">
        <v>5.5842145816416396E-2</v>
      </c>
      <c r="FW47" s="30">
        <f t="shared" si="17"/>
        <v>-0.6010099053894683</v>
      </c>
      <c r="FX47" s="30" t="str">
        <f>IF(ABS(FW47)&gt;=1.96,"*"," ")</f>
        <v xml:space="preserve"> </v>
      </c>
      <c r="FY47" s="30"/>
      <c r="FZ47" s="88">
        <v>636</v>
      </c>
      <c r="GA47" s="88">
        <v>636.09326433000513</v>
      </c>
      <c r="GB47" s="28">
        <v>3.7514964085706879</v>
      </c>
      <c r="GC47" s="29">
        <v>4.4134593027615188E-2</v>
      </c>
      <c r="GD47" s="30">
        <f t="shared" si="19"/>
        <v>-3.9625240733898139</v>
      </c>
      <c r="GE47" s="30" t="str">
        <f>IF(ABS(GD47)&gt;=1.96,"*"," ")</f>
        <v>*</v>
      </c>
      <c r="GF47" s="30"/>
      <c r="GG47" s="88">
        <v>219</v>
      </c>
      <c r="GH47" s="88">
        <v>219.01540373999961</v>
      </c>
      <c r="GI47" s="28">
        <v>3.9271504524908183</v>
      </c>
      <c r="GJ47" s="29">
        <v>6.7989471284748818E-2</v>
      </c>
      <c r="GK47" s="30">
        <f t="shared" si="21"/>
        <v>-5.2067447227401313</v>
      </c>
      <c r="GL47" s="30" t="str">
        <f>IF(ABS(GK47)&gt;=1.96,"*"," ")</f>
        <v>*</v>
      </c>
      <c r="GM47" s="10"/>
      <c r="GN47" s="88">
        <v>387</v>
      </c>
      <c r="GO47" s="88">
        <v>386.96900958000191</v>
      </c>
      <c r="GP47" s="28">
        <v>3.6121388886854233</v>
      </c>
      <c r="GQ47" s="29">
        <v>5.7745052793851281E-2</v>
      </c>
      <c r="GR47" s="9"/>
      <c r="GS47" s="3">
        <v>264</v>
      </c>
      <c r="GT47" s="3">
        <v>264.04333303000016</v>
      </c>
      <c r="GU47" s="69">
        <v>3.796088346703749</v>
      </c>
      <c r="GV47" s="9">
        <v>6.714044221038537E-2</v>
      </c>
      <c r="GW47" s="10">
        <f t="shared" si="23"/>
        <v>-2.0771887086707395</v>
      </c>
      <c r="GX47" s="10" t="str">
        <f t="shared" si="68"/>
        <v>*</v>
      </c>
      <c r="GY47" s="9"/>
      <c r="GZ47" s="27">
        <v>322</v>
      </c>
      <c r="HA47" s="27">
        <v>323.42796255000019</v>
      </c>
      <c r="HB47" s="28">
        <v>3.7673389986236372</v>
      </c>
      <c r="HC47" s="29">
        <v>5.9444227288749145E-2</v>
      </c>
      <c r="HD47" s="10">
        <f t="shared" si="24"/>
        <v>-1.8727227632541645</v>
      </c>
      <c r="HE47" s="10" t="str">
        <f t="shared" si="69"/>
        <v xml:space="preserve"> </v>
      </c>
      <c r="HF47" s="9"/>
      <c r="HG47" s="27">
        <v>641</v>
      </c>
      <c r="HH47" s="27">
        <v>642.25528729000257</v>
      </c>
      <c r="HI47" s="28">
        <v>3.6492706301251672</v>
      </c>
      <c r="HJ47" s="29">
        <v>4.2773389072045344E-2</v>
      </c>
      <c r="HK47" s="10">
        <f t="shared" si="25"/>
        <v>-0.51671364817736309</v>
      </c>
      <c r="HL47" s="10" t="str">
        <f t="shared" si="70"/>
        <v xml:space="preserve"> </v>
      </c>
      <c r="HM47" s="29"/>
      <c r="HN47" s="8">
        <v>560</v>
      </c>
      <c r="HO47" s="8">
        <v>562.98921270000028</v>
      </c>
      <c r="HP47" s="69">
        <v>3.4971765175173135</v>
      </c>
      <c r="HQ47" s="9">
        <v>4.8349897667008673E-2</v>
      </c>
      <c r="HR47" s="10">
        <f t="shared" si="26"/>
        <v>1.5264402259299819</v>
      </c>
      <c r="HS47" s="10" t="str">
        <f t="shared" si="71"/>
        <v xml:space="preserve"> </v>
      </c>
      <c r="HT47" s="9"/>
      <c r="HU47" s="88">
        <v>2422</v>
      </c>
      <c r="HV47" s="88">
        <v>2420.8254960599347</v>
      </c>
      <c r="HW47" s="28">
        <v>3.719139901807623</v>
      </c>
      <c r="HX47" s="29">
        <v>2.1849400746908651E-2</v>
      </c>
      <c r="HY47" s="30">
        <f t="shared" si="27"/>
        <v>-1.7330769893411266</v>
      </c>
      <c r="HZ47" s="30" t="str">
        <f t="shared" si="72"/>
        <v xml:space="preserve"> </v>
      </c>
      <c r="IA47" s="30"/>
      <c r="IB47" s="88">
        <v>654</v>
      </c>
      <c r="IC47" s="88">
        <v>653.97684090000143</v>
      </c>
      <c r="ID47" s="28">
        <v>3.5184294556263129</v>
      </c>
      <c r="IE47" s="29">
        <v>3.6768057418556564E-2</v>
      </c>
      <c r="IF47" s="30">
        <f t="shared" si="28"/>
        <v>1.3688772500012572</v>
      </c>
      <c r="IG47" s="30" t="str">
        <f>IF(ABS(IF47)&gt;=1.96,"*"," ")</f>
        <v xml:space="preserve"> </v>
      </c>
      <c r="IH47" s="30"/>
      <c r="II47" s="88">
        <v>279</v>
      </c>
      <c r="IJ47" s="88">
        <v>278.66151906000101</v>
      </c>
      <c r="IK47" s="28">
        <v>3.7483560088362928</v>
      </c>
      <c r="IL47" s="29">
        <v>6.7197249641017934E-2</v>
      </c>
      <c r="IM47" s="30">
        <f t="shared" si="30"/>
        <v>-1.5374391342787634</v>
      </c>
      <c r="IN47" s="30" t="str">
        <f>IF(ABS(IM47)&gt;=1.96,"*"," ")</f>
        <v xml:space="preserve"> </v>
      </c>
      <c r="IO47" s="30"/>
      <c r="IP47" s="88">
        <v>466</v>
      </c>
      <c r="IQ47" s="88">
        <v>466.24625556000279</v>
      </c>
      <c r="IR47" s="28">
        <v>3.893419330134213</v>
      </c>
      <c r="IS47" s="29">
        <v>5.1542031849459338E-2</v>
      </c>
      <c r="IT47" s="30">
        <f t="shared" si="32"/>
        <v>-3.6340195502392816</v>
      </c>
      <c r="IU47" s="30" t="str">
        <f>IF(ABS(IT47)&gt;=1.96,"*"," ")</f>
        <v>*</v>
      </c>
      <c r="IV47" s="30"/>
      <c r="IW47" s="88">
        <v>166</v>
      </c>
      <c r="IX47" s="88">
        <v>165.9362398599996</v>
      </c>
      <c r="IY47" s="28">
        <v>4.0781672520176615</v>
      </c>
      <c r="IZ47" s="29">
        <v>6.7289456152566166E-2</v>
      </c>
      <c r="JA47" s="30">
        <f t="shared" si="34"/>
        <v>-5.2557636956403124</v>
      </c>
      <c r="JB47" s="30" t="str">
        <f>IF(ABS(JA47)&gt;=1.96,"*"," ")</f>
        <v>*</v>
      </c>
      <c r="JC47" s="30"/>
      <c r="JD47" s="88">
        <v>470</v>
      </c>
      <c r="JE47" s="88">
        <v>469.03563110000209</v>
      </c>
      <c r="JF47" s="28">
        <v>3.7696517902134303</v>
      </c>
      <c r="JG47" s="29">
        <v>5.2450091112428696E-2</v>
      </c>
      <c r="JH47" s="30">
        <f t="shared" si="35"/>
        <v>-2.0191467525536901</v>
      </c>
      <c r="JI47" s="30" t="str">
        <f>IF(ABS(JH47)&gt;=1.96,"*"," ")</f>
        <v>*</v>
      </c>
      <c r="JK47" s="27"/>
      <c r="JL47" s="27"/>
      <c r="JM47" s="28"/>
      <c r="JN47" s="29"/>
    </row>
    <row r="48" spans="1:274" x14ac:dyDescent="0.2">
      <c r="B48" s="7" t="s">
        <v>43</v>
      </c>
      <c r="C48" s="27">
        <v>1666</v>
      </c>
      <c r="D48" s="27">
        <v>1659.1815487099716</v>
      </c>
      <c r="E48" s="28">
        <v>3.7970455725343579</v>
      </c>
      <c r="F48" s="29">
        <v>2.6139148404632506E-2</v>
      </c>
      <c r="G48" s="29"/>
      <c r="H48" s="3">
        <v>515</v>
      </c>
      <c r="I48" s="3">
        <v>514.46257519999756</v>
      </c>
      <c r="J48" s="28">
        <v>3.724780922723181</v>
      </c>
      <c r="K48" s="29">
        <v>4.8298961057573198E-2</v>
      </c>
      <c r="L48" s="30">
        <f t="shared" si="37"/>
        <v>1.3158519070414874</v>
      </c>
      <c r="M48" s="30" t="str">
        <f t="shared" si="38"/>
        <v xml:space="preserve"> </v>
      </c>
      <c r="N48" s="9"/>
      <c r="O48" s="27">
        <v>373</v>
      </c>
      <c r="P48" s="27">
        <v>376.01116988999945</v>
      </c>
      <c r="Q48" s="28">
        <v>3.4842637014301148</v>
      </c>
      <c r="R48" s="29">
        <v>5.6367904294973917E-2</v>
      </c>
      <c r="S48" s="30">
        <f t="shared" si="39"/>
        <v>5.0340139097594818</v>
      </c>
      <c r="T48" s="30" t="str">
        <f t="shared" si="40"/>
        <v>*</v>
      </c>
      <c r="U48" s="30"/>
      <c r="V48" s="27">
        <v>518</v>
      </c>
      <c r="W48" s="27">
        <v>547.33155443999919</v>
      </c>
      <c r="X48" s="28">
        <v>3.5194036231857027</v>
      </c>
      <c r="Y48" s="29">
        <v>4.1992794017464682E-2</v>
      </c>
      <c r="Z48" s="30">
        <f t="shared" si="41"/>
        <v>5.6130534369389036</v>
      </c>
      <c r="AA48" s="30" t="str">
        <f t="shared" si="42"/>
        <v>*</v>
      </c>
      <c r="AB48" s="9"/>
      <c r="AC48" s="8">
        <v>663</v>
      </c>
      <c r="AD48" s="8">
        <v>694.21103313999561</v>
      </c>
      <c r="AE48" s="69">
        <v>3.3088737023526336</v>
      </c>
      <c r="AF48" s="9">
        <v>3.9197276040995717E-2</v>
      </c>
      <c r="AG48" s="30">
        <f t="shared" si="43"/>
        <v>10.361614167865815</v>
      </c>
      <c r="AH48" s="30" t="str">
        <f t="shared" si="44"/>
        <v>*</v>
      </c>
      <c r="AI48" s="9"/>
      <c r="AJ48" s="81">
        <v>2542</v>
      </c>
      <c r="AK48" s="83">
        <v>3.9233163378982288</v>
      </c>
      <c r="AL48" s="84">
        <v>1.9999888360558545E-2</v>
      </c>
      <c r="AM48" s="30">
        <f t="shared" si="45"/>
        <v>-3.8365277246503644</v>
      </c>
      <c r="AN48" s="30" t="str">
        <f t="shared" si="46"/>
        <v>*</v>
      </c>
      <c r="AO48" s="9"/>
      <c r="AP48" s="78">
        <v>220</v>
      </c>
      <c r="AQ48" s="79">
        <v>4.234380560826243</v>
      </c>
      <c r="AR48" s="80">
        <v>7.3891910136303557E-2</v>
      </c>
      <c r="AS48" s="30">
        <f t="shared" si="47"/>
        <v>-5.5797461493717293</v>
      </c>
      <c r="AT48" s="30" t="str">
        <f t="shared" si="48"/>
        <v>*</v>
      </c>
      <c r="AU48" s="80"/>
      <c r="AV48" s="78">
        <v>180</v>
      </c>
      <c r="AW48" s="79">
        <v>3.9106823918538103</v>
      </c>
      <c r="AX48" s="80">
        <v>7.8254527129181212E-2</v>
      </c>
      <c r="AY48" s="30">
        <f t="shared" si="49"/>
        <v>-1.3773374672342928</v>
      </c>
      <c r="AZ48" s="30" t="str">
        <f t="shared" si="50"/>
        <v xml:space="preserve"> </v>
      </c>
      <c r="BA48" s="80"/>
      <c r="BB48" s="78">
        <v>316</v>
      </c>
      <c r="BC48" s="79">
        <v>4.0016308072243865</v>
      </c>
      <c r="BD48" s="80">
        <v>5.7092765654268046E-2</v>
      </c>
      <c r="BE48" s="30">
        <f t="shared" si="51"/>
        <v>-3.2581401859821781</v>
      </c>
      <c r="BF48" s="30" t="str">
        <f t="shared" si="52"/>
        <v>*</v>
      </c>
      <c r="BG48" s="80"/>
      <c r="BH48" s="78">
        <v>430</v>
      </c>
      <c r="BI48" s="79">
        <v>3.8790237359506152</v>
      </c>
      <c r="BJ48" s="80">
        <v>4.6657809363709682E-2</v>
      </c>
      <c r="BK48" s="30">
        <f t="shared" si="53"/>
        <v>-1.5328494715751411</v>
      </c>
      <c r="BL48" s="30" t="str">
        <f t="shared" si="54"/>
        <v xml:space="preserve"> </v>
      </c>
      <c r="BM48" s="80"/>
      <c r="BN48" s="78">
        <v>503</v>
      </c>
      <c r="BO48" s="79">
        <v>3.7167770805364726</v>
      </c>
      <c r="BP48" s="80">
        <v>4.7010679372679248E-2</v>
      </c>
      <c r="BQ48" s="30">
        <f t="shared" si="55"/>
        <v>1.4922838657618311</v>
      </c>
      <c r="BR48" s="30" t="str">
        <f t="shared" si="56"/>
        <v xml:space="preserve"> </v>
      </c>
      <c r="BS48" s="9"/>
      <c r="BT48" s="27">
        <v>6425</v>
      </c>
      <c r="BU48" s="27">
        <v>6481.8081951097902</v>
      </c>
      <c r="BV48" s="28">
        <v>4.1030499159607814</v>
      </c>
      <c r="BW48" s="29">
        <v>1.2650111973922584E-2</v>
      </c>
      <c r="BX48" s="30">
        <f t="shared" si="57"/>
        <v>-10.537596980311223</v>
      </c>
      <c r="BY48" s="30" t="str">
        <f t="shared" si="58"/>
        <v>*</v>
      </c>
      <c r="BZ48" s="30"/>
      <c r="CA48" s="27">
        <v>297</v>
      </c>
      <c r="CB48" s="27">
        <v>297</v>
      </c>
      <c r="CC48" s="28">
        <v>3.8484848484848473</v>
      </c>
      <c r="CD48" s="29">
        <v>5.2486388108147805E-2</v>
      </c>
      <c r="CE48" s="30">
        <f t="shared" si="59"/>
        <v>-0.87727773963510292</v>
      </c>
      <c r="CF48" s="30" t="str">
        <f>IF(ABS(CE48)&gt;=1.96,"*"," ")</f>
        <v xml:space="preserve"> </v>
      </c>
      <c r="CG48" s="30"/>
      <c r="CH48" s="27">
        <v>1446</v>
      </c>
      <c r="CI48" s="27">
        <v>1508.0303258699969</v>
      </c>
      <c r="CJ48" s="28">
        <v>3.7973774627484911</v>
      </c>
      <c r="CK48" s="29">
        <v>2.7258056699854795E-2</v>
      </c>
      <c r="CL48" s="30">
        <f t="shared" si="60"/>
        <v>-8.7881122053411528E-3</v>
      </c>
      <c r="CM48" s="30" t="str">
        <f>IF(ABS(CL48)&gt;=1.96,"*"," ")</f>
        <v xml:space="preserve"> </v>
      </c>
      <c r="CN48" s="30"/>
      <c r="CO48" s="27">
        <v>1498</v>
      </c>
      <c r="CP48" s="27">
        <v>1498.5695841700519</v>
      </c>
      <c r="CQ48" s="28">
        <v>3.966806723514575</v>
      </c>
      <c r="CR48" s="29">
        <v>2.5019703141083892E-2</v>
      </c>
      <c r="CS48" s="30">
        <f t="shared" si="61"/>
        <v>-4.6916820713731706</v>
      </c>
      <c r="CT48" s="30" t="str">
        <f>IF(ABS(CS48)&gt;=1.96,"*"," ")</f>
        <v>*</v>
      </c>
      <c r="CU48" s="30"/>
      <c r="CV48" s="27">
        <v>311</v>
      </c>
      <c r="CW48" s="27">
        <v>312.00554595999978</v>
      </c>
      <c r="CX48" s="28">
        <v>4.9259880409851426</v>
      </c>
      <c r="CY48" s="29">
        <v>1.484463665225366E-2</v>
      </c>
      <c r="CZ48" s="30">
        <f t="shared" si="62"/>
        <v>-37.555997179952016</v>
      </c>
      <c r="DA48" s="30" t="str">
        <f>IF(ABS(CZ48)&gt;=1.96,"*"," ")</f>
        <v>*</v>
      </c>
      <c r="DB48" s="30"/>
      <c r="DC48" s="27">
        <v>812</v>
      </c>
      <c r="DD48" s="27">
        <v>812.02119039999025</v>
      </c>
      <c r="DE48" s="28">
        <v>4.8916983950176478</v>
      </c>
      <c r="DF48" s="29">
        <v>1.2946312797109732E-2</v>
      </c>
      <c r="DG48" s="30">
        <f t="shared" si="63"/>
        <v>-37.52725626913174</v>
      </c>
      <c r="DH48" s="30" t="str">
        <f>IF(ABS(DG48)&gt;=1.96,"*"," ")</f>
        <v>*</v>
      </c>
      <c r="DI48" s="30"/>
      <c r="DJ48" s="27">
        <v>395</v>
      </c>
      <c r="DK48" s="27">
        <v>395</v>
      </c>
      <c r="DL48" s="28">
        <v>4.9924050632911383</v>
      </c>
      <c r="DM48" s="29">
        <v>4.3737953077428501E-3</v>
      </c>
      <c r="DN48" s="30">
        <f t="shared" si="64"/>
        <v>-45.103564893561533</v>
      </c>
      <c r="DO48" s="30" t="str">
        <f>IF(ABS(DN48)&gt;=1.96,"*"," ")</f>
        <v>*</v>
      </c>
      <c r="DP48" s="8"/>
      <c r="DQ48" s="27">
        <v>407</v>
      </c>
      <c r="DR48" s="27">
        <v>403.91323874999961</v>
      </c>
      <c r="DS48" s="28">
        <v>3.6561924861642061</v>
      </c>
      <c r="DT48" s="29">
        <v>5.2925975545026024E-2</v>
      </c>
      <c r="DU48" s="29"/>
      <c r="DV48" s="27">
        <v>284</v>
      </c>
      <c r="DW48" s="27">
        <v>283.58709894000077</v>
      </c>
      <c r="DX48" s="28">
        <v>3.6420838797343351</v>
      </c>
      <c r="DY48" s="29">
        <v>6.5935021732871343E-2</v>
      </c>
      <c r="DZ48" s="10">
        <f t="shared" si="6"/>
        <v>0.16686837864328674</v>
      </c>
      <c r="EA48" s="10" t="str">
        <f>IF(ABS(DZ48)&gt;=1.96,"*"," ")</f>
        <v xml:space="preserve"> </v>
      </c>
      <c r="EB48" s="29"/>
      <c r="EC48" s="27">
        <v>316</v>
      </c>
      <c r="ED48" s="27">
        <v>320.68336505000156</v>
      </c>
      <c r="EE48" s="28">
        <v>3.8111641676500505</v>
      </c>
      <c r="EF48" s="29">
        <v>5.9012448452773376E-2</v>
      </c>
      <c r="EG48" s="10">
        <f t="shared" si="8"/>
        <v>-1.9550015836853079</v>
      </c>
      <c r="EH48" s="10" t="str">
        <f>IF(ABS(EG48)&gt;=1.96,"*"," ")</f>
        <v xml:space="preserve"> </v>
      </c>
      <c r="EI48" s="29"/>
      <c r="EJ48" s="27">
        <v>302</v>
      </c>
      <c r="EK48" s="27">
        <v>319.93102909000135</v>
      </c>
      <c r="EL48" s="28">
        <v>3.6922536439180376</v>
      </c>
      <c r="EM48" s="29">
        <v>5.7751804455249141E-2</v>
      </c>
      <c r="EN48" s="10">
        <f t="shared" si="10"/>
        <v>-0.46034325099017853</v>
      </c>
      <c r="EO48" s="10" t="str">
        <f t="shared" si="65"/>
        <v xml:space="preserve"> </v>
      </c>
      <c r="EP48" s="29"/>
      <c r="EQ48" s="8">
        <v>354</v>
      </c>
      <c r="ER48" s="8">
        <v>352.38914279000079</v>
      </c>
      <c r="ES48" s="69">
        <v>3.7534997838121136</v>
      </c>
      <c r="ET48" s="9">
        <v>5.4057669594645995E-2</v>
      </c>
      <c r="EU48" s="10">
        <f t="shared" si="11"/>
        <v>-1.2862302567320218</v>
      </c>
      <c r="EV48" s="10" t="str">
        <f t="shared" si="66"/>
        <v xml:space="preserve"> </v>
      </c>
      <c r="EW48" s="29"/>
      <c r="EX48" s="88">
        <v>1901</v>
      </c>
      <c r="EY48" s="88">
        <v>1897.7935400500016</v>
      </c>
      <c r="EZ48" s="28">
        <v>3.8168152466359175</v>
      </c>
      <c r="FA48" s="29">
        <v>2.2251738285553043E-2</v>
      </c>
      <c r="FB48" s="30">
        <f t="shared" si="12"/>
        <v>-2.7976527171912804</v>
      </c>
      <c r="FC48" s="30" t="str">
        <f t="shared" si="67"/>
        <v>*</v>
      </c>
      <c r="FD48" s="30"/>
      <c r="FE48" s="27">
        <v>498</v>
      </c>
      <c r="FF48" s="27">
        <v>498.03760236000255</v>
      </c>
      <c r="FG48" s="28">
        <v>3.6727026678556447</v>
      </c>
      <c r="FH48" s="29">
        <v>3.8855797186412765E-2</v>
      </c>
      <c r="FI48" s="30">
        <f t="shared" si="13"/>
        <v>-0.25145847265479199</v>
      </c>
      <c r="FJ48" s="30" t="str">
        <f>IF(ABS(FI48)&gt;=1.96,"*"," ")</f>
        <v xml:space="preserve"> </v>
      </c>
      <c r="FK48" s="30"/>
      <c r="FL48" s="88">
        <v>88</v>
      </c>
      <c r="FM48" s="88">
        <v>87.992400339999975</v>
      </c>
      <c r="FN48" s="28">
        <v>4.0340562843884342</v>
      </c>
      <c r="FO48" s="29">
        <v>9.6247105193044399E-2</v>
      </c>
      <c r="FP48" s="30">
        <f t="shared" si="15"/>
        <v>-3.4401522813579435</v>
      </c>
      <c r="FQ48" s="30" t="str">
        <f>IF(ABS(FP48)&gt;=1.96,"*"," ")</f>
        <v>*</v>
      </c>
      <c r="FR48" s="30"/>
      <c r="FS48" s="88">
        <v>286</v>
      </c>
      <c r="FT48" s="88">
        <v>285.58243823000055</v>
      </c>
      <c r="FU48" s="28">
        <v>3.9271776951380666</v>
      </c>
      <c r="FV48" s="29">
        <v>5.3270621158732587E-2</v>
      </c>
      <c r="FW48" s="30">
        <f t="shared" si="17"/>
        <v>-3.6086743971799611</v>
      </c>
      <c r="FX48" s="30" t="str">
        <f>IF(ABS(FW48)&gt;=1.96,"*"," ")</f>
        <v>*</v>
      </c>
      <c r="FY48" s="30"/>
      <c r="FZ48" s="88">
        <v>386</v>
      </c>
      <c r="GA48" s="88">
        <v>386.20995663000321</v>
      </c>
      <c r="GB48" s="28">
        <v>3.8238434288083942</v>
      </c>
      <c r="GC48" s="29">
        <v>5.4765563322205016E-2</v>
      </c>
      <c r="GD48" s="30">
        <f t="shared" si="19"/>
        <v>-2.2012839210585153</v>
      </c>
      <c r="GE48" s="30" t="str">
        <f>IF(ABS(GD48)&gt;=1.96,"*"," ")</f>
        <v>*</v>
      </c>
      <c r="GF48" s="30"/>
      <c r="GG48" s="88">
        <v>236</v>
      </c>
      <c r="GH48" s="88">
        <v>236.05790373999955</v>
      </c>
      <c r="GI48" s="28">
        <v>4.1697102349266189</v>
      </c>
      <c r="GJ48" s="29">
        <v>5.150737804523553E-2</v>
      </c>
      <c r="GK48" s="30">
        <f t="shared" si="21"/>
        <v>-6.9533032145702949</v>
      </c>
      <c r="GL48" s="30" t="str">
        <f>IF(ABS(GK48)&gt;=1.96,"*"," ")</f>
        <v>*</v>
      </c>
      <c r="GM48" s="10"/>
      <c r="GN48" s="88">
        <v>234</v>
      </c>
      <c r="GO48" s="88">
        <v>234.10644558000081</v>
      </c>
      <c r="GP48" s="28">
        <v>3.7050025387002847</v>
      </c>
      <c r="GQ48" s="29">
        <v>7.0178013261390476E-2</v>
      </c>
      <c r="GR48" s="9"/>
      <c r="GS48" s="3">
        <v>166</v>
      </c>
      <c r="GT48" s="3">
        <v>165.88369731999998</v>
      </c>
      <c r="GU48" s="69">
        <v>3.8080018937692199</v>
      </c>
      <c r="GV48" s="9">
        <v>8.2864233912217602E-2</v>
      </c>
      <c r="GW48" s="10">
        <f t="shared" si="23"/>
        <v>-0.94853023373561429</v>
      </c>
      <c r="GX48" s="10" t="str">
        <f t="shared" si="68"/>
        <v xml:space="preserve"> </v>
      </c>
      <c r="GY48" s="9"/>
      <c r="GZ48" s="27">
        <v>225</v>
      </c>
      <c r="HA48" s="27">
        <v>226.75058599999937</v>
      </c>
      <c r="HB48" s="28">
        <v>3.9170354143649271</v>
      </c>
      <c r="HC48" s="29">
        <v>6.0620994403486957E-2</v>
      </c>
      <c r="HD48" s="10">
        <f t="shared" si="24"/>
        <v>-2.2864281082236593</v>
      </c>
      <c r="HE48" s="10" t="str">
        <f t="shared" si="69"/>
        <v>*</v>
      </c>
      <c r="HF48" s="9"/>
      <c r="HG48" s="27">
        <v>384</v>
      </c>
      <c r="HH48" s="27">
        <v>388.63357365999929</v>
      </c>
      <c r="HI48" s="28">
        <v>3.646632587538241</v>
      </c>
      <c r="HJ48" s="29">
        <v>5.0935807723013066E-2</v>
      </c>
      <c r="HK48" s="10">
        <f t="shared" si="25"/>
        <v>0.67312767352961245</v>
      </c>
      <c r="HL48" s="10" t="str">
        <f t="shared" si="70"/>
        <v xml:space="preserve"> </v>
      </c>
      <c r="HM48" s="29"/>
      <c r="HN48" s="8">
        <v>356</v>
      </c>
      <c r="HO48" s="8">
        <v>357.32998880999918</v>
      </c>
      <c r="HP48" s="69">
        <v>3.7153838771028016</v>
      </c>
      <c r="HQ48" s="9">
        <v>5.6100622957953955E-2</v>
      </c>
      <c r="HR48" s="10">
        <f t="shared" si="26"/>
        <v>-0.11554641932649964</v>
      </c>
      <c r="HS48" s="10" t="str">
        <f t="shared" si="71"/>
        <v xml:space="preserve"> </v>
      </c>
      <c r="HT48" s="9"/>
      <c r="HU48" s="88">
        <v>1706</v>
      </c>
      <c r="HV48" s="88">
        <v>1703.6027333400059</v>
      </c>
      <c r="HW48" s="28">
        <v>3.8418877622062131</v>
      </c>
      <c r="HX48" s="29">
        <v>2.4366829615348255E-2</v>
      </c>
      <c r="HY48" s="30">
        <f t="shared" si="27"/>
        <v>-1.8426308433504452</v>
      </c>
      <c r="HZ48" s="30" t="str">
        <f t="shared" si="72"/>
        <v xml:space="preserve"> </v>
      </c>
      <c r="IA48" s="30"/>
      <c r="IB48" s="88">
        <v>498</v>
      </c>
      <c r="IC48" s="88">
        <v>498.03760236000255</v>
      </c>
      <c r="ID48" s="28">
        <v>3.6727026678556447</v>
      </c>
      <c r="IE48" s="29">
        <v>3.8855797186412765E-2</v>
      </c>
      <c r="IF48" s="30">
        <f t="shared" si="28"/>
        <v>0.40265744996889202</v>
      </c>
      <c r="IG48" s="30" t="str">
        <f>IF(ABS(IF48)&gt;=1.96,"*"," ")</f>
        <v xml:space="preserve"> </v>
      </c>
      <c r="IH48" s="30"/>
      <c r="II48" s="88">
        <v>159</v>
      </c>
      <c r="IJ48" s="88">
        <v>158.29496404000014</v>
      </c>
      <c r="IK48" s="28">
        <v>3.9932572324933213</v>
      </c>
      <c r="IL48" s="29">
        <v>7.9812263091803642E-2</v>
      </c>
      <c r="IM48" s="30">
        <f t="shared" si="30"/>
        <v>-2.7122780822192278</v>
      </c>
      <c r="IN48" s="30" t="str">
        <f>IF(ABS(IM48)&gt;=1.96,"*"," ")</f>
        <v>*</v>
      </c>
      <c r="IO48" s="30"/>
      <c r="IP48" s="88">
        <v>399</v>
      </c>
      <c r="IQ48" s="88">
        <v>399.65104662000152</v>
      </c>
      <c r="IR48" s="28">
        <v>3.8928236953155597</v>
      </c>
      <c r="IS48" s="29">
        <v>5.5512436439352733E-2</v>
      </c>
      <c r="IT48" s="30">
        <f t="shared" si="32"/>
        <v>-2.0990407724068274</v>
      </c>
      <c r="IU48" s="30" t="str">
        <f>IF(ABS(IT48)&gt;=1.96,"*"," ")</f>
        <v>*</v>
      </c>
      <c r="IV48" s="30"/>
      <c r="IW48" s="88">
        <v>88</v>
      </c>
      <c r="IX48" s="88">
        <v>87.992400339999975</v>
      </c>
      <c r="IY48" s="28">
        <v>4.0340562843884342</v>
      </c>
      <c r="IZ48" s="29">
        <v>9.6247105193044399E-2</v>
      </c>
      <c r="JA48" s="30">
        <f t="shared" si="34"/>
        <v>-2.7624805380820967</v>
      </c>
      <c r="JB48" s="30" t="str">
        <f>IF(ABS(JA48)&gt;=1.96,"*"," ")</f>
        <v>*</v>
      </c>
      <c r="JC48" s="30"/>
      <c r="JD48" s="88">
        <v>328</v>
      </c>
      <c r="JE48" s="88">
        <v>325.52027440000114</v>
      </c>
      <c r="JF48" s="28">
        <v>4.0110915348564875</v>
      </c>
      <c r="JG48" s="29">
        <v>5.532366811621979E-2</v>
      </c>
      <c r="JH48" s="30">
        <f t="shared" si="35"/>
        <v>-3.4252498844788972</v>
      </c>
      <c r="JI48" s="30" t="str">
        <f>IF(ABS(JH48)&gt;=1.96,"*"," ")</f>
        <v>*</v>
      </c>
      <c r="JK48" s="27"/>
      <c r="JL48" s="27"/>
      <c r="JM48" s="28"/>
      <c r="JN48" s="29"/>
    </row>
    <row r="49" spans="26:268" x14ac:dyDescent="0.2">
      <c r="Z49" s="30"/>
      <c r="AA49" s="30"/>
      <c r="AG49" s="30"/>
      <c r="AH49" s="30"/>
      <c r="BX49" s="30"/>
      <c r="CE49" s="30"/>
      <c r="CL49" s="30"/>
      <c r="CS49" s="30"/>
      <c r="CZ49" s="30"/>
      <c r="DG49" s="30"/>
      <c r="DN49" s="30"/>
      <c r="DZ49" s="10"/>
      <c r="EA49" s="10"/>
      <c r="EG49" s="10"/>
      <c r="EH49" s="10"/>
      <c r="EN49" s="10"/>
      <c r="EO49" s="10"/>
      <c r="EU49" s="10"/>
      <c r="EV49" s="10"/>
      <c r="FB49" s="30"/>
      <c r="FI49" s="30"/>
      <c r="FP49" s="30"/>
      <c r="FW49" s="30"/>
      <c r="GD49" s="30"/>
      <c r="GK49" s="30"/>
      <c r="GW49" s="10"/>
      <c r="GX49" s="10"/>
      <c r="HD49" s="10"/>
      <c r="HE49" s="10"/>
      <c r="HK49" s="10"/>
      <c r="HL49" s="10"/>
      <c r="HR49" s="10"/>
      <c r="HS49" s="10"/>
      <c r="HY49" s="30"/>
      <c r="IF49" s="30"/>
      <c r="IM49" s="30"/>
      <c r="IT49" s="30"/>
      <c r="JA49" s="30"/>
      <c r="JH49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42"/>
  <sheetViews>
    <sheetView zoomScale="75" zoomScaleNormal="75" workbookViewId="0">
      <pane xSplit="2" ySplit="2" topLeftCell="O3" activePane="bottomRight" state="frozen"/>
      <selection pane="topRight" activeCell="C1" sqref="C1"/>
      <selection pane="bottomLeft" activeCell="A3" sqref="A3"/>
      <selection pane="bottomRight" activeCell="AQ7" sqref="AQ7"/>
    </sheetView>
  </sheetViews>
  <sheetFormatPr defaultColWidth="11.44140625" defaultRowHeight="13.15" x14ac:dyDescent="0.2"/>
  <cols>
    <col min="1" max="1" width="2.21875" style="11" customWidth="1"/>
    <col min="2" max="2" width="13.5546875" style="12" bestFit="1" customWidth="1"/>
    <col min="3" max="3" width="5" style="50" bestFit="1" customWidth="1"/>
    <col min="4" max="4" width="4.21875" style="33" bestFit="1" customWidth="1"/>
    <col min="5" max="7" width="4.109375" style="33" bestFit="1" customWidth="1"/>
    <col min="8" max="8" width="4.21875" style="33" bestFit="1" customWidth="1"/>
    <col min="9" max="9" width="4.109375" style="33" bestFit="1" customWidth="1"/>
    <col min="10" max="10" width="5" style="32" bestFit="1" customWidth="1"/>
    <col min="11" max="11" width="4.5546875" style="33" customWidth="1"/>
    <col min="12" max="12" width="4.5546875" style="34" customWidth="1"/>
    <col min="13" max="16" width="4.21875" style="33" bestFit="1" customWidth="1"/>
    <col min="17" max="18" width="4.109375" style="33" bestFit="1" customWidth="1"/>
    <col min="19" max="19" width="5" style="32" bestFit="1" customWidth="1"/>
    <col min="20" max="21" width="4.5546875" style="33" customWidth="1"/>
    <col min="22" max="22" width="3.5546875" style="34" customWidth="1"/>
    <col min="23" max="23" width="4.21875" style="33" bestFit="1" customWidth="1"/>
    <col min="24" max="24" width="4.21875" style="33" customWidth="1"/>
    <col min="25" max="26" width="4.109375" style="33" bestFit="1" customWidth="1"/>
    <col min="27" max="27" width="4.21875" style="33" bestFit="1" customWidth="1"/>
    <col min="28" max="28" width="4.109375" style="33" bestFit="1" customWidth="1"/>
    <col min="29" max="29" width="5" style="32" bestFit="1" customWidth="1"/>
    <col min="30" max="31" width="4.5546875" style="33" customWidth="1"/>
    <col min="32" max="32" width="4" style="34" customWidth="1"/>
    <col min="33" max="33" width="4.21875" style="34" bestFit="1" customWidth="1"/>
    <col min="34" max="34" width="4.44140625" style="34" bestFit="1" customWidth="1"/>
    <col min="35" max="35" width="4.21875" style="34" bestFit="1" customWidth="1"/>
    <col min="36" max="36" width="5" style="34" bestFit="1" customWidth="1"/>
    <col min="37" max="37" width="4.109375" style="34" bestFit="1" customWidth="1"/>
    <col min="38" max="38" width="6" style="34" customWidth="1"/>
    <col min="39" max="39" width="4.21875" style="34" bestFit="1" customWidth="1"/>
    <col min="40" max="40" width="5" style="106" bestFit="1" customWidth="1"/>
    <col min="41" max="41" width="4.5546875" style="34" bestFit="1" customWidth="1"/>
    <col min="42" max="42" width="4.33203125" style="11" customWidth="1"/>
    <col min="43" max="16384" width="11.44140625" style="11"/>
  </cols>
  <sheetData>
    <row r="1" spans="1:41" ht="22.25" customHeight="1" x14ac:dyDescent="0.2">
      <c r="B1" s="7"/>
      <c r="C1" s="45" t="s">
        <v>133</v>
      </c>
      <c r="D1" s="41" t="s">
        <v>44</v>
      </c>
      <c r="E1" s="41" t="s">
        <v>54</v>
      </c>
      <c r="F1" s="41" t="s">
        <v>55</v>
      </c>
      <c r="G1" s="41" t="s">
        <v>53</v>
      </c>
      <c r="H1" s="41" t="s">
        <v>61</v>
      </c>
      <c r="I1" s="41" t="s">
        <v>65</v>
      </c>
      <c r="J1" s="45" t="s">
        <v>0</v>
      </c>
      <c r="K1" s="41" t="s">
        <v>130</v>
      </c>
      <c r="L1" s="38"/>
      <c r="M1" s="41" t="s">
        <v>133</v>
      </c>
      <c r="N1" s="41" t="s">
        <v>46</v>
      </c>
      <c r="O1" s="41" t="s">
        <v>56</v>
      </c>
      <c r="P1" s="41" t="s">
        <v>57</v>
      </c>
      <c r="Q1" s="41" t="s">
        <v>63</v>
      </c>
      <c r="R1" s="41" t="s">
        <v>66</v>
      </c>
      <c r="S1" s="45" t="s">
        <v>1</v>
      </c>
      <c r="T1" s="41" t="s">
        <v>131</v>
      </c>
      <c r="U1" s="41"/>
      <c r="V1" s="38"/>
      <c r="W1" s="41" t="s">
        <v>133</v>
      </c>
      <c r="X1" s="41" t="s">
        <v>46</v>
      </c>
      <c r="Y1" s="41" t="s">
        <v>47</v>
      </c>
      <c r="Z1" s="41" t="s">
        <v>51</v>
      </c>
      <c r="AA1" s="41" t="s">
        <v>56</v>
      </c>
      <c r="AB1" s="41" t="s">
        <v>60</v>
      </c>
      <c r="AC1" s="45" t="s">
        <v>7</v>
      </c>
      <c r="AD1" s="41" t="s">
        <v>132</v>
      </c>
      <c r="AE1" s="41"/>
      <c r="AG1" s="38" t="s">
        <v>133</v>
      </c>
      <c r="AH1" s="100" t="s">
        <v>45</v>
      </c>
      <c r="AI1" s="100" t="s">
        <v>156</v>
      </c>
      <c r="AJ1" s="100" t="s">
        <v>49</v>
      </c>
      <c r="AK1" s="38" t="s">
        <v>54</v>
      </c>
      <c r="AL1" s="100" t="s">
        <v>63</v>
      </c>
      <c r="AM1" s="100" t="s">
        <v>64</v>
      </c>
      <c r="AN1" s="99" t="s">
        <v>0</v>
      </c>
      <c r="AO1" s="38" t="s">
        <v>130</v>
      </c>
    </row>
    <row r="2" spans="1:41" ht="12.55" x14ac:dyDescent="0.2">
      <c r="B2" s="7"/>
      <c r="C2" s="48"/>
      <c r="D2" s="42"/>
      <c r="E2" s="42"/>
      <c r="F2" s="42"/>
      <c r="G2" s="42"/>
      <c r="H2" s="42"/>
      <c r="I2" s="42"/>
      <c r="J2" s="46"/>
      <c r="K2" s="42"/>
      <c r="L2" s="39"/>
      <c r="M2" s="42"/>
      <c r="N2" s="41"/>
      <c r="O2" s="41"/>
      <c r="P2" s="41"/>
      <c r="Q2" s="41"/>
      <c r="R2" s="41"/>
      <c r="S2" s="46"/>
      <c r="T2" s="42"/>
      <c r="U2" s="42"/>
      <c r="V2" s="39"/>
      <c r="W2" s="42"/>
      <c r="X2" s="42"/>
      <c r="Y2" s="42"/>
      <c r="Z2" s="42"/>
      <c r="AA2" s="42"/>
      <c r="AB2" s="42"/>
      <c r="AC2" s="46"/>
      <c r="AD2" s="41"/>
      <c r="AE2" s="41"/>
      <c r="AG2" s="39"/>
      <c r="AK2" s="39"/>
      <c r="AN2" s="101"/>
      <c r="AO2" s="39"/>
    </row>
    <row r="3" spans="1:41" ht="12.55" x14ac:dyDescent="0.2">
      <c r="B3" s="7" t="s">
        <v>10</v>
      </c>
      <c r="C3" s="49">
        <f>MAX(D3,E3,F3,G3,H3,I3,J3)</f>
        <v>4.9983139002313104</v>
      </c>
      <c r="D3" s="28">
        <v>4.0408163265306172</v>
      </c>
      <c r="E3" s="44">
        <v>3.8103401936920283</v>
      </c>
      <c r="F3" s="44">
        <v>4.1203208151956643</v>
      </c>
      <c r="G3" s="44">
        <v>4.9983139002313104</v>
      </c>
      <c r="H3" s="44">
        <v>4.9977779756248886</v>
      </c>
      <c r="I3" s="44">
        <v>4.9981718464350999</v>
      </c>
      <c r="J3" s="47">
        <v>3.8286225204363671</v>
      </c>
      <c r="K3" s="51">
        <f t="shared" ref="K3:K40" si="0">_xlfn.RANK.EQ(J3,D3:J3)</f>
        <v>6</v>
      </c>
      <c r="L3" s="40"/>
      <c r="M3" s="49">
        <f>MAX(N3,O3,P3,Q3,R3,S3)</f>
        <v>4.4181796722484021</v>
      </c>
      <c r="N3" s="43">
        <v>4.1181007425169698</v>
      </c>
      <c r="O3" s="44">
        <v>4.3179327799271512</v>
      </c>
      <c r="P3" s="44">
        <v>4.1221840534029113</v>
      </c>
      <c r="Q3" s="44">
        <v>3.891314936656447</v>
      </c>
      <c r="R3" s="44">
        <v>4.4181796722484021</v>
      </c>
      <c r="S3" s="47">
        <v>3.6600715403758488</v>
      </c>
      <c r="T3" s="51">
        <f>_xlfn.RANK.EQ(S3,N3:S3)</f>
        <v>6</v>
      </c>
      <c r="U3" s="51"/>
      <c r="V3" s="40"/>
      <c r="W3" s="49">
        <f>MAX(X3,Y3,Z3,AA3,AB3,AC3)</f>
        <v>4.3179327799271512</v>
      </c>
      <c r="X3" s="43">
        <v>4.1181007425169698</v>
      </c>
      <c r="Y3" s="44">
        <v>4.1835666806752316</v>
      </c>
      <c r="Z3" s="44">
        <v>4.0675513813860684</v>
      </c>
      <c r="AA3" s="44">
        <v>4.3179327799271512</v>
      </c>
      <c r="AB3" s="44">
        <v>4.0208172111924014</v>
      </c>
      <c r="AC3" s="47">
        <v>3.4585180395228279</v>
      </c>
      <c r="AD3" s="51">
        <f>_xlfn.RANK.EQ(AC3,X3:AC3)</f>
        <v>6</v>
      </c>
      <c r="AE3" s="51"/>
      <c r="AG3" s="102">
        <f>MAX(AH3,AI3,AJ3,AK3,AL3,AM3,AN3)</f>
        <v>4.3726601207054383</v>
      </c>
      <c r="AH3" s="105">
        <v>4.3726601207054383</v>
      </c>
      <c r="AI3" s="105">
        <v>4.2052149715614275</v>
      </c>
      <c r="AJ3" s="105">
        <v>4.2655365080582701</v>
      </c>
      <c r="AK3" s="40">
        <v>3.8829542575386125</v>
      </c>
      <c r="AL3" s="105">
        <v>3.9716820338222969</v>
      </c>
      <c r="AM3" s="105">
        <v>4.1007178881110153</v>
      </c>
      <c r="AN3" s="103">
        <v>3.7825129480818545</v>
      </c>
      <c r="AO3" s="104">
        <v>7</v>
      </c>
    </row>
    <row r="4" spans="1:41" ht="16.899999999999999" customHeight="1" x14ac:dyDescent="0.2">
      <c r="B4" s="7" t="s">
        <v>3</v>
      </c>
      <c r="C4" s="49">
        <f t="shared" ref="C4:C40" si="1">MAX(D4,E4,F4,G4,H4,I4,J4)</f>
        <v>5</v>
      </c>
      <c r="D4" s="28">
        <v>3.9679487179487176</v>
      </c>
      <c r="E4" s="44">
        <v>3.6266767783742662</v>
      </c>
      <c r="F4" s="44">
        <v>4.0400851288803539</v>
      </c>
      <c r="G4" s="44">
        <v>5</v>
      </c>
      <c r="H4" s="44">
        <v>5</v>
      </c>
      <c r="I4" s="44">
        <v>5</v>
      </c>
      <c r="J4" s="47">
        <v>3.6698433351936441</v>
      </c>
      <c r="K4" s="51">
        <f t="shared" si="0"/>
        <v>6</v>
      </c>
      <c r="L4" s="40"/>
      <c r="M4" s="49">
        <f t="shared" ref="M4:M40" si="2">MAX(N4,O4,P4,Q4,R4,S4)</f>
        <v>4.332959101769708</v>
      </c>
      <c r="N4" s="43">
        <v>4.0135342571598347</v>
      </c>
      <c r="O4" s="44">
        <v>4.3038456622263501</v>
      </c>
      <c r="P4" s="44">
        <v>4.0736376556956548</v>
      </c>
      <c r="Q4" s="44">
        <v>3.7239584233925758</v>
      </c>
      <c r="R4" s="44">
        <v>4.332959101769708</v>
      </c>
      <c r="S4" s="47">
        <v>3.4944581918360615</v>
      </c>
      <c r="T4" s="51">
        <f t="shared" ref="T4:T40" si="3">_xlfn.RANK.EQ(S4,N4:S4)</f>
        <v>6</v>
      </c>
      <c r="U4" s="51"/>
      <c r="V4" s="40"/>
      <c r="W4" s="49">
        <f t="shared" ref="W4:W40" si="4">MAX(X4,Y4,Z4,AA4,AB4,AC4)</f>
        <v>4.3038456622263501</v>
      </c>
      <c r="X4" s="43">
        <v>4.0135342571598347</v>
      </c>
      <c r="Y4" s="44">
        <v>4.0107212957985832</v>
      </c>
      <c r="Z4" s="44">
        <v>4.0716212605363307</v>
      </c>
      <c r="AA4" s="44">
        <v>4.3038456622263501</v>
      </c>
      <c r="AB4" s="44">
        <v>3.9499384172436471</v>
      </c>
      <c r="AC4" s="47">
        <v>3.2695364649380001</v>
      </c>
      <c r="AD4" s="51">
        <f t="shared" ref="AD4:AD40" si="5">_xlfn.RANK.EQ(AC4,X4:AC4)</f>
        <v>6</v>
      </c>
      <c r="AE4" s="51"/>
      <c r="AG4" s="102">
        <f t="shared" ref="AG4:AG40" si="6">MAX(AH4,AI4,AJ4,AK4,AL4,AM4,AN4)</f>
        <v>4.2410839846293786</v>
      </c>
      <c r="AH4" s="105">
        <v>4.2320416215924137</v>
      </c>
      <c r="AI4" s="105">
        <v>4.1514425389323382</v>
      </c>
      <c r="AJ4" s="105">
        <v>4.2410839846293786</v>
      </c>
      <c r="AK4" s="40">
        <v>3.7299868351770531</v>
      </c>
      <c r="AL4" s="105">
        <v>3.8763100906704548</v>
      </c>
      <c r="AM4" s="105">
        <v>3.9927279548280086</v>
      </c>
      <c r="AN4" s="103">
        <v>3.7103005442331201</v>
      </c>
      <c r="AO4" s="104">
        <v>7</v>
      </c>
    </row>
    <row r="5" spans="1:41" ht="12.55" x14ac:dyDescent="0.2">
      <c r="B5" s="7" t="s">
        <v>4</v>
      </c>
      <c r="C5" s="49">
        <f t="shared" si="1"/>
        <v>5</v>
      </c>
      <c r="D5" s="28">
        <v>4.0733944954128445</v>
      </c>
      <c r="E5" s="44">
        <v>3.8409367317412269</v>
      </c>
      <c r="F5" s="44">
        <v>4.1388777332404132</v>
      </c>
      <c r="G5" s="44">
        <v>4.9973227756357606</v>
      </c>
      <c r="H5" s="44">
        <v>4.9980511717771137</v>
      </c>
      <c r="I5" s="44">
        <v>5</v>
      </c>
      <c r="J5" s="47">
        <v>3.8485446150408138</v>
      </c>
      <c r="K5" s="51">
        <f t="shared" si="0"/>
        <v>6</v>
      </c>
      <c r="L5" s="40"/>
      <c r="M5" s="49">
        <f t="shared" si="2"/>
        <v>4.443929671068565</v>
      </c>
      <c r="N5" s="43">
        <v>4.1541532315540088</v>
      </c>
      <c r="O5" s="44">
        <v>4.360149377490532</v>
      </c>
      <c r="P5" s="44">
        <v>4.1666885469524058</v>
      </c>
      <c r="Q5" s="44">
        <v>3.9195453445201638</v>
      </c>
      <c r="R5" s="44">
        <v>4.443929671068565</v>
      </c>
      <c r="S5" s="47">
        <v>3.7099663219214256</v>
      </c>
      <c r="T5" s="51">
        <f t="shared" si="3"/>
        <v>6</v>
      </c>
      <c r="U5" s="51"/>
      <c r="V5" s="40"/>
      <c r="W5" s="49">
        <f t="shared" si="4"/>
        <v>4.360149377490532</v>
      </c>
      <c r="X5" s="43">
        <v>4.1541532315540088</v>
      </c>
      <c r="Y5" s="44">
        <v>4.2433450683524239</v>
      </c>
      <c r="Z5" s="44">
        <v>4.0857021580364048</v>
      </c>
      <c r="AA5" s="44">
        <v>4.360149377490532</v>
      </c>
      <c r="AB5" s="44">
        <v>4.0260683209754147</v>
      </c>
      <c r="AC5" s="47">
        <v>3.5232150410714334</v>
      </c>
      <c r="AD5" s="51">
        <f t="shared" si="5"/>
        <v>6</v>
      </c>
      <c r="AE5" s="51"/>
      <c r="AG5" s="102">
        <f t="shared" si="6"/>
        <v>4.2928891215821201</v>
      </c>
      <c r="AH5" s="105">
        <v>4.26348083467267</v>
      </c>
      <c r="AI5" s="105">
        <v>4.2504485023980703</v>
      </c>
      <c r="AJ5" s="105">
        <v>4.2928891215821201</v>
      </c>
      <c r="AK5" s="40">
        <v>3.8856879468362546</v>
      </c>
      <c r="AL5" s="105">
        <v>4.0513340135980833</v>
      </c>
      <c r="AM5" s="105">
        <v>4.1648329274610614</v>
      </c>
      <c r="AN5" s="103">
        <v>3.7581210061494681</v>
      </c>
      <c r="AO5" s="104">
        <v>7</v>
      </c>
    </row>
    <row r="6" spans="1:41" ht="12.55" x14ac:dyDescent="0.2">
      <c r="B6" s="7" t="s">
        <v>5</v>
      </c>
      <c r="C6" s="49">
        <f t="shared" si="1"/>
        <v>5</v>
      </c>
      <c r="D6" s="28">
        <v>4.0535714285714306</v>
      </c>
      <c r="E6" s="44">
        <v>3.8637961106415939</v>
      </c>
      <c r="F6" s="44">
        <v>4.156105173628708</v>
      </c>
      <c r="G6" s="44">
        <v>5</v>
      </c>
      <c r="H6" s="44">
        <v>4.9957736198289142</v>
      </c>
      <c r="I6" s="44">
        <v>4.9935897435897427</v>
      </c>
      <c r="J6" s="47">
        <v>3.8602117853650002</v>
      </c>
      <c r="K6" s="51">
        <f t="shared" si="0"/>
        <v>7</v>
      </c>
      <c r="L6" s="40"/>
      <c r="M6" s="49">
        <f t="shared" si="2"/>
        <v>4.3812810881547968</v>
      </c>
      <c r="N6" s="43">
        <v>4.1655071338946499</v>
      </c>
      <c r="O6" s="44">
        <v>4.1165450174030926</v>
      </c>
      <c r="P6" s="44">
        <v>3.998904639389254</v>
      </c>
      <c r="Q6" s="44">
        <v>3.9783688386475338</v>
      </c>
      <c r="R6" s="44">
        <v>4.3812810881547968</v>
      </c>
      <c r="S6" s="47">
        <v>3.7350092352831927</v>
      </c>
      <c r="T6" s="51">
        <f t="shared" si="3"/>
        <v>6</v>
      </c>
      <c r="U6" s="51"/>
      <c r="V6" s="40"/>
      <c r="W6" s="49">
        <f t="shared" si="4"/>
        <v>4.2384140400827022</v>
      </c>
      <c r="X6" s="43">
        <v>4.1655071338946499</v>
      </c>
      <c r="Y6" s="44">
        <v>4.2384140400827022</v>
      </c>
      <c r="Z6" s="44">
        <v>4.0068275909535265</v>
      </c>
      <c r="AA6" s="44">
        <v>4.1165450174030926</v>
      </c>
      <c r="AB6" s="44">
        <v>4.0917080567146682</v>
      </c>
      <c r="AC6" s="47">
        <v>3.5146980276528024</v>
      </c>
      <c r="AD6" s="51">
        <f t="shared" si="5"/>
        <v>6</v>
      </c>
      <c r="AE6" s="51"/>
      <c r="AG6" s="102">
        <f t="shared" si="6"/>
        <v>4.5577121542887244</v>
      </c>
      <c r="AH6" s="105">
        <v>4.5577121542887244</v>
      </c>
      <c r="AI6" s="105">
        <v>4.1027831540602566</v>
      </c>
      <c r="AJ6" s="105">
        <v>4.2516344888632265</v>
      </c>
      <c r="AK6" s="40">
        <v>4.0305526259089524</v>
      </c>
      <c r="AL6" s="105">
        <v>3.8503391027620433</v>
      </c>
      <c r="AM6" s="105">
        <v>4.024710910828543</v>
      </c>
      <c r="AN6" s="103">
        <v>3.924930646757598</v>
      </c>
      <c r="AO6" s="104">
        <v>7</v>
      </c>
    </row>
    <row r="7" spans="1:41" ht="12.55" x14ac:dyDescent="0.2">
      <c r="B7" s="7" t="s">
        <v>6</v>
      </c>
      <c r="C7" s="49">
        <f t="shared" si="1"/>
        <v>4.9981179096665747</v>
      </c>
      <c r="D7" s="28">
        <v>4.0704960835509141</v>
      </c>
      <c r="E7" s="44">
        <v>3.8459861609959911</v>
      </c>
      <c r="F7" s="44">
        <v>4.1424211198148218</v>
      </c>
      <c r="G7" s="44">
        <v>4.9981179096665747</v>
      </c>
      <c r="H7" s="44">
        <v>4.9973302094249021</v>
      </c>
      <c r="I7" s="44">
        <v>4.9977011494252856</v>
      </c>
      <c r="J7" s="47">
        <v>3.8511090880309529</v>
      </c>
      <c r="K7" s="51">
        <f t="shared" si="0"/>
        <v>6</v>
      </c>
      <c r="L7" s="40"/>
      <c r="M7" s="49">
        <f t="shared" si="2"/>
        <v>4.4300928209217831</v>
      </c>
      <c r="N7" s="43">
        <v>4.1559095374440185</v>
      </c>
      <c r="O7" s="44">
        <v>4.3230253820111866</v>
      </c>
      <c r="P7" s="44">
        <v>4.1465215597173319</v>
      </c>
      <c r="Q7" s="44">
        <v>3.9295501582135661</v>
      </c>
      <c r="R7" s="44">
        <v>4.4300928209217831</v>
      </c>
      <c r="S7" s="47">
        <v>3.7138292849717467</v>
      </c>
      <c r="T7" s="51">
        <f t="shared" si="3"/>
        <v>6</v>
      </c>
      <c r="U7" s="51"/>
      <c r="V7" s="40"/>
      <c r="W7" s="49">
        <f t="shared" si="4"/>
        <v>4.3230253820111866</v>
      </c>
      <c r="X7" s="43">
        <v>4.1559095374440185</v>
      </c>
      <c r="Y7" s="44">
        <v>4.242481428372586</v>
      </c>
      <c r="Z7" s="44">
        <v>4.0667040541469444</v>
      </c>
      <c r="AA7" s="44">
        <v>4.3230253820111866</v>
      </c>
      <c r="AB7" s="44">
        <v>4.0378275852273857</v>
      </c>
      <c r="AC7" s="47">
        <v>3.5220847043525776</v>
      </c>
      <c r="AD7" s="51">
        <f t="shared" si="5"/>
        <v>6</v>
      </c>
      <c r="AE7" s="51"/>
      <c r="AG7" s="102">
        <f t="shared" si="6"/>
        <v>4.4100087511979114</v>
      </c>
      <c r="AH7" s="105">
        <v>4.4100087511979114</v>
      </c>
      <c r="AI7" s="105">
        <v>4.2261169773683811</v>
      </c>
      <c r="AJ7" s="105">
        <v>4.2811414427530794</v>
      </c>
      <c r="AK7" s="40">
        <v>3.9192308415429316</v>
      </c>
      <c r="AL7" s="105">
        <v>4.0116019130116642</v>
      </c>
      <c r="AM7" s="105">
        <v>4.1417918891654057</v>
      </c>
      <c r="AN7" s="103">
        <v>3.7952188491507921</v>
      </c>
      <c r="AO7" s="104">
        <v>7</v>
      </c>
    </row>
    <row r="8" spans="1:41" ht="12.55" x14ac:dyDescent="0.2">
      <c r="A8" s="73"/>
      <c r="B8" s="7" t="s">
        <v>11</v>
      </c>
      <c r="C8" s="49">
        <f t="shared" si="1"/>
        <v>4.977272727272724</v>
      </c>
      <c r="D8" s="28">
        <v>4.0376712328767113</v>
      </c>
      <c r="E8" s="44">
        <v>3.4028169757634843</v>
      </c>
      <c r="F8" s="44">
        <v>4.0693066599107608</v>
      </c>
      <c r="G8" s="44">
        <v>4.9070707070706998</v>
      </c>
      <c r="H8" s="44">
        <v>4.8800016811019535</v>
      </c>
      <c r="I8" s="44">
        <v>4.977272727272724</v>
      </c>
      <c r="J8" s="47">
        <v>3.736662636218695</v>
      </c>
      <c r="K8" s="51">
        <f t="shared" si="0"/>
        <v>6</v>
      </c>
      <c r="L8" s="40"/>
      <c r="M8" s="49">
        <f t="shared" si="2"/>
        <v>4.2657782984242534</v>
      </c>
      <c r="N8" s="43">
        <v>3.9856025205672401</v>
      </c>
      <c r="O8" s="44">
        <v>3.9507335765970053</v>
      </c>
      <c r="P8" s="44">
        <v>3.8837263036290852</v>
      </c>
      <c r="Q8" s="44">
        <v>4.0049662972402835</v>
      </c>
      <c r="R8" s="44">
        <v>4.2657782984242534</v>
      </c>
      <c r="S8" s="47">
        <v>3.801217418601917</v>
      </c>
      <c r="T8" s="51">
        <f t="shared" si="3"/>
        <v>6</v>
      </c>
      <c r="U8" s="51"/>
      <c r="V8" s="40"/>
      <c r="W8" s="49">
        <f t="shared" si="4"/>
        <v>4.188890440101777</v>
      </c>
      <c r="X8" s="43">
        <v>3.9856025205672401</v>
      </c>
      <c r="Y8" s="44">
        <v>4.188890440101777</v>
      </c>
      <c r="Z8" s="44">
        <v>4.0031845568110258</v>
      </c>
      <c r="AA8" s="44">
        <v>3.9507335765970053</v>
      </c>
      <c r="AB8" s="44">
        <v>4.0911600241886825</v>
      </c>
      <c r="AC8" s="47">
        <v>3.4416323604195016</v>
      </c>
      <c r="AD8" s="51">
        <f t="shared" si="5"/>
        <v>6</v>
      </c>
      <c r="AE8" s="51"/>
      <c r="AG8" s="102">
        <f t="shared" si="6"/>
        <v>4.3296767690942719</v>
      </c>
      <c r="AH8" s="105">
        <v>4.3296767690942719</v>
      </c>
      <c r="AI8" s="105">
        <v>4.2450462975880621</v>
      </c>
      <c r="AJ8" s="105">
        <v>4.2174154370004731</v>
      </c>
      <c r="AK8" s="40">
        <v>3.7084578643684725</v>
      </c>
      <c r="AL8" s="105">
        <v>4.1072845496553478</v>
      </c>
      <c r="AM8" s="105">
        <v>4.0911024740845372</v>
      </c>
      <c r="AN8" s="103">
        <v>3.7084505812710447</v>
      </c>
      <c r="AO8" s="104">
        <v>7</v>
      </c>
    </row>
    <row r="9" spans="1:41" ht="12.55" x14ac:dyDescent="0.2">
      <c r="B9" s="7" t="s">
        <v>12</v>
      </c>
      <c r="C9" s="49">
        <f t="shared" si="1"/>
        <v>5</v>
      </c>
      <c r="D9" s="28">
        <v>3.4920634920634925</v>
      </c>
      <c r="E9" s="44">
        <v>3.2755904860201848</v>
      </c>
      <c r="F9" s="44">
        <v>4.0417862388657646</v>
      </c>
      <c r="G9" s="44">
        <v>4.8958333333333348</v>
      </c>
      <c r="H9" s="44">
        <v>4.7408445500946392</v>
      </c>
      <c r="I9" s="44">
        <v>5</v>
      </c>
      <c r="J9" s="47">
        <v>3.584891158967233</v>
      </c>
      <c r="K9" s="51">
        <f t="shared" si="0"/>
        <v>5</v>
      </c>
      <c r="L9" s="40"/>
      <c r="M9" s="49">
        <f t="shared" si="2"/>
        <v>4.1148538357744737</v>
      </c>
      <c r="N9" s="43">
        <v>3.4769114307479163</v>
      </c>
      <c r="O9" s="44">
        <v>3.8500693796751411</v>
      </c>
      <c r="P9" s="44">
        <v>3.7040245633575037</v>
      </c>
      <c r="Q9" s="44">
        <v>3.6250548691694995</v>
      </c>
      <c r="R9" s="44">
        <v>4.1148538357744737</v>
      </c>
      <c r="S9" s="47">
        <v>3.5971494676444253</v>
      </c>
      <c r="T9" s="51">
        <f t="shared" si="3"/>
        <v>5</v>
      </c>
      <c r="U9" s="51"/>
      <c r="V9" s="40"/>
      <c r="W9" s="49">
        <f t="shared" si="4"/>
        <v>4.0570407168411622</v>
      </c>
      <c r="X9" s="43">
        <v>3.4769114307479163</v>
      </c>
      <c r="Y9" s="44">
        <v>4.0570407168411622</v>
      </c>
      <c r="Z9" s="44">
        <v>3.6029183468119754</v>
      </c>
      <c r="AA9" s="44">
        <v>3.8500693796751411</v>
      </c>
      <c r="AB9" s="44">
        <v>3.5377809002237277</v>
      </c>
      <c r="AC9" s="47">
        <v>3.0329282000604834</v>
      </c>
      <c r="AD9" s="51">
        <f t="shared" si="5"/>
        <v>6</v>
      </c>
      <c r="AE9" s="51"/>
      <c r="AG9" s="102">
        <f t="shared" si="6"/>
        <v>4.2230548352655326</v>
      </c>
      <c r="AH9" s="105">
        <v>4.0411634999498895</v>
      </c>
      <c r="AI9" s="105">
        <v>3.9327641564839659</v>
      </c>
      <c r="AJ9" s="105">
        <v>4.2230548352655326</v>
      </c>
      <c r="AK9" s="40">
        <v>3.484190095829415</v>
      </c>
      <c r="AL9" s="105">
        <v>3.7229244293574704</v>
      </c>
      <c r="AM9" s="105">
        <v>3.7048947539855859</v>
      </c>
      <c r="AN9" s="103">
        <v>3.6668727577126345</v>
      </c>
      <c r="AO9" s="104">
        <v>6</v>
      </c>
    </row>
    <row r="10" spans="1:41" ht="12.55" x14ac:dyDescent="0.2">
      <c r="B10" s="7" t="s">
        <v>13</v>
      </c>
      <c r="C10" s="49">
        <f t="shared" si="1"/>
        <v>5</v>
      </c>
      <c r="D10" s="28">
        <v>2.8474576271186436</v>
      </c>
      <c r="E10" s="44">
        <v>3.0639584058903671</v>
      </c>
      <c r="F10" s="44">
        <v>3.0839310990272937</v>
      </c>
      <c r="G10" s="44">
        <v>4.7948717948717938</v>
      </c>
      <c r="H10" s="44">
        <v>4.5002127703608847</v>
      </c>
      <c r="I10" s="44">
        <v>5</v>
      </c>
      <c r="J10" s="47">
        <v>3.1091231841815192</v>
      </c>
      <c r="K10" s="51">
        <f t="shared" si="0"/>
        <v>4</v>
      </c>
      <c r="L10" s="40"/>
      <c r="M10" s="49">
        <f t="shared" si="2"/>
        <v>3.6268159805024358</v>
      </c>
      <c r="N10" s="43">
        <v>2.6450778096970531</v>
      </c>
      <c r="O10" s="44">
        <v>3.1404289384000639</v>
      </c>
      <c r="P10" s="44">
        <v>2.3706463604730308</v>
      </c>
      <c r="Q10" s="44">
        <v>2.9097174802108605</v>
      </c>
      <c r="R10" s="44">
        <v>3.6268159805024358</v>
      </c>
      <c r="S10" s="47">
        <v>2.8871831867540743</v>
      </c>
      <c r="T10" s="51">
        <f t="shared" si="3"/>
        <v>4</v>
      </c>
      <c r="U10" s="51"/>
      <c r="V10" s="40"/>
      <c r="W10" s="49">
        <f t="shared" si="4"/>
        <v>3.6746809870461341</v>
      </c>
      <c r="X10" s="43">
        <v>2.6450778096970531</v>
      </c>
      <c r="Y10" s="44">
        <v>3.6746809870461341</v>
      </c>
      <c r="Z10" s="44">
        <v>3.3353187113539717</v>
      </c>
      <c r="AA10" s="44">
        <v>3.1404289384000639</v>
      </c>
      <c r="AB10" s="44">
        <v>3.1323355228677094</v>
      </c>
      <c r="AC10" s="47">
        <v>2.8901403085410902</v>
      </c>
      <c r="AD10" s="51">
        <f t="shared" si="5"/>
        <v>5</v>
      </c>
      <c r="AE10" s="51"/>
      <c r="AG10" s="102">
        <f t="shared" si="6"/>
        <v>3.7485134608537911</v>
      </c>
      <c r="AH10" s="105">
        <v>3.7485134608537911</v>
      </c>
      <c r="AI10" s="105">
        <v>3.3427068682541079</v>
      </c>
      <c r="AJ10" s="105">
        <v>3.4053581431346105</v>
      </c>
      <c r="AK10" s="40">
        <v>3.2342339868193846</v>
      </c>
      <c r="AL10" s="105">
        <v>2.9379510428709676</v>
      </c>
      <c r="AM10" s="105">
        <v>2.9838276354073745</v>
      </c>
      <c r="AN10" s="103">
        <v>2.9319934830275378</v>
      </c>
      <c r="AO10" s="104">
        <v>7</v>
      </c>
    </row>
    <row r="11" spans="1:41" ht="12.55" x14ac:dyDescent="0.2">
      <c r="B11" s="7" t="s">
        <v>14</v>
      </c>
      <c r="C11" s="49">
        <f t="shared" si="1"/>
        <v>4.992395437262358</v>
      </c>
      <c r="D11" s="28">
        <v>4.0769230769230793</v>
      </c>
      <c r="E11" s="44">
        <v>3.5568723917199407</v>
      </c>
      <c r="F11" s="44">
        <v>4.06102906244036</v>
      </c>
      <c r="G11" s="44">
        <v>4.8931623931623918</v>
      </c>
      <c r="H11" s="44">
        <v>4.8459528236375977</v>
      </c>
      <c r="I11" s="44">
        <v>4.992395437262358</v>
      </c>
      <c r="J11" s="47">
        <v>3.6252846002793162</v>
      </c>
      <c r="K11" s="51">
        <f t="shared" si="0"/>
        <v>6</v>
      </c>
      <c r="L11" s="40"/>
      <c r="M11" s="49">
        <f t="shared" si="2"/>
        <v>4.3998805435030519</v>
      </c>
      <c r="N11" s="43">
        <v>3.7983395473434021</v>
      </c>
      <c r="O11" s="44">
        <v>3.880433337826767</v>
      </c>
      <c r="P11" s="44">
        <v>3.7530351307265519</v>
      </c>
      <c r="Q11" s="44">
        <v>3.7521279392759355</v>
      </c>
      <c r="R11" s="44">
        <v>4.3998805435030519</v>
      </c>
      <c r="S11" s="47">
        <v>3.5827921950873214</v>
      </c>
      <c r="T11" s="51">
        <f t="shared" si="3"/>
        <v>6</v>
      </c>
      <c r="U11" s="51"/>
      <c r="V11" s="40"/>
      <c r="W11" s="49">
        <f t="shared" si="4"/>
        <v>3.945318267674554</v>
      </c>
      <c r="X11" s="43">
        <v>3.7983395473434021</v>
      </c>
      <c r="Y11" s="44">
        <v>3.945318267674554</v>
      </c>
      <c r="Z11" s="44">
        <v>3.8018144650852341</v>
      </c>
      <c r="AA11" s="44">
        <v>3.880433337826767</v>
      </c>
      <c r="AB11" s="44">
        <v>3.7124397429723506</v>
      </c>
      <c r="AC11" s="47">
        <v>3.4705123686255952</v>
      </c>
      <c r="AD11" s="51">
        <f t="shared" si="5"/>
        <v>6</v>
      </c>
      <c r="AE11" s="51"/>
      <c r="AG11" s="102">
        <f t="shared" si="6"/>
        <v>4.0824014556036676</v>
      </c>
      <c r="AH11" s="105">
        <v>4.0824014556036676</v>
      </c>
      <c r="AI11" s="105">
        <v>4.0665555480743389</v>
      </c>
      <c r="AJ11" s="105">
        <v>4.0344698787118345</v>
      </c>
      <c r="AK11" s="40">
        <v>3.759697957478056</v>
      </c>
      <c r="AL11" s="105">
        <v>3.750679574752644</v>
      </c>
      <c r="AM11" s="105">
        <v>3.740914012891762</v>
      </c>
      <c r="AN11" s="103">
        <v>3.6133915185083874</v>
      </c>
      <c r="AO11" s="104">
        <v>7</v>
      </c>
    </row>
    <row r="12" spans="1:41" ht="12.55" x14ac:dyDescent="0.2">
      <c r="A12" s="73"/>
      <c r="B12" s="7" t="s">
        <v>15</v>
      </c>
      <c r="C12" s="49">
        <f t="shared" si="1"/>
        <v>4.9844155844155829</v>
      </c>
      <c r="D12" s="28">
        <v>3.8089887640449431</v>
      </c>
      <c r="E12" s="44">
        <v>3.9762131380751007</v>
      </c>
      <c r="F12" s="44">
        <v>4.0135031511892123</v>
      </c>
      <c r="G12" s="44">
        <v>4.8461538461538458</v>
      </c>
      <c r="H12" s="44">
        <v>4.8136182869378086</v>
      </c>
      <c r="I12" s="44">
        <v>4.9844155844155829</v>
      </c>
      <c r="J12" s="47">
        <v>3.8004476640817613</v>
      </c>
      <c r="K12" s="51">
        <f t="shared" si="0"/>
        <v>7</v>
      </c>
      <c r="L12" s="40"/>
      <c r="M12" s="49">
        <f t="shared" si="2"/>
        <v>4.3075249678296723</v>
      </c>
      <c r="N12" s="43">
        <v>4.1492059480377437</v>
      </c>
      <c r="O12" s="44">
        <v>4.187124807893178</v>
      </c>
      <c r="P12" s="44">
        <v>3.9584960994623981</v>
      </c>
      <c r="Q12" s="44">
        <v>3.9070004066876618</v>
      </c>
      <c r="R12" s="44">
        <v>4.3075249678296723</v>
      </c>
      <c r="S12" s="47">
        <v>3.7811637918728596</v>
      </c>
      <c r="T12" s="51">
        <f t="shared" si="3"/>
        <v>6</v>
      </c>
      <c r="U12" s="51"/>
      <c r="V12" s="40"/>
      <c r="W12" s="49">
        <f t="shared" si="4"/>
        <v>4.1977051285746292</v>
      </c>
      <c r="X12" s="43">
        <v>4.1492059480377437</v>
      </c>
      <c r="Y12" s="44">
        <v>4.1797706910074712</v>
      </c>
      <c r="Z12" s="44">
        <v>4.084578652910154</v>
      </c>
      <c r="AA12" s="44">
        <v>4.187124807893178</v>
      </c>
      <c r="AB12" s="44">
        <v>4.1977051285746292</v>
      </c>
      <c r="AC12" s="47">
        <v>3.9758906218623671</v>
      </c>
      <c r="AD12" s="51">
        <f t="shared" si="5"/>
        <v>6</v>
      </c>
      <c r="AE12" s="51"/>
      <c r="AG12" s="102">
        <f t="shared" si="6"/>
        <v>4.2853996913820955</v>
      </c>
      <c r="AH12" s="105">
        <v>4.2853996913820955</v>
      </c>
      <c r="AI12" s="105">
        <v>4.105471928093805</v>
      </c>
      <c r="AJ12" s="105">
        <v>4.1576514263674547</v>
      </c>
      <c r="AK12" s="40">
        <v>4.0639254671004394</v>
      </c>
      <c r="AL12" s="105">
        <v>4.0325950008950846</v>
      </c>
      <c r="AM12" s="105">
        <v>4.0800329090748795</v>
      </c>
      <c r="AN12" s="103">
        <v>3.8463141894259638</v>
      </c>
      <c r="AO12" s="104">
        <v>7</v>
      </c>
    </row>
    <row r="13" spans="1:41" ht="12.55" x14ac:dyDescent="0.2">
      <c r="B13" s="7" t="s">
        <v>16</v>
      </c>
      <c r="C13" s="49">
        <f t="shared" si="1"/>
        <v>4.9896103896103874</v>
      </c>
      <c r="D13" s="28">
        <v>4.049242424242423</v>
      </c>
      <c r="E13" s="44">
        <v>4.0705408127383418</v>
      </c>
      <c r="F13" s="44">
        <v>4.2027461776323047</v>
      </c>
      <c r="G13" s="44">
        <v>4.9052631578947326</v>
      </c>
      <c r="H13" s="44">
        <v>4.8248325174878728</v>
      </c>
      <c r="I13" s="44">
        <v>4.9896103896103874</v>
      </c>
      <c r="J13" s="47">
        <v>4.035568872159307</v>
      </c>
      <c r="K13" s="51">
        <f t="shared" si="0"/>
        <v>7</v>
      </c>
      <c r="L13" s="40"/>
      <c r="M13" s="49">
        <f t="shared" si="2"/>
        <v>4.3999038996317825</v>
      </c>
      <c r="N13" s="43">
        <v>4.2324115570378789</v>
      </c>
      <c r="O13" s="44">
        <v>4.3429368323391992</v>
      </c>
      <c r="P13" s="44">
        <v>4.111351163799867</v>
      </c>
      <c r="Q13" s="44">
        <v>4.1940871273074123</v>
      </c>
      <c r="R13" s="44">
        <v>4.3999038996317825</v>
      </c>
      <c r="S13" s="47">
        <v>3.9474654481019322</v>
      </c>
      <c r="T13" s="51">
        <f t="shared" si="3"/>
        <v>6</v>
      </c>
      <c r="U13" s="51"/>
      <c r="V13" s="40"/>
      <c r="W13" s="49">
        <f t="shared" si="4"/>
        <v>4.3429368323391992</v>
      </c>
      <c r="X13" s="43">
        <v>4.2324115570378789</v>
      </c>
      <c r="Y13" s="44">
        <v>4.3423760643390255</v>
      </c>
      <c r="Z13" s="44">
        <v>4.1791058156614351</v>
      </c>
      <c r="AA13" s="44">
        <v>4.3429368323391992</v>
      </c>
      <c r="AB13" s="44">
        <v>4.2083407519227212</v>
      </c>
      <c r="AC13" s="47">
        <v>4.0835569175341693</v>
      </c>
      <c r="AD13" s="51">
        <f t="shared" si="5"/>
        <v>6</v>
      </c>
      <c r="AE13" s="51"/>
      <c r="AG13" s="102">
        <f t="shared" si="6"/>
        <v>4.4123592615748679</v>
      </c>
      <c r="AH13" s="105">
        <v>4.4123592615748679</v>
      </c>
      <c r="AI13" s="105">
        <v>4.3229705144721065</v>
      </c>
      <c r="AJ13" s="105">
        <v>4.2834336206531987</v>
      </c>
      <c r="AK13" s="40">
        <v>4.1567524413714798</v>
      </c>
      <c r="AL13" s="105">
        <v>4.2415872150439249</v>
      </c>
      <c r="AM13" s="105">
        <v>4.2070529309767082</v>
      </c>
      <c r="AN13" s="103">
        <v>4.0848749378580047</v>
      </c>
      <c r="AO13" s="104">
        <v>7</v>
      </c>
    </row>
    <row r="14" spans="1:41" ht="12.55" x14ac:dyDescent="0.2">
      <c r="B14" s="7" t="s">
        <v>17</v>
      </c>
      <c r="C14" s="49">
        <f t="shared" si="1"/>
        <v>4.9870466321243487</v>
      </c>
      <c r="D14" s="28">
        <v>4.0415094339622648</v>
      </c>
      <c r="E14" s="44">
        <v>4.0895721829073208</v>
      </c>
      <c r="F14" s="44">
        <v>4.2672443455879847</v>
      </c>
      <c r="G14" s="44">
        <v>4.9026915113871627</v>
      </c>
      <c r="H14" s="44">
        <v>4.8251729224914559</v>
      </c>
      <c r="I14" s="44">
        <v>4.9870466321243487</v>
      </c>
      <c r="J14" s="47">
        <v>4.0252996336325371</v>
      </c>
      <c r="K14" s="51">
        <f t="shared" si="0"/>
        <v>7</v>
      </c>
      <c r="L14" s="40"/>
      <c r="M14" s="49">
        <f t="shared" si="2"/>
        <v>4.4096300229717054</v>
      </c>
      <c r="N14" s="43">
        <v>4.1842541111930558</v>
      </c>
      <c r="O14" s="44">
        <v>4.3984077890393873</v>
      </c>
      <c r="P14" s="44">
        <v>4.1685727516740263</v>
      </c>
      <c r="Q14" s="44">
        <v>4.2371157468960057</v>
      </c>
      <c r="R14" s="44">
        <v>4.4096300229717054</v>
      </c>
      <c r="S14" s="47">
        <v>3.9019660046548661</v>
      </c>
      <c r="T14" s="51">
        <f t="shared" si="3"/>
        <v>6</v>
      </c>
      <c r="U14" s="51"/>
      <c r="V14" s="40"/>
      <c r="W14" s="49">
        <f t="shared" si="4"/>
        <v>4.3984077890393873</v>
      </c>
      <c r="X14" s="43">
        <v>4.1842541111930558</v>
      </c>
      <c r="Y14" s="44">
        <v>4.3160434386007296</v>
      </c>
      <c r="Z14" s="44">
        <v>4.1998976315810346</v>
      </c>
      <c r="AA14" s="44">
        <v>4.3984077890393873</v>
      </c>
      <c r="AB14" s="44">
        <v>4.1357078158206289</v>
      </c>
      <c r="AC14" s="47">
        <v>4.0515556483198569</v>
      </c>
      <c r="AD14" s="51">
        <f t="shared" si="5"/>
        <v>6</v>
      </c>
      <c r="AE14" s="51"/>
      <c r="AG14" s="102">
        <f t="shared" si="6"/>
        <v>4.4546835821679904</v>
      </c>
      <c r="AH14" s="105">
        <v>4.4546835821679904</v>
      </c>
      <c r="AI14" s="105">
        <v>4.3371507821642323</v>
      </c>
      <c r="AJ14" s="105">
        <v>4.3446400999091503</v>
      </c>
      <c r="AK14" s="40">
        <v>4.1500123522893206</v>
      </c>
      <c r="AL14" s="105">
        <v>4.2944267622072374</v>
      </c>
      <c r="AM14" s="105">
        <v>4.222927162454936</v>
      </c>
      <c r="AN14" s="103">
        <v>4.0462833186320584</v>
      </c>
      <c r="AO14" s="104">
        <v>7</v>
      </c>
    </row>
    <row r="15" spans="1:41" ht="12.55" x14ac:dyDescent="0.2">
      <c r="A15" s="73"/>
      <c r="B15" s="7" t="s">
        <v>18</v>
      </c>
      <c r="C15" s="49">
        <f t="shared" si="1"/>
        <v>4.9907918968692435</v>
      </c>
      <c r="D15" s="28">
        <v>3.9439461883408056</v>
      </c>
      <c r="E15" s="44">
        <v>4.0014436535866587</v>
      </c>
      <c r="F15" s="44">
        <v>4.1758670408303411</v>
      </c>
      <c r="G15" s="44">
        <v>4.9350393700787309</v>
      </c>
      <c r="H15" s="44">
        <v>4.7935071373144273</v>
      </c>
      <c r="I15" s="44">
        <v>4.9907918968692435</v>
      </c>
      <c r="J15" s="47">
        <v>3.9347494753563508</v>
      </c>
      <c r="K15" s="51">
        <f t="shared" si="0"/>
        <v>7</v>
      </c>
      <c r="L15" s="40"/>
      <c r="M15" s="49">
        <f t="shared" si="2"/>
        <v>4.4444444444444446</v>
      </c>
      <c r="N15" s="43">
        <v>4.2177762576563032</v>
      </c>
      <c r="O15" s="44">
        <v>4.4444444444444446</v>
      </c>
      <c r="P15" s="44">
        <v>4.0415647921760387</v>
      </c>
      <c r="Q15" s="44">
        <v>3.9683033046133289</v>
      </c>
      <c r="R15" s="44">
        <v>4.1649484536082477</v>
      </c>
      <c r="S15" s="47">
        <v>3.8940568531818225</v>
      </c>
      <c r="T15" s="51">
        <f t="shared" si="3"/>
        <v>6</v>
      </c>
      <c r="U15" s="51"/>
      <c r="V15" s="40"/>
      <c r="W15" s="49">
        <f t="shared" si="4"/>
        <v>4.4444444444444446</v>
      </c>
      <c r="X15" s="43">
        <v>4.2177762576563032</v>
      </c>
      <c r="Y15" s="44">
        <v>4.237823643420473</v>
      </c>
      <c r="Z15" s="44">
        <v>4.2082073800466011</v>
      </c>
      <c r="AA15" s="44">
        <v>4.4444444444444446</v>
      </c>
      <c r="AB15" s="44">
        <v>4.1730020601816724</v>
      </c>
      <c r="AC15" s="47">
        <v>4.0902011503509001</v>
      </c>
      <c r="AD15" s="51">
        <f t="shared" si="5"/>
        <v>6</v>
      </c>
      <c r="AE15" s="51"/>
      <c r="AG15" s="102">
        <f t="shared" si="6"/>
        <v>4.1904761904761907</v>
      </c>
      <c r="AH15" s="105">
        <v>4.1904761904761907</v>
      </c>
      <c r="AI15" s="105">
        <v>3.9539319483256214</v>
      </c>
      <c r="AJ15" s="105">
        <v>4.0893214248928746</v>
      </c>
      <c r="AK15" s="40">
        <v>4.022487331707965</v>
      </c>
      <c r="AL15" s="105">
        <v>3.9549639779778403</v>
      </c>
      <c r="AM15" s="105">
        <v>3.9330757678175159</v>
      </c>
      <c r="AN15" s="103">
        <v>3.8650460496024146</v>
      </c>
      <c r="AO15" s="104">
        <v>7</v>
      </c>
    </row>
    <row r="16" spans="1:41" ht="12.55" x14ac:dyDescent="0.2">
      <c r="B16" s="7" t="s">
        <v>19</v>
      </c>
      <c r="C16" s="49">
        <f t="shared" si="1"/>
        <v>4.9889298892988903</v>
      </c>
      <c r="D16" s="28">
        <v>4.0853658536585336</v>
      </c>
      <c r="E16" s="44">
        <v>3.9738848845740047</v>
      </c>
      <c r="F16" s="44">
        <v>4.1815039181022486</v>
      </c>
      <c r="G16" s="44">
        <v>4.9185336048879797</v>
      </c>
      <c r="H16" s="44">
        <v>4.8205673300935059</v>
      </c>
      <c r="I16" s="44">
        <v>4.9889298892988903</v>
      </c>
      <c r="J16" s="47">
        <v>3.8661898803378154</v>
      </c>
      <c r="K16" s="51">
        <f t="shared" si="0"/>
        <v>7</v>
      </c>
      <c r="L16" s="40"/>
      <c r="M16" s="49">
        <f t="shared" si="2"/>
        <v>4.2826086956521729</v>
      </c>
      <c r="N16" s="43">
        <v>4.1831646838375391</v>
      </c>
      <c r="O16" s="44">
        <v>4.2352941176470589</v>
      </c>
      <c r="P16" s="44">
        <v>4.1343669250645991</v>
      </c>
      <c r="Q16" s="44">
        <v>4.1181563497589</v>
      </c>
      <c r="R16" s="44">
        <v>4.2826086956521729</v>
      </c>
      <c r="S16" s="47">
        <v>3.9038189339661939</v>
      </c>
      <c r="T16" s="51">
        <f t="shared" si="3"/>
        <v>6</v>
      </c>
      <c r="U16" s="51"/>
      <c r="V16" s="40"/>
      <c r="W16" s="49">
        <f t="shared" si="4"/>
        <v>4.2352941176470589</v>
      </c>
      <c r="X16" s="43">
        <v>4.1831646838375391</v>
      </c>
      <c r="Y16" s="44">
        <v>4.1676447958835805</v>
      </c>
      <c r="Z16" s="44">
        <v>4.2055167198548471</v>
      </c>
      <c r="AA16" s="44">
        <v>4.2352941176470589</v>
      </c>
      <c r="AB16" s="44">
        <v>4.100728907179537</v>
      </c>
      <c r="AC16" s="47">
        <v>3.9986253520926294</v>
      </c>
      <c r="AD16" s="51">
        <f t="shared" si="5"/>
        <v>6</v>
      </c>
      <c r="AE16" s="51"/>
      <c r="AG16" s="102">
        <f t="shared" si="6"/>
        <v>4.3658536585365848</v>
      </c>
      <c r="AH16" s="105">
        <v>4.3658536585365848</v>
      </c>
      <c r="AI16" s="105">
        <v>4.1750623650872161</v>
      </c>
      <c r="AJ16" s="105">
        <v>4.2158674629223771</v>
      </c>
      <c r="AK16" s="40">
        <v>4.0214501905221267</v>
      </c>
      <c r="AL16" s="105">
        <v>4.157939067749199</v>
      </c>
      <c r="AM16" s="105">
        <v>4.0001719614434244</v>
      </c>
      <c r="AN16" s="103">
        <v>3.8457062771274377</v>
      </c>
      <c r="AO16" s="104">
        <v>7</v>
      </c>
    </row>
    <row r="17" spans="1:41" ht="12.55" x14ac:dyDescent="0.2">
      <c r="A17" s="73"/>
      <c r="B17" s="7" t="s">
        <v>20</v>
      </c>
      <c r="C17" s="49">
        <f t="shared" si="1"/>
        <v>4.9981549815498143</v>
      </c>
      <c r="D17" s="28">
        <v>4.0562060889929734</v>
      </c>
      <c r="E17" s="44">
        <v>3.9228014887250882</v>
      </c>
      <c r="F17" s="44">
        <v>4.0597153611391326</v>
      </c>
      <c r="G17" s="44">
        <v>4.8957620123222805</v>
      </c>
      <c r="H17" s="44">
        <v>4.8277224835786843</v>
      </c>
      <c r="I17" s="44">
        <v>4.9981549815498143</v>
      </c>
      <c r="J17" s="47">
        <v>3.7913102818619819</v>
      </c>
      <c r="K17" s="51">
        <f t="shared" si="0"/>
        <v>7</v>
      </c>
      <c r="L17" s="40"/>
      <c r="M17" s="49">
        <f t="shared" si="2"/>
        <v>4.3761577663966671</v>
      </c>
      <c r="N17" s="43">
        <v>4.1250608704079852</v>
      </c>
      <c r="O17" s="44">
        <v>4.1933944942418799</v>
      </c>
      <c r="P17" s="44">
        <v>4.0554074286432042</v>
      </c>
      <c r="Q17" s="44">
        <v>4.0740916376294969</v>
      </c>
      <c r="R17" s="44">
        <v>4.3761577663966671</v>
      </c>
      <c r="S17" s="47">
        <v>3.7973673094278033</v>
      </c>
      <c r="T17" s="51">
        <f t="shared" si="3"/>
        <v>6</v>
      </c>
      <c r="U17" s="51"/>
      <c r="V17" s="40"/>
      <c r="W17" s="49">
        <f t="shared" si="4"/>
        <v>4.1933944942418799</v>
      </c>
      <c r="X17" s="43">
        <v>4.1250608704079852</v>
      </c>
      <c r="Y17" s="44">
        <v>4.113047069057238</v>
      </c>
      <c r="Z17" s="44">
        <v>4.1928172211127315</v>
      </c>
      <c r="AA17" s="44">
        <v>4.1933944942418799</v>
      </c>
      <c r="AB17" s="44">
        <v>4.0192290067368521</v>
      </c>
      <c r="AC17" s="47">
        <v>3.8911535991515622</v>
      </c>
      <c r="AD17" s="51">
        <f t="shared" si="5"/>
        <v>6</v>
      </c>
      <c r="AE17" s="51"/>
      <c r="AG17" s="102">
        <f t="shared" si="6"/>
        <v>4.3001755240473019</v>
      </c>
      <c r="AH17" s="105">
        <v>4.3001755240473019</v>
      </c>
      <c r="AI17" s="105">
        <v>4.1170413083352031</v>
      </c>
      <c r="AJ17" s="105">
        <v>4.1658252868096026</v>
      </c>
      <c r="AK17" s="40">
        <v>3.961366007116641</v>
      </c>
      <c r="AL17" s="105">
        <v>4.0732908197402677</v>
      </c>
      <c r="AM17" s="105">
        <v>3.9640237136824172</v>
      </c>
      <c r="AN17" s="103">
        <v>3.7529767455298222</v>
      </c>
      <c r="AO17" s="104">
        <v>7</v>
      </c>
    </row>
    <row r="18" spans="1:41" ht="12.55" x14ac:dyDescent="0.2">
      <c r="B18" s="7" t="s">
        <v>21</v>
      </c>
      <c r="C18" s="49">
        <f t="shared" si="1"/>
        <v>4.9981549815498143</v>
      </c>
      <c r="D18" s="28">
        <v>4.1441441441441444</v>
      </c>
      <c r="E18" s="44">
        <v>4.0206820651890594</v>
      </c>
      <c r="F18" s="44">
        <v>4.1820909199363951</v>
      </c>
      <c r="G18" s="44">
        <v>4.9378072176450365</v>
      </c>
      <c r="H18" s="44">
        <v>4.8897695598954014</v>
      </c>
      <c r="I18" s="44">
        <v>4.9981549815498143</v>
      </c>
      <c r="J18" s="47">
        <v>3.9646075812652559</v>
      </c>
      <c r="K18" s="51">
        <f t="shared" si="0"/>
        <v>7</v>
      </c>
      <c r="L18" s="40"/>
      <c r="M18" s="49">
        <f t="shared" si="2"/>
        <v>4.3842204751110083</v>
      </c>
      <c r="N18" s="43">
        <v>4.193035906715064</v>
      </c>
      <c r="O18" s="44">
        <v>4.3145272096409366</v>
      </c>
      <c r="P18" s="44">
        <v>4.1055167571684859</v>
      </c>
      <c r="Q18" s="44">
        <v>4.092869636969473</v>
      </c>
      <c r="R18" s="44">
        <v>4.3842204751110083</v>
      </c>
      <c r="S18" s="47">
        <v>3.9558999198277771</v>
      </c>
      <c r="T18" s="51">
        <f t="shared" si="3"/>
        <v>6</v>
      </c>
      <c r="U18" s="51"/>
      <c r="V18" s="40"/>
      <c r="W18" s="49">
        <f t="shared" si="4"/>
        <v>4.3145272096409366</v>
      </c>
      <c r="X18" s="43">
        <v>4.193035906715064</v>
      </c>
      <c r="Y18" s="44">
        <v>4.2235561051840689</v>
      </c>
      <c r="Z18" s="44">
        <v>4.2661302387361237</v>
      </c>
      <c r="AA18" s="44">
        <v>4.3145272096409366</v>
      </c>
      <c r="AB18" s="44">
        <v>4.1259909023283816</v>
      </c>
      <c r="AC18" s="47">
        <v>4.0370296041080129</v>
      </c>
      <c r="AD18" s="51">
        <f t="shared" si="5"/>
        <v>6</v>
      </c>
      <c r="AE18" s="51"/>
      <c r="AG18" s="102">
        <f t="shared" si="6"/>
        <v>4.3298819780052415</v>
      </c>
      <c r="AH18" s="105">
        <v>4.3298819780052415</v>
      </c>
      <c r="AI18" s="105">
        <v>4.1691680934517032</v>
      </c>
      <c r="AJ18" s="105">
        <v>4.2370835851811757</v>
      </c>
      <c r="AK18" s="40">
        <v>4.0639361631720092</v>
      </c>
      <c r="AL18" s="105">
        <v>4.0980941095781338</v>
      </c>
      <c r="AM18" s="105">
        <v>4.0620457041447331</v>
      </c>
      <c r="AN18" s="103">
        <v>3.9463653021279534</v>
      </c>
      <c r="AO18" s="104">
        <v>7</v>
      </c>
    </row>
    <row r="19" spans="1:41" ht="12.55" x14ac:dyDescent="0.2">
      <c r="B19" s="7" t="s">
        <v>22</v>
      </c>
      <c r="C19" s="49">
        <f t="shared" si="1"/>
        <v>4.9981617647058814</v>
      </c>
      <c r="D19" s="28">
        <v>3.9713024282560712</v>
      </c>
      <c r="E19" s="44">
        <v>3.9083566291048046</v>
      </c>
      <c r="F19" s="44">
        <v>3.9358245121503823</v>
      </c>
      <c r="G19" s="44">
        <v>4.9386195887538697</v>
      </c>
      <c r="H19" s="44">
        <v>4.7905015661590209</v>
      </c>
      <c r="I19" s="44">
        <v>4.9981617647058814</v>
      </c>
      <c r="J19" s="47">
        <v>3.7781720268842216</v>
      </c>
      <c r="K19" s="51">
        <f t="shared" si="0"/>
        <v>7</v>
      </c>
      <c r="L19" s="40"/>
      <c r="M19" s="49">
        <f t="shared" si="2"/>
        <v>4.2882867613997009</v>
      </c>
      <c r="N19" s="43">
        <v>4.056809729628049</v>
      </c>
      <c r="O19" s="44">
        <v>4.0421655934110055</v>
      </c>
      <c r="P19" s="44">
        <v>3.8801826023848585</v>
      </c>
      <c r="Q19" s="44">
        <v>3.8742533218986686</v>
      </c>
      <c r="R19" s="44">
        <v>4.2882867613997009</v>
      </c>
      <c r="S19" s="47">
        <v>3.7375674137377546</v>
      </c>
      <c r="T19" s="51">
        <f t="shared" si="3"/>
        <v>6</v>
      </c>
      <c r="U19" s="51"/>
      <c r="V19" s="40"/>
      <c r="W19" s="49">
        <f t="shared" si="4"/>
        <v>4.2038106305418985</v>
      </c>
      <c r="X19" s="43">
        <v>4.056809729628049</v>
      </c>
      <c r="Y19" s="44">
        <v>4.1496664724494154</v>
      </c>
      <c r="Z19" s="44">
        <v>4.2038106305418985</v>
      </c>
      <c r="AA19" s="44">
        <v>4.0421655934110055</v>
      </c>
      <c r="AB19" s="44">
        <v>4.1312042016350876</v>
      </c>
      <c r="AC19" s="47">
        <v>3.9742716132153451</v>
      </c>
      <c r="AD19" s="51">
        <f t="shared" si="5"/>
        <v>6</v>
      </c>
      <c r="AE19" s="51"/>
      <c r="AG19" s="102">
        <f t="shared" si="6"/>
        <v>4.1191829200080914</v>
      </c>
      <c r="AH19" s="105">
        <v>4.1191829200080914</v>
      </c>
      <c r="AI19" s="105">
        <v>3.8764333982255774</v>
      </c>
      <c r="AJ19" s="105">
        <v>4.0446616847022572</v>
      </c>
      <c r="AK19" s="40">
        <v>3.8697012011122958</v>
      </c>
      <c r="AL19" s="105">
        <v>3.8189614338822984</v>
      </c>
      <c r="AM19" s="105">
        <v>3.7302010570151309</v>
      </c>
      <c r="AN19" s="103">
        <v>3.6474694360235667</v>
      </c>
      <c r="AO19" s="104">
        <v>7</v>
      </c>
    </row>
    <row r="20" spans="1:41" ht="12.55" x14ac:dyDescent="0.2">
      <c r="B20" s="7" t="s">
        <v>23</v>
      </c>
      <c r="C20" s="49">
        <f t="shared" si="1"/>
        <v>4.9963099630996268</v>
      </c>
      <c r="D20" s="28">
        <v>4.2457627118644012</v>
      </c>
      <c r="E20" s="44">
        <v>4.0649963754145642</v>
      </c>
      <c r="F20" s="44">
        <v>4.2701482279210019</v>
      </c>
      <c r="G20" s="44">
        <v>4.9560518238578322</v>
      </c>
      <c r="H20" s="44">
        <v>4.9108918768503287</v>
      </c>
      <c r="I20" s="44">
        <v>4.9963099630996268</v>
      </c>
      <c r="J20" s="47">
        <v>4.0960073563641846</v>
      </c>
      <c r="K20" s="51">
        <f t="shared" si="0"/>
        <v>6</v>
      </c>
      <c r="L20" s="40"/>
      <c r="M20" s="49">
        <f t="shared" si="2"/>
        <v>4.5055082411789691</v>
      </c>
      <c r="N20" s="43">
        <v>4.204572875624434</v>
      </c>
      <c r="O20" s="44">
        <v>4.3939787295297945</v>
      </c>
      <c r="P20" s="44">
        <v>4.2134638024032851</v>
      </c>
      <c r="Q20" s="44">
        <v>4.1731018490904637</v>
      </c>
      <c r="R20" s="44">
        <v>4.5055082411789691</v>
      </c>
      <c r="S20" s="47">
        <v>4.0290904181772635</v>
      </c>
      <c r="T20" s="51">
        <f t="shared" si="3"/>
        <v>6</v>
      </c>
      <c r="U20" s="51"/>
      <c r="V20" s="40"/>
      <c r="W20" s="49">
        <f t="shared" si="4"/>
        <v>4.3939787295297945</v>
      </c>
      <c r="X20" s="43">
        <v>4.204572875624434</v>
      </c>
      <c r="Y20" s="44">
        <v>4.3154812439732835</v>
      </c>
      <c r="Z20" s="44">
        <v>4.3159226072857333</v>
      </c>
      <c r="AA20" s="44">
        <v>4.3939787295297945</v>
      </c>
      <c r="AB20" s="44">
        <v>4.2237258776825106</v>
      </c>
      <c r="AC20" s="47">
        <v>4.1195058854885875</v>
      </c>
      <c r="AD20" s="51">
        <f t="shared" si="5"/>
        <v>6</v>
      </c>
      <c r="AE20" s="51"/>
      <c r="AG20" s="102">
        <f t="shared" si="6"/>
        <v>4.3860012946004261</v>
      </c>
      <c r="AH20" s="105">
        <v>4.3860012946004261</v>
      </c>
      <c r="AI20" s="105">
        <v>4.2801816623797313</v>
      </c>
      <c r="AJ20" s="105">
        <v>4.3764971237410029</v>
      </c>
      <c r="AK20" s="40">
        <v>4.1005512585533035</v>
      </c>
      <c r="AL20" s="105">
        <v>4.2006760267235057</v>
      </c>
      <c r="AM20" s="105">
        <v>4.0960472841147144</v>
      </c>
      <c r="AN20" s="103">
        <v>4.0756994871087349</v>
      </c>
      <c r="AO20" s="104">
        <v>7</v>
      </c>
    </row>
    <row r="21" spans="1:41" ht="12.55" x14ac:dyDescent="0.2">
      <c r="A21" s="73"/>
      <c r="B21" s="7" t="s">
        <v>24</v>
      </c>
      <c r="C21" s="49">
        <f t="shared" si="1"/>
        <v>4.9908592321755023</v>
      </c>
      <c r="D21" s="28">
        <v>4.1356877323420109</v>
      </c>
      <c r="E21" s="44">
        <v>3.911284553504057</v>
      </c>
      <c r="F21" s="44">
        <v>4.2022405628861721</v>
      </c>
      <c r="G21" s="44">
        <v>4.8806694565901427</v>
      </c>
      <c r="H21" s="44">
        <v>4.8633574637887849</v>
      </c>
      <c r="I21" s="44">
        <v>4.9908592321755023</v>
      </c>
      <c r="J21" s="47">
        <v>4.0839415541802184</v>
      </c>
      <c r="K21" s="51">
        <f t="shared" si="0"/>
        <v>6</v>
      </c>
      <c r="L21" s="40"/>
      <c r="M21" s="49">
        <f t="shared" si="2"/>
        <v>4.315228695269397</v>
      </c>
      <c r="N21" s="43">
        <v>4.2588646449624239</v>
      </c>
      <c r="O21" s="44">
        <v>4.2994138125054588</v>
      </c>
      <c r="P21" s="44">
        <v>4.0791943123367362</v>
      </c>
      <c r="Q21" s="44">
        <v>4.0734747601171835</v>
      </c>
      <c r="R21" s="44">
        <v>4.315228695269397</v>
      </c>
      <c r="S21" s="47">
        <v>3.9176219262072136</v>
      </c>
      <c r="T21" s="51">
        <f t="shared" si="3"/>
        <v>6</v>
      </c>
      <c r="U21" s="51"/>
      <c r="V21" s="40"/>
      <c r="W21" s="49">
        <f t="shared" si="4"/>
        <v>4.4501495682232619</v>
      </c>
      <c r="X21" s="43">
        <v>4.2588646449624239</v>
      </c>
      <c r="Y21" s="44">
        <v>4.4501495682232619</v>
      </c>
      <c r="Z21" s="44">
        <v>4.3068244796786601</v>
      </c>
      <c r="AA21" s="44">
        <v>4.2994138125054588</v>
      </c>
      <c r="AB21" s="44">
        <v>4.2228948103749797</v>
      </c>
      <c r="AC21" s="47">
        <v>3.9874837450396998</v>
      </c>
      <c r="AD21" s="51">
        <f t="shared" si="5"/>
        <v>6</v>
      </c>
      <c r="AE21" s="51"/>
      <c r="AG21" s="102">
        <f t="shared" si="6"/>
        <v>4.3495404985450339</v>
      </c>
      <c r="AH21" s="105">
        <v>4.3443192694784667</v>
      </c>
      <c r="AI21" s="105">
        <v>4.2786858721145355</v>
      </c>
      <c r="AJ21" s="105">
        <v>4.3495404985450339</v>
      </c>
      <c r="AK21" s="40">
        <v>3.9902366050034339</v>
      </c>
      <c r="AL21" s="105">
        <v>4.1814074905688399</v>
      </c>
      <c r="AM21" s="105">
        <v>4.2266227136787871</v>
      </c>
      <c r="AN21" s="103">
        <v>4.04628001383408</v>
      </c>
      <c r="AO21" s="104">
        <v>6</v>
      </c>
    </row>
    <row r="22" spans="1:41" ht="12.55" x14ac:dyDescent="0.2">
      <c r="B22" s="7" t="s">
        <v>25</v>
      </c>
      <c r="C22" s="49">
        <f t="shared" si="1"/>
        <v>4.9945054945054927</v>
      </c>
      <c r="D22" s="28">
        <v>4.1086142322097405</v>
      </c>
      <c r="E22" s="44">
        <v>3.9683443333218817</v>
      </c>
      <c r="F22" s="44">
        <v>4.296359468417835</v>
      </c>
      <c r="G22" s="44">
        <v>4.9121853595079417</v>
      </c>
      <c r="H22" s="44">
        <v>4.8497576521515988</v>
      </c>
      <c r="I22" s="44">
        <v>4.9945054945054927</v>
      </c>
      <c r="J22" s="47">
        <v>4.05807099424519</v>
      </c>
      <c r="K22" s="51">
        <f t="shared" si="0"/>
        <v>6</v>
      </c>
      <c r="L22" s="40"/>
      <c r="M22" s="49">
        <f t="shared" si="2"/>
        <v>4.4033900346926762</v>
      </c>
      <c r="N22" s="43">
        <v>4.2266679866115808</v>
      </c>
      <c r="O22" s="44">
        <v>4.3731743331769435</v>
      </c>
      <c r="P22" s="44">
        <v>4.0859593391304481</v>
      </c>
      <c r="Q22" s="44">
        <v>4.1388008307970905</v>
      </c>
      <c r="R22" s="44">
        <v>4.4033900346926762</v>
      </c>
      <c r="S22" s="47">
        <v>3.9552992234908029</v>
      </c>
      <c r="T22" s="51">
        <f t="shared" si="3"/>
        <v>6</v>
      </c>
      <c r="U22" s="51"/>
      <c r="V22" s="40"/>
      <c r="W22" s="49">
        <f t="shared" si="4"/>
        <v>4.3821541003343567</v>
      </c>
      <c r="X22" s="43">
        <v>4.2266679866115808</v>
      </c>
      <c r="Y22" s="44">
        <v>4.3821541003343567</v>
      </c>
      <c r="Z22" s="44">
        <v>4.2376083080228302</v>
      </c>
      <c r="AA22" s="44">
        <v>4.3731743331769435</v>
      </c>
      <c r="AB22" s="44">
        <v>4.3040378484629684</v>
      </c>
      <c r="AC22" s="47">
        <v>3.9910585499086784</v>
      </c>
      <c r="AD22" s="51">
        <f t="shared" si="5"/>
        <v>6</v>
      </c>
      <c r="AE22" s="51"/>
      <c r="AG22" s="102">
        <f t="shared" si="6"/>
        <v>4.3879291344021087</v>
      </c>
      <c r="AH22" s="105">
        <v>4.3740635634403011</v>
      </c>
      <c r="AI22" s="105">
        <v>4.3879291344021087</v>
      </c>
      <c r="AJ22" s="105">
        <v>4.3430280331034732</v>
      </c>
      <c r="AK22" s="40">
        <v>4.0627814554621189</v>
      </c>
      <c r="AL22" s="105">
        <v>4.205468892313406</v>
      </c>
      <c r="AM22" s="105">
        <v>4.2745094455662338</v>
      </c>
      <c r="AN22" s="103">
        <v>4.0452902273218143</v>
      </c>
      <c r="AO22" s="104">
        <v>7</v>
      </c>
    </row>
    <row r="23" spans="1:41" ht="12.55" x14ac:dyDescent="0.2">
      <c r="B23" s="7" t="s">
        <v>26</v>
      </c>
      <c r="C23" s="49">
        <f t="shared" si="1"/>
        <v>4.9706422018348633</v>
      </c>
      <c r="D23" s="28">
        <v>3.4630996309963096</v>
      </c>
      <c r="E23" s="44">
        <v>3.8309672889350854</v>
      </c>
      <c r="F23" s="44">
        <v>3.8496161928598798</v>
      </c>
      <c r="G23" s="44">
        <v>4.8282492969212685</v>
      </c>
      <c r="H23" s="44">
        <v>4.8080109425953168</v>
      </c>
      <c r="I23" s="44">
        <v>4.9706422018348633</v>
      </c>
      <c r="J23" s="47">
        <v>3.7186345845851601</v>
      </c>
      <c r="K23" s="51">
        <f t="shared" si="0"/>
        <v>6</v>
      </c>
      <c r="L23" s="40"/>
      <c r="M23" s="49">
        <f t="shared" si="2"/>
        <v>4.0408708016517485</v>
      </c>
      <c r="N23" s="43">
        <v>4.0408708016517485</v>
      </c>
      <c r="O23" s="44">
        <v>3.7745777994746406</v>
      </c>
      <c r="P23" s="44">
        <v>3.5899887248754356</v>
      </c>
      <c r="Q23" s="44">
        <v>3.768242578607603</v>
      </c>
      <c r="R23" s="44">
        <v>4.0251120549070212</v>
      </c>
      <c r="S23" s="47">
        <v>3.7364899390963151</v>
      </c>
      <c r="T23" s="51">
        <f t="shared" si="3"/>
        <v>5</v>
      </c>
      <c r="U23" s="51"/>
      <c r="V23" s="40"/>
      <c r="W23" s="49">
        <f t="shared" si="4"/>
        <v>4.1643393352678038</v>
      </c>
      <c r="X23" s="43">
        <v>4.0408708016517485</v>
      </c>
      <c r="Y23" s="44">
        <v>4.1643393352678038</v>
      </c>
      <c r="Z23" s="44">
        <v>4.1339489564334357</v>
      </c>
      <c r="AA23" s="44">
        <v>3.7745777994746406</v>
      </c>
      <c r="AB23" s="44">
        <v>3.8572798636634045</v>
      </c>
      <c r="AC23" s="47">
        <v>4.0264304489916523</v>
      </c>
      <c r="AD23" s="51">
        <f t="shared" si="5"/>
        <v>4</v>
      </c>
      <c r="AE23" s="51"/>
      <c r="AG23" s="102">
        <f t="shared" si="6"/>
        <v>4.1123643880858456</v>
      </c>
      <c r="AH23" s="105">
        <v>4.1123643880858456</v>
      </c>
      <c r="AI23" s="105">
        <v>3.9455756081137809</v>
      </c>
      <c r="AJ23" s="105">
        <v>4.0359170215497437</v>
      </c>
      <c r="AK23" s="40">
        <v>3.903816648676059</v>
      </c>
      <c r="AL23" s="105">
        <v>3.8661978771211931</v>
      </c>
      <c r="AM23" s="105">
        <v>4.0552887756940059</v>
      </c>
      <c r="AN23" s="103">
        <v>3.7044099633793133</v>
      </c>
      <c r="AO23" s="104">
        <v>7</v>
      </c>
    </row>
    <row r="24" spans="1:41" ht="12.55" x14ac:dyDescent="0.2">
      <c r="B24" s="7" t="s">
        <v>27</v>
      </c>
      <c r="C24" s="49">
        <f t="shared" si="1"/>
        <v>4.9956709956709933</v>
      </c>
      <c r="D24" s="28">
        <v>4.0549999999999944</v>
      </c>
      <c r="E24" s="44">
        <v>3.5431717731956778</v>
      </c>
      <c r="F24" s="44">
        <v>3.921912279045725</v>
      </c>
      <c r="G24" s="44">
        <v>4.898322767018513</v>
      </c>
      <c r="H24" s="44">
        <v>4.8781539262845133</v>
      </c>
      <c r="I24" s="44">
        <v>4.9956709956709933</v>
      </c>
      <c r="J24" s="47">
        <v>3.6604596190872947</v>
      </c>
      <c r="K24" s="51">
        <f t="shared" si="0"/>
        <v>6</v>
      </c>
      <c r="L24" s="40"/>
      <c r="M24" s="49">
        <f t="shared" si="2"/>
        <v>4.2042599671381886</v>
      </c>
      <c r="N24" s="43">
        <v>3.9882894083512777</v>
      </c>
      <c r="O24" s="44">
        <v>4.0790349473468579</v>
      </c>
      <c r="P24" s="44">
        <v>4.0249762204633601</v>
      </c>
      <c r="Q24" s="44">
        <v>3.983251441818779</v>
      </c>
      <c r="R24" s="44">
        <v>4.2042599671381886</v>
      </c>
      <c r="S24" s="47">
        <v>3.5362890082736875</v>
      </c>
      <c r="T24" s="51">
        <f t="shared" si="3"/>
        <v>6</v>
      </c>
      <c r="U24" s="51"/>
      <c r="V24" s="40"/>
      <c r="W24" s="49">
        <f t="shared" si="4"/>
        <v>4.2024715020764445</v>
      </c>
      <c r="X24" s="43">
        <v>3.9882894083512777</v>
      </c>
      <c r="Y24" s="44">
        <v>4.2024715020764445</v>
      </c>
      <c r="Z24" s="44">
        <v>3.9634349530323214</v>
      </c>
      <c r="AA24" s="44">
        <v>4.0790349473468579</v>
      </c>
      <c r="AB24" s="44">
        <v>4.041602868620263</v>
      </c>
      <c r="AC24" s="47">
        <v>3.8533154311710565</v>
      </c>
      <c r="AD24" s="51">
        <f t="shared" si="5"/>
        <v>6</v>
      </c>
      <c r="AE24" s="51"/>
      <c r="AG24" s="102">
        <f t="shared" si="6"/>
        <v>4.2712954979073707</v>
      </c>
      <c r="AH24" s="105">
        <v>4.2712954979073707</v>
      </c>
      <c r="AI24" s="105">
        <v>4.258067530208506</v>
      </c>
      <c r="AJ24" s="105">
        <v>4.1707793826096147</v>
      </c>
      <c r="AK24" s="40">
        <v>3.650502215690512</v>
      </c>
      <c r="AL24" s="105">
        <v>4.1481049318704342</v>
      </c>
      <c r="AM24" s="105">
        <v>4.046316522119505</v>
      </c>
      <c r="AN24" s="103">
        <v>3.6467214583887539</v>
      </c>
      <c r="AO24" s="104">
        <v>7</v>
      </c>
    </row>
    <row r="25" spans="1:41" ht="12.55" x14ac:dyDescent="0.2">
      <c r="A25" s="73"/>
      <c r="B25" s="7" t="s">
        <v>28</v>
      </c>
      <c r="C25" s="49">
        <f t="shared" si="1"/>
        <v>4.9963167587476951</v>
      </c>
      <c r="D25" s="28">
        <v>4.1169977924944794</v>
      </c>
      <c r="E25" s="44">
        <v>3.9054605271950358</v>
      </c>
      <c r="F25" s="44">
        <v>4.2361209468826102</v>
      </c>
      <c r="G25" s="44">
        <v>4.9579610437591697</v>
      </c>
      <c r="H25" s="44">
        <v>4.9066737943599064</v>
      </c>
      <c r="I25" s="44">
        <v>4.9963167587476951</v>
      </c>
      <c r="J25" s="47">
        <v>4.0024501892320838</v>
      </c>
      <c r="K25" s="51">
        <f t="shared" si="0"/>
        <v>6</v>
      </c>
      <c r="L25" s="40"/>
      <c r="M25" s="49">
        <f t="shared" si="2"/>
        <v>4.4461486170445177</v>
      </c>
      <c r="N25" s="43">
        <v>4.2123106617987087</v>
      </c>
      <c r="O25" s="44">
        <v>4.3416062695386017</v>
      </c>
      <c r="P25" s="44">
        <v>4.1601841230478991</v>
      </c>
      <c r="Q25" s="44">
        <v>4.195668870464428</v>
      </c>
      <c r="R25" s="44">
        <v>4.4461486170445177</v>
      </c>
      <c r="S25" s="47">
        <v>3.904442962533107</v>
      </c>
      <c r="T25" s="51">
        <f t="shared" si="3"/>
        <v>6</v>
      </c>
      <c r="U25" s="51"/>
      <c r="V25" s="40"/>
      <c r="W25" s="49">
        <f t="shared" si="4"/>
        <v>4.3416062695386017</v>
      </c>
      <c r="X25" s="43">
        <v>4.2123106617987087</v>
      </c>
      <c r="Y25" s="44">
        <v>4.333615358328947</v>
      </c>
      <c r="Z25" s="44">
        <v>4.2179423487528025</v>
      </c>
      <c r="AA25" s="44">
        <v>4.3416062695386017</v>
      </c>
      <c r="AB25" s="44">
        <v>4.1421644473855066</v>
      </c>
      <c r="AC25" s="47">
        <v>3.9542207607730537</v>
      </c>
      <c r="AD25" s="51">
        <f t="shared" si="5"/>
        <v>6</v>
      </c>
      <c r="AE25" s="51"/>
      <c r="AG25" s="102">
        <f t="shared" si="6"/>
        <v>4.5025983210898772</v>
      </c>
      <c r="AH25" s="105">
        <v>4.5025983210898772</v>
      </c>
      <c r="AI25" s="105">
        <v>4.3587223693287145</v>
      </c>
      <c r="AJ25" s="105">
        <v>4.3773460759610776</v>
      </c>
      <c r="AK25" s="40">
        <v>4.0739260372846822</v>
      </c>
      <c r="AL25" s="105">
        <v>4.2368542574999273</v>
      </c>
      <c r="AM25" s="105">
        <v>4.1870660637770252</v>
      </c>
      <c r="AN25" s="103">
        <v>3.9167388152815938</v>
      </c>
      <c r="AO25" s="104">
        <v>7</v>
      </c>
    </row>
    <row r="26" spans="1:41" ht="12.55" x14ac:dyDescent="0.2">
      <c r="B26" s="7" t="s">
        <v>29</v>
      </c>
      <c r="C26" s="49">
        <f t="shared" si="1"/>
        <v>4.9738805970149249</v>
      </c>
      <c r="D26" s="28">
        <v>3.728395061728393</v>
      </c>
      <c r="E26" s="44">
        <v>3.5658490398080604</v>
      </c>
      <c r="F26" s="44">
        <v>3.925224149562645</v>
      </c>
      <c r="G26" s="44">
        <v>4.8217049447994977</v>
      </c>
      <c r="H26" s="44">
        <v>4.8623406293652627</v>
      </c>
      <c r="I26" s="44">
        <v>4.9738805970149249</v>
      </c>
      <c r="J26" s="47">
        <v>3.5876324990643984</v>
      </c>
      <c r="K26" s="51">
        <f t="shared" si="0"/>
        <v>6</v>
      </c>
      <c r="L26" s="40"/>
      <c r="M26" s="49">
        <f t="shared" si="2"/>
        <v>4.1572011897786609</v>
      </c>
      <c r="N26" s="43">
        <v>3.8337110523029345</v>
      </c>
      <c r="O26" s="44">
        <v>4.1572011897786609</v>
      </c>
      <c r="P26" s="44">
        <v>3.7864775521085376</v>
      </c>
      <c r="Q26" s="44">
        <v>3.6750257378931037</v>
      </c>
      <c r="R26" s="44">
        <v>4.0130874781100498</v>
      </c>
      <c r="S26" s="47">
        <v>3.5402871859370597</v>
      </c>
      <c r="T26" s="51">
        <f t="shared" si="3"/>
        <v>6</v>
      </c>
      <c r="U26" s="51"/>
      <c r="V26" s="40"/>
      <c r="W26" s="49">
        <f t="shared" si="4"/>
        <v>4.1572011897786609</v>
      </c>
      <c r="X26" s="43">
        <v>3.8337110523029345</v>
      </c>
      <c r="Y26" s="44">
        <v>4.0489043737545449</v>
      </c>
      <c r="Z26" s="44">
        <v>3.7063602850775554</v>
      </c>
      <c r="AA26" s="44">
        <v>4.1572011897786609</v>
      </c>
      <c r="AB26" s="44">
        <v>3.9670327129476197</v>
      </c>
      <c r="AC26" s="47">
        <v>3.2486013766590736</v>
      </c>
      <c r="AD26" s="51">
        <f t="shared" si="5"/>
        <v>6</v>
      </c>
      <c r="AE26" s="51"/>
      <c r="AG26" s="102">
        <f t="shared" si="6"/>
        <v>4.3605194961347422</v>
      </c>
      <c r="AH26" s="105">
        <v>4.3605194961347422</v>
      </c>
      <c r="AI26" s="105">
        <v>4.0031809537569432</v>
      </c>
      <c r="AJ26" s="105">
        <v>4.218856211277326</v>
      </c>
      <c r="AK26" s="40">
        <v>3.7063564910682292</v>
      </c>
      <c r="AL26" s="105">
        <v>3.7460747500550693</v>
      </c>
      <c r="AM26" s="105">
        <v>3.7890825248035367</v>
      </c>
      <c r="AN26" s="103">
        <v>3.478946744116743</v>
      </c>
      <c r="AO26" s="104">
        <v>7</v>
      </c>
    </row>
    <row r="27" spans="1:41" ht="12.55" x14ac:dyDescent="0.2">
      <c r="B27" s="7" t="s">
        <v>30</v>
      </c>
      <c r="C27" s="49">
        <f t="shared" si="1"/>
        <v>4.9457943925233643</v>
      </c>
      <c r="D27" s="28">
        <v>2.8525798525798516</v>
      </c>
      <c r="E27" s="44">
        <v>3.0500405014099621</v>
      </c>
      <c r="F27" s="44">
        <v>3.3948109994340525</v>
      </c>
      <c r="G27" s="44">
        <v>4.6626266264427283</v>
      </c>
      <c r="H27" s="44">
        <v>4.8116089240147133</v>
      </c>
      <c r="I27" s="44">
        <v>4.9457943925233643</v>
      </c>
      <c r="J27" s="47">
        <v>2.9094621405633529</v>
      </c>
      <c r="K27" s="51">
        <f t="shared" si="0"/>
        <v>6</v>
      </c>
      <c r="L27" s="40"/>
      <c r="M27" s="49">
        <f t="shared" si="2"/>
        <v>3.6040871380107879</v>
      </c>
      <c r="N27" s="43">
        <v>3.3498596657964304</v>
      </c>
      <c r="O27" s="44">
        <v>3.5239997093029762</v>
      </c>
      <c r="P27" s="44">
        <v>2.8497706052799048</v>
      </c>
      <c r="Q27" s="44">
        <v>3.067658597933411</v>
      </c>
      <c r="R27" s="44">
        <v>3.6040871380107879</v>
      </c>
      <c r="S27" s="47">
        <v>2.8669595100006062</v>
      </c>
      <c r="T27" s="51">
        <f t="shared" si="3"/>
        <v>5</v>
      </c>
      <c r="U27" s="51"/>
      <c r="V27" s="40"/>
      <c r="W27" s="49">
        <f t="shared" si="4"/>
        <v>3.544510076884507</v>
      </c>
      <c r="X27" s="43">
        <v>3.3498596657964304</v>
      </c>
      <c r="Y27" s="44">
        <v>3.544510076884507</v>
      </c>
      <c r="Z27" s="44">
        <v>3.1517751271690631</v>
      </c>
      <c r="AA27" s="44">
        <v>3.5239997093029762</v>
      </c>
      <c r="AB27" s="44">
        <v>3.3424468533233203</v>
      </c>
      <c r="AC27" s="47">
        <v>2.6908234091564047</v>
      </c>
      <c r="AD27" s="51">
        <f t="shared" si="5"/>
        <v>6</v>
      </c>
      <c r="AE27" s="51"/>
      <c r="AG27" s="102">
        <f t="shared" si="6"/>
        <v>3.9014630835854835</v>
      </c>
      <c r="AH27" s="105">
        <v>3.9014630835854835</v>
      </c>
      <c r="AI27" s="105">
        <v>3.3795645496922169</v>
      </c>
      <c r="AJ27" s="105">
        <v>3.6495032419401823</v>
      </c>
      <c r="AK27" s="40">
        <v>3.1731801554399781</v>
      </c>
      <c r="AL27" s="105">
        <v>3.1762774157045008</v>
      </c>
      <c r="AM27" s="105">
        <v>2.9758021018031728</v>
      </c>
      <c r="AN27" s="103">
        <v>2.819914567093933</v>
      </c>
      <c r="AO27" s="104">
        <v>7</v>
      </c>
    </row>
    <row r="28" spans="1:41" ht="12.55" x14ac:dyDescent="0.2">
      <c r="B28" s="7" t="s">
        <v>31</v>
      </c>
      <c r="C28" s="49">
        <f t="shared" si="1"/>
        <v>4.9865384615384558</v>
      </c>
      <c r="D28" s="28">
        <v>3.7783505154639183</v>
      </c>
      <c r="E28" s="44">
        <v>3.720208614558179</v>
      </c>
      <c r="F28" s="44">
        <v>3.9394131201416345</v>
      </c>
      <c r="G28" s="44">
        <v>4.9141104294478577</v>
      </c>
      <c r="H28" s="44">
        <v>4.8550375147533886</v>
      </c>
      <c r="I28" s="44">
        <v>4.9865384615384558</v>
      </c>
      <c r="J28" s="47">
        <v>3.625923630475766</v>
      </c>
      <c r="K28" s="51">
        <f t="shared" si="0"/>
        <v>7</v>
      </c>
      <c r="L28" s="40"/>
      <c r="M28" s="49">
        <f t="shared" si="2"/>
        <v>4.1565839886516329</v>
      </c>
      <c r="N28" s="43">
        <v>3.8642033932700728</v>
      </c>
      <c r="O28" s="44">
        <v>3.8460509660748463</v>
      </c>
      <c r="P28" s="44">
        <v>3.7730860938574442</v>
      </c>
      <c r="Q28" s="44">
        <v>3.6470908850643986</v>
      </c>
      <c r="R28" s="44">
        <v>4.1565839886516329</v>
      </c>
      <c r="S28" s="47">
        <v>3.4812170572328349</v>
      </c>
      <c r="T28" s="51">
        <f t="shared" si="3"/>
        <v>6</v>
      </c>
      <c r="U28" s="51"/>
      <c r="V28" s="40"/>
      <c r="W28" s="49">
        <f t="shared" si="4"/>
        <v>3.9904301233571675</v>
      </c>
      <c r="X28" s="43">
        <v>3.8642033932700728</v>
      </c>
      <c r="Y28" s="44">
        <v>3.9382400782367757</v>
      </c>
      <c r="Z28" s="44">
        <v>3.69818066904093</v>
      </c>
      <c r="AA28" s="44">
        <v>3.8460509660748463</v>
      </c>
      <c r="AB28" s="44">
        <v>3.9904301233571675</v>
      </c>
      <c r="AC28" s="47">
        <v>3.4775149405034629</v>
      </c>
      <c r="AD28" s="51">
        <f t="shared" si="5"/>
        <v>6</v>
      </c>
      <c r="AE28" s="51"/>
      <c r="AG28" s="102">
        <f t="shared" si="6"/>
        <v>4.2062147959845797</v>
      </c>
      <c r="AH28" s="105">
        <v>4.2062147959845797</v>
      </c>
      <c r="AI28" s="105">
        <v>3.8893073782434242</v>
      </c>
      <c r="AJ28" s="105">
        <v>3.9622656426789682</v>
      </c>
      <c r="AK28" s="40">
        <v>3.8328032063881978</v>
      </c>
      <c r="AL28" s="105">
        <v>3.6787852719340415</v>
      </c>
      <c r="AM28" s="105">
        <v>3.6943375475251923</v>
      </c>
      <c r="AN28" s="103">
        <v>3.5836849678931242</v>
      </c>
      <c r="AO28" s="104">
        <v>7</v>
      </c>
    </row>
    <row r="29" spans="1:41" ht="12.55" x14ac:dyDescent="0.2">
      <c r="B29" s="7" t="s">
        <v>32</v>
      </c>
      <c r="C29" s="49">
        <f t="shared" si="1"/>
        <v>4.9925093632958788</v>
      </c>
      <c r="D29" s="28">
        <v>3.87042253521127</v>
      </c>
      <c r="E29" s="44">
        <v>3.6238472301762839</v>
      </c>
      <c r="F29" s="44">
        <v>3.9974296841155854</v>
      </c>
      <c r="G29" s="44">
        <v>4.9074280212994505</v>
      </c>
      <c r="H29" s="44">
        <v>4.8695651630969277</v>
      </c>
      <c r="I29" s="44">
        <v>4.9925093632958788</v>
      </c>
      <c r="J29" s="47">
        <v>3.6492491395884423</v>
      </c>
      <c r="K29" s="51">
        <f t="shared" si="0"/>
        <v>6</v>
      </c>
      <c r="L29" s="40"/>
      <c r="M29" s="49">
        <f t="shared" si="2"/>
        <v>4.0235395310424984</v>
      </c>
      <c r="N29" s="43">
        <v>3.643386306492999</v>
      </c>
      <c r="O29" s="44">
        <v>4.0235395310424984</v>
      </c>
      <c r="P29" s="44">
        <v>3.9398854443640303</v>
      </c>
      <c r="Q29" s="44">
        <v>3.7108156199815521</v>
      </c>
      <c r="R29" s="44">
        <v>3.919562684126674</v>
      </c>
      <c r="S29" s="47">
        <v>3.3975586918609761</v>
      </c>
      <c r="T29" s="51">
        <f t="shared" si="3"/>
        <v>6</v>
      </c>
      <c r="U29" s="51"/>
      <c r="V29" s="40"/>
      <c r="W29" s="49">
        <f t="shared" si="4"/>
        <v>4.0235395310424984</v>
      </c>
      <c r="X29" s="43">
        <v>3.643386306492999</v>
      </c>
      <c r="Y29" s="44">
        <v>3.9087199140114004</v>
      </c>
      <c r="Z29" s="44">
        <v>3.6115475073343464</v>
      </c>
      <c r="AA29" s="44">
        <v>4.0235395310424984</v>
      </c>
      <c r="AB29" s="44">
        <v>3.9750443993391449</v>
      </c>
      <c r="AC29" s="47">
        <v>2.9646374048437294</v>
      </c>
      <c r="AD29" s="51">
        <f t="shared" si="5"/>
        <v>6</v>
      </c>
      <c r="AE29" s="51"/>
      <c r="AG29" s="102">
        <f t="shared" si="6"/>
        <v>4.2199965796930083</v>
      </c>
      <c r="AH29" s="105">
        <v>4.2199965796930083</v>
      </c>
      <c r="AI29" s="105">
        <v>3.8966618749127329</v>
      </c>
      <c r="AJ29" s="105">
        <v>3.9656674249875237</v>
      </c>
      <c r="AK29" s="40">
        <v>3.6865053848841765</v>
      </c>
      <c r="AL29" s="105">
        <v>3.7713040650505998</v>
      </c>
      <c r="AM29" s="105">
        <v>3.6155528843650568</v>
      </c>
      <c r="AN29" s="103">
        <v>3.5789269327964468</v>
      </c>
      <c r="AO29" s="104">
        <v>7</v>
      </c>
    </row>
    <row r="30" spans="1:41" ht="12.55" x14ac:dyDescent="0.2">
      <c r="B30" s="7" t="s">
        <v>33</v>
      </c>
      <c r="C30" s="49">
        <f t="shared" si="1"/>
        <v>4.9584120982986768</v>
      </c>
      <c r="D30" s="28">
        <v>2.9999999999999982</v>
      </c>
      <c r="E30" s="44">
        <v>3.2306618062551182</v>
      </c>
      <c r="F30" s="44">
        <v>3.3336170316388523</v>
      </c>
      <c r="G30" s="44">
        <v>4.8480079619305974</v>
      </c>
      <c r="H30" s="44">
        <v>4.8201277772606694</v>
      </c>
      <c r="I30" s="44">
        <v>4.9584120982986768</v>
      </c>
      <c r="J30" s="47">
        <v>3.0319728310717577</v>
      </c>
      <c r="K30" s="51">
        <f t="shared" si="0"/>
        <v>6</v>
      </c>
      <c r="L30" s="40"/>
      <c r="M30" s="49">
        <f t="shared" si="2"/>
        <v>3.4949234088241696</v>
      </c>
      <c r="N30" s="43">
        <v>3.2381146895377446</v>
      </c>
      <c r="O30" s="44">
        <v>3.4168891959127223</v>
      </c>
      <c r="P30" s="44">
        <v>3.1770326242205749</v>
      </c>
      <c r="Q30" s="44">
        <v>3.0320399795719526</v>
      </c>
      <c r="R30" s="44">
        <v>3.4949234088241696</v>
      </c>
      <c r="S30" s="47">
        <v>2.9716034432941409</v>
      </c>
      <c r="T30" s="51">
        <f t="shared" si="3"/>
        <v>6</v>
      </c>
      <c r="U30" s="51"/>
      <c r="V30" s="40"/>
      <c r="W30" s="49">
        <f t="shared" si="4"/>
        <v>3.4168891959127223</v>
      </c>
      <c r="X30" s="43">
        <v>3.2381146895377446</v>
      </c>
      <c r="Y30" s="44">
        <v>3.4098540128930921</v>
      </c>
      <c r="Z30" s="44">
        <v>3.1560693911037814</v>
      </c>
      <c r="AA30" s="44">
        <v>3.4168891959127223</v>
      </c>
      <c r="AB30" s="44">
        <v>3.3372922151640507</v>
      </c>
      <c r="AC30" s="47">
        <v>2.8005211697158052</v>
      </c>
      <c r="AD30" s="51">
        <f t="shared" si="5"/>
        <v>6</v>
      </c>
      <c r="AE30" s="51"/>
      <c r="AG30" s="102">
        <f t="shared" si="6"/>
        <v>3.6632036318777152</v>
      </c>
      <c r="AH30" s="105">
        <v>3.6632036318777152</v>
      </c>
      <c r="AI30" s="105">
        <v>3.2370735797847621</v>
      </c>
      <c r="AJ30" s="105">
        <v>3.4461070950855501</v>
      </c>
      <c r="AK30" s="40">
        <v>3.2808740174161897</v>
      </c>
      <c r="AL30" s="105">
        <v>3.1485006792878654</v>
      </c>
      <c r="AM30" s="105">
        <v>2.9871354826366332</v>
      </c>
      <c r="AN30" s="103">
        <v>2.9601420882273701</v>
      </c>
      <c r="AO30" s="104">
        <v>7</v>
      </c>
    </row>
    <row r="31" spans="1:41" ht="12.55" x14ac:dyDescent="0.2">
      <c r="B31" s="7" t="s">
        <v>34</v>
      </c>
      <c r="C31" s="49">
        <f t="shared" si="1"/>
        <v>4.9517625231910962</v>
      </c>
      <c r="D31" s="28">
        <v>3.6948228882833787</v>
      </c>
      <c r="E31" s="44">
        <v>3.5284092801726752</v>
      </c>
      <c r="F31" s="44">
        <v>3.7547100697877305</v>
      </c>
      <c r="G31" s="44">
        <v>4.9097399220856115</v>
      </c>
      <c r="H31" s="44">
        <v>4.7265619212832997</v>
      </c>
      <c r="I31" s="44">
        <v>4.9517625231910962</v>
      </c>
      <c r="J31" s="47">
        <v>3.4348352979292542</v>
      </c>
      <c r="K31" s="51">
        <f t="shared" si="0"/>
        <v>7</v>
      </c>
      <c r="L31" s="40"/>
      <c r="M31" s="49">
        <f t="shared" si="2"/>
        <v>4.0792447415678028</v>
      </c>
      <c r="N31" s="43">
        <v>3.9496926011533056</v>
      </c>
      <c r="O31" s="44">
        <v>4.0792447415678028</v>
      </c>
      <c r="P31" s="44">
        <v>3.6126774991113786</v>
      </c>
      <c r="Q31" s="44">
        <v>3.7983482440836562</v>
      </c>
      <c r="R31" s="44">
        <v>3.9376186015076864</v>
      </c>
      <c r="S31" s="47">
        <v>3.3061271682624147</v>
      </c>
      <c r="T31" s="51">
        <f t="shared" si="3"/>
        <v>6</v>
      </c>
      <c r="U31" s="51"/>
      <c r="V31" s="40"/>
      <c r="W31" s="49">
        <f t="shared" si="4"/>
        <v>4.0792447415678028</v>
      </c>
      <c r="X31" s="43">
        <v>3.9496926011533056</v>
      </c>
      <c r="Y31" s="44">
        <v>3.6231303423212289</v>
      </c>
      <c r="Z31" s="44">
        <v>3.7670366888510922</v>
      </c>
      <c r="AA31" s="44">
        <v>4.0792447415678028</v>
      </c>
      <c r="AB31" s="44">
        <v>3.6120617977519824</v>
      </c>
      <c r="AC31" s="47">
        <v>3.4122436934877922</v>
      </c>
      <c r="AD31" s="51">
        <f t="shared" si="5"/>
        <v>6</v>
      </c>
      <c r="AE31" s="51"/>
      <c r="AG31" s="102">
        <f t="shared" si="6"/>
        <v>4.0923056260060635</v>
      </c>
      <c r="AH31" s="105">
        <v>4.0343181788560374</v>
      </c>
      <c r="AI31" s="105">
        <v>4.0923056260060635</v>
      </c>
      <c r="AJ31" s="105">
        <v>3.7913109254430264</v>
      </c>
      <c r="AK31" s="40">
        <v>3.6373587714708493</v>
      </c>
      <c r="AL31" s="105">
        <v>3.8213882407282473</v>
      </c>
      <c r="AM31" s="105">
        <v>3.8569652273962443</v>
      </c>
      <c r="AN31" s="103">
        <v>3.2264143726273993</v>
      </c>
      <c r="AO31" s="104">
        <v>7</v>
      </c>
    </row>
    <row r="32" spans="1:41" ht="12.55" x14ac:dyDescent="0.2">
      <c r="B32" s="7" t="s">
        <v>35</v>
      </c>
      <c r="C32" s="49">
        <f t="shared" si="1"/>
        <v>4.9959100204498963</v>
      </c>
      <c r="D32" s="28">
        <v>3.693877551020408</v>
      </c>
      <c r="E32" s="44">
        <v>3.7334541993762711</v>
      </c>
      <c r="F32" s="44">
        <v>4.0183761735324675</v>
      </c>
      <c r="G32" s="44">
        <v>4.8637949513127641</v>
      </c>
      <c r="H32" s="44">
        <v>4.9253176919902915</v>
      </c>
      <c r="I32" s="44">
        <v>4.9959100204498963</v>
      </c>
      <c r="J32" s="47">
        <v>3.5599593798747051</v>
      </c>
      <c r="K32" s="51">
        <f t="shared" si="0"/>
        <v>7</v>
      </c>
      <c r="L32" s="40"/>
      <c r="M32" s="49">
        <f t="shared" si="2"/>
        <v>4.1725680562944722</v>
      </c>
      <c r="N32" s="43">
        <v>3.7150499771390808</v>
      </c>
      <c r="O32" s="44">
        <v>4.0181621219069443</v>
      </c>
      <c r="P32" s="44">
        <v>4.0284677466869763</v>
      </c>
      <c r="Q32" s="44">
        <v>3.8275504258529165</v>
      </c>
      <c r="R32" s="44">
        <v>4.1725680562944722</v>
      </c>
      <c r="S32" s="47">
        <v>3.5555738375418673</v>
      </c>
      <c r="T32" s="51">
        <f t="shared" si="3"/>
        <v>6</v>
      </c>
      <c r="U32" s="51"/>
      <c r="V32" s="40"/>
      <c r="W32" s="49">
        <f t="shared" si="4"/>
        <v>4.0181621219069443</v>
      </c>
      <c r="X32" s="43">
        <v>3.7150499771390808</v>
      </c>
      <c r="Y32" s="44">
        <v>3.7076519118406397</v>
      </c>
      <c r="Z32" s="44">
        <v>3.5335984263934832</v>
      </c>
      <c r="AA32" s="44">
        <v>4.0181621219069443</v>
      </c>
      <c r="AB32" s="44">
        <v>3.8996429727648936</v>
      </c>
      <c r="AC32" s="47">
        <v>3.2225249841838575</v>
      </c>
      <c r="AD32" s="51">
        <f t="shared" si="5"/>
        <v>6</v>
      </c>
      <c r="AE32" s="51"/>
      <c r="AG32" s="102">
        <f t="shared" si="6"/>
        <v>4.4559800688537043</v>
      </c>
      <c r="AH32" s="105">
        <v>4.4559800688537043</v>
      </c>
      <c r="AI32" s="105">
        <v>3.7881520719891779</v>
      </c>
      <c r="AJ32" s="105">
        <v>4.0083912535287256</v>
      </c>
      <c r="AK32" s="40">
        <v>3.841079890201033</v>
      </c>
      <c r="AL32" s="105">
        <v>3.7249291493399506</v>
      </c>
      <c r="AM32" s="105">
        <v>3.6537391185331485</v>
      </c>
      <c r="AN32" s="103">
        <v>3.5052914497369132</v>
      </c>
      <c r="AO32" s="104">
        <v>7</v>
      </c>
    </row>
    <row r="33" spans="1:41" ht="12.55" x14ac:dyDescent="0.2">
      <c r="B33" s="7" t="s">
        <v>36</v>
      </c>
      <c r="C33" s="49">
        <f t="shared" si="1"/>
        <v>4.9908088235294157</v>
      </c>
      <c r="D33" s="28">
        <v>3.946640316205531</v>
      </c>
      <c r="E33" s="44">
        <v>3.9600347381881043</v>
      </c>
      <c r="F33" s="44">
        <v>4.1137901233843044</v>
      </c>
      <c r="G33" s="44">
        <v>4.939459324745</v>
      </c>
      <c r="H33" s="44">
        <v>4.8927517943179284</v>
      </c>
      <c r="I33" s="44">
        <v>4.9908088235294157</v>
      </c>
      <c r="J33" s="47">
        <v>3.9894738253059541</v>
      </c>
      <c r="K33" s="51">
        <f t="shared" si="0"/>
        <v>5</v>
      </c>
      <c r="L33" s="40"/>
      <c r="M33" s="49">
        <f t="shared" si="2"/>
        <v>4.3167276578704508</v>
      </c>
      <c r="N33" s="43">
        <v>4.1844942942880383</v>
      </c>
      <c r="O33" s="44">
        <v>4.3167276578704508</v>
      </c>
      <c r="P33" s="44">
        <v>4.1086542998782809</v>
      </c>
      <c r="Q33" s="44">
        <v>3.9824417982182236</v>
      </c>
      <c r="R33" s="44">
        <v>4.3114185404529524</v>
      </c>
      <c r="S33" s="47">
        <v>3.6553875221335175</v>
      </c>
      <c r="T33" s="51">
        <f t="shared" si="3"/>
        <v>6</v>
      </c>
      <c r="U33" s="51"/>
      <c r="V33" s="40"/>
      <c r="W33" s="49">
        <f t="shared" si="4"/>
        <v>4.3167276578704508</v>
      </c>
      <c r="X33" s="43">
        <v>4.1844942942880383</v>
      </c>
      <c r="Y33" s="44">
        <v>4.2213423863171382</v>
      </c>
      <c r="Z33" s="44">
        <v>4.0549179975503895</v>
      </c>
      <c r="AA33" s="44">
        <v>4.3167276578704508</v>
      </c>
      <c r="AB33" s="44">
        <v>4.0841421144225993</v>
      </c>
      <c r="AC33" s="47">
        <v>3.5888999856565564</v>
      </c>
      <c r="AD33" s="51">
        <f t="shared" si="5"/>
        <v>6</v>
      </c>
      <c r="AE33" s="51"/>
      <c r="AG33" s="102">
        <f t="shared" si="6"/>
        <v>4.3927886294594751</v>
      </c>
      <c r="AH33" s="105">
        <v>4.3927886294594751</v>
      </c>
      <c r="AI33" s="105">
        <v>4.2253405786582041</v>
      </c>
      <c r="AJ33" s="105">
        <v>4.2652247396104173</v>
      </c>
      <c r="AK33" s="40">
        <v>3.9855566726423892</v>
      </c>
      <c r="AL33" s="105">
        <v>4.048058488952134</v>
      </c>
      <c r="AM33" s="105">
        <v>4.2018963949584656</v>
      </c>
      <c r="AN33" s="103">
        <v>3.9509061732845598</v>
      </c>
      <c r="AO33" s="104">
        <v>7</v>
      </c>
    </row>
    <row r="34" spans="1:41" ht="12.55" x14ac:dyDescent="0.2">
      <c r="B34" s="7" t="s">
        <v>37</v>
      </c>
      <c r="C34" s="49">
        <f t="shared" si="1"/>
        <v>4.9926199261992652</v>
      </c>
      <c r="D34" s="28">
        <v>3.726027397260276</v>
      </c>
      <c r="E34" s="44">
        <v>3.8253499134135649</v>
      </c>
      <c r="F34" s="44">
        <v>4.0596644269746838</v>
      </c>
      <c r="G34" s="44">
        <v>4.9399935644695097</v>
      </c>
      <c r="H34" s="44">
        <v>4.8434913285583097</v>
      </c>
      <c r="I34" s="44">
        <v>4.9926199261992652</v>
      </c>
      <c r="J34" s="47">
        <v>3.7012604067156052</v>
      </c>
      <c r="K34" s="51">
        <f t="shared" si="0"/>
        <v>7</v>
      </c>
      <c r="L34" s="40"/>
      <c r="M34" s="49">
        <f t="shared" si="2"/>
        <v>4.2397945445955525</v>
      </c>
      <c r="N34" s="43">
        <v>3.9132636129446485</v>
      </c>
      <c r="O34" s="44">
        <v>4.2397945445955525</v>
      </c>
      <c r="P34" s="44">
        <v>4.0928116754544135</v>
      </c>
      <c r="Q34" s="44">
        <v>3.7729590808432216</v>
      </c>
      <c r="R34" s="44">
        <v>4.2047376964643277</v>
      </c>
      <c r="S34" s="47">
        <v>3.4186991810195622</v>
      </c>
      <c r="T34" s="51">
        <f t="shared" si="3"/>
        <v>6</v>
      </c>
      <c r="U34" s="51"/>
      <c r="V34" s="40"/>
      <c r="W34" s="49">
        <f t="shared" si="4"/>
        <v>4.2397945445955525</v>
      </c>
      <c r="X34" s="43">
        <v>3.9132636129446485</v>
      </c>
      <c r="Y34" s="44">
        <v>3.9295496264046337</v>
      </c>
      <c r="Z34" s="44">
        <v>4.0100937551468796</v>
      </c>
      <c r="AA34" s="44">
        <v>4.2397945445955525</v>
      </c>
      <c r="AB34" s="44">
        <v>3.5583954582837953</v>
      </c>
      <c r="AC34" s="47">
        <v>3.4789680267124079</v>
      </c>
      <c r="AD34" s="51">
        <f t="shared" si="5"/>
        <v>6</v>
      </c>
      <c r="AE34" s="51"/>
      <c r="AG34" s="102">
        <f t="shared" si="6"/>
        <v>4.3789495396719103</v>
      </c>
      <c r="AH34" s="105">
        <v>4.3789495396719103</v>
      </c>
      <c r="AI34" s="105">
        <v>4.026782299419807</v>
      </c>
      <c r="AJ34" s="105">
        <v>4.0897110362748785</v>
      </c>
      <c r="AK34" s="40">
        <v>3.8602986344250789</v>
      </c>
      <c r="AL34" s="105">
        <v>3.8041311940273053</v>
      </c>
      <c r="AM34" s="105">
        <v>4.0352745692006584</v>
      </c>
      <c r="AN34" s="103">
        <v>3.7341844133960063</v>
      </c>
      <c r="AO34" s="104">
        <v>7</v>
      </c>
    </row>
    <row r="35" spans="1:41" ht="12.55" x14ac:dyDescent="0.2">
      <c r="B35" s="7" t="s">
        <v>38</v>
      </c>
      <c r="C35" s="49">
        <f t="shared" si="1"/>
        <v>4.9833641404805942</v>
      </c>
      <c r="D35" s="28">
        <v>3.4615384615384626</v>
      </c>
      <c r="E35" s="44">
        <v>3.6616820588656678</v>
      </c>
      <c r="F35" s="44">
        <v>3.7340256566177938</v>
      </c>
      <c r="G35" s="44">
        <v>4.9611227672588551</v>
      </c>
      <c r="H35" s="44">
        <v>4.8665391681790764</v>
      </c>
      <c r="I35" s="44">
        <v>4.9833641404805942</v>
      </c>
      <c r="J35" s="47">
        <v>3.6696983031215344</v>
      </c>
      <c r="K35" s="51">
        <f t="shared" si="0"/>
        <v>5</v>
      </c>
      <c r="L35" s="40"/>
      <c r="M35" s="49">
        <f t="shared" si="2"/>
        <v>4.1249408329945974</v>
      </c>
      <c r="N35" s="43">
        <v>3.9229829158609704</v>
      </c>
      <c r="O35" s="44">
        <v>4.0370341182790224</v>
      </c>
      <c r="P35" s="44">
        <v>3.8526542594218327</v>
      </c>
      <c r="Q35" s="44">
        <v>3.5193978596116251</v>
      </c>
      <c r="R35" s="44">
        <v>4.1249408329945974</v>
      </c>
      <c r="S35" s="47">
        <v>3.5738408128045931</v>
      </c>
      <c r="T35" s="51">
        <f t="shared" si="3"/>
        <v>5</v>
      </c>
      <c r="U35" s="51"/>
      <c r="V35" s="40"/>
      <c r="W35" s="49">
        <f t="shared" si="4"/>
        <v>4.0370341182790224</v>
      </c>
      <c r="X35" s="43">
        <v>3.9229829158609704</v>
      </c>
      <c r="Y35" s="44">
        <v>3.9097931910222936</v>
      </c>
      <c r="Z35" s="44">
        <v>3.8505272843758593</v>
      </c>
      <c r="AA35" s="44">
        <v>4.0370341182790224</v>
      </c>
      <c r="AB35" s="44">
        <v>3.7514133808800953</v>
      </c>
      <c r="AC35" s="47">
        <v>3.2304297898620788</v>
      </c>
      <c r="AD35" s="51">
        <f t="shared" si="5"/>
        <v>6</v>
      </c>
      <c r="AE35" s="51"/>
      <c r="AG35" s="102">
        <f t="shared" si="6"/>
        <v>4.2576235816362189</v>
      </c>
      <c r="AH35" s="105">
        <v>4.2576235816362189</v>
      </c>
      <c r="AI35" s="105">
        <v>3.8626672819679264</v>
      </c>
      <c r="AJ35" s="105">
        <v>4.1215721719648863</v>
      </c>
      <c r="AK35" s="40">
        <v>3.7320041744991856</v>
      </c>
      <c r="AL35" s="105">
        <v>3.5923788350391894</v>
      </c>
      <c r="AM35" s="105">
        <v>3.9734953270916682</v>
      </c>
      <c r="AN35" s="103">
        <v>3.7027353635810472</v>
      </c>
      <c r="AO35" s="104">
        <v>6</v>
      </c>
    </row>
    <row r="36" spans="1:41" ht="12.55" x14ac:dyDescent="0.2">
      <c r="A36" s="73"/>
      <c r="B36" s="7" t="s">
        <v>39</v>
      </c>
      <c r="C36" s="49">
        <f t="shared" si="1"/>
        <v>4.9944751381215484</v>
      </c>
      <c r="D36" s="28">
        <v>4.0369003690036918</v>
      </c>
      <c r="E36" s="44">
        <v>3.89433927365969</v>
      </c>
      <c r="F36" s="44">
        <v>4.2135457552611761</v>
      </c>
      <c r="G36" s="44">
        <v>4.9882076642424131</v>
      </c>
      <c r="H36" s="44">
        <v>4.951148400758993</v>
      </c>
      <c r="I36" s="44">
        <v>4.9944751381215484</v>
      </c>
      <c r="J36" s="47">
        <v>3.9629216167840693</v>
      </c>
      <c r="K36" s="51">
        <f t="shared" si="0"/>
        <v>6</v>
      </c>
      <c r="L36" s="40"/>
      <c r="M36" s="49">
        <f t="shared" si="2"/>
        <v>4.4680020303070949</v>
      </c>
      <c r="N36" s="43">
        <v>4.0958118360367575</v>
      </c>
      <c r="O36" s="44">
        <v>4.3410509603976788</v>
      </c>
      <c r="P36" s="44">
        <v>4.335719360203802</v>
      </c>
      <c r="Q36" s="44">
        <v>3.8621494207682745</v>
      </c>
      <c r="R36" s="44">
        <v>4.4680020303070949</v>
      </c>
      <c r="S36" s="47">
        <v>3.8336093407471918</v>
      </c>
      <c r="T36" s="51">
        <f t="shared" si="3"/>
        <v>6</v>
      </c>
      <c r="U36" s="51"/>
      <c r="V36" s="40"/>
      <c r="W36" s="49">
        <f t="shared" si="4"/>
        <v>4.3410509603976788</v>
      </c>
      <c r="X36" s="43">
        <v>4.0958118360367575</v>
      </c>
      <c r="Y36" s="44">
        <v>4.1955798625623189</v>
      </c>
      <c r="Z36" s="44">
        <v>4.1046971368221694</v>
      </c>
      <c r="AA36" s="44">
        <v>4.3410509603976788</v>
      </c>
      <c r="AB36" s="44">
        <v>3.9725132268055487</v>
      </c>
      <c r="AC36" s="47">
        <v>3.450263119123401</v>
      </c>
      <c r="AD36" s="51">
        <f t="shared" si="5"/>
        <v>6</v>
      </c>
      <c r="AE36" s="51"/>
      <c r="AG36" s="102">
        <f t="shared" si="6"/>
        <v>4.4347744441202206</v>
      </c>
      <c r="AH36" s="105">
        <v>4.4347744441202206</v>
      </c>
      <c r="AI36" s="105">
        <v>4.219785232222466</v>
      </c>
      <c r="AJ36" s="105">
        <v>4.3135239848120355</v>
      </c>
      <c r="AK36" s="40">
        <v>3.9641743296793801</v>
      </c>
      <c r="AL36" s="105">
        <v>3.936477986622358</v>
      </c>
      <c r="AM36" s="105">
        <v>4.2240904435422113</v>
      </c>
      <c r="AN36" s="103">
        <v>3.9796611304252907</v>
      </c>
      <c r="AO36" s="104">
        <v>5</v>
      </c>
    </row>
    <row r="37" spans="1:41" ht="12.55" x14ac:dyDescent="0.2">
      <c r="B37" s="7" t="s">
        <v>40</v>
      </c>
      <c r="C37" s="49">
        <f t="shared" si="1"/>
        <v>4.998158379373848</v>
      </c>
      <c r="D37" s="28">
        <v>3.8878504672897183</v>
      </c>
      <c r="E37" s="44">
        <v>3.723249920154283</v>
      </c>
      <c r="F37" s="44">
        <v>3.9992730769942875</v>
      </c>
      <c r="G37" s="44">
        <v>4.9915409756384994</v>
      </c>
      <c r="H37" s="44">
        <v>4.9603034005082245</v>
      </c>
      <c r="I37" s="44">
        <v>4.998158379373848</v>
      </c>
      <c r="J37" s="47">
        <v>3.7570102905829277</v>
      </c>
      <c r="K37" s="51">
        <f t="shared" si="0"/>
        <v>6</v>
      </c>
      <c r="L37" s="40"/>
      <c r="M37" s="49">
        <f t="shared" si="2"/>
        <v>4.2939018617428983</v>
      </c>
      <c r="N37" s="43">
        <v>3.9235449090182573</v>
      </c>
      <c r="O37" s="44">
        <v>4.1755062751172849</v>
      </c>
      <c r="P37" s="44">
        <v>4.0895611643611272</v>
      </c>
      <c r="Q37" s="44">
        <v>3.6741112228677757</v>
      </c>
      <c r="R37" s="44">
        <v>4.2939018617428983</v>
      </c>
      <c r="S37" s="47">
        <v>3.5665044851519472</v>
      </c>
      <c r="T37" s="51">
        <f t="shared" si="3"/>
        <v>6</v>
      </c>
      <c r="U37" s="51"/>
      <c r="V37" s="40"/>
      <c r="W37" s="49">
        <f t="shared" si="4"/>
        <v>4.1755062751172849</v>
      </c>
      <c r="X37" s="43">
        <v>3.9235449090182573</v>
      </c>
      <c r="Y37" s="44">
        <v>4.0327006103697007</v>
      </c>
      <c r="Z37" s="44">
        <v>3.943134462440018</v>
      </c>
      <c r="AA37" s="44">
        <v>4.1755062751172849</v>
      </c>
      <c r="AB37" s="44">
        <v>3.8650698075099981</v>
      </c>
      <c r="AC37" s="47">
        <v>3.1324124094556622</v>
      </c>
      <c r="AD37" s="51">
        <f t="shared" si="5"/>
        <v>6</v>
      </c>
      <c r="AE37" s="51"/>
      <c r="AG37" s="102">
        <f t="shared" si="6"/>
        <v>4.3285157663702032</v>
      </c>
      <c r="AH37" s="105">
        <v>4.3285157663702032</v>
      </c>
      <c r="AI37" s="105">
        <v>4.0529038493096463</v>
      </c>
      <c r="AJ37" s="105">
        <v>4.1683686809490217</v>
      </c>
      <c r="AK37" s="40">
        <v>3.7719383006637934</v>
      </c>
      <c r="AL37" s="105">
        <v>3.7498662043218087</v>
      </c>
      <c r="AM37" s="105">
        <v>4.0245255705258778</v>
      </c>
      <c r="AN37" s="103">
        <v>3.7564059798032536</v>
      </c>
      <c r="AO37" s="104">
        <v>6</v>
      </c>
    </row>
    <row r="38" spans="1:41" ht="12.55" x14ac:dyDescent="0.2">
      <c r="A38" s="73"/>
      <c r="B38" s="7" t="s">
        <v>41</v>
      </c>
      <c r="C38" s="49">
        <f t="shared" si="1"/>
        <v>4.9975000000000005</v>
      </c>
      <c r="D38" s="28">
        <v>3.8900523560209428</v>
      </c>
      <c r="E38" s="44">
        <v>3.9168942822286921</v>
      </c>
      <c r="F38" s="44">
        <v>3.9620449829273783</v>
      </c>
      <c r="G38" s="44">
        <v>4.9021342899165736</v>
      </c>
      <c r="H38" s="44">
        <v>4.8974002823524287</v>
      </c>
      <c r="I38" s="44">
        <v>4.9975000000000005</v>
      </c>
      <c r="J38" s="47">
        <v>3.8879723629574441</v>
      </c>
      <c r="K38" s="51">
        <f t="shared" si="0"/>
        <v>7</v>
      </c>
      <c r="L38" s="40"/>
      <c r="M38" s="49">
        <f t="shared" si="2"/>
        <v>4.2509886483389243</v>
      </c>
      <c r="N38" s="43">
        <v>3.855652385505925</v>
      </c>
      <c r="O38" s="44">
        <v>4.2405844587258974</v>
      </c>
      <c r="P38" s="44">
        <v>4.0149176556896826</v>
      </c>
      <c r="Q38" s="44">
        <v>3.9999347952335862</v>
      </c>
      <c r="R38" s="44">
        <v>4.2509886483389243</v>
      </c>
      <c r="S38" s="47">
        <v>3.8032250891798398</v>
      </c>
      <c r="T38" s="51">
        <f t="shared" si="3"/>
        <v>6</v>
      </c>
      <c r="U38" s="51"/>
      <c r="V38" s="40"/>
      <c r="W38" s="49">
        <f t="shared" si="4"/>
        <v>4.2405844587258974</v>
      </c>
      <c r="X38" s="43">
        <v>3.855652385505925</v>
      </c>
      <c r="Y38" s="44">
        <v>4.2162750210494799</v>
      </c>
      <c r="Z38" s="44">
        <v>4.1215396794565251</v>
      </c>
      <c r="AA38" s="44">
        <v>4.2405844587258974</v>
      </c>
      <c r="AB38" s="44">
        <v>4.1015869913169531</v>
      </c>
      <c r="AC38" s="47">
        <v>3.8331109596098956</v>
      </c>
      <c r="AD38" s="51">
        <f t="shared" si="5"/>
        <v>6</v>
      </c>
      <c r="AE38" s="51"/>
      <c r="AG38" s="102">
        <f t="shared" si="6"/>
        <v>4.2805186195713869</v>
      </c>
      <c r="AH38" s="105">
        <v>4.2805186195713869</v>
      </c>
      <c r="AI38" s="105">
        <v>4.1437246599951623</v>
      </c>
      <c r="AJ38" s="105">
        <v>4.1623771088161838</v>
      </c>
      <c r="AK38" s="40">
        <v>3.9936177790659357</v>
      </c>
      <c r="AL38" s="105">
        <v>4.0083655918987198</v>
      </c>
      <c r="AM38" s="105">
        <v>3.9625515707969674</v>
      </c>
      <c r="AN38" s="103">
        <v>3.8231127540371688</v>
      </c>
      <c r="AO38" s="104">
        <v>7</v>
      </c>
    </row>
    <row r="39" spans="1:41" ht="12.55" x14ac:dyDescent="0.2">
      <c r="B39" s="7" t="s">
        <v>42</v>
      </c>
      <c r="C39" s="49">
        <f t="shared" si="1"/>
        <v>4.9720101781170456</v>
      </c>
      <c r="D39" s="28">
        <v>3.4492187500000013</v>
      </c>
      <c r="E39" s="44">
        <v>3.7104632947544998</v>
      </c>
      <c r="F39" s="44">
        <v>3.7927099879887769</v>
      </c>
      <c r="G39" s="44">
        <v>4.7400576851720686</v>
      </c>
      <c r="H39" s="44">
        <v>4.8705012009971673</v>
      </c>
      <c r="I39" s="44">
        <v>4.9720101781170456</v>
      </c>
      <c r="J39" s="47">
        <v>3.7127699576925277</v>
      </c>
      <c r="K39" s="51">
        <f t="shared" si="0"/>
        <v>5</v>
      </c>
      <c r="L39" s="40"/>
      <c r="M39" s="49">
        <f t="shared" si="2"/>
        <v>4.0781672520176615</v>
      </c>
      <c r="N39" s="43">
        <v>3.5184294556263129</v>
      </c>
      <c r="O39" s="44">
        <v>4.0781672520176615</v>
      </c>
      <c r="P39" s="44">
        <v>3.5229270544510571</v>
      </c>
      <c r="Q39" s="44">
        <v>3.7514964085706879</v>
      </c>
      <c r="R39" s="44">
        <v>3.9271504524908183</v>
      </c>
      <c r="S39" s="47">
        <v>3.4764125810280708</v>
      </c>
      <c r="T39" s="51">
        <f t="shared" si="3"/>
        <v>6</v>
      </c>
      <c r="U39" s="51"/>
      <c r="V39" s="40"/>
      <c r="W39" s="49">
        <f t="shared" si="4"/>
        <v>4.0781672520176615</v>
      </c>
      <c r="X39" s="43">
        <v>3.5184294556263129</v>
      </c>
      <c r="Y39" s="44">
        <v>3.7483560088362928</v>
      </c>
      <c r="Z39" s="44">
        <v>3.893419330134213</v>
      </c>
      <c r="AA39" s="44">
        <v>4.0781672520176615</v>
      </c>
      <c r="AB39" s="44">
        <v>3.7696517902134303</v>
      </c>
      <c r="AC39" s="47">
        <v>3.6121388886854233</v>
      </c>
      <c r="AD39" s="51">
        <f t="shared" si="5"/>
        <v>5</v>
      </c>
      <c r="AE39" s="51"/>
      <c r="AG39" s="102">
        <f t="shared" si="6"/>
        <v>4.1427452624790657</v>
      </c>
      <c r="AH39" s="105">
        <v>4.1427452624790657</v>
      </c>
      <c r="AI39" s="105">
        <v>3.6999102338387106</v>
      </c>
      <c r="AJ39" s="105">
        <v>3.9266657509957521</v>
      </c>
      <c r="AK39" s="40">
        <v>3.7746794059261752</v>
      </c>
      <c r="AL39" s="105">
        <v>3.8714080008945237</v>
      </c>
      <c r="AM39" s="105">
        <v>3.723605423755652</v>
      </c>
      <c r="AN39" s="103">
        <v>3.689582008376374</v>
      </c>
      <c r="AO39" s="104">
        <v>7</v>
      </c>
    </row>
    <row r="40" spans="1:41" ht="12.55" x14ac:dyDescent="0.2">
      <c r="B40" s="7" t="s">
        <v>43</v>
      </c>
      <c r="C40" s="49">
        <f t="shared" si="1"/>
        <v>4.9924050632911383</v>
      </c>
      <c r="D40" s="28">
        <v>3.8484848484848473</v>
      </c>
      <c r="E40" s="44">
        <v>3.7973774627484911</v>
      </c>
      <c r="F40" s="44">
        <v>3.966806723514575</v>
      </c>
      <c r="G40" s="44">
        <v>4.9259880409851426</v>
      </c>
      <c r="H40" s="44">
        <v>4.8916983950176478</v>
      </c>
      <c r="I40" s="44">
        <v>4.9924050632911383</v>
      </c>
      <c r="J40" s="47">
        <v>3.7970455725343579</v>
      </c>
      <c r="K40" s="51">
        <f t="shared" si="0"/>
        <v>7</v>
      </c>
      <c r="L40" s="40"/>
      <c r="M40" s="49">
        <f t="shared" si="2"/>
        <v>4.1697102349266189</v>
      </c>
      <c r="N40" s="43">
        <v>3.6727026678556447</v>
      </c>
      <c r="O40" s="44">
        <v>4.0340562843884342</v>
      </c>
      <c r="P40" s="44">
        <v>3.9271776951380666</v>
      </c>
      <c r="Q40" s="44">
        <v>3.8238434288083942</v>
      </c>
      <c r="R40" s="44">
        <v>4.1697102349266189</v>
      </c>
      <c r="S40" s="47">
        <v>3.6561924861642061</v>
      </c>
      <c r="T40" s="51">
        <f t="shared" si="3"/>
        <v>6</v>
      </c>
      <c r="U40" s="51"/>
      <c r="V40" s="40"/>
      <c r="W40" s="49">
        <f t="shared" si="4"/>
        <v>4.0340562843884342</v>
      </c>
      <c r="X40" s="43">
        <v>3.6727026678556447</v>
      </c>
      <c r="Y40" s="44">
        <v>3.9932572324933213</v>
      </c>
      <c r="Z40" s="44">
        <v>3.8928236953155597</v>
      </c>
      <c r="AA40" s="44">
        <v>4.0340562843884342</v>
      </c>
      <c r="AB40" s="44">
        <v>4.0110915348564875</v>
      </c>
      <c r="AC40" s="47">
        <v>3.7050025387002847</v>
      </c>
      <c r="AD40" s="51">
        <f t="shared" si="5"/>
        <v>5</v>
      </c>
      <c r="AE40" s="51"/>
      <c r="AG40" s="102">
        <f t="shared" si="6"/>
        <v>4.234380560826243</v>
      </c>
      <c r="AH40" s="105">
        <v>4.234380560826243</v>
      </c>
      <c r="AI40" s="105">
        <v>3.9106823918538103</v>
      </c>
      <c r="AJ40" s="105">
        <v>4.0016308072243865</v>
      </c>
      <c r="AK40" s="40">
        <v>3.8745814728589512</v>
      </c>
      <c r="AL40" s="105">
        <v>3.8790237359506152</v>
      </c>
      <c r="AM40" s="105">
        <v>3.7167770805364726</v>
      </c>
      <c r="AN40" s="103">
        <v>3.724780922723181</v>
      </c>
      <c r="AO40" s="104">
        <v>6</v>
      </c>
    </row>
    <row r="41" spans="1:41" x14ac:dyDescent="0.2">
      <c r="T41" s="51"/>
      <c r="U41" s="51"/>
      <c r="AD41" s="51"/>
      <c r="AE41" s="51"/>
    </row>
    <row r="42" spans="1:41" x14ac:dyDescent="0.2">
      <c r="J42" s="47"/>
      <c r="AN42" s="10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50"/>
  <sheetViews>
    <sheetView zoomScale="70" zoomScaleNormal="70"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AF3" sqref="AF3"/>
    </sheetView>
  </sheetViews>
  <sheetFormatPr defaultColWidth="11.44140625" defaultRowHeight="13.15" x14ac:dyDescent="0.2"/>
  <cols>
    <col min="1" max="1" width="2.21875" style="11" customWidth="1"/>
    <col min="2" max="2" width="13.5546875" style="12" bestFit="1" customWidth="1"/>
    <col min="3" max="3" width="5" style="50" bestFit="1" customWidth="1"/>
    <col min="4" max="4" width="4.21875" style="33" bestFit="1" customWidth="1"/>
    <col min="5" max="7" width="4.109375" style="33" bestFit="1" customWidth="1"/>
    <col min="8" max="8" width="4.21875" style="33" bestFit="1" customWidth="1"/>
    <col min="9" max="9" width="4.109375" style="33" bestFit="1" customWidth="1"/>
    <col min="10" max="10" width="5" style="32" bestFit="1" customWidth="1"/>
    <col min="11" max="11" width="4.5546875" style="33" customWidth="1"/>
    <col min="12" max="12" width="4.5546875" style="34" customWidth="1"/>
    <col min="13" max="16" width="4.21875" style="33" bestFit="1" customWidth="1"/>
    <col min="17" max="18" width="4.109375" style="33" bestFit="1" customWidth="1"/>
    <col min="19" max="19" width="5" style="32" bestFit="1" customWidth="1"/>
    <col min="20" max="21" width="4.5546875" style="33" customWidth="1"/>
    <col min="22" max="22" width="3.5546875" style="34" customWidth="1"/>
    <col min="23" max="23" width="4.21875" style="33" bestFit="1" customWidth="1"/>
    <col min="24" max="24" width="4.21875" style="33" customWidth="1"/>
    <col min="25" max="26" width="4.109375" style="33" bestFit="1" customWidth="1"/>
    <col min="27" max="27" width="4.21875" style="33" bestFit="1" customWidth="1"/>
    <col min="28" max="28" width="4.109375" style="33" bestFit="1" customWidth="1"/>
    <col min="29" max="29" width="5" style="32" bestFit="1" customWidth="1"/>
    <col min="30" max="31" width="4.5546875" style="33" customWidth="1"/>
    <col min="32" max="32" width="4" style="34" customWidth="1"/>
    <col min="33" max="33" width="4.21875" style="34" bestFit="1" customWidth="1"/>
    <col min="34" max="34" width="4.44140625" style="34" bestFit="1" customWidth="1"/>
    <col min="35" max="35" width="4.21875" style="34" bestFit="1" customWidth="1"/>
    <col min="36" max="36" width="5" style="34" bestFit="1" customWidth="1"/>
    <col min="37" max="37" width="4.109375" style="34" bestFit="1" customWidth="1"/>
    <col min="38" max="38" width="6" style="34" customWidth="1"/>
    <col min="39" max="39" width="4.21875" style="34" bestFit="1" customWidth="1"/>
    <col min="40" max="40" width="5" style="106" bestFit="1" customWidth="1"/>
    <col min="41" max="41" width="4.5546875" style="34" bestFit="1" customWidth="1"/>
    <col min="42" max="42" width="4.33203125" style="11" customWidth="1"/>
    <col min="43" max="16384" width="11.44140625" style="11"/>
  </cols>
  <sheetData>
    <row r="1" spans="1:41" ht="22.25" customHeight="1" x14ac:dyDescent="0.2">
      <c r="B1" s="7"/>
      <c r="C1" s="45" t="s">
        <v>133</v>
      </c>
      <c r="D1" s="41" t="s">
        <v>44</v>
      </c>
      <c r="E1" s="41" t="s">
        <v>54</v>
      </c>
      <c r="F1" s="41" t="s">
        <v>55</v>
      </c>
      <c r="G1" s="41" t="s">
        <v>53</v>
      </c>
      <c r="H1" s="41" t="s">
        <v>61</v>
      </c>
      <c r="I1" s="41" t="s">
        <v>65</v>
      </c>
      <c r="J1" s="45" t="s">
        <v>0</v>
      </c>
      <c r="K1" s="41" t="s">
        <v>130</v>
      </c>
      <c r="L1" s="38"/>
      <c r="M1" s="41" t="s">
        <v>133</v>
      </c>
      <c r="N1" s="41" t="s">
        <v>46</v>
      </c>
      <c r="O1" s="41" t="s">
        <v>56</v>
      </c>
      <c r="P1" s="41" t="s">
        <v>57</v>
      </c>
      <c r="Q1" s="41" t="s">
        <v>63</v>
      </c>
      <c r="R1" s="41" t="s">
        <v>66</v>
      </c>
      <c r="S1" s="45" t="s">
        <v>1</v>
      </c>
      <c r="T1" s="41" t="s">
        <v>131</v>
      </c>
      <c r="U1" s="41"/>
      <c r="V1" s="38"/>
      <c r="W1" s="41" t="s">
        <v>133</v>
      </c>
      <c r="X1" s="41" t="s">
        <v>46</v>
      </c>
      <c r="Y1" s="41" t="s">
        <v>47</v>
      </c>
      <c r="Z1" s="41" t="s">
        <v>51</v>
      </c>
      <c r="AA1" s="41" t="s">
        <v>56</v>
      </c>
      <c r="AB1" s="41" t="s">
        <v>60</v>
      </c>
      <c r="AC1" s="45" t="s">
        <v>7</v>
      </c>
      <c r="AD1" s="41" t="s">
        <v>132</v>
      </c>
      <c r="AE1" s="41"/>
      <c r="AG1" s="38" t="s">
        <v>133</v>
      </c>
      <c r="AH1" s="100" t="s">
        <v>45</v>
      </c>
      <c r="AI1" s="100" t="s">
        <v>156</v>
      </c>
      <c r="AJ1" s="100" t="s">
        <v>49</v>
      </c>
      <c r="AK1" s="38" t="s">
        <v>54</v>
      </c>
      <c r="AL1" s="100" t="s">
        <v>63</v>
      </c>
      <c r="AM1" s="100" t="s">
        <v>64</v>
      </c>
      <c r="AN1" s="99" t="s">
        <v>0</v>
      </c>
      <c r="AO1" s="38" t="s">
        <v>130</v>
      </c>
    </row>
    <row r="2" spans="1:41" ht="12.55" x14ac:dyDescent="0.2">
      <c r="B2" s="7"/>
      <c r="C2" s="48"/>
      <c r="D2" s="42"/>
      <c r="E2" s="42"/>
      <c r="F2" s="42"/>
      <c r="G2" s="42"/>
      <c r="H2" s="42"/>
      <c r="I2" s="42"/>
      <c r="J2" s="46"/>
      <c r="K2" s="42"/>
      <c r="L2" s="39"/>
      <c r="M2" s="42"/>
      <c r="N2" s="41"/>
      <c r="O2" s="41"/>
      <c r="P2" s="41"/>
      <c r="Q2" s="41"/>
      <c r="R2" s="41"/>
      <c r="S2" s="46"/>
      <c r="T2" s="42"/>
      <c r="U2" s="42"/>
      <c r="V2" s="39"/>
      <c r="W2" s="42"/>
      <c r="X2" s="42"/>
      <c r="Y2" s="42"/>
      <c r="Z2" s="42"/>
      <c r="AA2" s="42"/>
      <c r="AB2" s="42"/>
      <c r="AC2" s="46"/>
      <c r="AD2" s="41"/>
      <c r="AE2" s="41"/>
      <c r="AG2" s="39"/>
      <c r="AK2" s="39"/>
      <c r="AN2" s="101"/>
      <c r="AO2" s="39"/>
    </row>
    <row r="3" spans="1:41" ht="12.55" x14ac:dyDescent="0.2">
      <c r="B3" s="7" t="s">
        <v>10</v>
      </c>
      <c r="C3" s="49">
        <f>MAX(D3,E3,F3,G3,H3,I3,J3)</f>
        <v>4.9983139002313104</v>
      </c>
      <c r="D3" s="28">
        <v>4.0408163265306172</v>
      </c>
      <c r="E3" s="44">
        <v>3.8103401936920283</v>
      </c>
      <c r="F3" s="44">
        <v>4.1203208151956643</v>
      </c>
      <c r="G3" s="44">
        <v>4.9983139002313104</v>
      </c>
      <c r="H3" s="44">
        <v>4.9977779756248886</v>
      </c>
      <c r="I3" s="44">
        <v>4.9981718464350999</v>
      </c>
      <c r="J3" s="47">
        <v>3.8286225204363671</v>
      </c>
      <c r="K3" s="51">
        <f>_xlfn.RANK.EQ(J3,D3:J3)</f>
        <v>6</v>
      </c>
      <c r="L3" s="40"/>
      <c r="M3" s="49">
        <f>MAX(N3,O3,P3,Q3,R3,S3)</f>
        <v>4.4181796722484021</v>
      </c>
      <c r="N3" s="43">
        <v>4.1181007425169698</v>
      </c>
      <c r="O3" s="44">
        <v>4.3179327799271512</v>
      </c>
      <c r="P3" s="44">
        <v>4.1221840534029113</v>
      </c>
      <c r="Q3" s="44">
        <v>3.891314936656447</v>
      </c>
      <c r="R3" s="44">
        <v>4.4181796722484021</v>
      </c>
      <c r="S3" s="47">
        <v>3.6600715403758488</v>
      </c>
      <c r="T3" s="51">
        <f>_xlfn.RANK.EQ(S3,N3:S3)</f>
        <v>6</v>
      </c>
      <c r="U3" s="51"/>
      <c r="V3" s="40"/>
      <c r="W3" s="49">
        <f>MAX(X3,Y3,Z3,AA3,AB3,AC3)</f>
        <v>4.3179327799271512</v>
      </c>
      <c r="X3" s="43">
        <v>4.1181007425169698</v>
      </c>
      <c r="Y3" s="44">
        <v>4.1835666806752316</v>
      </c>
      <c r="Z3" s="44">
        <v>4.0675513813860684</v>
      </c>
      <c r="AA3" s="44">
        <v>4.3179327799271512</v>
      </c>
      <c r="AB3" s="44">
        <v>4.0208172111924014</v>
      </c>
      <c r="AC3" s="47">
        <v>3.4585180395228279</v>
      </c>
      <c r="AD3" s="51">
        <f>_xlfn.RANK.EQ(AC3,X3:AC3)</f>
        <v>6</v>
      </c>
      <c r="AE3" s="51"/>
      <c r="AG3" s="102">
        <f>MAX(AH3,AI3,AJ3,AK3,AL3,AM3,AN3)</f>
        <v>4.3726601207054383</v>
      </c>
      <c r="AH3" s="105">
        <v>4.3726601207054383</v>
      </c>
      <c r="AI3" s="105">
        <v>4.2052149715614275</v>
      </c>
      <c r="AJ3" s="105">
        <v>4.2655365080582701</v>
      </c>
      <c r="AK3" s="40">
        <v>3.8829542575386125</v>
      </c>
      <c r="AL3" s="105">
        <v>3.9716820338222969</v>
      </c>
      <c r="AM3" s="105">
        <v>4.1007178881110153</v>
      </c>
      <c r="AN3" s="103">
        <v>3.7825129480818545</v>
      </c>
      <c r="AO3" s="104">
        <v>7</v>
      </c>
    </row>
    <row r="4" spans="1:41" ht="16.899999999999999" customHeight="1" x14ac:dyDescent="0.2">
      <c r="B4" s="7" t="s">
        <v>3</v>
      </c>
      <c r="C4" s="49">
        <f t="shared" ref="C4:C48" si="0">MAX(D4,E4,F4,G4,H4,I4,J4)</f>
        <v>5</v>
      </c>
      <c r="D4" s="28">
        <v>3.9679487179487176</v>
      </c>
      <c r="E4" s="44">
        <v>3.6266767783742662</v>
      </c>
      <c r="F4" s="44">
        <v>4.0400851288803539</v>
      </c>
      <c r="G4" s="44">
        <v>5</v>
      </c>
      <c r="H4" s="44">
        <v>5</v>
      </c>
      <c r="I4" s="44">
        <v>5</v>
      </c>
      <c r="J4" s="47">
        <v>3.6698433351936441</v>
      </c>
      <c r="K4" s="51">
        <f>_xlfn.RANK.EQ(J4,D4:J4)</f>
        <v>6</v>
      </c>
      <c r="L4" s="40"/>
      <c r="M4" s="49">
        <f t="shared" ref="M4:M48" si="1">MAX(N4,O4,P4,Q4,R4,S4)</f>
        <v>4.332959101769708</v>
      </c>
      <c r="N4" s="43">
        <v>4.0135342571598347</v>
      </c>
      <c r="O4" s="44">
        <v>4.3038456622263501</v>
      </c>
      <c r="P4" s="44">
        <v>4.0736376556956548</v>
      </c>
      <c r="Q4" s="44">
        <v>3.7239584233925758</v>
      </c>
      <c r="R4" s="44">
        <v>4.332959101769708</v>
      </c>
      <c r="S4" s="47">
        <v>3.4944581918360615</v>
      </c>
      <c r="T4" s="51">
        <f t="shared" ref="T4:T48" si="2">_xlfn.RANK.EQ(S4,N4:S4)</f>
        <v>6</v>
      </c>
      <c r="U4" s="51"/>
      <c r="V4" s="40"/>
      <c r="W4" s="49">
        <f t="shared" ref="W4:W48" si="3">MAX(X4,Y4,Z4,AA4,AB4,AC4)</f>
        <v>4.3038456622263501</v>
      </c>
      <c r="X4" s="43">
        <v>4.0135342571598347</v>
      </c>
      <c r="Y4" s="44">
        <v>4.0107212957985832</v>
      </c>
      <c r="Z4" s="44">
        <v>4.0716212605363307</v>
      </c>
      <c r="AA4" s="44">
        <v>4.3038456622263501</v>
      </c>
      <c r="AB4" s="44">
        <v>3.9499384172436471</v>
      </c>
      <c r="AC4" s="47">
        <v>3.2695364649380001</v>
      </c>
      <c r="AD4" s="51">
        <f t="shared" ref="AD4:AD47" si="4">_xlfn.RANK.EQ(AC4,X4:AC4)</f>
        <v>6</v>
      </c>
      <c r="AE4" s="51"/>
      <c r="AG4" s="102">
        <f t="shared" ref="AG4:AG48" si="5">MAX(AH4,AI4,AJ4,AK4,AL4,AM4,AN4)</f>
        <v>4.2410839846293786</v>
      </c>
      <c r="AH4" s="105">
        <v>4.2320416215924137</v>
      </c>
      <c r="AI4" s="105">
        <v>4.1514425389323382</v>
      </c>
      <c r="AJ4" s="105">
        <v>4.2410839846293786</v>
      </c>
      <c r="AK4" s="40">
        <v>3.7299868351770531</v>
      </c>
      <c r="AL4" s="105">
        <v>3.8763100906704548</v>
      </c>
      <c r="AM4" s="105">
        <v>3.9927279548280086</v>
      </c>
      <c r="AN4" s="103">
        <v>3.7103005442331201</v>
      </c>
      <c r="AO4" s="104">
        <v>7</v>
      </c>
    </row>
    <row r="5" spans="1:41" ht="12.55" x14ac:dyDescent="0.2">
      <c r="B5" s="7" t="s">
        <v>4</v>
      </c>
      <c r="C5" s="49">
        <f t="shared" si="0"/>
        <v>5</v>
      </c>
      <c r="D5" s="28">
        <v>4.0733944954128445</v>
      </c>
      <c r="E5" s="44">
        <v>3.8409367317412269</v>
      </c>
      <c r="F5" s="44">
        <v>4.1388777332404132</v>
      </c>
      <c r="G5" s="44">
        <v>4.9973227756357606</v>
      </c>
      <c r="H5" s="44">
        <v>4.9980511717771137</v>
      </c>
      <c r="I5" s="44">
        <v>5</v>
      </c>
      <c r="J5" s="47">
        <v>3.8485446150408138</v>
      </c>
      <c r="K5" s="51">
        <f>_xlfn.RANK.EQ(J5,D5:J5)</f>
        <v>6</v>
      </c>
      <c r="L5" s="40"/>
      <c r="M5" s="49">
        <f t="shared" si="1"/>
        <v>4.443929671068565</v>
      </c>
      <c r="N5" s="43">
        <v>4.1541532315540088</v>
      </c>
      <c r="O5" s="44">
        <v>4.360149377490532</v>
      </c>
      <c r="P5" s="44">
        <v>4.1666885469524058</v>
      </c>
      <c r="Q5" s="44">
        <v>3.9195453445201638</v>
      </c>
      <c r="R5" s="44">
        <v>4.443929671068565</v>
      </c>
      <c r="S5" s="47">
        <v>3.7099663219214256</v>
      </c>
      <c r="T5" s="51">
        <f t="shared" si="2"/>
        <v>6</v>
      </c>
      <c r="U5" s="51"/>
      <c r="V5" s="40"/>
      <c r="W5" s="49">
        <f t="shared" si="3"/>
        <v>4.360149377490532</v>
      </c>
      <c r="X5" s="43">
        <v>4.1541532315540088</v>
      </c>
      <c r="Y5" s="44">
        <v>4.2433450683524239</v>
      </c>
      <c r="Z5" s="44">
        <v>4.0857021580364048</v>
      </c>
      <c r="AA5" s="44">
        <v>4.360149377490532</v>
      </c>
      <c r="AB5" s="44">
        <v>4.0260683209754147</v>
      </c>
      <c r="AC5" s="47">
        <v>3.5232150410714334</v>
      </c>
      <c r="AD5" s="51">
        <f t="shared" si="4"/>
        <v>6</v>
      </c>
      <c r="AE5" s="51"/>
      <c r="AG5" s="102">
        <f t="shared" si="5"/>
        <v>4.2928891215821201</v>
      </c>
      <c r="AH5" s="105">
        <v>4.26348083467267</v>
      </c>
      <c r="AI5" s="105">
        <v>4.2504485023980703</v>
      </c>
      <c r="AJ5" s="105">
        <v>4.2928891215821201</v>
      </c>
      <c r="AK5" s="40">
        <v>3.8856879468362546</v>
      </c>
      <c r="AL5" s="105">
        <v>4.0513340135980833</v>
      </c>
      <c r="AM5" s="105">
        <v>4.1648329274610614</v>
      </c>
      <c r="AN5" s="103">
        <v>3.7581210061494681</v>
      </c>
      <c r="AO5" s="104">
        <v>7</v>
      </c>
    </row>
    <row r="6" spans="1:41" ht="12.55" x14ac:dyDescent="0.2">
      <c r="B6" s="7" t="s">
        <v>5</v>
      </c>
      <c r="C6" s="49">
        <f t="shared" si="0"/>
        <v>5</v>
      </c>
      <c r="D6" s="28">
        <v>4.0535714285714306</v>
      </c>
      <c r="E6" s="44">
        <v>3.8637961106415939</v>
      </c>
      <c r="F6" s="44">
        <v>4.156105173628708</v>
      </c>
      <c r="G6" s="44">
        <v>5</v>
      </c>
      <c r="H6" s="44">
        <v>4.9957736198289142</v>
      </c>
      <c r="I6" s="44">
        <v>4.9935897435897427</v>
      </c>
      <c r="J6" s="47">
        <v>3.8602117853650002</v>
      </c>
      <c r="K6" s="51">
        <f>_xlfn.RANK.EQ(J6,D6:J6)</f>
        <v>7</v>
      </c>
      <c r="L6" s="40"/>
      <c r="M6" s="49">
        <f t="shared" si="1"/>
        <v>4.3812810881547968</v>
      </c>
      <c r="N6" s="43">
        <v>4.1655071338946499</v>
      </c>
      <c r="O6" s="44">
        <v>4.1165450174030926</v>
      </c>
      <c r="P6" s="44">
        <v>3.998904639389254</v>
      </c>
      <c r="Q6" s="44">
        <v>3.9783688386475338</v>
      </c>
      <c r="R6" s="44">
        <v>4.3812810881547968</v>
      </c>
      <c r="S6" s="47">
        <v>3.7350092352831927</v>
      </c>
      <c r="T6" s="51">
        <f t="shared" si="2"/>
        <v>6</v>
      </c>
      <c r="U6" s="51"/>
      <c r="V6" s="40"/>
      <c r="W6" s="49">
        <f t="shared" si="3"/>
        <v>4.2384140400827022</v>
      </c>
      <c r="X6" s="43">
        <v>4.1655071338946499</v>
      </c>
      <c r="Y6" s="44">
        <v>4.2384140400827022</v>
      </c>
      <c r="Z6" s="44">
        <v>4.0068275909535265</v>
      </c>
      <c r="AA6" s="44">
        <v>4.1165450174030926</v>
      </c>
      <c r="AB6" s="44">
        <v>4.0917080567146682</v>
      </c>
      <c r="AC6" s="47">
        <v>3.5146980276528024</v>
      </c>
      <c r="AD6" s="51">
        <f t="shared" si="4"/>
        <v>6</v>
      </c>
      <c r="AE6" s="51"/>
      <c r="AG6" s="102">
        <f t="shared" si="5"/>
        <v>4.5577121542887244</v>
      </c>
      <c r="AH6" s="105">
        <v>4.5577121542887244</v>
      </c>
      <c r="AI6" s="105">
        <v>4.1027831540602566</v>
      </c>
      <c r="AJ6" s="105">
        <v>4.2516344888632265</v>
      </c>
      <c r="AK6" s="40">
        <v>4.0305526259089524</v>
      </c>
      <c r="AL6" s="105">
        <v>3.8503391027620433</v>
      </c>
      <c r="AM6" s="105">
        <v>4.024710910828543</v>
      </c>
      <c r="AN6" s="103">
        <v>3.924930646757598</v>
      </c>
      <c r="AO6" s="104">
        <v>7</v>
      </c>
    </row>
    <row r="7" spans="1:41" ht="12.55" x14ac:dyDescent="0.2">
      <c r="B7" s="7" t="s">
        <v>6</v>
      </c>
      <c r="C7" s="49">
        <f t="shared" si="0"/>
        <v>4.9981179096665747</v>
      </c>
      <c r="D7" s="28">
        <v>4.0704960835509141</v>
      </c>
      <c r="E7" s="44">
        <v>3.8459861609959911</v>
      </c>
      <c r="F7" s="44">
        <v>4.1424211198148218</v>
      </c>
      <c r="G7" s="44">
        <v>4.9981179096665747</v>
      </c>
      <c r="H7" s="44">
        <v>4.9973302094249021</v>
      </c>
      <c r="I7" s="44">
        <v>4.9977011494252856</v>
      </c>
      <c r="J7" s="47">
        <v>3.8511090880309529</v>
      </c>
      <c r="K7" s="51">
        <f>_xlfn.RANK.EQ(J7,D7:J7)</f>
        <v>6</v>
      </c>
      <c r="L7" s="40"/>
      <c r="M7" s="49">
        <f t="shared" si="1"/>
        <v>4.4300928209217831</v>
      </c>
      <c r="N7" s="43">
        <v>4.1559095374440185</v>
      </c>
      <c r="O7" s="44">
        <v>4.3230253820111866</v>
      </c>
      <c r="P7" s="44">
        <v>4.1465215597173319</v>
      </c>
      <c r="Q7" s="44">
        <v>3.9295501582135661</v>
      </c>
      <c r="R7" s="44">
        <v>4.4300928209217831</v>
      </c>
      <c r="S7" s="47">
        <v>3.7138292849717467</v>
      </c>
      <c r="T7" s="51">
        <f t="shared" si="2"/>
        <v>6</v>
      </c>
      <c r="U7" s="51"/>
      <c r="V7" s="40"/>
      <c r="W7" s="49">
        <f t="shared" si="3"/>
        <v>4.3230253820111866</v>
      </c>
      <c r="X7" s="43">
        <v>4.1559095374440185</v>
      </c>
      <c r="Y7" s="44">
        <v>4.242481428372586</v>
      </c>
      <c r="Z7" s="44">
        <v>4.0667040541469444</v>
      </c>
      <c r="AA7" s="44">
        <v>4.3230253820111866</v>
      </c>
      <c r="AB7" s="44">
        <v>4.0378275852273857</v>
      </c>
      <c r="AC7" s="47">
        <v>3.5220847043525776</v>
      </c>
      <c r="AD7" s="51">
        <f t="shared" si="4"/>
        <v>6</v>
      </c>
      <c r="AE7" s="51"/>
      <c r="AG7" s="102">
        <f t="shared" si="5"/>
        <v>4.4100087511979114</v>
      </c>
      <c r="AH7" s="105">
        <v>4.4100087511979114</v>
      </c>
      <c r="AI7" s="105">
        <v>4.2261169773683811</v>
      </c>
      <c r="AJ7" s="105">
        <v>4.2811414427530794</v>
      </c>
      <c r="AK7" s="40">
        <v>3.9192308415429316</v>
      </c>
      <c r="AL7" s="105">
        <v>4.0116019130116642</v>
      </c>
      <c r="AM7" s="105">
        <v>4.1417918891654057</v>
      </c>
      <c r="AN7" s="103">
        <v>3.7952188491507921</v>
      </c>
      <c r="AO7" s="104">
        <v>7</v>
      </c>
    </row>
    <row r="8" spans="1:41" ht="12.55" x14ac:dyDescent="0.2">
      <c r="B8" s="7"/>
      <c r="C8" s="49"/>
      <c r="D8" s="28"/>
      <c r="E8" s="44"/>
      <c r="F8" s="44"/>
      <c r="G8" s="44"/>
      <c r="H8" s="44"/>
      <c r="I8" s="44"/>
      <c r="J8" s="47"/>
      <c r="K8" s="51"/>
      <c r="L8" s="40"/>
      <c r="M8" s="49"/>
      <c r="N8" s="43"/>
      <c r="O8" s="44"/>
      <c r="P8" s="44"/>
      <c r="Q8" s="44"/>
      <c r="R8" s="44"/>
      <c r="S8" s="47"/>
      <c r="T8" s="51"/>
      <c r="U8" s="51"/>
      <c r="V8" s="40"/>
      <c r="W8" s="49"/>
      <c r="X8" s="43"/>
      <c r="Y8" s="44"/>
      <c r="Z8" s="44"/>
      <c r="AA8" s="44"/>
      <c r="AB8" s="44"/>
      <c r="AC8" s="47"/>
      <c r="AD8" s="51"/>
      <c r="AE8" s="51"/>
      <c r="AG8" s="102"/>
      <c r="AH8" s="105"/>
      <c r="AI8" s="105"/>
      <c r="AJ8" s="105"/>
      <c r="AK8" s="40"/>
      <c r="AL8" s="105"/>
      <c r="AM8" s="105"/>
      <c r="AN8" s="103"/>
      <c r="AO8" s="104"/>
    </row>
    <row r="9" spans="1:41" ht="12.55" x14ac:dyDescent="0.2">
      <c r="A9" s="73"/>
      <c r="B9" s="7" t="s">
        <v>11</v>
      </c>
      <c r="C9" s="49">
        <f t="shared" si="0"/>
        <v>4.977272727272724</v>
      </c>
      <c r="D9" s="28">
        <v>4.0376712328767113</v>
      </c>
      <c r="E9" s="44">
        <v>3.4028169757634843</v>
      </c>
      <c r="F9" s="44">
        <v>4.0693066599107608</v>
      </c>
      <c r="G9" s="44">
        <v>4.9070707070706998</v>
      </c>
      <c r="H9" s="44">
        <v>4.8800016811019535</v>
      </c>
      <c r="I9" s="44">
        <v>4.977272727272724</v>
      </c>
      <c r="J9" s="47">
        <v>3.736662636218695</v>
      </c>
      <c r="K9" s="51">
        <f>_xlfn.RANK.EQ(J9,D9:J9)</f>
        <v>6</v>
      </c>
      <c r="L9" s="40"/>
      <c r="M9" s="49">
        <f t="shared" si="1"/>
        <v>4.2657782984242534</v>
      </c>
      <c r="N9" s="43">
        <v>3.9856025205672401</v>
      </c>
      <c r="O9" s="44">
        <v>3.9507335765970053</v>
      </c>
      <c r="P9" s="44">
        <v>3.8837263036290852</v>
      </c>
      <c r="Q9" s="44">
        <v>4.0049662972402835</v>
      </c>
      <c r="R9" s="44">
        <v>4.2657782984242534</v>
      </c>
      <c r="S9" s="47">
        <v>3.801217418601917</v>
      </c>
      <c r="T9" s="51">
        <f t="shared" si="2"/>
        <v>6</v>
      </c>
      <c r="U9" s="51"/>
      <c r="V9" s="40"/>
      <c r="W9" s="49">
        <f t="shared" si="3"/>
        <v>4.188890440101777</v>
      </c>
      <c r="X9" s="43">
        <v>3.9856025205672401</v>
      </c>
      <c r="Y9" s="44">
        <v>4.188890440101777</v>
      </c>
      <c r="Z9" s="44">
        <v>4.0031845568110258</v>
      </c>
      <c r="AA9" s="44">
        <v>3.9507335765970053</v>
      </c>
      <c r="AB9" s="44">
        <v>4.0911600241886825</v>
      </c>
      <c r="AC9" s="47">
        <v>3.4416323604195016</v>
      </c>
      <c r="AD9" s="51">
        <f t="shared" si="4"/>
        <v>6</v>
      </c>
      <c r="AE9" s="51"/>
      <c r="AG9" s="102">
        <f t="shared" si="5"/>
        <v>4.3296767690942719</v>
      </c>
      <c r="AH9" s="105">
        <v>4.3296767690942719</v>
      </c>
      <c r="AI9" s="105">
        <v>4.2450462975880621</v>
      </c>
      <c r="AJ9" s="105">
        <v>4.2174154370004731</v>
      </c>
      <c r="AK9" s="40">
        <v>3.7084578643684725</v>
      </c>
      <c r="AL9" s="105">
        <v>4.1072845496553478</v>
      </c>
      <c r="AM9" s="105">
        <v>4.0911024740845372</v>
      </c>
      <c r="AN9" s="103">
        <v>3.7084505812710447</v>
      </c>
      <c r="AO9" s="104">
        <v>7</v>
      </c>
    </row>
    <row r="10" spans="1:41" ht="12.55" x14ac:dyDescent="0.2">
      <c r="B10" s="7" t="s">
        <v>12</v>
      </c>
      <c r="C10" s="49">
        <f t="shared" si="0"/>
        <v>5</v>
      </c>
      <c r="D10" s="28">
        <v>3.4920634920634925</v>
      </c>
      <c r="E10" s="44">
        <v>3.2755904860201848</v>
      </c>
      <c r="F10" s="44">
        <v>4.0417862388657646</v>
      </c>
      <c r="G10" s="44">
        <v>4.8958333333333348</v>
      </c>
      <c r="H10" s="44">
        <v>4.7408445500946392</v>
      </c>
      <c r="I10" s="44">
        <v>5</v>
      </c>
      <c r="J10" s="47">
        <v>3.584891158967233</v>
      </c>
      <c r="K10" s="51">
        <f>_xlfn.RANK.EQ(J10,D10:J10)</f>
        <v>5</v>
      </c>
      <c r="L10" s="40"/>
      <c r="M10" s="49">
        <f t="shared" si="1"/>
        <v>4.1148538357744737</v>
      </c>
      <c r="N10" s="43">
        <v>3.4769114307479163</v>
      </c>
      <c r="O10" s="44">
        <v>3.8500693796751411</v>
      </c>
      <c r="P10" s="44">
        <v>3.7040245633575037</v>
      </c>
      <c r="Q10" s="44">
        <v>3.6250548691694995</v>
      </c>
      <c r="R10" s="44">
        <v>4.1148538357744737</v>
      </c>
      <c r="S10" s="47">
        <v>3.5971494676444253</v>
      </c>
      <c r="T10" s="51">
        <f t="shared" si="2"/>
        <v>5</v>
      </c>
      <c r="U10" s="51"/>
      <c r="V10" s="40"/>
      <c r="W10" s="49">
        <f t="shared" si="3"/>
        <v>4.0570407168411622</v>
      </c>
      <c r="X10" s="43">
        <v>3.4769114307479163</v>
      </c>
      <c r="Y10" s="44">
        <v>4.0570407168411622</v>
      </c>
      <c r="Z10" s="44">
        <v>3.6029183468119754</v>
      </c>
      <c r="AA10" s="44">
        <v>3.8500693796751411</v>
      </c>
      <c r="AB10" s="44">
        <v>3.5377809002237277</v>
      </c>
      <c r="AC10" s="47">
        <v>3.0329282000604834</v>
      </c>
      <c r="AD10" s="51">
        <f t="shared" si="4"/>
        <v>6</v>
      </c>
      <c r="AE10" s="51"/>
      <c r="AG10" s="102">
        <f t="shared" si="5"/>
        <v>4.2230548352655326</v>
      </c>
      <c r="AH10" s="105">
        <v>4.0411634999498895</v>
      </c>
      <c r="AI10" s="105">
        <v>3.9327641564839659</v>
      </c>
      <c r="AJ10" s="105">
        <v>4.2230548352655326</v>
      </c>
      <c r="AK10" s="40">
        <v>3.484190095829415</v>
      </c>
      <c r="AL10" s="105">
        <v>3.7229244293574704</v>
      </c>
      <c r="AM10" s="105">
        <v>3.7048947539855859</v>
      </c>
      <c r="AN10" s="103">
        <v>3.6668727577126345</v>
      </c>
      <c r="AO10" s="104">
        <v>6</v>
      </c>
    </row>
    <row r="11" spans="1:41" ht="12.55" x14ac:dyDescent="0.2">
      <c r="B11" s="7" t="s">
        <v>13</v>
      </c>
      <c r="C11" s="49">
        <f t="shared" si="0"/>
        <v>5</v>
      </c>
      <c r="D11" s="28">
        <v>2.8474576271186436</v>
      </c>
      <c r="E11" s="44">
        <v>3.0639584058903671</v>
      </c>
      <c r="F11" s="44">
        <v>3.0839310990272937</v>
      </c>
      <c r="G11" s="44">
        <v>4.7948717948717938</v>
      </c>
      <c r="H11" s="44">
        <v>4.5002127703608847</v>
      </c>
      <c r="I11" s="44">
        <v>5</v>
      </c>
      <c r="J11" s="47">
        <v>3.1091231841815192</v>
      </c>
      <c r="K11" s="51">
        <f>_xlfn.RANK.EQ(J11,D11:J11)</f>
        <v>4</v>
      </c>
      <c r="L11" s="40"/>
      <c r="M11" s="49">
        <f t="shared" si="1"/>
        <v>3.6268159805024358</v>
      </c>
      <c r="N11" s="43">
        <v>2.6450778096970531</v>
      </c>
      <c r="O11" s="44">
        <v>3.1404289384000639</v>
      </c>
      <c r="P11" s="44">
        <v>2.3706463604730308</v>
      </c>
      <c r="Q11" s="44">
        <v>2.9097174802108605</v>
      </c>
      <c r="R11" s="44">
        <v>3.6268159805024358</v>
      </c>
      <c r="S11" s="47">
        <v>2.8871831867540743</v>
      </c>
      <c r="T11" s="51">
        <f t="shared" si="2"/>
        <v>4</v>
      </c>
      <c r="U11" s="51"/>
      <c r="V11" s="40"/>
      <c r="W11" s="49">
        <f t="shared" si="3"/>
        <v>3.6746809870461341</v>
      </c>
      <c r="X11" s="43">
        <v>2.6450778096970531</v>
      </c>
      <c r="Y11" s="44">
        <v>3.6746809870461341</v>
      </c>
      <c r="Z11" s="44">
        <v>3.3353187113539717</v>
      </c>
      <c r="AA11" s="44">
        <v>3.1404289384000639</v>
      </c>
      <c r="AB11" s="44">
        <v>3.1323355228677094</v>
      </c>
      <c r="AC11" s="47">
        <v>2.8901403085410902</v>
      </c>
      <c r="AD11" s="51">
        <f t="shared" si="4"/>
        <v>5</v>
      </c>
      <c r="AE11" s="51"/>
      <c r="AG11" s="102">
        <f t="shared" si="5"/>
        <v>3.7485134608537911</v>
      </c>
      <c r="AH11" s="105">
        <v>3.7485134608537911</v>
      </c>
      <c r="AI11" s="105">
        <v>3.3427068682541079</v>
      </c>
      <c r="AJ11" s="105">
        <v>3.4053581431346105</v>
      </c>
      <c r="AK11" s="40">
        <v>3.2342339868193846</v>
      </c>
      <c r="AL11" s="105">
        <v>2.9379510428709676</v>
      </c>
      <c r="AM11" s="105">
        <v>2.9838276354073745</v>
      </c>
      <c r="AN11" s="103">
        <v>2.9319934830275378</v>
      </c>
      <c r="AO11" s="104">
        <v>7</v>
      </c>
    </row>
    <row r="12" spans="1:41" ht="12.55" x14ac:dyDescent="0.2">
      <c r="B12" s="7" t="s">
        <v>14</v>
      </c>
      <c r="C12" s="49">
        <f t="shared" si="0"/>
        <v>4.992395437262358</v>
      </c>
      <c r="D12" s="28">
        <v>4.0769230769230793</v>
      </c>
      <c r="E12" s="44">
        <v>3.5568723917199407</v>
      </c>
      <c r="F12" s="44">
        <v>4.06102906244036</v>
      </c>
      <c r="G12" s="44">
        <v>4.8931623931623918</v>
      </c>
      <c r="H12" s="44">
        <v>4.8459528236375977</v>
      </c>
      <c r="I12" s="44">
        <v>4.992395437262358</v>
      </c>
      <c r="J12" s="47">
        <v>3.6252846002793162</v>
      </c>
      <c r="K12" s="51">
        <f>_xlfn.RANK.EQ(J12,D12:J12)</f>
        <v>6</v>
      </c>
      <c r="L12" s="40"/>
      <c r="M12" s="49">
        <f t="shared" si="1"/>
        <v>4.3998805435030519</v>
      </c>
      <c r="N12" s="43">
        <v>3.7983395473434021</v>
      </c>
      <c r="O12" s="44">
        <v>3.880433337826767</v>
      </c>
      <c r="P12" s="44">
        <v>3.7530351307265519</v>
      </c>
      <c r="Q12" s="44">
        <v>3.7521279392759355</v>
      </c>
      <c r="R12" s="44">
        <v>4.3998805435030519</v>
      </c>
      <c r="S12" s="47">
        <v>3.5827921950873214</v>
      </c>
      <c r="T12" s="51">
        <f t="shared" si="2"/>
        <v>6</v>
      </c>
      <c r="U12" s="51"/>
      <c r="V12" s="40"/>
      <c r="W12" s="49">
        <f t="shared" si="3"/>
        <v>3.945318267674554</v>
      </c>
      <c r="X12" s="43">
        <v>3.7983395473434021</v>
      </c>
      <c r="Y12" s="44">
        <v>3.945318267674554</v>
      </c>
      <c r="Z12" s="44">
        <v>3.8018144650852341</v>
      </c>
      <c r="AA12" s="44">
        <v>3.880433337826767</v>
      </c>
      <c r="AB12" s="44">
        <v>3.7124397429723506</v>
      </c>
      <c r="AC12" s="47">
        <v>3.4705123686255952</v>
      </c>
      <c r="AD12" s="51">
        <f t="shared" si="4"/>
        <v>6</v>
      </c>
      <c r="AE12" s="51"/>
      <c r="AG12" s="102">
        <f t="shared" si="5"/>
        <v>4.0824014556036676</v>
      </c>
      <c r="AH12" s="105">
        <v>4.0824014556036676</v>
      </c>
      <c r="AI12" s="105">
        <v>4.0665555480743389</v>
      </c>
      <c r="AJ12" s="105">
        <v>4.0344698787118345</v>
      </c>
      <c r="AK12" s="40">
        <v>3.759697957478056</v>
      </c>
      <c r="AL12" s="105">
        <v>3.750679574752644</v>
      </c>
      <c r="AM12" s="105">
        <v>3.740914012891762</v>
      </c>
      <c r="AN12" s="103">
        <v>3.6133915185083874</v>
      </c>
      <c r="AO12" s="104">
        <v>7</v>
      </c>
    </row>
    <row r="13" spans="1:41" ht="12.55" x14ac:dyDescent="0.2">
      <c r="B13" s="7"/>
      <c r="C13" s="49"/>
      <c r="D13" s="28"/>
      <c r="E13" s="44"/>
      <c r="F13" s="44"/>
      <c r="G13" s="44"/>
      <c r="H13" s="44"/>
      <c r="I13" s="44"/>
      <c r="J13" s="47"/>
      <c r="K13" s="51"/>
      <c r="L13" s="40"/>
      <c r="M13" s="49"/>
      <c r="N13" s="43"/>
      <c r="O13" s="44"/>
      <c r="P13" s="44"/>
      <c r="Q13" s="44"/>
      <c r="R13" s="44"/>
      <c r="S13" s="47"/>
      <c r="T13" s="51"/>
      <c r="U13" s="51"/>
      <c r="V13" s="40"/>
      <c r="W13" s="49"/>
      <c r="X13" s="43"/>
      <c r="Y13" s="44"/>
      <c r="Z13" s="44"/>
      <c r="AA13" s="44"/>
      <c r="AB13" s="44"/>
      <c r="AC13" s="47"/>
      <c r="AD13" s="51"/>
      <c r="AE13" s="51"/>
      <c r="AG13" s="102"/>
      <c r="AH13" s="105"/>
      <c r="AI13" s="105"/>
      <c r="AJ13" s="105"/>
      <c r="AK13" s="40"/>
      <c r="AL13" s="105"/>
      <c r="AM13" s="105"/>
      <c r="AN13" s="103"/>
      <c r="AO13" s="104"/>
    </row>
    <row r="14" spans="1:41" ht="12.55" x14ac:dyDescent="0.2">
      <c r="A14" s="73"/>
      <c r="B14" s="7" t="s">
        <v>15</v>
      </c>
      <c r="C14" s="49">
        <f t="shared" si="0"/>
        <v>4.9844155844155829</v>
      </c>
      <c r="D14" s="28">
        <v>3.8089887640449431</v>
      </c>
      <c r="E14" s="44">
        <v>3.9762131380751007</v>
      </c>
      <c r="F14" s="44">
        <v>4.0135031511892123</v>
      </c>
      <c r="G14" s="44">
        <v>4.8461538461538458</v>
      </c>
      <c r="H14" s="44">
        <v>4.8136182869378086</v>
      </c>
      <c r="I14" s="44">
        <v>4.9844155844155829</v>
      </c>
      <c r="J14" s="47">
        <v>3.8004476640817613</v>
      </c>
      <c r="K14" s="51">
        <f>_xlfn.RANK.EQ(J14,D14:J14)</f>
        <v>7</v>
      </c>
      <c r="L14" s="40"/>
      <c r="M14" s="49">
        <f t="shared" si="1"/>
        <v>4.3075249678296723</v>
      </c>
      <c r="N14" s="43">
        <v>4.1492059480377437</v>
      </c>
      <c r="O14" s="44">
        <v>4.187124807893178</v>
      </c>
      <c r="P14" s="44">
        <v>3.9584960994623981</v>
      </c>
      <c r="Q14" s="44">
        <v>3.9070004066876618</v>
      </c>
      <c r="R14" s="44">
        <v>4.3075249678296723</v>
      </c>
      <c r="S14" s="47">
        <v>3.7811637918728596</v>
      </c>
      <c r="T14" s="51">
        <f t="shared" si="2"/>
        <v>6</v>
      </c>
      <c r="U14" s="51"/>
      <c r="V14" s="40"/>
      <c r="W14" s="49">
        <f t="shared" si="3"/>
        <v>4.1977051285746292</v>
      </c>
      <c r="X14" s="43">
        <v>4.1492059480377437</v>
      </c>
      <c r="Y14" s="44">
        <v>4.1797706910074712</v>
      </c>
      <c r="Z14" s="44">
        <v>4.084578652910154</v>
      </c>
      <c r="AA14" s="44">
        <v>4.187124807893178</v>
      </c>
      <c r="AB14" s="44">
        <v>4.1977051285746292</v>
      </c>
      <c r="AC14" s="47">
        <v>3.9758906218623671</v>
      </c>
      <c r="AD14" s="51">
        <f t="shared" si="4"/>
        <v>6</v>
      </c>
      <c r="AE14" s="51"/>
      <c r="AG14" s="102">
        <f t="shared" si="5"/>
        <v>4.2853996913820955</v>
      </c>
      <c r="AH14" s="105">
        <v>4.2853996913820955</v>
      </c>
      <c r="AI14" s="105">
        <v>4.105471928093805</v>
      </c>
      <c r="AJ14" s="105">
        <v>4.1576514263674547</v>
      </c>
      <c r="AK14" s="40">
        <v>4.0639254671004394</v>
      </c>
      <c r="AL14" s="105">
        <v>4.0325950008950846</v>
      </c>
      <c r="AM14" s="105">
        <v>4.0800329090748795</v>
      </c>
      <c r="AN14" s="103">
        <v>3.8463141894259638</v>
      </c>
      <c r="AO14" s="104">
        <v>7</v>
      </c>
    </row>
    <row r="15" spans="1:41" ht="12.55" x14ac:dyDescent="0.2">
      <c r="B15" s="7" t="s">
        <v>16</v>
      </c>
      <c r="C15" s="49">
        <f t="shared" si="0"/>
        <v>4.9896103896103874</v>
      </c>
      <c r="D15" s="28">
        <v>4.049242424242423</v>
      </c>
      <c r="E15" s="44">
        <v>4.0705408127383418</v>
      </c>
      <c r="F15" s="44">
        <v>4.2027461776323047</v>
      </c>
      <c r="G15" s="44">
        <v>4.9052631578947326</v>
      </c>
      <c r="H15" s="44">
        <v>4.8248325174878728</v>
      </c>
      <c r="I15" s="44">
        <v>4.9896103896103874</v>
      </c>
      <c r="J15" s="47">
        <v>4.035568872159307</v>
      </c>
      <c r="K15" s="51">
        <f>_xlfn.RANK.EQ(J15,D15:J15)</f>
        <v>7</v>
      </c>
      <c r="L15" s="40"/>
      <c r="M15" s="49">
        <f t="shared" si="1"/>
        <v>4.3999038996317825</v>
      </c>
      <c r="N15" s="43">
        <v>4.2324115570378789</v>
      </c>
      <c r="O15" s="44">
        <v>4.3429368323391992</v>
      </c>
      <c r="P15" s="44">
        <v>4.111351163799867</v>
      </c>
      <c r="Q15" s="44">
        <v>4.1940871273074123</v>
      </c>
      <c r="R15" s="44">
        <v>4.3999038996317825</v>
      </c>
      <c r="S15" s="47">
        <v>3.9474654481019322</v>
      </c>
      <c r="T15" s="51">
        <f t="shared" si="2"/>
        <v>6</v>
      </c>
      <c r="U15" s="51"/>
      <c r="V15" s="40"/>
      <c r="W15" s="49">
        <f t="shared" si="3"/>
        <v>4.3429368323391992</v>
      </c>
      <c r="X15" s="43">
        <v>4.2324115570378789</v>
      </c>
      <c r="Y15" s="44">
        <v>4.3423760643390255</v>
      </c>
      <c r="Z15" s="44">
        <v>4.1791058156614351</v>
      </c>
      <c r="AA15" s="44">
        <v>4.3429368323391992</v>
      </c>
      <c r="AB15" s="44">
        <v>4.2083407519227212</v>
      </c>
      <c r="AC15" s="47">
        <v>4.0835569175341693</v>
      </c>
      <c r="AD15" s="51">
        <f t="shared" si="4"/>
        <v>6</v>
      </c>
      <c r="AE15" s="51"/>
      <c r="AG15" s="102">
        <f t="shared" si="5"/>
        <v>4.4123592615748679</v>
      </c>
      <c r="AH15" s="105">
        <v>4.4123592615748679</v>
      </c>
      <c r="AI15" s="105">
        <v>4.3229705144721065</v>
      </c>
      <c r="AJ15" s="105">
        <v>4.2834336206531987</v>
      </c>
      <c r="AK15" s="40">
        <v>4.1567524413714798</v>
      </c>
      <c r="AL15" s="105">
        <v>4.2415872150439249</v>
      </c>
      <c r="AM15" s="105">
        <v>4.2070529309767082</v>
      </c>
      <c r="AN15" s="103">
        <v>4.0848749378580047</v>
      </c>
      <c r="AO15" s="104">
        <v>7</v>
      </c>
    </row>
    <row r="16" spans="1:41" ht="12.55" x14ac:dyDescent="0.2">
      <c r="B16" s="7" t="s">
        <v>17</v>
      </c>
      <c r="C16" s="49">
        <f t="shared" si="0"/>
        <v>4.9870466321243487</v>
      </c>
      <c r="D16" s="28">
        <v>4.0415094339622648</v>
      </c>
      <c r="E16" s="44">
        <v>4.0895721829073208</v>
      </c>
      <c r="F16" s="44">
        <v>4.2672443455879847</v>
      </c>
      <c r="G16" s="44">
        <v>4.9026915113871627</v>
      </c>
      <c r="H16" s="44">
        <v>4.8251729224914559</v>
      </c>
      <c r="I16" s="44">
        <v>4.9870466321243487</v>
      </c>
      <c r="J16" s="47">
        <v>4.0252996336325371</v>
      </c>
      <c r="K16" s="51">
        <f>_xlfn.RANK.EQ(J16,D16:J16)</f>
        <v>7</v>
      </c>
      <c r="L16" s="40"/>
      <c r="M16" s="49">
        <f t="shared" si="1"/>
        <v>4.4096300229717054</v>
      </c>
      <c r="N16" s="43">
        <v>4.1842541111930558</v>
      </c>
      <c r="O16" s="44">
        <v>4.3984077890393873</v>
      </c>
      <c r="P16" s="44">
        <v>4.1685727516740263</v>
      </c>
      <c r="Q16" s="44">
        <v>4.2371157468960057</v>
      </c>
      <c r="R16" s="44">
        <v>4.4096300229717054</v>
      </c>
      <c r="S16" s="47">
        <v>3.9019660046548661</v>
      </c>
      <c r="T16" s="51">
        <f t="shared" si="2"/>
        <v>6</v>
      </c>
      <c r="U16" s="51"/>
      <c r="V16" s="40"/>
      <c r="W16" s="49">
        <f t="shared" si="3"/>
        <v>4.3984077890393873</v>
      </c>
      <c r="X16" s="43">
        <v>4.1842541111930558</v>
      </c>
      <c r="Y16" s="44">
        <v>4.3160434386007296</v>
      </c>
      <c r="Z16" s="44">
        <v>4.1998976315810346</v>
      </c>
      <c r="AA16" s="44">
        <v>4.3984077890393873</v>
      </c>
      <c r="AB16" s="44">
        <v>4.1357078158206289</v>
      </c>
      <c r="AC16" s="47">
        <v>4.0515556483198569</v>
      </c>
      <c r="AD16" s="51">
        <f t="shared" si="4"/>
        <v>6</v>
      </c>
      <c r="AE16" s="51"/>
      <c r="AG16" s="102">
        <f t="shared" si="5"/>
        <v>4.4546835821679904</v>
      </c>
      <c r="AH16" s="105">
        <v>4.4546835821679904</v>
      </c>
      <c r="AI16" s="105">
        <v>4.3371507821642323</v>
      </c>
      <c r="AJ16" s="105">
        <v>4.3446400999091503</v>
      </c>
      <c r="AK16" s="40">
        <v>4.1500123522893206</v>
      </c>
      <c r="AL16" s="105">
        <v>4.2944267622072374</v>
      </c>
      <c r="AM16" s="105">
        <v>4.222927162454936</v>
      </c>
      <c r="AN16" s="103">
        <v>4.0462833186320584</v>
      </c>
      <c r="AO16" s="104">
        <v>7</v>
      </c>
    </row>
    <row r="17" spans="1:41" ht="12.55" x14ac:dyDescent="0.2">
      <c r="B17" s="7"/>
      <c r="C17" s="49"/>
      <c r="D17" s="28"/>
      <c r="E17" s="44"/>
      <c r="F17" s="44"/>
      <c r="G17" s="44"/>
      <c r="H17" s="44"/>
      <c r="I17" s="44"/>
      <c r="J17" s="47"/>
      <c r="K17" s="51"/>
      <c r="L17" s="40"/>
      <c r="M17" s="49"/>
      <c r="N17" s="43"/>
      <c r="O17" s="44"/>
      <c r="P17" s="44"/>
      <c r="Q17" s="44"/>
      <c r="R17" s="44"/>
      <c r="S17" s="47"/>
      <c r="T17" s="51"/>
      <c r="U17" s="51"/>
      <c r="V17" s="40"/>
      <c r="W17" s="49"/>
      <c r="X17" s="43"/>
      <c r="Y17" s="44"/>
      <c r="Z17" s="44"/>
      <c r="AA17" s="44"/>
      <c r="AB17" s="44"/>
      <c r="AC17" s="47"/>
      <c r="AD17" s="51"/>
      <c r="AE17" s="51"/>
      <c r="AG17" s="102"/>
      <c r="AH17" s="105"/>
      <c r="AI17" s="105"/>
      <c r="AJ17" s="105"/>
      <c r="AK17" s="40"/>
      <c r="AL17" s="105"/>
      <c r="AM17" s="105"/>
      <c r="AN17" s="103"/>
      <c r="AO17" s="104"/>
    </row>
    <row r="18" spans="1:41" ht="12.55" x14ac:dyDescent="0.2">
      <c r="A18" s="73"/>
      <c r="B18" s="7" t="s">
        <v>18</v>
      </c>
      <c r="C18" s="49">
        <f t="shared" si="0"/>
        <v>4.9907918968692435</v>
      </c>
      <c r="D18" s="28">
        <v>3.9439461883408056</v>
      </c>
      <c r="E18" s="44">
        <v>4.0014436535866587</v>
      </c>
      <c r="F18" s="44">
        <v>4.1758670408303411</v>
      </c>
      <c r="G18" s="44">
        <v>4.9350393700787309</v>
      </c>
      <c r="H18" s="44">
        <v>4.7935071373144273</v>
      </c>
      <c r="I18" s="44">
        <v>4.9907918968692435</v>
      </c>
      <c r="J18" s="47">
        <v>3.9347494753563508</v>
      </c>
      <c r="K18" s="51">
        <f>_xlfn.RANK.EQ(J18,D18:J18)</f>
        <v>7</v>
      </c>
      <c r="L18" s="40"/>
      <c r="M18" s="49">
        <f t="shared" si="1"/>
        <v>4.4444444444444446</v>
      </c>
      <c r="N18" s="43">
        <v>4.2177762576563032</v>
      </c>
      <c r="O18" s="44">
        <v>4.4444444444444446</v>
      </c>
      <c r="P18" s="44">
        <v>4.0415647921760387</v>
      </c>
      <c r="Q18" s="44">
        <v>3.9683033046133289</v>
      </c>
      <c r="R18" s="44">
        <v>4.1649484536082477</v>
      </c>
      <c r="S18" s="47">
        <v>3.8940568531818225</v>
      </c>
      <c r="T18" s="51">
        <f t="shared" si="2"/>
        <v>6</v>
      </c>
      <c r="U18" s="51"/>
      <c r="V18" s="40"/>
      <c r="W18" s="49">
        <f t="shared" si="3"/>
        <v>4.4444444444444446</v>
      </c>
      <c r="X18" s="43">
        <v>4.2177762576563032</v>
      </c>
      <c r="Y18" s="44">
        <v>4.237823643420473</v>
      </c>
      <c r="Z18" s="44">
        <v>4.2082073800466011</v>
      </c>
      <c r="AA18" s="44">
        <v>4.4444444444444446</v>
      </c>
      <c r="AB18" s="44">
        <v>4.1730020601816724</v>
      </c>
      <c r="AC18" s="47">
        <v>4.0902011503509001</v>
      </c>
      <c r="AD18" s="51">
        <f t="shared" si="4"/>
        <v>6</v>
      </c>
      <c r="AE18" s="51"/>
      <c r="AG18" s="102">
        <f t="shared" si="5"/>
        <v>4.1904761904761907</v>
      </c>
      <c r="AH18" s="105">
        <v>4.1904761904761907</v>
      </c>
      <c r="AI18" s="105">
        <v>3.9539319483256214</v>
      </c>
      <c r="AJ18" s="105">
        <v>4.0893214248928746</v>
      </c>
      <c r="AK18" s="40">
        <v>4.022487331707965</v>
      </c>
      <c r="AL18" s="105">
        <v>3.9549639779778403</v>
      </c>
      <c r="AM18" s="105">
        <v>3.9330757678175159</v>
      </c>
      <c r="AN18" s="103">
        <v>3.8650460496024146</v>
      </c>
      <c r="AO18" s="104">
        <v>7</v>
      </c>
    </row>
    <row r="19" spans="1:41" ht="12.55" x14ac:dyDescent="0.2">
      <c r="B19" s="7" t="s">
        <v>19</v>
      </c>
      <c r="C19" s="49">
        <f t="shared" si="0"/>
        <v>4.9889298892988903</v>
      </c>
      <c r="D19" s="28">
        <v>4.0853658536585336</v>
      </c>
      <c r="E19" s="44">
        <v>3.9738848845740047</v>
      </c>
      <c r="F19" s="44">
        <v>4.1815039181022486</v>
      </c>
      <c r="G19" s="44">
        <v>4.9185336048879797</v>
      </c>
      <c r="H19" s="44">
        <v>4.8205673300935059</v>
      </c>
      <c r="I19" s="44">
        <v>4.9889298892988903</v>
      </c>
      <c r="J19" s="47">
        <v>3.8661898803378154</v>
      </c>
      <c r="K19" s="51">
        <f>_xlfn.RANK.EQ(J19,D19:J19)</f>
        <v>7</v>
      </c>
      <c r="L19" s="40"/>
      <c r="M19" s="49">
        <f t="shared" si="1"/>
        <v>4.2826086956521729</v>
      </c>
      <c r="N19" s="43">
        <v>4.1831646838375391</v>
      </c>
      <c r="O19" s="44">
        <v>4.2352941176470589</v>
      </c>
      <c r="P19" s="44">
        <v>4.1343669250645991</v>
      </c>
      <c r="Q19" s="44">
        <v>4.1181563497589</v>
      </c>
      <c r="R19" s="44">
        <v>4.2826086956521729</v>
      </c>
      <c r="S19" s="47">
        <v>3.9038189339661939</v>
      </c>
      <c r="T19" s="51">
        <f t="shared" si="2"/>
        <v>6</v>
      </c>
      <c r="U19" s="51"/>
      <c r="V19" s="40"/>
      <c r="W19" s="49">
        <f t="shared" si="3"/>
        <v>4.2352941176470589</v>
      </c>
      <c r="X19" s="43">
        <v>4.1831646838375391</v>
      </c>
      <c r="Y19" s="44">
        <v>4.1676447958835805</v>
      </c>
      <c r="Z19" s="44">
        <v>4.2055167198548471</v>
      </c>
      <c r="AA19" s="44">
        <v>4.2352941176470589</v>
      </c>
      <c r="AB19" s="44">
        <v>4.100728907179537</v>
      </c>
      <c r="AC19" s="47">
        <v>3.9986253520926294</v>
      </c>
      <c r="AD19" s="51">
        <f t="shared" si="4"/>
        <v>6</v>
      </c>
      <c r="AE19" s="51"/>
      <c r="AG19" s="102">
        <f t="shared" si="5"/>
        <v>4.3658536585365848</v>
      </c>
      <c r="AH19" s="105">
        <v>4.3658536585365848</v>
      </c>
      <c r="AI19" s="105">
        <v>4.1750623650872161</v>
      </c>
      <c r="AJ19" s="105">
        <v>4.2158674629223771</v>
      </c>
      <c r="AK19" s="40">
        <v>4.0214501905221267</v>
      </c>
      <c r="AL19" s="105">
        <v>4.157939067749199</v>
      </c>
      <c r="AM19" s="105">
        <v>4.0001719614434244</v>
      </c>
      <c r="AN19" s="103">
        <v>3.8457062771274377</v>
      </c>
      <c r="AO19" s="104">
        <v>7</v>
      </c>
    </row>
    <row r="20" spans="1:41" ht="12.55" x14ac:dyDescent="0.2">
      <c r="B20" s="7"/>
      <c r="C20" s="49"/>
      <c r="D20" s="28"/>
      <c r="E20" s="44"/>
      <c r="F20" s="44"/>
      <c r="G20" s="44"/>
      <c r="H20" s="44"/>
      <c r="I20" s="44"/>
      <c r="J20" s="47"/>
      <c r="K20" s="51"/>
      <c r="L20" s="40"/>
      <c r="M20" s="49"/>
      <c r="N20" s="43"/>
      <c r="O20" s="44"/>
      <c r="P20" s="44"/>
      <c r="Q20" s="44"/>
      <c r="R20" s="44"/>
      <c r="S20" s="47"/>
      <c r="T20" s="51"/>
      <c r="U20" s="51"/>
      <c r="V20" s="40"/>
      <c r="W20" s="49"/>
      <c r="X20" s="43"/>
      <c r="Y20" s="44"/>
      <c r="Z20" s="44"/>
      <c r="AA20" s="44"/>
      <c r="AB20" s="44"/>
      <c r="AC20" s="47"/>
      <c r="AD20" s="51"/>
      <c r="AE20" s="51"/>
      <c r="AG20" s="102"/>
      <c r="AH20" s="105"/>
      <c r="AI20" s="105"/>
      <c r="AJ20" s="105"/>
      <c r="AK20" s="40"/>
      <c r="AL20" s="105"/>
      <c r="AM20" s="105"/>
      <c r="AN20" s="103"/>
      <c r="AO20" s="104"/>
    </row>
    <row r="21" spans="1:41" ht="12.55" x14ac:dyDescent="0.2">
      <c r="A21" s="73"/>
      <c r="B21" s="7" t="s">
        <v>20</v>
      </c>
      <c r="C21" s="49">
        <f t="shared" si="0"/>
        <v>4.9981549815498143</v>
      </c>
      <c r="D21" s="28">
        <v>4.0562060889929734</v>
      </c>
      <c r="E21" s="44">
        <v>3.9228014887250882</v>
      </c>
      <c r="F21" s="44">
        <v>4.0597153611391326</v>
      </c>
      <c r="G21" s="44">
        <v>4.8957620123222805</v>
      </c>
      <c r="H21" s="44">
        <v>4.8277224835786843</v>
      </c>
      <c r="I21" s="44">
        <v>4.9981549815498143</v>
      </c>
      <c r="J21" s="47">
        <v>3.7913102818619819</v>
      </c>
      <c r="K21" s="51">
        <f>_xlfn.RANK.EQ(J21,D21:J21)</f>
        <v>7</v>
      </c>
      <c r="L21" s="40"/>
      <c r="M21" s="49">
        <f t="shared" si="1"/>
        <v>4.3761577663966671</v>
      </c>
      <c r="N21" s="43">
        <v>4.1250608704079852</v>
      </c>
      <c r="O21" s="44">
        <v>4.1933944942418799</v>
      </c>
      <c r="P21" s="44">
        <v>4.0554074286432042</v>
      </c>
      <c r="Q21" s="44">
        <v>4.0740916376294969</v>
      </c>
      <c r="R21" s="44">
        <v>4.3761577663966671</v>
      </c>
      <c r="S21" s="47">
        <v>3.7973673094278033</v>
      </c>
      <c r="T21" s="51">
        <f t="shared" si="2"/>
        <v>6</v>
      </c>
      <c r="U21" s="51"/>
      <c r="V21" s="40"/>
      <c r="W21" s="49">
        <f t="shared" si="3"/>
        <v>4.1933944942418799</v>
      </c>
      <c r="X21" s="43">
        <v>4.1250608704079852</v>
      </c>
      <c r="Y21" s="44">
        <v>4.113047069057238</v>
      </c>
      <c r="Z21" s="44">
        <v>4.1928172211127315</v>
      </c>
      <c r="AA21" s="44">
        <v>4.1933944942418799</v>
      </c>
      <c r="AB21" s="44">
        <v>4.0192290067368521</v>
      </c>
      <c r="AC21" s="47">
        <v>3.8911535991515622</v>
      </c>
      <c r="AD21" s="51">
        <f t="shared" si="4"/>
        <v>6</v>
      </c>
      <c r="AE21" s="51"/>
      <c r="AG21" s="102">
        <f t="shared" si="5"/>
        <v>4.3001755240473019</v>
      </c>
      <c r="AH21" s="105">
        <v>4.3001755240473019</v>
      </c>
      <c r="AI21" s="105">
        <v>4.1170413083352031</v>
      </c>
      <c r="AJ21" s="105">
        <v>4.1658252868096026</v>
      </c>
      <c r="AK21" s="40">
        <v>3.961366007116641</v>
      </c>
      <c r="AL21" s="105">
        <v>4.0732908197402677</v>
      </c>
      <c r="AM21" s="105">
        <v>3.9640237136824172</v>
      </c>
      <c r="AN21" s="103">
        <v>3.7529767455298222</v>
      </c>
      <c r="AO21" s="104">
        <v>7</v>
      </c>
    </row>
    <row r="22" spans="1:41" ht="12.55" x14ac:dyDescent="0.2">
      <c r="B22" s="7" t="s">
        <v>21</v>
      </c>
      <c r="C22" s="49">
        <f t="shared" si="0"/>
        <v>4.9981549815498143</v>
      </c>
      <c r="D22" s="28">
        <v>4.1441441441441444</v>
      </c>
      <c r="E22" s="44">
        <v>4.0206820651890594</v>
      </c>
      <c r="F22" s="44">
        <v>4.1820909199363951</v>
      </c>
      <c r="G22" s="44">
        <v>4.9378072176450365</v>
      </c>
      <c r="H22" s="44">
        <v>4.8897695598954014</v>
      </c>
      <c r="I22" s="44">
        <v>4.9981549815498143</v>
      </c>
      <c r="J22" s="47">
        <v>3.9646075812652559</v>
      </c>
      <c r="K22" s="51">
        <f>_xlfn.RANK.EQ(J22,D22:J22)</f>
        <v>7</v>
      </c>
      <c r="L22" s="40"/>
      <c r="M22" s="49">
        <f t="shared" si="1"/>
        <v>4.3842204751110083</v>
      </c>
      <c r="N22" s="43">
        <v>4.193035906715064</v>
      </c>
      <c r="O22" s="44">
        <v>4.3145272096409366</v>
      </c>
      <c r="P22" s="44">
        <v>4.1055167571684859</v>
      </c>
      <c r="Q22" s="44">
        <v>4.092869636969473</v>
      </c>
      <c r="R22" s="44">
        <v>4.3842204751110083</v>
      </c>
      <c r="S22" s="47">
        <v>3.9558999198277771</v>
      </c>
      <c r="T22" s="51">
        <f t="shared" si="2"/>
        <v>6</v>
      </c>
      <c r="U22" s="51"/>
      <c r="V22" s="40"/>
      <c r="W22" s="49">
        <f t="shared" si="3"/>
        <v>4.3145272096409366</v>
      </c>
      <c r="X22" s="43">
        <v>4.193035906715064</v>
      </c>
      <c r="Y22" s="44">
        <v>4.2235561051840689</v>
      </c>
      <c r="Z22" s="44">
        <v>4.2661302387361237</v>
      </c>
      <c r="AA22" s="44">
        <v>4.3145272096409366</v>
      </c>
      <c r="AB22" s="44">
        <v>4.1259909023283816</v>
      </c>
      <c r="AC22" s="47">
        <v>4.0370296041080129</v>
      </c>
      <c r="AD22" s="51">
        <f t="shared" si="4"/>
        <v>6</v>
      </c>
      <c r="AE22" s="51"/>
      <c r="AG22" s="102">
        <f t="shared" si="5"/>
        <v>4.3298819780052415</v>
      </c>
      <c r="AH22" s="105">
        <v>4.3298819780052415</v>
      </c>
      <c r="AI22" s="105">
        <v>4.1691680934517032</v>
      </c>
      <c r="AJ22" s="105">
        <v>4.2370835851811757</v>
      </c>
      <c r="AK22" s="40">
        <v>4.0639361631720092</v>
      </c>
      <c r="AL22" s="105">
        <v>4.0980941095781338</v>
      </c>
      <c r="AM22" s="105">
        <v>4.0620457041447331</v>
      </c>
      <c r="AN22" s="103">
        <v>3.9463653021279534</v>
      </c>
      <c r="AO22" s="104">
        <v>7</v>
      </c>
    </row>
    <row r="23" spans="1:41" ht="12.55" x14ac:dyDescent="0.2">
      <c r="B23" s="7" t="s">
        <v>22</v>
      </c>
      <c r="C23" s="49">
        <f t="shared" si="0"/>
        <v>4.9981617647058814</v>
      </c>
      <c r="D23" s="28">
        <v>3.9713024282560712</v>
      </c>
      <c r="E23" s="44">
        <v>3.9083566291048046</v>
      </c>
      <c r="F23" s="44">
        <v>3.9358245121503823</v>
      </c>
      <c r="G23" s="44">
        <v>4.9386195887538697</v>
      </c>
      <c r="H23" s="44">
        <v>4.7905015661590209</v>
      </c>
      <c r="I23" s="44">
        <v>4.9981617647058814</v>
      </c>
      <c r="J23" s="47">
        <v>3.7781720268842216</v>
      </c>
      <c r="K23" s="51">
        <f>_xlfn.RANK.EQ(J23,D23:J23)</f>
        <v>7</v>
      </c>
      <c r="L23" s="40"/>
      <c r="M23" s="49">
        <f t="shared" si="1"/>
        <v>4.2882867613997009</v>
      </c>
      <c r="N23" s="43">
        <v>4.056809729628049</v>
      </c>
      <c r="O23" s="44">
        <v>4.0421655934110055</v>
      </c>
      <c r="P23" s="44">
        <v>3.8801826023848585</v>
      </c>
      <c r="Q23" s="44">
        <v>3.8742533218986686</v>
      </c>
      <c r="R23" s="44">
        <v>4.2882867613997009</v>
      </c>
      <c r="S23" s="47">
        <v>3.7375674137377546</v>
      </c>
      <c r="T23" s="51">
        <f t="shared" si="2"/>
        <v>6</v>
      </c>
      <c r="U23" s="51"/>
      <c r="V23" s="40"/>
      <c r="W23" s="49">
        <f t="shared" si="3"/>
        <v>4.2038106305418985</v>
      </c>
      <c r="X23" s="43">
        <v>4.056809729628049</v>
      </c>
      <c r="Y23" s="44">
        <v>4.1496664724494154</v>
      </c>
      <c r="Z23" s="44">
        <v>4.2038106305418985</v>
      </c>
      <c r="AA23" s="44">
        <v>4.0421655934110055</v>
      </c>
      <c r="AB23" s="44">
        <v>4.1312042016350876</v>
      </c>
      <c r="AC23" s="47">
        <v>3.9742716132153451</v>
      </c>
      <c r="AD23" s="51">
        <f t="shared" si="4"/>
        <v>6</v>
      </c>
      <c r="AE23" s="51"/>
      <c r="AG23" s="102">
        <f t="shared" si="5"/>
        <v>4.1191829200080914</v>
      </c>
      <c r="AH23" s="105">
        <v>4.1191829200080914</v>
      </c>
      <c r="AI23" s="105">
        <v>3.8764333982255774</v>
      </c>
      <c r="AJ23" s="105">
        <v>4.0446616847022572</v>
      </c>
      <c r="AK23" s="40">
        <v>3.8697012011122958</v>
      </c>
      <c r="AL23" s="105">
        <v>3.8189614338822984</v>
      </c>
      <c r="AM23" s="105">
        <v>3.7302010570151309</v>
      </c>
      <c r="AN23" s="103">
        <v>3.6474694360235667</v>
      </c>
      <c r="AO23" s="104">
        <v>7</v>
      </c>
    </row>
    <row r="24" spans="1:41" ht="12.55" x14ac:dyDescent="0.2">
      <c r="B24" s="7" t="s">
        <v>23</v>
      </c>
      <c r="C24" s="49">
        <f t="shared" si="0"/>
        <v>4.9963099630996268</v>
      </c>
      <c r="D24" s="28">
        <v>4.2457627118644012</v>
      </c>
      <c r="E24" s="44">
        <v>4.0649963754145642</v>
      </c>
      <c r="F24" s="44">
        <v>4.2701482279210019</v>
      </c>
      <c r="G24" s="44">
        <v>4.9560518238578322</v>
      </c>
      <c r="H24" s="44">
        <v>4.9108918768503287</v>
      </c>
      <c r="I24" s="44">
        <v>4.9963099630996268</v>
      </c>
      <c r="J24" s="47">
        <v>4.0960073563641846</v>
      </c>
      <c r="K24" s="51">
        <f>_xlfn.RANK.EQ(J24,D24:J24)</f>
        <v>6</v>
      </c>
      <c r="L24" s="40"/>
      <c r="M24" s="49">
        <f t="shared" si="1"/>
        <v>4.5055082411789691</v>
      </c>
      <c r="N24" s="43">
        <v>4.204572875624434</v>
      </c>
      <c r="O24" s="44">
        <v>4.3939787295297945</v>
      </c>
      <c r="P24" s="44">
        <v>4.2134638024032851</v>
      </c>
      <c r="Q24" s="44">
        <v>4.1731018490904637</v>
      </c>
      <c r="R24" s="44">
        <v>4.5055082411789691</v>
      </c>
      <c r="S24" s="47">
        <v>4.0290904181772635</v>
      </c>
      <c r="T24" s="51">
        <f t="shared" si="2"/>
        <v>6</v>
      </c>
      <c r="U24" s="51"/>
      <c r="V24" s="40"/>
      <c r="W24" s="49">
        <f t="shared" si="3"/>
        <v>4.3939787295297945</v>
      </c>
      <c r="X24" s="43">
        <v>4.204572875624434</v>
      </c>
      <c r="Y24" s="44">
        <v>4.3154812439732835</v>
      </c>
      <c r="Z24" s="44">
        <v>4.3159226072857333</v>
      </c>
      <c r="AA24" s="44">
        <v>4.3939787295297945</v>
      </c>
      <c r="AB24" s="44">
        <v>4.2237258776825106</v>
      </c>
      <c r="AC24" s="47">
        <v>4.1195058854885875</v>
      </c>
      <c r="AD24" s="51">
        <f t="shared" si="4"/>
        <v>6</v>
      </c>
      <c r="AE24" s="51"/>
      <c r="AG24" s="102">
        <f t="shared" si="5"/>
        <v>4.3860012946004261</v>
      </c>
      <c r="AH24" s="105">
        <v>4.3860012946004261</v>
      </c>
      <c r="AI24" s="105">
        <v>4.2801816623797313</v>
      </c>
      <c r="AJ24" s="105">
        <v>4.3764971237410029</v>
      </c>
      <c r="AK24" s="40">
        <v>4.1005512585533035</v>
      </c>
      <c r="AL24" s="105">
        <v>4.2006760267235057</v>
      </c>
      <c r="AM24" s="105">
        <v>4.0960472841147144</v>
      </c>
      <c r="AN24" s="103">
        <v>4.0756994871087349</v>
      </c>
      <c r="AO24" s="104">
        <v>7</v>
      </c>
    </row>
    <row r="25" spans="1:41" ht="12.55" x14ac:dyDescent="0.2">
      <c r="B25" s="7"/>
      <c r="C25" s="49"/>
      <c r="D25" s="28"/>
      <c r="E25" s="44"/>
      <c r="F25" s="44"/>
      <c r="G25" s="44"/>
      <c r="H25" s="44"/>
      <c r="I25" s="44"/>
      <c r="J25" s="47"/>
      <c r="K25" s="51"/>
      <c r="L25" s="40"/>
      <c r="M25" s="49"/>
      <c r="N25" s="43"/>
      <c r="O25" s="44"/>
      <c r="P25" s="44"/>
      <c r="Q25" s="44"/>
      <c r="R25" s="44"/>
      <c r="S25" s="47"/>
      <c r="T25" s="51"/>
      <c r="U25" s="51"/>
      <c r="V25" s="40"/>
      <c r="W25" s="49"/>
      <c r="X25" s="43"/>
      <c r="Y25" s="44"/>
      <c r="Z25" s="44"/>
      <c r="AA25" s="44"/>
      <c r="AB25" s="44"/>
      <c r="AC25" s="47"/>
      <c r="AD25" s="51"/>
      <c r="AE25" s="51"/>
      <c r="AG25" s="102"/>
      <c r="AH25" s="105"/>
      <c r="AI25" s="105"/>
      <c r="AJ25" s="105"/>
      <c r="AK25" s="40"/>
      <c r="AL25" s="105"/>
      <c r="AM25" s="105"/>
      <c r="AN25" s="103"/>
      <c r="AO25" s="104"/>
    </row>
    <row r="26" spans="1:41" ht="12.55" x14ac:dyDescent="0.2">
      <c r="A26" s="73"/>
      <c r="B26" s="7" t="s">
        <v>24</v>
      </c>
      <c r="C26" s="49">
        <f t="shared" si="0"/>
        <v>4.9908592321755023</v>
      </c>
      <c r="D26" s="28">
        <v>4.1356877323420109</v>
      </c>
      <c r="E26" s="44">
        <v>3.911284553504057</v>
      </c>
      <c r="F26" s="44">
        <v>4.2022405628861721</v>
      </c>
      <c r="G26" s="44">
        <v>4.8806694565901427</v>
      </c>
      <c r="H26" s="44">
        <v>4.8633574637887849</v>
      </c>
      <c r="I26" s="44">
        <v>4.9908592321755023</v>
      </c>
      <c r="J26" s="47">
        <v>4.0839415541802184</v>
      </c>
      <c r="K26" s="51">
        <f>_xlfn.RANK.EQ(J26,D26:J26)</f>
        <v>6</v>
      </c>
      <c r="L26" s="40"/>
      <c r="M26" s="49">
        <f t="shared" si="1"/>
        <v>4.315228695269397</v>
      </c>
      <c r="N26" s="43">
        <v>4.2588646449624239</v>
      </c>
      <c r="O26" s="44">
        <v>4.2994138125054588</v>
      </c>
      <c r="P26" s="44">
        <v>4.0791943123367362</v>
      </c>
      <c r="Q26" s="44">
        <v>4.0734747601171835</v>
      </c>
      <c r="R26" s="44">
        <v>4.315228695269397</v>
      </c>
      <c r="S26" s="47">
        <v>3.9176219262072136</v>
      </c>
      <c r="T26" s="51">
        <f t="shared" si="2"/>
        <v>6</v>
      </c>
      <c r="U26" s="51"/>
      <c r="V26" s="40"/>
      <c r="W26" s="49">
        <f t="shared" si="3"/>
        <v>4.4501495682232619</v>
      </c>
      <c r="X26" s="43">
        <v>4.2588646449624239</v>
      </c>
      <c r="Y26" s="44">
        <v>4.4501495682232619</v>
      </c>
      <c r="Z26" s="44">
        <v>4.3068244796786601</v>
      </c>
      <c r="AA26" s="44">
        <v>4.2994138125054588</v>
      </c>
      <c r="AB26" s="44">
        <v>4.2228948103749797</v>
      </c>
      <c r="AC26" s="47">
        <v>3.9874837450396998</v>
      </c>
      <c r="AD26" s="51">
        <f t="shared" si="4"/>
        <v>6</v>
      </c>
      <c r="AE26" s="51"/>
      <c r="AG26" s="102">
        <f t="shared" si="5"/>
        <v>4.3495404985450339</v>
      </c>
      <c r="AH26" s="105">
        <v>4.3443192694784667</v>
      </c>
      <c r="AI26" s="105">
        <v>4.2786858721145355</v>
      </c>
      <c r="AJ26" s="105">
        <v>4.3495404985450339</v>
      </c>
      <c r="AK26" s="40">
        <v>3.9902366050034339</v>
      </c>
      <c r="AL26" s="105">
        <v>4.1814074905688399</v>
      </c>
      <c r="AM26" s="105">
        <v>4.2266227136787871</v>
      </c>
      <c r="AN26" s="103">
        <v>4.04628001383408</v>
      </c>
      <c r="AO26" s="104">
        <v>6</v>
      </c>
    </row>
    <row r="27" spans="1:41" ht="12.55" x14ac:dyDescent="0.2">
      <c r="B27" s="7" t="s">
        <v>25</v>
      </c>
      <c r="C27" s="49">
        <f t="shared" si="0"/>
        <v>4.9945054945054927</v>
      </c>
      <c r="D27" s="28">
        <v>4.1086142322097405</v>
      </c>
      <c r="E27" s="44">
        <v>3.9683443333218817</v>
      </c>
      <c r="F27" s="44">
        <v>4.296359468417835</v>
      </c>
      <c r="G27" s="44">
        <v>4.9121853595079417</v>
      </c>
      <c r="H27" s="44">
        <v>4.8497576521515988</v>
      </c>
      <c r="I27" s="44">
        <v>4.9945054945054927</v>
      </c>
      <c r="J27" s="47">
        <v>4.05807099424519</v>
      </c>
      <c r="K27" s="51">
        <f>_xlfn.RANK.EQ(J27,D27:J27)</f>
        <v>6</v>
      </c>
      <c r="L27" s="40"/>
      <c r="M27" s="49">
        <f t="shared" si="1"/>
        <v>4.4033900346926762</v>
      </c>
      <c r="N27" s="43">
        <v>4.2266679866115808</v>
      </c>
      <c r="O27" s="44">
        <v>4.3731743331769435</v>
      </c>
      <c r="P27" s="44">
        <v>4.0859593391304481</v>
      </c>
      <c r="Q27" s="44">
        <v>4.1388008307970905</v>
      </c>
      <c r="R27" s="44">
        <v>4.4033900346926762</v>
      </c>
      <c r="S27" s="47">
        <v>3.9552992234908029</v>
      </c>
      <c r="T27" s="51">
        <f t="shared" si="2"/>
        <v>6</v>
      </c>
      <c r="U27" s="51"/>
      <c r="V27" s="40"/>
      <c r="W27" s="49">
        <f t="shared" si="3"/>
        <v>4.3821541003343567</v>
      </c>
      <c r="X27" s="43">
        <v>4.2266679866115808</v>
      </c>
      <c r="Y27" s="44">
        <v>4.3821541003343567</v>
      </c>
      <c r="Z27" s="44">
        <v>4.2376083080228302</v>
      </c>
      <c r="AA27" s="44">
        <v>4.3731743331769435</v>
      </c>
      <c r="AB27" s="44">
        <v>4.3040378484629684</v>
      </c>
      <c r="AC27" s="47">
        <v>3.9910585499086784</v>
      </c>
      <c r="AD27" s="51">
        <f t="shared" si="4"/>
        <v>6</v>
      </c>
      <c r="AE27" s="51"/>
      <c r="AG27" s="102">
        <f t="shared" si="5"/>
        <v>4.3879291344021087</v>
      </c>
      <c r="AH27" s="105">
        <v>4.3740635634403011</v>
      </c>
      <c r="AI27" s="105">
        <v>4.3879291344021087</v>
      </c>
      <c r="AJ27" s="105">
        <v>4.3430280331034732</v>
      </c>
      <c r="AK27" s="40">
        <v>4.0627814554621189</v>
      </c>
      <c r="AL27" s="105">
        <v>4.205468892313406</v>
      </c>
      <c r="AM27" s="105">
        <v>4.2745094455662338</v>
      </c>
      <c r="AN27" s="103">
        <v>4.0452902273218143</v>
      </c>
      <c r="AO27" s="104">
        <v>7</v>
      </c>
    </row>
    <row r="28" spans="1:41" ht="12.55" x14ac:dyDescent="0.2">
      <c r="B28" s="7" t="s">
        <v>26</v>
      </c>
      <c r="C28" s="49">
        <f t="shared" si="0"/>
        <v>4.9706422018348633</v>
      </c>
      <c r="D28" s="28">
        <v>3.4630996309963096</v>
      </c>
      <c r="E28" s="44">
        <v>3.8309672889350854</v>
      </c>
      <c r="F28" s="44">
        <v>3.8496161928598798</v>
      </c>
      <c r="G28" s="44">
        <v>4.8282492969212685</v>
      </c>
      <c r="H28" s="44">
        <v>4.8080109425953168</v>
      </c>
      <c r="I28" s="44">
        <v>4.9706422018348633</v>
      </c>
      <c r="J28" s="47">
        <v>3.7186345845851601</v>
      </c>
      <c r="K28" s="51">
        <f>_xlfn.RANK.EQ(J28,D28:J28)</f>
        <v>6</v>
      </c>
      <c r="L28" s="40"/>
      <c r="M28" s="49">
        <f t="shared" si="1"/>
        <v>4.0408708016517485</v>
      </c>
      <c r="N28" s="43">
        <v>4.0408708016517485</v>
      </c>
      <c r="O28" s="44">
        <v>3.7745777994746406</v>
      </c>
      <c r="P28" s="44">
        <v>3.5899887248754356</v>
      </c>
      <c r="Q28" s="44">
        <v>3.768242578607603</v>
      </c>
      <c r="R28" s="44">
        <v>4.0251120549070212</v>
      </c>
      <c r="S28" s="47">
        <v>3.7364899390963151</v>
      </c>
      <c r="T28" s="51">
        <f t="shared" si="2"/>
        <v>5</v>
      </c>
      <c r="U28" s="51"/>
      <c r="V28" s="40"/>
      <c r="W28" s="49">
        <f t="shared" si="3"/>
        <v>4.1643393352678038</v>
      </c>
      <c r="X28" s="43">
        <v>4.0408708016517485</v>
      </c>
      <c r="Y28" s="44">
        <v>4.1643393352678038</v>
      </c>
      <c r="Z28" s="44">
        <v>4.1339489564334357</v>
      </c>
      <c r="AA28" s="44">
        <v>3.7745777994746406</v>
      </c>
      <c r="AB28" s="44">
        <v>3.8572798636634045</v>
      </c>
      <c r="AC28" s="47">
        <v>4.0264304489916523</v>
      </c>
      <c r="AD28" s="51">
        <f t="shared" si="4"/>
        <v>4</v>
      </c>
      <c r="AE28" s="51"/>
      <c r="AG28" s="102">
        <f t="shared" si="5"/>
        <v>4.1123643880858456</v>
      </c>
      <c r="AH28" s="105">
        <v>4.1123643880858456</v>
      </c>
      <c r="AI28" s="105">
        <v>3.9455756081137809</v>
      </c>
      <c r="AJ28" s="105">
        <v>4.0359170215497437</v>
      </c>
      <c r="AK28" s="40">
        <v>3.903816648676059</v>
      </c>
      <c r="AL28" s="105">
        <v>3.8661978771211931</v>
      </c>
      <c r="AM28" s="105">
        <v>4.0552887756940059</v>
      </c>
      <c r="AN28" s="103">
        <v>3.7044099633793133</v>
      </c>
      <c r="AO28" s="104">
        <v>7</v>
      </c>
    </row>
    <row r="29" spans="1:41" ht="12.55" x14ac:dyDescent="0.2">
      <c r="B29" s="7" t="s">
        <v>27</v>
      </c>
      <c r="C29" s="49">
        <f t="shared" si="0"/>
        <v>4.9956709956709933</v>
      </c>
      <c r="D29" s="28">
        <v>4.0549999999999944</v>
      </c>
      <c r="E29" s="44">
        <v>3.5431717731956778</v>
      </c>
      <c r="F29" s="44">
        <v>3.921912279045725</v>
      </c>
      <c r="G29" s="44">
        <v>4.898322767018513</v>
      </c>
      <c r="H29" s="44">
        <v>4.8781539262845133</v>
      </c>
      <c r="I29" s="44">
        <v>4.9956709956709933</v>
      </c>
      <c r="J29" s="47">
        <v>3.6604596190872947</v>
      </c>
      <c r="K29" s="51">
        <f>_xlfn.RANK.EQ(J29,D29:J29)</f>
        <v>6</v>
      </c>
      <c r="L29" s="40"/>
      <c r="M29" s="49">
        <f t="shared" si="1"/>
        <v>4.2042599671381886</v>
      </c>
      <c r="N29" s="43">
        <v>3.9882894083512777</v>
      </c>
      <c r="O29" s="44">
        <v>4.0790349473468579</v>
      </c>
      <c r="P29" s="44">
        <v>4.0249762204633601</v>
      </c>
      <c r="Q29" s="44">
        <v>3.983251441818779</v>
      </c>
      <c r="R29" s="44">
        <v>4.2042599671381886</v>
      </c>
      <c r="S29" s="47">
        <v>3.5362890082736875</v>
      </c>
      <c r="T29" s="51">
        <f t="shared" si="2"/>
        <v>6</v>
      </c>
      <c r="U29" s="51"/>
      <c r="V29" s="40"/>
      <c r="W29" s="49">
        <f t="shared" si="3"/>
        <v>4.2024715020764445</v>
      </c>
      <c r="X29" s="43">
        <v>3.9882894083512777</v>
      </c>
      <c r="Y29" s="44">
        <v>4.2024715020764445</v>
      </c>
      <c r="Z29" s="44">
        <v>3.9634349530323214</v>
      </c>
      <c r="AA29" s="44">
        <v>4.0790349473468579</v>
      </c>
      <c r="AB29" s="44">
        <v>4.041602868620263</v>
      </c>
      <c r="AC29" s="47">
        <v>3.8533154311710565</v>
      </c>
      <c r="AD29" s="51">
        <f t="shared" si="4"/>
        <v>6</v>
      </c>
      <c r="AE29" s="51"/>
      <c r="AG29" s="102">
        <f t="shared" si="5"/>
        <v>4.2712954979073707</v>
      </c>
      <c r="AH29" s="105">
        <v>4.2712954979073707</v>
      </c>
      <c r="AI29" s="105">
        <v>4.258067530208506</v>
      </c>
      <c r="AJ29" s="105">
        <v>4.1707793826096147</v>
      </c>
      <c r="AK29" s="40">
        <v>3.650502215690512</v>
      </c>
      <c r="AL29" s="105">
        <v>4.1481049318704342</v>
      </c>
      <c r="AM29" s="105">
        <v>4.046316522119505</v>
      </c>
      <c r="AN29" s="103">
        <v>3.6467214583887539</v>
      </c>
      <c r="AO29" s="104">
        <v>7</v>
      </c>
    </row>
    <row r="30" spans="1:41" ht="12.55" x14ac:dyDescent="0.2">
      <c r="B30" s="7"/>
      <c r="C30" s="49"/>
      <c r="D30" s="28"/>
      <c r="E30" s="44"/>
      <c r="F30" s="44"/>
      <c r="G30" s="44"/>
      <c r="H30" s="44"/>
      <c r="I30" s="44"/>
      <c r="J30" s="47"/>
      <c r="K30" s="51"/>
      <c r="L30" s="40"/>
      <c r="M30" s="49"/>
      <c r="N30" s="43"/>
      <c r="O30" s="44"/>
      <c r="P30" s="44"/>
      <c r="Q30" s="44"/>
      <c r="R30" s="44"/>
      <c r="S30" s="47"/>
      <c r="T30" s="51"/>
      <c r="U30" s="51"/>
      <c r="V30" s="40"/>
      <c r="W30" s="49"/>
      <c r="X30" s="43"/>
      <c r="Y30" s="44"/>
      <c r="Z30" s="44"/>
      <c r="AA30" s="44"/>
      <c r="AB30" s="44"/>
      <c r="AC30" s="47"/>
      <c r="AD30" s="51"/>
      <c r="AE30" s="51"/>
      <c r="AG30" s="102"/>
      <c r="AH30" s="105"/>
      <c r="AI30" s="105"/>
      <c r="AJ30" s="105"/>
      <c r="AK30" s="40"/>
      <c r="AL30" s="105"/>
      <c r="AM30" s="105"/>
      <c r="AN30" s="103"/>
      <c r="AO30" s="104"/>
    </row>
    <row r="31" spans="1:41" ht="12.55" x14ac:dyDescent="0.2">
      <c r="A31" s="73"/>
      <c r="B31" s="7" t="s">
        <v>28</v>
      </c>
      <c r="C31" s="49">
        <f t="shared" si="0"/>
        <v>4.9963167587476951</v>
      </c>
      <c r="D31" s="28">
        <v>4.1169977924944794</v>
      </c>
      <c r="E31" s="44">
        <v>3.9054605271950358</v>
      </c>
      <c r="F31" s="44">
        <v>4.2361209468826102</v>
      </c>
      <c r="G31" s="44">
        <v>4.9579610437591697</v>
      </c>
      <c r="H31" s="44">
        <v>4.9066737943599064</v>
      </c>
      <c r="I31" s="44">
        <v>4.9963167587476951</v>
      </c>
      <c r="J31" s="47">
        <v>4.0024501892320838</v>
      </c>
      <c r="K31" s="51">
        <f t="shared" ref="K31:K41" si="6">_xlfn.RANK.EQ(J31,D31:J31)</f>
        <v>6</v>
      </c>
      <c r="L31" s="40"/>
      <c r="M31" s="49">
        <f t="shared" si="1"/>
        <v>4.4461486170445177</v>
      </c>
      <c r="N31" s="43">
        <v>4.2123106617987087</v>
      </c>
      <c r="O31" s="44">
        <v>4.3416062695386017</v>
      </c>
      <c r="P31" s="44">
        <v>4.1601841230478991</v>
      </c>
      <c r="Q31" s="44">
        <v>4.195668870464428</v>
      </c>
      <c r="R31" s="44">
        <v>4.4461486170445177</v>
      </c>
      <c r="S31" s="47">
        <v>3.904442962533107</v>
      </c>
      <c r="T31" s="51">
        <f t="shared" si="2"/>
        <v>6</v>
      </c>
      <c r="U31" s="51"/>
      <c r="V31" s="40"/>
      <c r="W31" s="49">
        <f t="shared" si="3"/>
        <v>4.3416062695386017</v>
      </c>
      <c r="X31" s="43">
        <v>4.2123106617987087</v>
      </c>
      <c r="Y31" s="44">
        <v>4.333615358328947</v>
      </c>
      <c r="Z31" s="44">
        <v>4.2179423487528025</v>
      </c>
      <c r="AA31" s="44">
        <v>4.3416062695386017</v>
      </c>
      <c r="AB31" s="44">
        <v>4.1421644473855066</v>
      </c>
      <c r="AC31" s="47">
        <v>3.9542207607730537</v>
      </c>
      <c r="AD31" s="51">
        <f t="shared" si="4"/>
        <v>6</v>
      </c>
      <c r="AE31" s="51"/>
      <c r="AG31" s="102">
        <f t="shared" si="5"/>
        <v>4.5025983210898772</v>
      </c>
      <c r="AH31" s="105">
        <v>4.5025983210898772</v>
      </c>
      <c r="AI31" s="105">
        <v>4.3587223693287145</v>
      </c>
      <c r="AJ31" s="105">
        <v>4.3773460759610776</v>
      </c>
      <c r="AK31" s="40">
        <v>4.0739260372846822</v>
      </c>
      <c r="AL31" s="105">
        <v>4.2368542574999273</v>
      </c>
      <c r="AM31" s="105">
        <v>4.1870660637770252</v>
      </c>
      <c r="AN31" s="103">
        <v>3.9167388152815938</v>
      </c>
      <c r="AO31" s="104">
        <v>7</v>
      </c>
    </row>
    <row r="32" spans="1:41" ht="12.55" x14ac:dyDescent="0.2">
      <c r="B32" s="7" t="s">
        <v>29</v>
      </c>
      <c r="C32" s="49">
        <f t="shared" si="0"/>
        <v>4.9738805970149249</v>
      </c>
      <c r="D32" s="28">
        <v>3.728395061728393</v>
      </c>
      <c r="E32" s="44">
        <v>3.5658490398080604</v>
      </c>
      <c r="F32" s="44">
        <v>3.925224149562645</v>
      </c>
      <c r="G32" s="44">
        <v>4.8217049447994977</v>
      </c>
      <c r="H32" s="44">
        <v>4.8623406293652627</v>
      </c>
      <c r="I32" s="44">
        <v>4.9738805970149249</v>
      </c>
      <c r="J32" s="47">
        <v>3.5876324990643984</v>
      </c>
      <c r="K32" s="51">
        <f t="shared" si="6"/>
        <v>6</v>
      </c>
      <c r="L32" s="40"/>
      <c r="M32" s="49">
        <f t="shared" si="1"/>
        <v>4.1572011897786609</v>
      </c>
      <c r="N32" s="43">
        <v>3.8337110523029345</v>
      </c>
      <c r="O32" s="44">
        <v>4.1572011897786609</v>
      </c>
      <c r="P32" s="44">
        <v>3.7864775521085376</v>
      </c>
      <c r="Q32" s="44">
        <v>3.6750257378931037</v>
      </c>
      <c r="R32" s="44">
        <v>4.0130874781100498</v>
      </c>
      <c r="S32" s="47">
        <v>3.5402871859370597</v>
      </c>
      <c r="T32" s="51">
        <f t="shared" si="2"/>
        <v>6</v>
      </c>
      <c r="U32" s="51"/>
      <c r="V32" s="40"/>
      <c r="W32" s="49">
        <f t="shared" si="3"/>
        <v>4.1572011897786609</v>
      </c>
      <c r="X32" s="43">
        <v>3.8337110523029345</v>
      </c>
      <c r="Y32" s="44">
        <v>4.0489043737545449</v>
      </c>
      <c r="Z32" s="44">
        <v>3.7063602850775554</v>
      </c>
      <c r="AA32" s="44">
        <v>4.1572011897786609</v>
      </c>
      <c r="AB32" s="44">
        <v>3.9670327129476197</v>
      </c>
      <c r="AC32" s="47">
        <v>3.2486013766590736</v>
      </c>
      <c r="AD32" s="51">
        <f t="shared" si="4"/>
        <v>6</v>
      </c>
      <c r="AE32" s="51"/>
      <c r="AG32" s="102">
        <f t="shared" si="5"/>
        <v>4.3605194961347422</v>
      </c>
      <c r="AH32" s="105">
        <v>4.3605194961347422</v>
      </c>
      <c r="AI32" s="105">
        <v>4.0031809537569432</v>
      </c>
      <c r="AJ32" s="105">
        <v>4.218856211277326</v>
      </c>
      <c r="AK32" s="40">
        <v>3.7063564910682292</v>
      </c>
      <c r="AL32" s="105">
        <v>3.7460747500550693</v>
      </c>
      <c r="AM32" s="105">
        <v>3.7890825248035367</v>
      </c>
      <c r="AN32" s="103">
        <v>3.478946744116743</v>
      </c>
      <c r="AO32" s="104">
        <v>7</v>
      </c>
    </row>
    <row r="33" spans="1:41" ht="12.55" x14ac:dyDescent="0.2">
      <c r="B33" s="7" t="s">
        <v>30</v>
      </c>
      <c r="C33" s="49">
        <f t="shared" si="0"/>
        <v>4.9457943925233643</v>
      </c>
      <c r="D33" s="28">
        <v>2.8525798525798516</v>
      </c>
      <c r="E33" s="44">
        <v>3.0500405014099621</v>
      </c>
      <c r="F33" s="44">
        <v>3.3948109994340525</v>
      </c>
      <c r="G33" s="44">
        <v>4.6626266264427283</v>
      </c>
      <c r="H33" s="44">
        <v>4.8116089240147133</v>
      </c>
      <c r="I33" s="44">
        <v>4.9457943925233643</v>
      </c>
      <c r="J33" s="47">
        <v>2.9094621405633529</v>
      </c>
      <c r="K33" s="51">
        <f t="shared" si="6"/>
        <v>6</v>
      </c>
      <c r="L33" s="40"/>
      <c r="M33" s="49">
        <f t="shared" si="1"/>
        <v>3.6040871380107879</v>
      </c>
      <c r="N33" s="43">
        <v>3.3498596657964304</v>
      </c>
      <c r="O33" s="44">
        <v>3.5239997093029762</v>
      </c>
      <c r="P33" s="44">
        <v>2.8497706052799048</v>
      </c>
      <c r="Q33" s="44">
        <v>3.067658597933411</v>
      </c>
      <c r="R33" s="44">
        <v>3.6040871380107879</v>
      </c>
      <c r="S33" s="47">
        <v>2.8669595100006062</v>
      </c>
      <c r="T33" s="51">
        <f t="shared" si="2"/>
        <v>5</v>
      </c>
      <c r="U33" s="51"/>
      <c r="V33" s="40"/>
      <c r="W33" s="49">
        <f t="shared" si="3"/>
        <v>3.544510076884507</v>
      </c>
      <c r="X33" s="43">
        <v>3.3498596657964304</v>
      </c>
      <c r="Y33" s="44">
        <v>3.544510076884507</v>
      </c>
      <c r="Z33" s="44">
        <v>3.1517751271690631</v>
      </c>
      <c r="AA33" s="44">
        <v>3.5239997093029762</v>
      </c>
      <c r="AB33" s="44">
        <v>3.3424468533233203</v>
      </c>
      <c r="AC33" s="47">
        <v>2.6908234091564047</v>
      </c>
      <c r="AD33" s="51">
        <f t="shared" si="4"/>
        <v>6</v>
      </c>
      <c r="AE33" s="51"/>
      <c r="AG33" s="102">
        <f t="shared" si="5"/>
        <v>3.9014630835854835</v>
      </c>
      <c r="AH33" s="105">
        <v>3.9014630835854835</v>
      </c>
      <c r="AI33" s="105">
        <v>3.3795645496922169</v>
      </c>
      <c r="AJ33" s="105">
        <v>3.6495032419401823</v>
      </c>
      <c r="AK33" s="40">
        <v>3.1731801554399781</v>
      </c>
      <c r="AL33" s="105">
        <v>3.1762774157045008</v>
      </c>
      <c r="AM33" s="105">
        <v>2.9758021018031728</v>
      </c>
      <c r="AN33" s="103">
        <v>2.819914567093933</v>
      </c>
      <c r="AO33" s="104">
        <v>7</v>
      </c>
    </row>
    <row r="34" spans="1:41" ht="12.55" x14ac:dyDescent="0.2">
      <c r="B34" s="7" t="s">
        <v>31</v>
      </c>
      <c r="C34" s="49">
        <f t="shared" si="0"/>
        <v>4.9865384615384558</v>
      </c>
      <c r="D34" s="28">
        <v>3.7783505154639183</v>
      </c>
      <c r="E34" s="44">
        <v>3.720208614558179</v>
      </c>
      <c r="F34" s="44">
        <v>3.9394131201416345</v>
      </c>
      <c r="G34" s="44">
        <v>4.9141104294478577</v>
      </c>
      <c r="H34" s="44">
        <v>4.8550375147533886</v>
      </c>
      <c r="I34" s="44">
        <v>4.9865384615384558</v>
      </c>
      <c r="J34" s="47">
        <v>3.625923630475766</v>
      </c>
      <c r="K34" s="51">
        <f t="shared" si="6"/>
        <v>7</v>
      </c>
      <c r="L34" s="40"/>
      <c r="M34" s="49">
        <f t="shared" si="1"/>
        <v>4.1565839886516329</v>
      </c>
      <c r="N34" s="43">
        <v>3.8642033932700728</v>
      </c>
      <c r="O34" s="44">
        <v>3.8460509660748463</v>
      </c>
      <c r="P34" s="44">
        <v>3.7730860938574442</v>
      </c>
      <c r="Q34" s="44">
        <v>3.6470908850643986</v>
      </c>
      <c r="R34" s="44">
        <v>4.1565839886516329</v>
      </c>
      <c r="S34" s="47">
        <v>3.4812170572328349</v>
      </c>
      <c r="T34" s="51">
        <f t="shared" si="2"/>
        <v>6</v>
      </c>
      <c r="U34" s="51"/>
      <c r="V34" s="40"/>
      <c r="W34" s="49">
        <f t="shared" si="3"/>
        <v>3.9904301233571675</v>
      </c>
      <c r="X34" s="43">
        <v>3.8642033932700728</v>
      </c>
      <c r="Y34" s="44">
        <v>3.9382400782367757</v>
      </c>
      <c r="Z34" s="44">
        <v>3.69818066904093</v>
      </c>
      <c r="AA34" s="44">
        <v>3.8460509660748463</v>
      </c>
      <c r="AB34" s="44">
        <v>3.9904301233571675</v>
      </c>
      <c r="AC34" s="47">
        <v>3.4775149405034629</v>
      </c>
      <c r="AD34" s="51">
        <f t="shared" si="4"/>
        <v>6</v>
      </c>
      <c r="AE34" s="51"/>
      <c r="AG34" s="102">
        <f t="shared" si="5"/>
        <v>4.2062147959845797</v>
      </c>
      <c r="AH34" s="105">
        <v>4.2062147959845797</v>
      </c>
      <c r="AI34" s="105">
        <v>3.8893073782434242</v>
      </c>
      <c r="AJ34" s="105">
        <v>3.9622656426789682</v>
      </c>
      <c r="AK34" s="40">
        <v>3.8328032063881978</v>
      </c>
      <c r="AL34" s="105">
        <v>3.6787852719340415</v>
      </c>
      <c r="AM34" s="105">
        <v>3.6943375475251923</v>
      </c>
      <c r="AN34" s="103">
        <v>3.5836849678931242</v>
      </c>
      <c r="AO34" s="104">
        <v>7</v>
      </c>
    </row>
    <row r="35" spans="1:41" ht="12.55" x14ac:dyDescent="0.2">
      <c r="B35" s="7" t="s">
        <v>32</v>
      </c>
      <c r="C35" s="49">
        <f t="shared" si="0"/>
        <v>4.9925093632958788</v>
      </c>
      <c r="D35" s="28">
        <v>3.87042253521127</v>
      </c>
      <c r="E35" s="44">
        <v>3.6238472301762839</v>
      </c>
      <c r="F35" s="44">
        <v>3.9974296841155854</v>
      </c>
      <c r="G35" s="44">
        <v>4.9074280212994505</v>
      </c>
      <c r="H35" s="44">
        <v>4.8695651630969277</v>
      </c>
      <c r="I35" s="44">
        <v>4.9925093632958788</v>
      </c>
      <c r="J35" s="47">
        <v>3.6492491395884423</v>
      </c>
      <c r="K35" s="51">
        <f t="shared" si="6"/>
        <v>6</v>
      </c>
      <c r="L35" s="40"/>
      <c r="M35" s="49">
        <f t="shared" si="1"/>
        <v>4.0235395310424984</v>
      </c>
      <c r="N35" s="43">
        <v>3.643386306492999</v>
      </c>
      <c r="O35" s="44">
        <v>4.0235395310424984</v>
      </c>
      <c r="P35" s="44">
        <v>3.9398854443640303</v>
      </c>
      <c r="Q35" s="44">
        <v>3.7108156199815521</v>
      </c>
      <c r="R35" s="44">
        <v>3.919562684126674</v>
      </c>
      <c r="S35" s="47">
        <v>3.3975586918609761</v>
      </c>
      <c r="T35" s="51">
        <f t="shared" si="2"/>
        <v>6</v>
      </c>
      <c r="U35" s="51"/>
      <c r="V35" s="40"/>
      <c r="W35" s="49">
        <f t="shared" si="3"/>
        <v>4.0235395310424984</v>
      </c>
      <c r="X35" s="43">
        <v>3.643386306492999</v>
      </c>
      <c r="Y35" s="44">
        <v>3.9087199140114004</v>
      </c>
      <c r="Z35" s="44">
        <v>3.6115475073343464</v>
      </c>
      <c r="AA35" s="44">
        <v>4.0235395310424984</v>
      </c>
      <c r="AB35" s="44">
        <v>3.9750443993391449</v>
      </c>
      <c r="AC35" s="47">
        <v>2.9646374048437294</v>
      </c>
      <c r="AD35" s="51">
        <f t="shared" si="4"/>
        <v>6</v>
      </c>
      <c r="AE35" s="51"/>
      <c r="AG35" s="102">
        <f t="shared" si="5"/>
        <v>4.2199965796930083</v>
      </c>
      <c r="AH35" s="105">
        <v>4.2199965796930083</v>
      </c>
      <c r="AI35" s="105">
        <v>3.8966618749127329</v>
      </c>
      <c r="AJ35" s="105">
        <v>3.9656674249875237</v>
      </c>
      <c r="AK35" s="40">
        <v>3.6865053848841765</v>
      </c>
      <c r="AL35" s="105">
        <v>3.7713040650505998</v>
      </c>
      <c r="AM35" s="105">
        <v>3.6155528843650568</v>
      </c>
      <c r="AN35" s="103">
        <v>3.5789269327964468</v>
      </c>
      <c r="AO35" s="104">
        <v>7</v>
      </c>
    </row>
    <row r="36" spans="1:41" ht="12.55" x14ac:dyDescent="0.2">
      <c r="B36" s="7" t="s">
        <v>33</v>
      </c>
      <c r="C36" s="49">
        <f t="shared" si="0"/>
        <v>4.9584120982986768</v>
      </c>
      <c r="D36" s="28">
        <v>2.9999999999999982</v>
      </c>
      <c r="E36" s="44">
        <v>3.2306618062551182</v>
      </c>
      <c r="F36" s="44">
        <v>3.3336170316388523</v>
      </c>
      <c r="G36" s="44">
        <v>4.8480079619305974</v>
      </c>
      <c r="H36" s="44">
        <v>4.8201277772606694</v>
      </c>
      <c r="I36" s="44">
        <v>4.9584120982986768</v>
      </c>
      <c r="J36" s="47">
        <v>3.0319728310717577</v>
      </c>
      <c r="K36" s="51">
        <f t="shared" si="6"/>
        <v>6</v>
      </c>
      <c r="L36" s="40"/>
      <c r="M36" s="49">
        <f t="shared" si="1"/>
        <v>3.4949234088241696</v>
      </c>
      <c r="N36" s="43">
        <v>3.2381146895377446</v>
      </c>
      <c r="O36" s="44">
        <v>3.4168891959127223</v>
      </c>
      <c r="P36" s="44">
        <v>3.1770326242205749</v>
      </c>
      <c r="Q36" s="44">
        <v>3.0320399795719526</v>
      </c>
      <c r="R36" s="44">
        <v>3.4949234088241696</v>
      </c>
      <c r="S36" s="47">
        <v>2.9716034432941409</v>
      </c>
      <c r="T36" s="51">
        <f t="shared" si="2"/>
        <v>6</v>
      </c>
      <c r="U36" s="51"/>
      <c r="V36" s="40"/>
      <c r="W36" s="49">
        <f t="shared" si="3"/>
        <v>3.4168891959127223</v>
      </c>
      <c r="X36" s="43">
        <v>3.2381146895377446</v>
      </c>
      <c r="Y36" s="44">
        <v>3.4098540128930921</v>
      </c>
      <c r="Z36" s="44">
        <v>3.1560693911037814</v>
      </c>
      <c r="AA36" s="44">
        <v>3.4168891959127223</v>
      </c>
      <c r="AB36" s="44">
        <v>3.3372922151640507</v>
      </c>
      <c r="AC36" s="47">
        <v>2.8005211697158052</v>
      </c>
      <c r="AD36" s="51">
        <f t="shared" si="4"/>
        <v>6</v>
      </c>
      <c r="AE36" s="51"/>
      <c r="AG36" s="102">
        <f t="shared" si="5"/>
        <v>3.6632036318777152</v>
      </c>
      <c r="AH36" s="105">
        <v>3.6632036318777152</v>
      </c>
      <c r="AI36" s="105">
        <v>3.2370735797847621</v>
      </c>
      <c r="AJ36" s="105">
        <v>3.4461070950855501</v>
      </c>
      <c r="AK36" s="40">
        <v>3.2808740174161897</v>
      </c>
      <c r="AL36" s="105">
        <v>3.1485006792878654</v>
      </c>
      <c r="AM36" s="105">
        <v>2.9871354826366332</v>
      </c>
      <c r="AN36" s="103">
        <v>2.9601420882273701</v>
      </c>
      <c r="AO36" s="104">
        <v>7</v>
      </c>
    </row>
    <row r="37" spans="1:41" ht="12.55" x14ac:dyDescent="0.2">
      <c r="B37" s="7" t="s">
        <v>34</v>
      </c>
      <c r="C37" s="49">
        <f t="shared" si="0"/>
        <v>4.9517625231910962</v>
      </c>
      <c r="D37" s="28">
        <v>3.6948228882833787</v>
      </c>
      <c r="E37" s="44">
        <v>3.5284092801726752</v>
      </c>
      <c r="F37" s="44">
        <v>3.7547100697877305</v>
      </c>
      <c r="G37" s="44">
        <v>4.9097399220856115</v>
      </c>
      <c r="H37" s="44">
        <v>4.7265619212832997</v>
      </c>
      <c r="I37" s="44">
        <v>4.9517625231910962</v>
      </c>
      <c r="J37" s="47">
        <v>3.4348352979292542</v>
      </c>
      <c r="K37" s="51">
        <f t="shared" si="6"/>
        <v>7</v>
      </c>
      <c r="L37" s="40"/>
      <c r="M37" s="49">
        <f t="shared" si="1"/>
        <v>4.0792447415678028</v>
      </c>
      <c r="N37" s="43">
        <v>3.9496926011533056</v>
      </c>
      <c r="O37" s="44">
        <v>4.0792447415678028</v>
      </c>
      <c r="P37" s="44">
        <v>3.6126774991113786</v>
      </c>
      <c r="Q37" s="44">
        <v>3.7983482440836562</v>
      </c>
      <c r="R37" s="44">
        <v>3.9376186015076864</v>
      </c>
      <c r="S37" s="47">
        <v>3.3061271682624147</v>
      </c>
      <c r="T37" s="51">
        <f t="shared" si="2"/>
        <v>6</v>
      </c>
      <c r="U37" s="51"/>
      <c r="V37" s="40"/>
      <c r="W37" s="49">
        <f t="shared" si="3"/>
        <v>4.0792447415678028</v>
      </c>
      <c r="X37" s="43">
        <v>3.9496926011533056</v>
      </c>
      <c r="Y37" s="44">
        <v>3.6231303423212289</v>
      </c>
      <c r="Z37" s="44">
        <v>3.7670366888510922</v>
      </c>
      <c r="AA37" s="44">
        <v>4.0792447415678028</v>
      </c>
      <c r="AB37" s="44">
        <v>3.6120617977519824</v>
      </c>
      <c r="AC37" s="47">
        <v>3.4122436934877922</v>
      </c>
      <c r="AD37" s="51">
        <f t="shared" si="4"/>
        <v>6</v>
      </c>
      <c r="AE37" s="51"/>
      <c r="AG37" s="102">
        <f t="shared" si="5"/>
        <v>4.0923056260060635</v>
      </c>
      <c r="AH37" s="105">
        <v>4.0343181788560374</v>
      </c>
      <c r="AI37" s="105">
        <v>4.0923056260060635</v>
      </c>
      <c r="AJ37" s="105">
        <v>3.7913109254430264</v>
      </c>
      <c r="AK37" s="40">
        <v>3.6373587714708493</v>
      </c>
      <c r="AL37" s="105">
        <v>3.8213882407282473</v>
      </c>
      <c r="AM37" s="105">
        <v>3.8569652273962443</v>
      </c>
      <c r="AN37" s="103">
        <v>3.2264143726273993</v>
      </c>
      <c r="AO37" s="104">
        <v>7</v>
      </c>
    </row>
    <row r="38" spans="1:41" ht="12.55" x14ac:dyDescent="0.2">
      <c r="B38" s="7" t="s">
        <v>35</v>
      </c>
      <c r="C38" s="49">
        <f t="shared" si="0"/>
        <v>4.9959100204498963</v>
      </c>
      <c r="D38" s="28">
        <v>3.693877551020408</v>
      </c>
      <c r="E38" s="44">
        <v>3.7334541993762711</v>
      </c>
      <c r="F38" s="44">
        <v>4.0183761735324675</v>
      </c>
      <c r="G38" s="44">
        <v>4.8637949513127641</v>
      </c>
      <c r="H38" s="44">
        <v>4.9253176919902915</v>
      </c>
      <c r="I38" s="44">
        <v>4.9959100204498963</v>
      </c>
      <c r="J38" s="47">
        <v>3.5599593798747051</v>
      </c>
      <c r="K38" s="51">
        <f t="shared" si="6"/>
        <v>7</v>
      </c>
      <c r="L38" s="40"/>
      <c r="M38" s="49">
        <f t="shared" si="1"/>
        <v>4.1725680562944722</v>
      </c>
      <c r="N38" s="43">
        <v>3.7150499771390808</v>
      </c>
      <c r="O38" s="44">
        <v>4.0181621219069443</v>
      </c>
      <c r="P38" s="44">
        <v>4.0284677466869763</v>
      </c>
      <c r="Q38" s="44">
        <v>3.8275504258529165</v>
      </c>
      <c r="R38" s="44">
        <v>4.1725680562944722</v>
      </c>
      <c r="S38" s="47">
        <v>3.5555738375418673</v>
      </c>
      <c r="T38" s="51">
        <f t="shared" si="2"/>
        <v>6</v>
      </c>
      <c r="U38" s="51"/>
      <c r="V38" s="40"/>
      <c r="W38" s="49">
        <f t="shared" si="3"/>
        <v>4.0181621219069443</v>
      </c>
      <c r="X38" s="43">
        <v>3.7150499771390808</v>
      </c>
      <c r="Y38" s="44">
        <v>3.7076519118406397</v>
      </c>
      <c r="Z38" s="44">
        <v>3.5335984263934832</v>
      </c>
      <c r="AA38" s="44">
        <v>4.0181621219069443</v>
      </c>
      <c r="AB38" s="44">
        <v>3.8996429727648936</v>
      </c>
      <c r="AC38" s="47">
        <v>3.2225249841838575</v>
      </c>
      <c r="AD38" s="51">
        <f t="shared" si="4"/>
        <v>6</v>
      </c>
      <c r="AE38" s="51"/>
      <c r="AG38" s="102">
        <f t="shared" si="5"/>
        <v>4.4559800688537043</v>
      </c>
      <c r="AH38" s="105">
        <v>4.4559800688537043</v>
      </c>
      <c r="AI38" s="105">
        <v>3.7881520719891779</v>
      </c>
      <c r="AJ38" s="105">
        <v>4.0083912535287256</v>
      </c>
      <c r="AK38" s="40">
        <v>3.841079890201033</v>
      </c>
      <c r="AL38" s="105">
        <v>3.7249291493399506</v>
      </c>
      <c r="AM38" s="105">
        <v>3.6537391185331485</v>
      </c>
      <c r="AN38" s="103">
        <v>3.5052914497369132</v>
      </c>
      <c r="AO38" s="104">
        <v>7</v>
      </c>
    </row>
    <row r="39" spans="1:41" ht="12.55" x14ac:dyDescent="0.2">
      <c r="B39" s="7" t="s">
        <v>36</v>
      </c>
      <c r="C39" s="49">
        <f t="shared" si="0"/>
        <v>4.9908088235294157</v>
      </c>
      <c r="D39" s="28">
        <v>3.946640316205531</v>
      </c>
      <c r="E39" s="44">
        <v>3.9600347381881043</v>
      </c>
      <c r="F39" s="44">
        <v>4.1137901233843044</v>
      </c>
      <c r="G39" s="44">
        <v>4.939459324745</v>
      </c>
      <c r="H39" s="44">
        <v>4.8927517943179284</v>
      </c>
      <c r="I39" s="44">
        <v>4.9908088235294157</v>
      </c>
      <c r="J39" s="47">
        <v>3.9894738253059541</v>
      </c>
      <c r="K39" s="51">
        <f t="shared" si="6"/>
        <v>5</v>
      </c>
      <c r="L39" s="40"/>
      <c r="M39" s="49">
        <f t="shared" si="1"/>
        <v>4.3167276578704508</v>
      </c>
      <c r="N39" s="43">
        <v>4.1844942942880383</v>
      </c>
      <c r="O39" s="44">
        <v>4.3167276578704508</v>
      </c>
      <c r="P39" s="44">
        <v>4.1086542998782809</v>
      </c>
      <c r="Q39" s="44">
        <v>3.9824417982182236</v>
      </c>
      <c r="R39" s="44">
        <v>4.3114185404529524</v>
      </c>
      <c r="S39" s="47">
        <v>3.6553875221335175</v>
      </c>
      <c r="T39" s="51">
        <f t="shared" si="2"/>
        <v>6</v>
      </c>
      <c r="U39" s="51"/>
      <c r="V39" s="40"/>
      <c r="W39" s="49">
        <f t="shared" si="3"/>
        <v>4.3167276578704508</v>
      </c>
      <c r="X39" s="43">
        <v>4.1844942942880383</v>
      </c>
      <c r="Y39" s="44">
        <v>4.2213423863171382</v>
      </c>
      <c r="Z39" s="44">
        <v>4.0549179975503895</v>
      </c>
      <c r="AA39" s="44">
        <v>4.3167276578704508</v>
      </c>
      <c r="AB39" s="44">
        <v>4.0841421144225993</v>
      </c>
      <c r="AC39" s="47">
        <v>3.5888999856565564</v>
      </c>
      <c r="AD39" s="51">
        <f t="shared" si="4"/>
        <v>6</v>
      </c>
      <c r="AE39" s="51"/>
      <c r="AG39" s="102">
        <f t="shared" si="5"/>
        <v>4.3927886294594751</v>
      </c>
      <c r="AH39" s="105">
        <v>4.3927886294594751</v>
      </c>
      <c r="AI39" s="105">
        <v>4.2253405786582041</v>
      </c>
      <c r="AJ39" s="105">
        <v>4.2652247396104173</v>
      </c>
      <c r="AK39" s="40">
        <v>3.9855566726423892</v>
      </c>
      <c r="AL39" s="105">
        <v>4.048058488952134</v>
      </c>
      <c r="AM39" s="105">
        <v>4.2018963949584656</v>
      </c>
      <c r="AN39" s="103">
        <v>3.9509061732845598</v>
      </c>
      <c r="AO39" s="104">
        <v>7</v>
      </c>
    </row>
    <row r="40" spans="1:41" ht="12.55" x14ac:dyDescent="0.2">
      <c r="B40" s="7" t="s">
        <v>37</v>
      </c>
      <c r="C40" s="49">
        <f t="shared" si="0"/>
        <v>4.9926199261992652</v>
      </c>
      <c r="D40" s="28">
        <v>3.726027397260276</v>
      </c>
      <c r="E40" s="44">
        <v>3.8253499134135649</v>
      </c>
      <c r="F40" s="44">
        <v>4.0596644269746838</v>
      </c>
      <c r="G40" s="44">
        <v>4.9399935644695097</v>
      </c>
      <c r="H40" s="44">
        <v>4.8434913285583097</v>
      </c>
      <c r="I40" s="44">
        <v>4.9926199261992652</v>
      </c>
      <c r="J40" s="47">
        <v>3.7012604067156052</v>
      </c>
      <c r="K40" s="51">
        <f t="shared" si="6"/>
        <v>7</v>
      </c>
      <c r="L40" s="40"/>
      <c r="M40" s="49">
        <f t="shared" si="1"/>
        <v>4.2397945445955525</v>
      </c>
      <c r="N40" s="43">
        <v>3.9132636129446485</v>
      </c>
      <c r="O40" s="44">
        <v>4.2397945445955525</v>
      </c>
      <c r="P40" s="44">
        <v>4.0928116754544135</v>
      </c>
      <c r="Q40" s="44">
        <v>3.7729590808432216</v>
      </c>
      <c r="R40" s="44">
        <v>4.2047376964643277</v>
      </c>
      <c r="S40" s="47">
        <v>3.4186991810195622</v>
      </c>
      <c r="T40" s="51">
        <f t="shared" si="2"/>
        <v>6</v>
      </c>
      <c r="U40" s="51"/>
      <c r="V40" s="40"/>
      <c r="W40" s="49">
        <f t="shared" si="3"/>
        <v>4.2397945445955525</v>
      </c>
      <c r="X40" s="43">
        <v>3.9132636129446485</v>
      </c>
      <c r="Y40" s="44">
        <v>3.9295496264046337</v>
      </c>
      <c r="Z40" s="44">
        <v>4.0100937551468796</v>
      </c>
      <c r="AA40" s="44">
        <v>4.2397945445955525</v>
      </c>
      <c r="AB40" s="44">
        <v>3.5583954582837953</v>
      </c>
      <c r="AC40" s="47">
        <v>3.4789680267124079</v>
      </c>
      <c r="AD40" s="51">
        <f t="shared" si="4"/>
        <v>6</v>
      </c>
      <c r="AE40" s="51"/>
      <c r="AG40" s="102">
        <f t="shared" si="5"/>
        <v>4.3789495396719103</v>
      </c>
      <c r="AH40" s="105">
        <v>4.3789495396719103</v>
      </c>
      <c r="AI40" s="105">
        <v>4.026782299419807</v>
      </c>
      <c r="AJ40" s="105">
        <v>4.0897110362748785</v>
      </c>
      <c r="AK40" s="40">
        <v>3.8602986344250789</v>
      </c>
      <c r="AL40" s="105">
        <v>3.8041311940273053</v>
      </c>
      <c r="AM40" s="105">
        <v>4.0352745692006584</v>
      </c>
      <c r="AN40" s="103">
        <v>3.7341844133960063</v>
      </c>
      <c r="AO40" s="104">
        <v>7</v>
      </c>
    </row>
    <row r="41" spans="1:41" ht="12.55" x14ac:dyDescent="0.2">
      <c r="B41" s="7" t="s">
        <v>38</v>
      </c>
      <c r="C41" s="49">
        <f t="shared" si="0"/>
        <v>4.9833641404805942</v>
      </c>
      <c r="D41" s="28">
        <v>3.4615384615384626</v>
      </c>
      <c r="E41" s="44">
        <v>3.6616820588656678</v>
      </c>
      <c r="F41" s="44">
        <v>3.7340256566177938</v>
      </c>
      <c r="G41" s="44">
        <v>4.9611227672588551</v>
      </c>
      <c r="H41" s="44">
        <v>4.8665391681790764</v>
      </c>
      <c r="I41" s="44">
        <v>4.9833641404805942</v>
      </c>
      <c r="J41" s="47">
        <v>3.6696983031215344</v>
      </c>
      <c r="K41" s="51">
        <f t="shared" si="6"/>
        <v>5</v>
      </c>
      <c r="L41" s="40"/>
      <c r="M41" s="49">
        <f t="shared" si="1"/>
        <v>4.1249408329945974</v>
      </c>
      <c r="N41" s="43">
        <v>3.9229829158609704</v>
      </c>
      <c r="O41" s="44">
        <v>4.0370341182790224</v>
      </c>
      <c r="P41" s="44">
        <v>3.8526542594218327</v>
      </c>
      <c r="Q41" s="44">
        <v>3.5193978596116251</v>
      </c>
      <c r="R41" s="44">
        <v>4.1249408329945974</v>
      </c>
      <c r="S41" s="47">
        <v>3.5738408128045931</v>
      </c>
      <c r="T41" s="51">
        <f t="shared" si="2"/>
        <v>5</v>
      </c>
      <c r="U41" s="51"/>
      <c r="V41" s="40"/>
      <c r="W41" s="49">
        <f t="shared" si="3"/>
        <v>4.0370341182790224</v>
      </c>
      <c r="X41" s="43">
        <v>3.9229829158609704</v>
      </c>
      <c r="Y41" s="44">
        <v>3.9097931910222936</v>
      </c>
      <c r="Z41" s="44">
        <v>3.8505272843758593</v>
      </c>
      <c r="AA41" s="44">
        <v>4.0370341182790224</v>
      </c>
      <c r="AB41" s="44">
        <v>3.7514133808800953</v>
      </c>
      <c r="AC41" s="47">
        <v>3.2304297898620788</v>
      </c>
      <c r="AD41" s="51">
        <f t="shared" si="4"/>
        <v>6</v>
      </c>
      <c r="AE41" s="51"/>
      <c r="AG41" s="102">
        <f t="shared" si="5"/>
        <v>4.2576235816362189</v>
      </c>
      <c r="AH41" s="105">
        <v>4.2576235816362189</v>
      </c>
      <c r="AI41" s="105">
        <v>3.8626672819679264</v>
      </c>
      <c r="AJ41" s="105">
        <v>4.1215721719648863</v>
      </c>
      <c r="AK41" s="40">
        <v>3.7320041744991856</v>
      </c>
      <c r="AL41" s="105">
        <v>3.5923788350391894</v>
      </c>
      <c r="AM41" s="105">
        <v>3.9734953270916682</v>
      </c>
      <c r="AN41" s="103">
        <v>3.7027353635810472</v>
      </c>
      <c r="AO41" s="104">
        <v>6</v>
      </c>
    </row>
    <row r="42" spans="1:41" ht="12.55" x14ac:dyDescent="0.2">
      <c r="B42" s="7"/>
      <c r="C42" s="49"/>
      <c r="D42" s="28"/>
      <c r="E42" s="44"/>
      <c r="F42" s="44"/>
      <c r="G42" s="44"/>
      <c r="H42" s="44"/>
      <c r="I42" s="44"/>
      <c r="J42" s="47"/>
      <c r="K42" s="51"/>
      <c r="L42" s="40"/>
      <c r="M42" s="49"/>
      <c r="N42" s="43"/>
      <c r="O42" s="44"/>
      <c r="P42" s="44"/>
      <c r="Q42" s="44"/>
      <c r="R42" s="44"/>
      <c r="S42" s="47"/>
      <c r="T42" s="51"/>
      <c r="U42" s="51"/>
      <c r="V42" s="40"/>
      <c r="W42" s="49"/>
      <c r="X42" s="43"/>
      <c r="Y42" s="44"/>
      <c r="Z42" s="44"/>
      <c r="AA42" s="44"/>
      <c r="AB42" s="44"/>
      <c r="AC42" s="47"/>
      <c r="AD42" s="51"/>
      <c r="AE42" s="51"/>
      <c r="AG42" s="102"/>
      <c r="AH42" s="105"/>
      <c r="AI42" s="105"/>
      <c r="AJ42" s="105"/>
      <c r="AK42" s="40"/>
      <c r="AL42" s="105"/>
      <c r="AM42" s="105"/>
      <c r="AN42" s="103"/>
      <c r="AO42" s="104"/>
    </row>
    <row r="43" spans="1:41" ht="12.55" x14ac:dyDescent="0.2">
      <c r="A43" s="73"/>
      <c r="B43" s="7" t="s">
        <v>39</v>
      </c>
      <c r="C43" s="49">
        <f t="shared" si="0"/>
        <v>4.9944751381215484</v>
      </c>
      <c r="D43" s="28">
        <v>4.0369003690036918</v>
      </c>
      <c r="E43" s="44">
        <v>3.89433927365969</v>
      </c>
      <c r="F43" s="44">
        <v>4.2135457552611761</v>
      </c>
      <c r="G43" s="44">
        <v>4.9882076642424131</v>
      </c>
      <c r="H43" s="44">
        <v>4.951148400758993</v>
      </c>
      <c r="I43" s="44">
        <v>4.9944751381215484</v>
      </c>
      <c r="J43" s="47">
        <v>3.9629216167840693</v>
      </c>
      <c r="K43" s="51">
        <f>_xlfn.RANK.EQ(J43,D43:J43)</f>
        <v>6</v>
      </c>
      <c r="L43" s="40"/>
      <c r="M43" s="49">
        <f t="shared" si="1"/>
        <v>4.4680020303070949</v>
      </c>
      <c r="N43" s="43">
        <v>4.0958118360367575</v>
      </c>
      <c r="O43" s="44">
        <v>4.3410509603976788</v>
      </c>
      <c r="P43" s="44">
        <v>4.335719360203802</v>
      </c>
      <c r="Q43" s="44">
        <v>3.8621494207682745</v>
      </c>
      <c r="R43" s="44">
        <v>4.4680020303070949</v>
      </c>
      <c r="S43" s="47">
        <v>3.8336093407471918</v>
      </c>
      <c r="T43" s="51">
        <f t="shared" si="2"/>
        <v>6</v>
      </c>
      <c r="U43" s="51"/>
      <c r="V43" s="40"/>
      <c r="W43" s="49">
        <f t="shared" si="3"/>
        <v>4.3410509603976788</v>
      </c>
      <c r="X43" s="43">
        <v>4.0958118360367575</v>
      </c>
      <c r="Y43" s="44">
        <v>4.1955798625623189</v>
      </c>
      <c r="Z43" s="44">
        <v>4.1046971368221694</v>
      </c>
      <c r="AA43" s="44">
        <v>4.3410509603976788</v>
      </c>
      <c r="AB43" s="44">
        <v>3.9725132268055487</v>
      </c>
      <c r="AC43" s="47">
        <v>3.450263119123401</v>
      </c>
      <c r="AD43" s="51">
        <f t="shared" si="4"/>
        <v>6</v>
      </c>
      <c r="AE43" s="51"/>
      <c r="AG43" s="102">
        <f t="shared" si="5"/>
        <v>4.4347744441202206</v>
      </c>
      <c r="AH43" s="105">
        <v>4.4347744441202206</v>
      </c>
      <c r="AI43" s="105">
        <v>4.219785232222466</v>
      </c>
      <c r="AJ43" s="105">
        <v>4.3135239848120355</v>
      </c>
      <c r="AK43" s="40">
        <v>3.9641743296793801</v>
      </c>
      <c r="AL43" s="105">
        <v>3.936477986622358</v>
      </c>
      <c r="AM43" s="105">
        <v>4.2240904435422113</v>
      </c>
      <c r="AN43" s="103">
        <v>3.9796611304252907</v>
      </c>
      <c r="AO43" s="104">
        <v>5</v>
      </c>
    </row>
    <row r="44" spans="1:41" ht="12.55" x14ac:dyDescent="0.2">
      <c r="B44" s="7" t="s">
        <v>40</v>
      </c>
      <c r="C44" s="49">
        <f t="shared" si="0"/>
        <v>4.998158379373848</v>
      </c>
      <c r="D44" s="28">
        <v>3.8878504672897183</v>
      </c>
      <c r="E44" s="44">
        <v>3.723249920154283</v>
      </c>
      <c r="F44" s="44">
        <v>3.9992730769942875</v>
      </c>
      <c r="G44" s="44">
        <v>4.9915409756384994</v>
      </c>
      <c r="H44" s="44">
        <v>4.9603034005082245</v>
      </c>
      <c r="I44" s="44">
        <v>4.998158379373848</v>
      </c>
      <c r="J44" s="47">
        <v>3.7570102905829277</v>
      </c>
      <c r="K44" s="51">
        <f>_xlfn.RANK.EQ(J44,D44:J44)</f>
        <v>6</v>
      </c>
      <c r="L44" s="40"/>
      <c r="M44" s="49">
        <f t="shared" si="1"/>
        <v>4.2939018617428983</v>
      </c>
      <c r="N44" s="43">
        <v>3.9235449090182573</v>
      </c>
      <c r="O44" s="44">
        <v>4.1755062751172849</v>
      </c>
      <c r="P44" s="44">
        <v>4.0895611643611272</v>
      </c>
      <c r="Q44" s="44">
        <v>3.6741112228677757</v>
      </c>
      <c r="R44" s="44">
        <v>4.2939018617428983</v>
      </c>
      <c r="S44" s="47">
        <v>3.5665044851519472</v>
      </c>
      <c r="T44" s="51">
        <f t="shared" si="2"/>
        <v>6</v>
      </c>
      <c r="U44" s="51"/>
      <c r="V44" s="40"/>
      <c r="W44" s="49">
        <f t="shared" si="3"/>
        <v>4.1755062751172849</v>
      </c>
      <c r="X44" s="43">
        <v>3.9235449090182573</v>
      </c>
      <c r="Y44" s="44">
        <v>4.0327006103697007</v>
      </c>
      <c r="Z44" s="44">
        <v>3.943134462440018</v>
      </c>
      <c r="AA44" s="44">
        <v>4.1755062751172849</v>
      </c>
      <c r="AB44" s="44">
        <v>3.8650698075099981</v>
      </c>
      <c r="AC44" s="47">
        <v>3.1324124094556622</v>
      </c>
      <c r="AD44" s="51">
        <f t="shared" si="4"/>
        <v>6</v>
      </c>
      <c r="AE44" s="51"/>
      <c r="AG44" s="102">
        <f t="shared" si="5"/>
        <v>4.3285157663702032</v>
      </c>
      <c r="AH44" s="105">
        <v>4.3285157663702032</v>
      </c>
      <c r="AI44" s="105">
        <v>4.0529038493096463</v>
      </c>
      <c r="AJ44" s="105">
        <v>4.1683686809490217</v>
      </c>
      <c r="AK44" s="40">
        <v>3.7719383006637934</v>
      </c>
      <c r="AL44" s="105">
        <v>3.7498662043218087</v>
      </c>
      <c r="AM44" s="105">
        <v>4.0245255705258778</v>
      </c>
      <c r="AN44" s="103">
        <v>3.7564059798032536</v>
      </c>
      <c r="AO44" s="104">
        <v>6</v>
      </c>
    </row>
    <row r="45" spans="1:41" ht="12.55" x14ac:dyDescent="0.2">
      <c r="B45" s="7"/>
      <c r="C45" s="49"/>
      <c r="D45" s="28"/>
      <c r="E45" s="44"/>
      <c r="F45" s="44"/>
      <c r="G45" s="44"/>
      <c r="H45" s="44"/>
      <c r="I45" s="44"/>
      <c r="J45" s="47"/>
      <c r="K45" s="51"/>
      <c r="L45" s="40"/>
      <c r="M45" s="49"/>
      <c r="N45" s="43"/>
      <c r="O45" s="44"/>
      <c r="P45" s="44"/>
      <c r="Q45" s="44"/>
      <c r="R45" s="44"/>
      <c r="S45" s="47"/>
      <c r="T45" s="51"/>
      <c r="U45" s="51"/>
      <c r="V45" s="40"/>
      <c r="W45" s="49"/>
      <c r="X45" s="43"/>
      <c r="Y45" s="44"/>
      <c r="Z45" s="44"/>
      <c r="AA45" s="44"/>
      <c r="AB45" s="44"/>
      <c r="AC45" s="47"/>
      <c r="AD45" s="51"/>
      <c r="AE45" s="51"/>
      <c r="AG45" s="102"/>
      <c r="AH45" s="105"/>
      <c r="AI45" s="105"/>
      <c r="AJ45" s="105"/>
      <c r="AK45" s="40"/>
      <c r="AL45" s="105"/>
      <c r="AM45" s="105"/>
      <c r="AN45" s="103"/>
      <c r="AO45" s="104"/>
    </row>
    <row r="46" spans="1:41" ht="12.55" x14ac:dyDescent="0.2">
      <c r="A46" s="73"/>
      <c r="B46" s="7" t="s">
        <v>41</v>
      </c>
      <c r="C46" s="49">
        <f t="shared" si="0"/>
        <v>4.9975000000000005</v>
      </c>
      <c r="D46" s="28">
        <v>3.8900523560209428</v>
      </c>
      <c r="E46" s="44">
        <v>3.9168942822286921</v>
      </c>
      <c r="F46" s="44">
        <v>3.9620449829273783</v>
      </c>
      <c r="G46" s="44">
        <v>4.9021342899165736</v>
      </c>
      <c r="H46" s="44">
        <v>4.8974002823524287</v>
      </c>
      <c r="I46" s="44">
        <v>4.9975000000000005</v>
      </c>
      <c r="J46" s="47">
        <v>3.8879723629574441</v>
      </c>
      <c r="K46" s="51">
        <f>_xlfn.RANK.EQ(J46,D46:J46)</f>
        <v>7</v>
      </c>
      <c r="L46" s="40"/>
      <c r="M46" s="49">
        <f t="shared" si="1"/>
        <v>4.2509886483389243</v>
      </c>
      <c r="N46" s="43">
        <v>3.855652385505925</v>
      </c>
      <c r="O46" s="44">
        <v>4.2405844587258974</v>
      </c>
      <c r="P46" s="44">
        <v>4.0149176556896826</v>
      </c>
      <c r="Q46" s="44">
        <v>3.9999347952335862</v>
      </c>
      <c r="R46" s="44">
        <v>4.2509886483389243</v>
      </c>
      <c r="S46" s="47">
        <v>3.8032250891798398</v>
      </c>
      <c r="T46" s="51">
        <f t="shared" si="2"/>
        <v>6</v>
      </c>
      <c r="U46" s="51"/>
      <c r="V46" s="40"/>
      <c r="W46" s="49">
        <f t="shared" si="3"/>
        <v>4.2405844587258974</v>
      </c>
      <c r="X46" s="43">
        <v>3.855652385505925</v>
      </c>
      <c r="Y46" s="44">
        <v>4.2162750210494799</v>
      </c>
      <c r="Z46" s="44">
        <v>4.1215396794565251</v>
      </c>
      <c r="AA46" s="44">
        <v>4.2405844587258974</v>
      </c>
      <c r="AB46" s="44">
        <v>4.1015869913169531</v>
      </c>
      <c r="AC46" s="47"/>
      <c r="AD46" s="51"/>
      <c r="AE46" s="51"/>
      <c r="AG46" s="102">
        <f t="shared" si="5"/>
        <v>4.2805186195713869</v>
      </c>
      <c r="AH46" s="105">
        <v>4.2805186195713869</v>
      </c>
      <c r="AI46" s="105">
        <v>4.1437246599951623</v>
      </c>
      <c r="AJ46" s="105">
        <v>4.1623771088161838</v>
      </c>
      <c r="AK46" s="40">
        <v>3.9936177790659357</v>
      </c>
      <c r="AL46" s="105">
        <v>4.0083655918987198</v>
      </c>
      <c r="AM46" s="105">
        <v>3.9625515707969674</v>
      </c>
      <c r="AN46" s="103">
        <v>3.8231127540371688</v>
      </c>
      <c r="AO46" s="104">
        <v>7</v>
      </c>
    </row>
    <row r="47" spans="1:41" ht="12.55" x14ac:dyDescent="0.2">
      <c r="B47" s="7" t="s">
        <v>42</v>
      </c>
      <c r="C47" s="49">
        <f t="shared" si="0"/>
        <v>4.9720101781170456</v>
      </c>
      <c r="D47" s="28">
        <v>3.4492187500000013</v>
      </c>
      <c r="E47" s="44">
        <v>3.7104632947544998</v>
      </c>
      <c r="F47" s="44">
        <v>3.7927099879887769</v>
      </c>
      <c r="G47" s="44">
        <v>4.7400576851720686</v>
      </c>
      <c r="H47" s="44">
        <v>4.8705012009971673</v>
      </c>
      <c r="I47" s="44">
        <v>4.9720101781170456</v>
      </c>
      <c r="J47" s="47">
        <v>3.7127699576925277</v>
      </c>
      <c r="K47" s="51">
        <f>_xlfn.RANK.EQ(J47,D47:J47)</f>
        <v>5</v>
      </c>
      <c r="L47" s="40"/>
      <c r="M47" s="49">
        <f t="shared" si="1"/>
        <v>4.0781672520176615</v>
      </c>
      <c r="N47" s="43">
        <v>3.5184294556263129</v>
      </c>
      <c r="O47" s="44">
        <v>4.0781672520176615</v>
      </c>
      <c r="P47" s="44">
        <v>3.5229270544510571</v>
      </c>
      <c r="Q47" s="44">
        <v>3.7514964085706879</v>
      </c>
      <c r="R47" s="44">
        <v>3.9271504524908183</v>
      </c>
      <c r="S47" s="47">
        <v>3.4764125810280708</v>
      </c>
      <c r="T47" s="51">
        <f t="shared" si="2"/>
        <v>6</v>
      </c>
      <c r="U47" s="51"/>
      <c r="V47" s="40"/>
      <c r="W47" s="49">
        <f t="shared" si="3"/>
        <v>4.0781672520176615</v>
      </c>
      <c r="X47" s="43">
        <v>3.5184294556263129</v>
      </c>
      <c r="Y47" s="44">
        <v>3.7483560088362928</v>
      </c>
      <c r="Z47" s="44">
        <v>3.893419330134213</v>
      </c>
      <c r="AA47" s="44">
        <v>4.0781672520176615</v>
      </c>
      <c r="AB47" s="44">
        <v>3.7696517902134303</v>
      </c>
      <c r="AC47" s="47">
        <v>3.6121388886854233</v>
      </c>
      <c r="AD47" s="51">
        <f t="shared" si="4"/>
        <v>5</v>
      </c>
      <c r="AE47" s="51"/>
      <c r="AG47" s="102">
        <f t="shared" si="5"/>
        <v>4.1427452624790657</v>
      </c>
      <c r="AH47" s="105">
        <v>4.1427452624790657</v>
      </c>
      <c r="AI47" s="105">
        <v>3.6999102338387106</v>
      </c>
      <c r="AJ47" s="105">
        <v>3.9266657509957521</v>
      </c>
      <c r="AK47" s="40">
        <v>3.7746794059261752</v>
      </c>
      <c r="AL47" s="105">
        <v>3.8714080008945237</v>
      </c>
      <c r="AM47" s="105">
        <v>3.723605423755652</v>
      </c>
      <c r="AN47" s="103">
        <v>3.689582008376374</v>
      </c>
      <c r="AO47" s="104">
        <v>7</v>
      </c>
    </row>
    <row r="48" spans="1:41" ht="12.55" x14ac:dyDescent="0.2">
      <c r="B48" s="7" t="s">
        <v>43</v>
      </c>
      <c r="C48" s="49">
        <f t="shared" si="0"/>
        <v>4.9924050632911383</v>
      </c>
      <c r="D48" s="28">
        <v>3.8484848484848473</v>
      </c>
      <c r="E48" s="44">
        <v>3.7973774627484911</v>
      </c>
      <c r="F48" s="44">
        <v>3.966806723514575</v>
      </c>
      <c r="G48" s="44">
        <v>4.9259880409851426</v>
      </c>
      <c r="H48" s="44">
        <v>4.8916983950176478</v>
      </c>
      <c r="I48" s="44">
        <v>4.9924050632911383</v>
      </c>
      <c r="J48" s="47">
        <v>3.7970455725343579</v>
      </c>
      <c r="K48" s="51">
        <f>_xlfn.RANK.EQ(J48,D48:J48)</f>
        <v>7</v>
      </c>
      <c r="L48" s="40"/>
      <c r="M48" s="49">
        <f t="shared" si="1"/>
        <v>4.1697102349266189</v>
      </c>
      <c r="N48" s="43">
        <v>3.6727026678556447</v>
      </c>
      <c r="O48" s="44">
        <v>4.0340562843884342</v>
      </c>
      <c r="P48" s="44">
        <v>3.9271776951380666</v>
      </c>
      <c r="Q48" s="44">
        <v>3.8238434288083942</v>
      </c>
      <c r="R48" s="44">
        <v>4.1697102349266189</v>
      </c>
      <c r="S48" s="47">
        <v>3.6561924861642061</v>
      </c>
      <c r="T48" s="51">
        <f t="shared" si="2"/>
        <v>6</v>
      </c>
      <c r="U48" s="51"/>
      <c r="V48" s="40"/>
      <c r="W48" s="49">
        <f t="shared" si="3"/>
        <v>4.0340562843884342</v>
      </c>
      <c r="X48" s="43">
        <v>3.6727026678556447</v>
      </c>
      <c r="Y48" s="44">
        <v>3.9932572324933213</v>
      </c>
      <c r="Z48" s="44">
        <v>3.8928236953155597</v>
      </c>
      <c r="AA48" s="44">
        <v>4.0340562843884342</v>
      </c>
      <c r="AB48" s="44">
        <v>4.0110915348564875</v>
      </c>
      <c r="AC48" s="47"/>
      <c r="AD48" s="51"/>
      <c r="AE48" s="51"/>
      <c r="AG48" s="102">
        <f t="shared" si="5"/>
        <v>4.234380560826243</v>
      </c>
      <c r="AH48" s="105">
        <v>4.234380560826243</v>
      </c>
      <c r="AI48" s="105">
        <v>3.9106823918538103</v>
      </c>
      <c r="AJ48" s="105">
        <v>4.0016308072243865</v>
      </c>
      <c r="AK48" s="40">
        <v>3.8745814728589512</v>
      </c>
      <c r="AL48" s="105">
        <v>3.8790237359506152</v>
      </c>
      <c r="AM48" s="105">
        <v>3.7167770805364726</v>
      </c>
      <c r="AN48" s="103">
        <v>3.724780922723181</v>
      </c>
      <c r="AO48" s="104">
        <v>6</v>
      </c>
    </row>
    <row r="49" spans="10:40" x14ac:dyDescent="0.2">
      <c r="T49" s="51"/>
      <c r="U49" s="51"/>
      <c r="AD49" s="51"/>
      <c r="AE49" s="51"/>
    </row>
    <row r="50" spans="10:40" x14ac:dyDescent="0.2">
      <c r="J50" s="47"/>
      <c r="AN50" s="1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B41"/>
  <sheetViews>
    <sheetView zoomScale="83" zoomScaleNormal="83" workbookViewId="0">
      <pane xSplit="2" ySplit="3" topLeftCell="C6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ColWidth="7" defaultRowHeight="12.55" x14ac:dyDescent="0.2"/>
  <cols>
    <col min="1" max="1" width="2.21875" style="11" customWidth="1"/>
    <col min="2" max="2" width="15.44140625" style="35" bestFit="1" customWidth="1"/>
    <col min="3" max="3" width="3.33203125" style="85" bestFit="1" customWidth="1"/>
    <col min="4" max="5" width="4" style="85" bestFit="1" customWidth="1"/>
    <col min="6" max="6" width="4.33203125" style="36" customWidth="1"/>
    <col min="7" max="7" width="3.33203125" style="33" bestFit="1" customWidth="1"/>
    <col min="8" max="9" width="4" style="33" bestFit="1" customWidth="1"/>
    <col min="10" max="10" width="5.5546875" style="36" bestFit="1" customWidth="1"/>
    <col min="11" max="11" width="1.6640625" style="36" bestFit="1" customWidth="1"/>
    <col min="12" max="12" width="4.33203125" style="36" customWidth="1"/>
    <col min="13" max="13" width="3.33203125" style="33" bestFit="1" customWidth="1"/>
    <col min="14" max="15" width="4" style="33" bestFit="1" customWidth="1"/>
    <col min="16" max="16" width="5.33203125" style="36" bestFit="1" customWidth="1"/>
    <col min="17" max="17" width="1.6640625" style="36" bestFit="1" customWidth="1"/>
    <col min="18" max="18" width="4.109375" style="36" customWidth="1"/>
    <col min="19" max="19" width="4" style="37" bestFit="1" customWidth="1"/>
    <col min="20" max="21" width="4.44140625" style="37" bestFit="1" customWidth="1"/>
    <col min="22" max="22" width="5.33203125" style="37" bestFit="1" customWidth="1"/>
    <col min="23" max="23" width="1.6640625" style="37" bestFit="1" customWidth="1"/>
    <col min="24" max="24" width="4.21875" style="37" customWidth="1"/>
    <col min="25" max="25" width="4" style="36" bestFit="1" customWidth="1"/>
    <col min="26" max="27" width="4.44140625" style="36" bestFit="1" customWidth="1"/>
    <col min="28" max="28" width="5.33203125" style="36" bestFit="1" customWidth="1"/>
    <col min="29" max="29" width="1.6640625" style="36" bestFit="1" customWidth="1"/>
    <col min="30" max="30" width="4.44140625" style="74" customWidth="1"/>
    <col min="31" max="31" width="3.109375" style="85" bestFit="1" customWidth="1"/>
    <col min="32" max="33" width="4" style="85" bestFit="1" customWidth="1"/>
    <col min="34" max="34" width="3.77734375" style="33" customWidth="1"/>
    <col min="35" max="35" width="3.109375" style="33" bestFit="1" customWidth="1"/>
    <col min="36" max="37" width="4" style="33" bestFit="1" customWidth="1"/>
    <col min="38" max="38" width="5.33203125" style="37" bestFit="1" customWidth="1"/>
    <col min="39" max="39" width="1.6640625" style="37" bestFit="1" customWidth="1"/>
    <col min="40" max="40" width="3.77734375" style="33" customWidth="1"/>
    <col min="41" max="41" width="3.33203125" style="33" bestFit="1" customWidth="1"/>
    <col min="42" max="43" width="4" style="33" bestFit="1" customWidth="1"/>
    <col min="44" max="44" width="5.33203125" style="37" bestFit="1" customWidth="1"/>
    <col min="45" max="45" width="1.6640625" style="37" bestFit="1" customWidth="1"/>
    <col min="46" max="46" width="3.33203125" style="36" customWidth="1"/>
    <col min="47" max="47" width="4" style="37" bestFit="1" customWidth="1"/>
    <col min="48" max="49" width="4.44140625" style="37" bestFit="1" customWidth="1"/>
    <col min="50" max="50" width="5.33203125" style="37" bestFit="1" customWidth="1"/>
    <col min="51" max="51" width="1.6640625" style="37" bestFit="1" customWidth="1"/>
    <col min="52" max="52" width="3.77734375" style="37" customWidth="1"/>
    <col min="53" max="53" width="3.21875" style="36" bestFit="1" customWidth="1"/>
    <col min="54" max="54" width="4.33203125" style="36" bestFit="1" customWidth="1"/>
    <col min="55" max="55" width="5.21875" style="36" bestFit="1" customWidth="1"/>
    <col min="56" max="56" width="4.6640625" style="36" bestFit="1" customWidth="1"/>
    <col min="57" max="57" width="1.6640625" style="36" bestFit="1" customWidth="1"/>
    <col min="58" max="58" width="4.44140625" style="74" customWidth="1"/>
    <col min="59" max="59" width="3.88671875" style="85" bestFit="1" customWidth="1"/>
    <col min="60" max="61" width="4" style="85" bestFit="1" customWidth="1"/>
    <col min="62" max="62" width="4.21875" style="36" customWidth="1"/>
    <col min="63" max="63" width="3.44140625" style="33" bestFit="1" customWidth="1"/>
    <col min="64" max="65" width="3.88671875" style="33" bestFit="1" customWidth="1"/>
    <col min="66" max="66" width="5.21875" style="37" bestFit="1" customWidth="1"/>
    <col min="67" max="67" width="1.6640625" style="37" bestFit="1" customWidth="1"/>
    <col min="68" max="68" width="4.21875" style="36" customWidth="1"/>
    <col min="69" max="69" width="3.44140625" style="33" bestFit="1" customWidth="1"/>
    <col min="70" max="71" width="3.88671875" style="33" bestFit="1" customWidth="1"/>
    <col min="72" max="72" width="5.21875" style="37" bestFit="1" customWidth="1"/>
    <col min="73" max="73" width="1.6640625" style="37" bestFit="1" customWidth="1"/>
    <col min="74" max="74" width="4.109375" style="37" customWidth="1"/>
    <col min="75" max="75" width="3.88671875" style="37" bestFit="1" customWidth="1"/>
    <col min="76" max="77" width="4.33203125" style="37" bestFit="1" customWidth="1"/>
    <col min="78" max="78" width="5.21875" style="37" bestFit="1" customWidth="1"/>
    <col min="79" max="79" width="1.6640625" style="37" bestFit="1" customWidth="1"/>
    <col min="80" max="80" width="3.77734375" style="37" customWidth="1"/>
    <col min="81" max="81" width="3.88671875" style="36" bestFit="1" customWidth="1"/>
    <col min="82" max="83" width="4.33203125" style="36" bestFit="1" customWidth="1"/>
    <col min="84" max="84" width="5" style="36" bestFit="1" customWidth="1"/>
    <col min="85" max="85" width="1.6640625" style="36" bestFit="1" customWidth="1"/>
    <col min="86" max="86" width="4.44140625" style="74" customWidth="1"/>
    <col min="87" max="87" width="3.44140625" style="85" bestFit="1" customWidth="1"/>
    <col min="88" max="89" width="3.88671875" style="85" bestFit="1" customWidth="1"/>
    <col min="90" max="90" width="3.88671875" style="33" customWidth="1"/>
    <col min="91" max="91" width="3.44140625" style="33" bestFit="1" customWidth="1"/>
    <col min="92" max="93" width="3.88671875" style="33" bestFit="1" customWidth="1"/>
    <col min="94" max="94" width="5.21875" style="37" bestFit="1" customWidth="1"/>
    <col min="95" max="95" width="1.6640625" style="37" bestFit="1" customWidth="1"/>
    <col min="96" max="96" width="4.109375" style="36" customWidth="1"/>
    <col min="97" max="97" width="3.44140625" style="33" bestFit="1" customWidth="1"/>
    <col min="98" max="99" width="3.88671875" style="33" bestFit="1" customWidth="1"/>
    <col min="100" max="100" width="5.21875" style="37" bestFit="1" customWidth="1"/>
    <col min="101" max="101" width="1.6640625" style="37" bestFit="1" customWidth="1"/>
    <col min="102" max="102" width="3.44140625" style="36" customWidth="1"/>
    <col min="103" max="103" width="3.88671875" style="37" bestFit="1" customWidth="1"/>
    <col min="104" max="105" width="4.33203125" style="37" bestFit="1" customWidth="1"/>
    <col min="106" max="106" width="5.21875" style="37" bestFit="1" customWidth="1"/>
    <col min="107" max="107" width="1.6640625" style="37" bestFit="1" customWidth="1"/>
    <col min="108" max="108" width="4.33203125" style="37" customWidth="1"/>
    <col min="109" max="109" width="3.88671875" style="36" bestFit="1" customWidth="1"/>
    <col min="110" max="111" width="4.33203125" style="36" bestFit="1" customWidth="1"/>
    <col min="112" max="112" width="5" style="37" bestFit="1" customWidth="1"/>
    <col min="113" max="113" width="1.6640625" style="37" bestFit="1" customWidth="1"/>
    <col min="114" max="114" width="4.44140625" style="74" customWidth="1"/>
    <col min="115" max="115" width="3.33203125" style="85" bestFit="1" customWidth="1"/>
    <col min="116" max="116" width="3.88671875" style="85" bestFit="1" customWidth="1"/>
    <col min="117" max="117" width="4.6640625" style="85" bestFit="1" customWidth="1"/>
    <col min="118" max="118" width="4.5546875" style="36" customWidth="1"/>
    <col min="119" max="119" width="3" style="33" bestFit="1" customWidth="1"/>
    <col min="120" max="120" width="3.88671875" style="33" bestFit="1" customWidth="1"/>
    <col min="121" max="121" width="4.6640625" style="33" bestFit="1" customWidth="1"/>
    <col min="122" max="122" width="5.21875" style="36" bestFit="1" customWidth="1"/>
    <col min="123" max="123" width="1.6640625" style="36" bestFit="1" customWidth="1"/>
    <col min="124" max="124" width="4.5546875" style="36" customWidth="1"/>
    <col min="125" max="125" width="3.21875" style="33" bestFit="1" customWidth="1"/>
    <col min="126" max="126" width="3.88671875" style="33" bestFit="1" customWidth="1"/>
    <col min="127" max="127" width="4.44140625" style="33" bestFit="1" customWidth="1"/>
    <col min="128" max="128" width="5.21875" style="36" bestFit="1" customWidth="1"/>
    <col min="129" max="129" width="1.6640625" style="36" bestFit="1" customWidth="1"/>
    <col min="130" max="130" width="4.77734375" style="36" customWidth="1"/>
    <col min="131" max="131" width="3.21875" style="37" bestFit="1" customWidth="1"/>
    <col min="132" max="133" width="4.33203125" style="37" bestFit="1" customWidth="1"/>
    <col min="134" max="134" width="5.21875" style="37" bestFit="1" customWidth="1"/>
    <col min="135" max="135" width="1.6640625" style="37" bestFit="1" customWidth="1"/>
    <col min="136" max="136" width="4.21875" style="37" customWidth="1"/>
    <col min="137" max="137" width="3.21875" style="36" bestFit="1" customWidth="1"/>
    <col min="138" max="139" width="4.33203125" style="36" bestFit="1" customWidth="1"/>
    <col min="140" max="140" width="5.21875" style="36" bestFit="1" customWidth="1"/>
    <col min="141" max="141" width="1.6640625" style="36" bestFit="1" customWidth="1"/>
    <col min="142" max="142" width="4.44140625" style="74" customWidth="1"/>
    <col min="143" max="143" width="3.21875" style="85" bestFit="1" customWidth="1"/>
    <col min="144" max="145" width="3.88671875" style="85" bestFit="1" customWidth="1"/>
    <col min="146" max="146" width="4" style="36" customWidth="1"/>
    <col min="147" max="147" width="3.21875" style="33" bestFit="1" customWidth="1"/>
    <col min="148" max="149" width="3.88671875" style="33" bestFit="1" customWidth="1"/>
    <col min="150" max="150" width="5.21875" style="36" bestFit="1" customWidth="1"/>
    <col min="151" max="151" width="1.6640625" style="36" bestFit="1" customWidth="1"/>
    <col min="152" max="152" width="4" style="36" customWidth="1"/>
    <col min="153" max="153" width="3.21875" style="33" bestFit="1" customWidth="1"/>
    <col min="154" max="155" width="3.88671875" style="33" bestFit="1" customWidth="1"/>
    <col min="156" max="156" width="5.21875" style="36" bestFit="1" customWidth="1"/>
    <col min="157" max="157" width="1.6640625" style="36" bestFit="1" customWidth="1"/>
    <col min="158" max="158" width="4" style="36" customWidth="1"/>
    <col min="159" max="159" width="3.88671875" style="37" bestFit="1" customWidth="1"/>
    <col min="160" max="161" width="4.33203125" style="37" bestFit="1" customWidth="1"/>
    <col min="162" max="162" width="5.21875" style="37" bestFit="1" customWidth="1"/>
    <col min="163" max="163" width="1.6640625" style="37" bestFit="1" customWidth="1"/>
    <col min="164" max="164" width="5.21875" style="37" customWidth="1"/>
    <col min="165" max="165" width="3.88671875" style="36" bestFit="1" customWidth="1"/>
    <col min="166" max="167" width="4.33203125" style="36" bestFit="1" customWidth="1"/>
    <col min="168" max="168" width="5.21875" style="36" bestFit="1" customWidth="1"/>
    <col min="169" max="169" width="1.6640625" style="36" bestFit="1" customWidth="1"/>
    <col min="170" max="170" width="4.44140625" style="74" customWidth="1"/>
    <col min="171" max="171" width="3.21875" style="85" bestFit="1" customWidth="1"/>
    <col min="172" max="173" width="3.88671875" style="85" bestFit="1" customWidth="1"/>
    <col min="174" max="174" width="3.77734375" style="33" customWidth="1"/>
    <col min="175" max="175" width="3.21875" style="33" bestFit="1" customWidth="1"/>
    <col min="176" max="177" width="3.88671875" style="33" bestFit="1" customWidth="1"/>
    <col min="178" max="178" width="5.21875" style="37" bestFit="1" customWidth="1"/>
    <col min="179" max="179" width="1.6640625" style="37" bestFit="1" customWidth="1"/>
    <col min="180" max="180" width="3.77734375" style="33" customWidth="1"/>
    <col min="181" max="181" width="3.44140625" style="33" bestFit="1" customWidth="1"/>
    <col min="182" max="183" width="3.88671875" style="33" bestFit="1" customWidth="1"/>
    <col min="184" max="184" width="5.21875" style="37" bestFit="1" customWidth="1"/>
    <col min="185" max="185" width="1.6640625" style="37" bestFit="1" customWidth="1"/>
    <col min="186" max="186" width="4.109375" style="36" customWidth="1"/>
    <col min="187" max="187" width="3.88671875" style="37" bestFit="1" customWidth="1"/>
    <col min="188" max="189" width="4.33203125" style="37" bestFit="1" customWidth="1"/>
    <col min="190" max="190" width="5.21875" style="37" bestFit="1" customWidth="1"/>
    <col min="191" max="191" width="1.6640625" style="37" bestFit="1" customWidth="1"/>
    <col min="192" max="192" width="4.77734375" style="37" customWidth="1"/>
    <col min="193" max="193" width="3.88671875" style="36" bestFit="1" customWidth="1"/>
    <col min="194" max="195" width="4.33203125" style="36" bestFit="1" customWidth="1"/>
    <col min="196" max="196" width="5.21875" style="36" bestFit="1" customWidth="1"/>
    <col min="197" max="197" width="1.6640625" style="36" bestFit="1" customWidth="1"/>
    <col min="198" max="198" width="4.44140625" style="74" customWidth="1"/>
    <col min="199" max="199" width="3.21875" style="85" bestFit="1" customWidth="1"/>
    <col min="200" max="201" width="3.88671875" style="85" bestFit="1" customWidth="1"/>
    <col min="202" max="202" width="4.77734375" style="36" customWidth="1"/>
    <col min="203" max="203" width="3.21875" style="33" bestFit="1" customWidth="1"/>
    <col min="204" max="205" width="3.88671875" style="33" bestFit="1" customWidth="1"/>
    <col min="206" max="206" width="5.21875" style="37" bestFit="1" customWidth="1"/>
    <col min="207" max="207" width="1.6640625" style="37" bestFit="1" customWidth="1"/>
    <col min="208" max="208" width="4.77734375" style="36" customWidth="1"/>
    <col min="209" max="209" width="3.21875" style="33" bestFit="1" customWidth="1"/>
    <col min="210" max="211" width="3.88671875" style="33" bestFit="1" customWidth="1"/>
    <col min="212" max="212" width="5.21875" style="37" bestFit="1" customWidth="1"/>
    <col min="213" max="213" width="1.6640625" style="37" bestFit="1" customWidth="1"/>
    <col min="214" max="214" width="4.77734375" style="36" customWidth="1"/>
    <col min="215" max="215" width="3.21875" style="37" bestFit="1" customWidth="1"/>
    <col min="216" max="217" width="4.33203125" style="37" bestFit="1" customWidth="1"/>
    <col min="218" max="218" width="5.21875" style="37" bestFit="1" customWidth="1"/>
    <col min="219" max="219" width="1.6640625" style="37" bestFit="1" customWidth="1"/>
    <col min="220" max="220" width="5.6640625" style="37" customWidth="1"/>
    <col min="221" max="221" width="3.88671875" style="36" bestFit="1" customWidth="1"/>
    <col min="222" max="223" width="4.33203125" style="36" bestFit="1" customWidth="1"/>
    <col min="224" max="224" width="5.21875" style="36" bestFit="1" customWidth="1"/>
    <col min="225" max="225" width="1.6640625" style="36" bestFit="1" customWidth="1"/>
    <col min="226" max="226" width="4.44140625" style="74" customWidth="1"/>
    <col min="227" max="227" width="3.44140625" style="85" bestFit="1" customWidth="1"/>
    <col min="228" max="229" width="3.88671875" style="85" bestFit="1" customWidth="1"/>
    <col min="230" max="230" width="4.88671875" style="36" customWidth="1"/>
    <col min="231" max="231" width="3.44140625" style="33" bestFit="1" customWidth="1"/>
    <col min="232" max="233" width="3.88671875" style="33" bestFit="1" customWidth="1"/>
    <col min="234" max="234" width="5.21875" style="37" bestFit="1" customWidth="1"/>
    <col min="235" max="235" width="1.6640625" style="37" bestFit="1" customWidth="1"/>
    <col min="236" max="236" width="4.88671875" style="36" customWidth="1"/>
    <col min="237" max="237" width="3.44140625" style="33" bestFit="1" customWidth="1"/>
    <col min="238" max="239" width="3.88671875" style="33" bestFit="1" customWidth="1"/>
    <col min="240" max="240" width="5.21875" style="37" bestFit="1" customWidth="1"/>
    <col min="241" max="241" width="1.6640625" style="37" bestFit="1" customWidth="1"/>
    <col min="242" max="242" width="4.88671875" style="36" customWidth="1"/>
    <col min="243" max="243" width="3.88671875" style="37" bestFit="1" customWidth="1"/>
    <col min="244" max="245" width="4.33203125" style="37" bestFit="1" customWidth="1"/>
    <col min="246" max="246" width="5.21875" style="37" bestFit="1" customWidth="1"/>
    <col min="247" max="247" width="1.6640625" style="37" bestFit="1" customWidth="1"/>
    <col min="248" max="248" width="5.33203125" style="37" customWidth="1"/>
    <col min="249" max="249" width="3.88671875" style="36" bestFit="1" customWidth="1"/>
    <col min="250" max="251" width="4.33203125" style="36" bestFit="1" customWidth="1"/>
    <col min="252" max="252" width="5.21875" style="36" bestFit="1" customWidth="1"/>
    <col min="253" max="253" width="1.6640625" style="36" bestFit="1" customWidth="1"/>
    <col min="254" max="254" width="4.44140625" style="74" customWidth="1"/>
    <col min="255" max="255" width="4.109375" style="85" bestFit="1" customWidth="1"/>
    <col min="256" max="256" width="3.88671875" style="85" bestFit="1" customWidth="1"/>
    <col min="257" max="257" width="4.6640625" style="85" bestFit="1" customWidth="1"/>
    <col min="258" max="258" width="5" style="36" customWidth="1"/>
    <col min="259" max="259" width="4.109375" style="33" bestFit="1" customWidth="1"/>
    <col min="260" max="260" width="3.88671875" style="33" bestFit="1" customWidth="1"/>
    <col min="261" max="261" width="4.6640625" style="33" bestFit="1" customWidth="1"/>
    <col min="262" max="262" width="5.21875" style="37" bestFit="1" customWidth="1"/>
    <col min="263" max="263" width="1.33203125" style="37" bestFit="1" customWidth="1"/>
    <col min="264" max="264" width="5" style="36" customWidth="1"/>
    <col min="265" max="265" width="4.109375" style="33" bestFit="1" customWidth="1"/>
    <col min="266" max="266" width="3.88671875" style="33" bestFit="1" customWidth="1"/>
    <col min="267" max="267" width="4.6640625" style="33" bestFit="1" customWidth="1"/>
    <col min="268" max="268" width="5.21875" style="37" bestFit="1" customWidth="1"/>
    <col min="269" max="269" width="1.33203125" style="37" bestFit="1" customWidth="1"/>
    <col min="270" max="270" width="5" style="36" customWidth="1"/>
    <col min="271" max="271" width="3.88671875" style="37" bestFit="1" customWidth="1"/>
    <col min="272" max="272" width="4.33203125" style="37" bestFit="1" customWidth="1"/>
    <col min="273" max="274" width="5.21875" style="37" bestFit="1" customWidth="1"/>
    <col min="275" max="275" width="1.33203125" style="37" bestFit="1" customWidth="1"/>
    <col min="276" max="276" width="4.44140625" style="37" customWidth="1"/>
    <col min="277" max="277" width="3.88671875" style="36" bestFit="1" customWidth="1"/>
    <col min="278" max="279" width="4.33203125" style="36" bestFit="1" customWidth="1"/>
    <col min="280" max="280" width="5" style="36" bestFit="1" customWidth="1"/>
    <col min="281" max="281" width="1.6640625" style="36" bestFit="1" customWidth="1"/>
    <col min="282" max="282" width="4.44140625" style="74" customWidth="1"/>
    <col min="283" max="283" width="4.109375" style="85" customWidth="1"/>
    <col min="284" max="285" width="3.88671875" style="85" bestFit="1" customWidth="1"/>
    <col min="286" max="286" width="4.6640625" style="36" customWidth="1"/>
    <col min="287" max="287" width="4.109375" style="33" customWidth="1"/>
    <col min="288" max="289" width="3.88671875" style="33" bestFit="1" customWidth="1"/>
    <col min="290" max="290" width="5.21875" style="37" bestFit="1" customWidth="1"/>
    <col min="291" max="291" width="1.6640625" style="37" bestFit="1" customWidth="1"/>
    <col min="292" max="292" width="4.6640625" style="36" customWidth="1"/>
    <col min="293" max="293" width="4.109375" style="33" bestFit="1" customWidth="1"/>
    <col min="294" max="295" width="3.88671875" style="33" bestFit="1" customWidth="1"/>
    <col min="296" max="296" width="5.21875" style="37" bestFit="1" customWidth="1"/>
    <col min="297" max="297" width="1.6640625" style="37" bestFit="1" customWidth="1"/>
    <col min="298" max="298" width="4.6640625" style="36" customWidth="1"/>
    <col min="299" max="299" width="4" style="37" bestFit="1" customWidth="1"/>
    <col min="300" max="301" width="4.33203125" style="37" bestFit="1" customWidth="1"/>
    <col min="302" max="302" width="5.21875" style="37" bestFit="1" customWidth="1"/>
    <col min="303" max="303" width="1.6640625" style="37" bestFit="1" customWidth="1"/>
    <col min="304" max="304" width="5.109375" style="37" customWidth="1"/>
    <col min="305" max="305" width="4" style="36" bestFit="1" customWidth="1"/>
    <col min="306" max="307" width="4.33203125" style="36" bestFit="1" customWidth="1"/>
    <col min="308" max="308" width="5.21875" style="36" bestFit="1" customWidth="1"/>
    <col min="309" max="309" width="1.6640625" style="36" bestFit="1" customWidth="1"/>
    <col min="310" max="310" width="4.44140625" style="74" customWidth="1"/>
    <col min="311" max="311" width="4.109375" style="85" bestFit="1" customWidth="1"/>
    <col min="312" max="313" width="3.88671875" style="85" bestFit="1" customWidth="1"/>
    <col min="314" max="314" width="4.21875" style="36" customWidth="1"/>
    <col min="315" max="315" width="4.109375" style="33" bestFit="1" customWidth="1"/>
    <col min="316" max="317" width="3.88671875" style="33" bestFit="1" customWidth="1"/>
    <col min="318" max="318" width="5.21875" style="37" bestFit="1" customWidth="1"/>
    <col min="319" max="319" width="1.6640625" style="37" bestFit="1" customWidth="1"/>
    <col min="320" max="320" width="4.21875" style="36" customWidth="1"/>
    <col min="321" max="321" width="4.109375" style="33" bestFit="1" customWidth="1"/>
    <col min="322" max="323" width="3.88671875" style="33" bestFit="1" customWidth="1"/>
    <col min="324" max="324" width="5.21875" style="37" bestFit="1" customWidth="1"/>
    <col min="325" max="325" width="1.6640625" style="37" bestFit="1" customWidth="1"/>
    <col min="326" max="326" width="4.21875" style="36" customWidth="1"/>
    <col min="327" max="327" width="4.109375" style="37" bestFit="1" customWidth="1"/>
    <col min="328" max="329" width="4.33203125" style="37" bestFit="1" customWidth="1"/>
    <col min="330" max="330" width="5.21875" style="37" bestFit="1" customWidth="1"/>
    <col min="331" max="331" width="1.6640625" style="37" bestFit="1" customWidth="1"/>
    <col min="332" max="332" width="5.33203125" style="37" customWidth="1"/>
    <col min="333" max="333" width="4.109375" style="36" bestFit="1" customWidth="1"/>
    <col min="334" max="335" width="4.33203125" style="36" bestFit="1" customWidth="1"/>
    <col min="336" max="336" width="5.21875" style="36" bestFit="1" customWidth="1"/>
    <col min="337" max="337" width="1.6640625" style="36" bestFit="1" customWidth="1"/>
    <col min="338" max="338" width="4.44140625" style="74" customWidth="1"/>
    <col min="339" max="339" width="4.109375" style="85" bestFit="1" customWidth="1"/>
    <col min="340" max="341" width="3.88671875" style="85" bestFit="1" customWidth="1"/>
    <col min="342" max="342" width="4.33203125" style="36" customWidth="1"/>
    <col min="343" max="343" width="4.109375" style="33" bestFit="1" customWidth="1"/>
    <col min="344" max="345" width="3.88671875" style="33" bestFit="1" customWidth="1"/>
    <col min="346" max="346" width="5.21875" style="37" bestFit="1" customWidth="1"/>
    <col min="347" max="347" width="1.6640625" style="37" bestFit="1" customWidth="1"/>
    <col min="348" max="348" width="4.33203125" style="36" customWidth="1"/>
    <col min="349" max="349" width="4.109375" style="33" bestFit="1" customWidth="1"/>
    <col min="350" max="351" width="3.88671875" style="33" bestFit="1" customWidth="1"/>
    <col min="352" max="352" width="5.21875" style="37" bestFit="1" customWidth="1"/>
    <col min="353" max="353" width="1.6640625" style="37" bestFit="1" customWidth="1"/>
    <col min="354" max="354" width="4.33203125" style="36" customWidth="1"/>
    <col min="355" max="355" width="4.109375" style="37" bestFit="1" customWidth="1"/>
    <col min="356" max="357" width="4.33203125" style="37" bestFit="1" customWidth="1"/>
    <col min="358" max="358" width="5.21875" style="37" bestFit="1" customWidth="1"/>
    <col min="359" max="359" width="1.6640625" style="37" bestFit="1" customWidth="1"/>
    <col min="360" max="360" width="4" style="37" customWidth="1"/>
    <col min="361" max="361" width="4.109375" style="36" bestFit="1" customWidth="1"/>
    <col min="362" max="363" width="4.33203125" style="36" bestFit="1" customWidth="1"/>
    <col min="364" max="364" width="5.21875" style="36" bestFit="1" customWidth="1"/>
    <col min="365" max="365" width="1.6640625" style="36" bestFit="1" customWidth="1"/>
    <col min="366" max="366" width="6.21875" style="36" customWidth="1"/>
    <col min="367" max="16384" width="7" style="36"/>
  </cols>
  <sheetData>
    <row r="1" spans="1:366" s="109" customFormat="1" x14ac:dyDescent="0.2">
      <c r="A1" s="2"/>
      <c r="B1" s="107"/>
      <c r="C1" s="91" t="s">
        <v>137</v>
      </c>
      <c r="D1" s="108"/>
      <c r="E1" s="108"/>
      <c r="G1" s="91" t="s">
        <v>155</v>
      </c>
      <c r="H1" s="108"/>
      <c r="I1" s="108"/>
      <c r="M1" s="91" t="s">
        <v>141</v>
      </c>
      <c r="N1" s="108"/>
      <c r="O1" s="108"/>
      <c r="S1" s="110" t="s">
        <v>138</v>
      </c>
      <c r="T1" s="110"/>
      <c r="U1" s="110"/>
      <c r="V1" s="110"/>
      <c r="W1" s="110"/>
      <c r="X1" s="110"/>
      <c r="Y1" s="109" t="s">
        <v>137</v>
      </c>
      <c r="AD1" s="111"/>
      <c r="AE1" s="91" t="s">
        <v>137</v>
      </c>
      <c r="AF1" s="108"/>
      <c r="AG1" s="108"/>
      <c r="AH1" s="108"/>
      <c r="AI1" s="91" t="s">
        <v>155</v>
      </c>
      <c r="AJ1" s="108"/>
      <c r="AK1" s="108"/>
      <c r="AL1" s="110"/>
      <c r="AM1" s="110"/>
      <c r="AN1" s="108"/>
      <c r="AO1" s="91" t="s">
        <v>141</v>
      </c>
      <c r="AP1" s="108"/>
      <c r="AQ1" s="108"/>
      <c r="AR1" s="110"/>
      <c r="AS1" s="110"/>
      <c r="AU1" s="110" t="s">
        <v>138</v>
      </c>
      <c r="AV1" s="110"/>
      <c r="AW1" s="110"/>
      <c r="AX1" s="110"/>
      <c r="AY1" s="110"/>
      <c r="AZ1" s="110"/>
      <c r="BA1" s="109" t="s">
        <v>137</v>
      </c>
      <c r="BF1" s="111"/>
      <c r="BG1" s="91" t="s">
        <v>137</v>
      </c>
      <c r="BH1" s="108"/>
      <c r="BI1" s="108"/>
      <c r="BK1" s="91" t="s">
        <v>155</v>
      </c>
      <c r="BL1" s="108"/>
      <c r="BM1" s="108"/>
      <c r="BN1" s="110"/>
      <c r="BO1" s="110"/>
      <c r="BQ1" s="91" t="s">
        <v>141</v>
      </c>
      <c r="BR1" s="108"/>
      <c r="BS1" s="108"/>
      <c r="BT1" s="110"/>
      <c r="BU1" s="110"/>
      <c r="BV1" s="110"/>
      <c r="BW1" s="110" t="s">
        <v>138</v>
      </c>
      <c r="BX1" s="110"/>
      <c r="BY1" s="110"/>
      <c r="BZ1" s="110"/>
      <c r="CA1" s="110"/>
      <c r="CB1" s="110"/>
      <c r="CC1" s="109" t="s">
        <v>137</v>
      </c>
      <c r="CH1" s="111"/>
      <c r="CI1" s="91" t="s">
        <v>137</v>
      </c>
      <c r="CJ1" s="108"/>
      <c r="CK1" s="108"/>
      <c r="CL1" s="108"/>
      <c r="CM1" s="91" t="s">
        <v>155</v>
      </c>
      <c r="CN1" s="108"/>
      <c r="CO1" s="108"/>
      <c r="CP1" s="110"/>
      <c r="CQ1" s="110"/>
      <c r="CS1" s="91" t="s">
        <v>141</v>
      </c>
      <c r="CT1" s="108"/>
      <c r="CU1" s="108"/>
      <c r="CV1" s="110"/>
      <c r="CW1" s="110"/>
      <c r="CY1" s="110" t="s">
        <v>138</v>
      </c>
      <c r="CZ1" s="110"/>
      <c r="DA1" s="110"/>
      <c r="DB1" s="110"/>
      <c r="DC1" s="110"/>
      <c r="DD1" s="110"/>
      <c r="DE1" s="109" t="s">
        <v>137</v>
      </c>
      <c r="DH1" s="110"/>
      <c r="DI1" s="110"/>
      <c r="DJ1" s="111"/>
      <c r="DK1" s="91" t="s">
        <v>137</v>
      </c>
      <c r="DL1" s="108"/>
      <c r="DM1" s="108"/>
      <c r="DO1" s="110" t="s">
        <v>155</v>
      </c>
      <c r="DP1" s="108"/>
      <c r="DQ1" s="108"/>
      <c r="DU1" s="110" t="s">
        <v>141</v>
      </c>
      <c r="DV1" s="108"/>
      <c r="DW1" s="108"/>
      <c r="EA1" s="110" t="s">
        <v>138</v>
      </c>
      <c r="EB1" s="110"/>
      <c r="EC1" s="110"/>
      <c r="ED1" s="110"/>
      <c r="EE1" s="110"/>
      <c r="EF1" s="110"/>
      <c r="EG1" s="109" t="s">
        <v>137</v>
      </c>
      <c r="EL1" s="111"/>
      <c r="EM1" s="91" t="s">
        <v>137</v>
      </c>
      <c r="EN1" s="108"/>
      <c r="EO1" s="108"/>
      <c r="EQ1" s="91" t="s">
        <v>155</v>
      </c>
      <c r="ER1" s="108"/>
      <c r="ES1" s="108"/>
      <c r="EW1" s="91" t="s">
        <v>141</v>
      </c>
      <c r="EX1" s="108"/>
      <c r="EY1" s="108"/>
      <c r="FC1" s="110" t="s">
        <v>138</v>
      </c>
      <c r="FD1" s="110"/>
      <c r="FE1" s="110"/>
      <c r="FF1" s="110"/>
      <c r="FG1" s="110"/>
      <c r="FH1" s="110"/>
      <c r="FI1" s="109" t="s">
        <v>137</v>
      </c>
      <c r="FN1" s="111"/>
      <c r="FO1" s="91" t="s">
        <v>137</v>
      </c>
      <c r="FP1" s="108"/>
      <c r="FQ1" s="108"/>
      <c r="FR1" s="108"/>
      <c r="FS1" s="110" t="s">
        <v>155</v>
      </c>
      <c r="FT1" s="108"/>
      <c r="FU1" s="108"/>
      <c r="FV1" s="110"/>
      <c r="FW1" s="110"/>
      <c r="FX1" s="108"/>
      <c r="FY1" s="110" t="s">
        <v>141</v>
      </c>
      <c r="FZ1" s="108"/>
      <c r="GA1" s="108"/>
      <c r="GB1" s="110"/>
      <c r="GC1" s="110"/>
      <c r="GE1" s="110" t="s">
        <v>138</v>
      </c>
      <c r="GF1" s="110"/>
      <c r="GG1" s="110"/>
      <c r="GH1" s="110"/>
      <c r="GI1" s="110"/>
      <c r="GJ1" s="110"/>
      <c r="GK1" s="109" t="s">
        <v>137</v>
      </c>
      <c r="GP1" s="111"/>
      <c r="GQ1" s="91" t="s">
        <v>137</v>
      </c>
      <c r="GR1" s="108"/>
      <c r="GS1" s="108"/>
      <c r="GU1" s="91" t="s">
        <v>155</v>
      </c>
      <c r="GV1" s="108"/>
      <c r="GW1" s="108"/>
      <c r="GX1" s="110"/>
      <c r="GY1" s="110"/>
      <c r="HA1" s="91" t="s">
        <v>141</v>
      </c>
      <c r="HB1" s="108"/>
      <c r="HC1" s="108"/>
      <c r="HD1" s="110"/>
      <c r="HE1" s="110"/>
      <c r="HG1" s="110" t="s">
        <v>138</v>
      </c>
      <c r="HH1" s="110" t="s">
        <v>136</v>
      </c>
      <c r="HI1" s="110"/>
      <c r="HJ1" s="110"/>
      <c r="HK1" s="110"/>
      <c r="HL1" s="110"/>
      <c r="HM1" s="109" t="s">
        <v>137</v>
      </c>
      <c r="HR1" s="111"/>
      <c r="HS1" s="91" t="s">
        <v>137</v>
      </c>
      <c r="HT1" s="108"/>
      <c r="HU1" s="108"/>
      <c r="HW1" s="110" t="s">
        <v>155</v>
      </c>
      <c r="HX1" s="108"/>
      <c r="HY1" s="108"/>
      <c r="HZ1" s="110"/>
      <c r="IA1" s="110"/>
      <c r="IC1" s="91" t="s">
        <v>141</v>
      </c>
      <c r="ID1" s="108"/>
      <c r="IE1" s="108"/>
      <c r="IF1" s="110"/>
      <c r="IG1" s="110"/>
      <c r="II1" s="110" t="s">
        <v>138</v>
      </c>
      <c r="IJ1" s="110"/>
      <c r="IK1" s="110"/>
      <c r="IL1" s="110"/>
      <c r="IM1" s="110"/>
      <c r="IN1" s="110"/>
      <c r="IO1" s="109" t="s">
        <v>137</v>
      </c>
      <c r="IT1" s="111"/>
      <c r="IU1" s="91" t="s">
        <v>137</v>
      </c>
      <c r="IV1" s="108"/>
      <c r="IW1" s="108"/>
      <c r="IY1" s="91" t="s">
        <v>155</v>
      </c>
      <c r="IZ1" s="108"/>
      <c r="JA1" s="108"/>
      <c r="JB1" s="110"/>
      <c r="JC1" s="110"/>
      <c r="JE1" s="91" t="s">
        <v>141</v>
      </c>
      <c r="JF1" s="108"/>
      <c r="JG1" s="108"/>
      <c r="JH1" s="110"/>
      <c r="JI1" s="110"/>
      <c r="JK1" s="110" t="s">
        <v>138</v>
      </c>
      <c r="JL1" s="110"/>
      <c r="JM1" s="110"/>
      <c r="JN1" s="110"/>
      <c r="JO1" s="110"/>
      <c r="JP1" s="110"/>
      <c r="JQ1" s="109" t="s">
        <v>137</v>
      </c>
      <c r="JV1" s="111"/>
      <c r="JW1" s="91" t="s">
        <v>137</v>
      </c>
      <c r="JX1" s="108"/>
      <c r="JY1" s="108"/>
      <c r="KA1" s="91" t="s">
        <v>155</v>
      </c>
      <c r="KB1" s="108"/>
      <c r="KC1" s="108"/>
      <c r="KD1" s="110"/>
      <c r="KE1" s="110"/>
      <c r="KG1" s="91" t="s">
        <v>141</v>
      </c>
      <c r="KH1" s="108"/>
      <c r="KI1" s="108"/>
      <c r="KJ1" s="110"/>
      <c r="KK1" s="110"/>
      <c r="KM1" s="110" t="s">
        <v>138</v>
      </c>
      <c r="KN1" s="110"/>
      <c r="KO1" s="110"/>
      <c r="KP1" s="110"/>
      <c r="KQ1" s="110"/>
      <c r="KR1" s="110"/>
      <c r="KS1" s="109" t="s">
        <v>137</v>
      </c>
      <c r="KX1" s="111"/>
      <c r="KY1" s="91" t="s">
        <v>137</v>
      </c>
      <c r="KZ1" s="108"/>
      <c r="LA1" s="108"/>
      <c r="LC1" s="91" t="s">
        <v>155</v>
      </c>
      <c r="LD1" s="108"/>
      <c r="LE1" s="108"/>
      <c r="LF1" s="110"/>
      <c r="LG1" s="110"/>
      <c r="LI1" s="91" t="s">
        <v>141</v>
      </c>
      <c r="LJ1" s="108"/>
      <c r="LK1" s="108"/>
      <c r="LL1" s="110"/>
      <c r="LM1" s="110"/>
      <c r="LO1" s="110" t="s">
        <v>138</v>
      </c>
      <c r="LP1" s="110"/>
      <c r="LQ1" s="110"/>
      <c r="LR1" s="110"/>
      <c r="LS1" s="110"/>
      <c r="LT1" s="110"/>
      <c r="LU1" s="109" t="s">
        <v>137</v>
      </c>
      <c r="LZ1" s="111"/>
      <c r="MA1" s="91" t="s">
        <v>137</v>
      </c>
      <c r="MB1" s="108"/>
      <c r="MC1" s="108"/>
      <c r="ME1" s="91" t="s">
        <v>155</v>
      </c>
      <c r="MF1" s="108"/>
      <c r="MG1" s="108"/>
      <c r="MH1" s="110"/>
      <c r="MI1" s="110"/>
      <c r="MK1" s="91" t="s">
        <v>141</v>
      </c>
      <c r="ML1" s="108"/>
      <c r="MM1" s="108"/>
      <c r="MN1" s="110"/>
      <c r="MO1" s="110"/>
      <c r="MQ1" s="110" t="s">
        <v>138</v>
      </c>
      <c r="MR1" s="110"/>
      <c r="MS1" s="110"/>
      <c r="MT1" s="110"/>
      <c r="MU1" s="110"/>
      <c r="MV1" s="110"/>
      <c r="MW1" s="109" t="s">
        <v>137</v>
      </c>
    </row>
    <row r="2" spans="1:366" s="109" customFormat="1" x14ac:dyDescent="0.2">
      <c r="A2" s="2"/>
      <c r="B2" s="112"/>
      <c r="C2" s="91" t="s">
        <v>68</v>
      </c>
      <c r="D2" s="91"/>
      <c r="E2" s="91"/>
      <c r="F2" s="110"/>
      <c r="G2" s="91" t="s">
        <v>68</v>
      </c>
      <c r="H2" s="91"/>
      <c r="I2" s="91"/>
      <c r="J2" s="110"/>
      <c r="K2" s="110"/>
      <c r="L2" s="110"/>
      <c r="M2" s="91" t="s">
        <v>68</v>
      </c>
      <c r="N2" s="91"/>
      <c r="O2" s="91"/>
      <c r="P2" s="110"/>
      <c r="Q2" s="110"/>
      <c r="R2" s="110"/>
      <c r="S2" s="110" t="s">
        <v>68</v>
      </c>
      <c r="T2" s="110"/>
      <c r="U2" s="110"/>
      <c r="V2" s="110"/>
      <c r="W2" s="110"/>
      <c r="X2" s="110"/>
      <c r="Y2" s="110" t="s">
        <v>68</v>
      </c>
      <c r="Z2" s="110"/>
      <c r="AA2" s="110"/>
      <c r="AB2" s="110"/>
      <c r="AC2" s="110"/>
      <c r="AD2" s="113"/>
      <c r="AE2" s="91" t="s">
        <v>69</v>
      </c>
      <c r="AF2" s="91"/>
      <c r="AG2" s="91"/>
      <c r="AH2" s="91"/>
      <c r="AI2" s="91" t="s">
        <v>69</v>
      </c>
      <c r="AJ2" s="91"/>
      <c r="AK2" s="91"/>
      <c r="AL2" s="110"/>
      <c r="AM2" s="110"/>
      <c r="AN2" s="91"/>
      <c r="AO2" s="91" t="s">
        <v>69</v>
      </c>
      <c r="AP2" s="91"/>
      <c r="AQ2" s="91"/>
      <c r="AR2" s="110"/>
      <c r="AS2" s="110"/>
      <c r="AT2" s="110"/>
      <c r="AU2" s="110" t="s">
        <v>69</v>
      </c>
      <c r="AV2" s="110"/>
      <c r="AW2" s="110"/>
      <c r="AX2" s="110"/>
      <c r="AY2" s="110"/>
      <c r="AZ2" s="110"/>
      <c r="BA2" s="110" t="s">
        <v>69</v>
      </c>
      <c r="BB2" s="110"/>
      <c r="BC2" s="110"/>
      <c r="BD2" s="110"/>
      <c r="BE2" s="110"/>
      <c r="BF2" s="113"/>
      <c r="BG2" s="91" t="s">
        <v>70</v>
      </c>
      <c r="BH2" s="91"/>
      <c r="BI2" s="91"/>
      <c r="BJ2" s="110"/>
      <c r="BK2" s="91" t="s">
        <v>70</v>
      </c>
      <c r="BL2" s="91"/>
      <c r="BM2" s="91"/>
      <c r="BN2" s="110"/>
      <c r="BO2" s="110"/>
      <c r="BP2" s="110"/>
      <c r="BQ2" s="91" t="s">
        <v>70</v>
      </c>
      <c r="BR2" s="91"/>
      <c r="BS2" s="91"/>
      <c r="BT2" s="110"/>
      <c r="BU2" s="110"/>
      <c r="BV2" s="110"/>
      <c r="BW2" s="110" t="s">
        <v>70</v>
      </c>
      <c r="BX2" s="110"/>
      <c r="BY2" s="110"/>
      <c r="BZ2" s="110"/>
      <c r="CA2" s="110"/>
      <c r="CB2" s="110"/>
      <c r="CC2" s="110" t="s">
        <v>70</v>
      </c>
      <c r="CD2" s="110"/>
      <c r="CE2" s="110"/>
      <c r="CF2" s="110"/>
      <c r="CG2" s="110"/>
      <c r="CH2" s="113"/>
      <c r="CI2" s="91" t="s">
        <v>71</v>
      </c>
      <c r="CJ2" s="91"/>
      <c r="CK2" s="91"/>
      <c r="CL2" s="91"/>
      <c r="CM2" s="91" t="s">
        <v>71</v>
      </c>
      <c r="CN2" s="91"/>
      <c r="CO2" s="91"/>
      <c r="CP2" s="110"/>
      <c r="CQ2" s="110"/>
      <c r="CR2" s="110"/>
      <c r="CS2" s="91" t="s">
        <v>71</v>
      </c>
      <c r="CT2" s="91"/>
      <c r="CU2" s="91"/>
      <c r="CV2" s="110"/>
      <c r="CW2" s="110"/>
      <c r="CX2" s="110"/>
      <c r="CY2" s="110" t="s">
        <v>71</v>
      </c>
      <c r="CZ2" s="110"/>
      <c r="DA2" s="110"/>
      <c r="DB2" s="110"/>
      <c r="DC2" s="110"/>
      <c r="DD2" s="110"/>
      <c r="DE2" s="110" t="s">
        <v>71</v>
      </c>
      <c r="DF2" s="110"/>
      <c r="DG2" s="110"/>
      <c r="DH2" s="110"/>
      <c r="DI2" s="110"/>
      <c r="DJ2" s="113"/>
      <c r="DK2" s="91" t="s">
        <v>72</v>
      </c>
      <c r="DL2" s="91"/>
      <c r="DM2" s="91"/>
      <c r="DN2" s="110"/>
      <c r="DO2" s="91" t="s">
        <v>72</v>
      </c>
      <c r="DP2" s="91"/>
      <c r="DQ2" s="91"/>
      <c r="DR2" s="110"/>
      <c r="DS2" s="110"/>
      <c r="DT2" s="110"/>
      <c r="DU2" s="91" t="s">
        <v>72</v>
      </c>
      <c r="DV2" s="91"/>
      <c r="DW2" s="91"/>
      <c r="DX2" s="110"/>
      <c r="DY2" s="110"/>
      <c r="DZ2" s="110"/>
      <c r="EA2" s="110" t="s">
        <v>72</v>
      </c>
      <c r="EB2" s="110"/>
      <c r="EC2" s="110"/>
      <c r="ED2" s="110"/>
      <c r="EE2" s="110"/>
      <c r="EF2" s="110"/>
      <c r="EG2" s="110" t="s">
        <v>72</v>
      </c>
      <c r="EH2" s="110"/>
      <c r="EI2" s="110"/>
      <c r="EJ2" s="110"/>
      <c r="EK2" s="110"/>
      <c r="EL2" s="113"/>
      <c r="EM2" s="91" t="s">
        <v>73</v>
      </c>
      <c r="EN2" s="91"/>
      <c r="EO2" s="91"/>
      <c r="EP2" s="110"/>
      <c r="EQ2" s="91" t="s">
        <v>73</v>
      </c>
      <c r="ER2" s="91"/>
      <c r="ES2" s="91"/>
      <c r="ET2" s="110"/>
      <c r="EU2" s="110"/>
      <c r="EV2" s="110"/>
      <c r="EW2" s="91" t="s">
        <v>73</v>
      </c>
      <c r="EX2" s="91"/>
      <c r="EY2" s="91"/>
      <c r="EZ2" s="110"/>
      <c r="FA2" s="110"/>
      <c r="FB2" s="110"/>
      <c r="FC2" s="110" t="s">
        <v>73</v>
      </c>
      <c r="FD2" s="110"/>
      <c r="FE2" s="110"/>
      <c r="FF2" s="110"/>
      <c r="FG2" s="110"/>
      <c r="FH2" s="110"/>
      <c r="FI2" s="110" t="s">
        <v>73</v>
      </c>
      <c r="FJ2" s="110"/>
      <c r="FK2" s="110"/>
      <c r="FL2" s="110"/>
      <c r="FM2" s="110"/>
      <c r="FN2" s="113"/>
      <c r="FO2" s="91" t="s">
        <v>74</v>
      </c>
      <c r="FP2" s="91"/>
      <c r="FQ2" s="91"/>
      <c r="FR2" s="91"/>
      <c r="FS2" s="91" t="s">
        <v>74</v>
      </c>
      <c r="FT2" s="91"/>
      <c r="FU2" s="91"/>
      <c r="FV2" s="110"/>
      <c r="FW2" s="110"/>
      <c r="FX2" s="91"/>
      <c r="FY2" s="91" t="s">
        <v>74</v>
      </c>
      <c r="FZ2" s="91"/>
      <c r="GA2" s="91"/>
      <c r="GB2" s="110"/>
      <c r="GC2" s="110"/>
      <c r="GD2" s="110"/>
      <c r="GE2" s="110" t="s">
        <v>74</v>
      </c>
      <c r="GF2" s="110"/>
      <c r="GG2" s="110"/>
      <c r="GH2" s="110"/>
      <c r="GI2" s="110"/>
      <c r="GJ2" s="110"/>
      <c r="GK2" s="110" t="s">
        <v>74</v>
      </c>
      <c r="GL2" s="110"/>
      <c r="GM2" s="110"/>
      <c r="GN2" s="110"/>
      <c r="GO2" s="110"/>
      <c r="GP2" s="113"/>
      <c r="GQ2" s="91" t="s">
        <v>75</v>
      </c>
      <c r="GR2" s="91"/>
      <c r="GS2" s="91"/>
      <c r="GT2" s="110"/>
      <c r="GU2" s="91" t="s">
        <v>75</v>
      </c>
      <c r="GV2" s="91"/>
      <c r="GW2" s="91"/>
      <c r="GX2" s="110"/>
      <c r="GY2" s="110"/>
      <c r="GZ2" s="110"/>
      <c r="HA2" s="91" t="s">
        <v>75</v>
      </c>
      <c r="HB2" s="91"/>
      <c r="HC2" s="91"/>
      <c r="HD2" s="110"/>
      <c r="HE2" s="110"/>
      <c r="HF2" s="110"/>
      <c r="HG2" s="110" t="s">
        <v>75</v>
      </c>
      <c r="HH2" s="110"/>
      <c r="HI2" s="110"/>
      <c r="HJ2" s="110"/>
      <c r="HK2" s="110"/>
      <c r="HL2" s="110"/>
      <c r="HM2" s="110" t="s">
        <v>75</v>
      </c>
      <c r="HN2" s="110"/>
      <c r="HO2" s="110"/>
      <c r="HP2" s="110"/>
      <c r="HQ2" s="110"/>
      <c r="HR2" s="113"/>
      <c r="HS2" s="91" t="s">
        <v>76</v>
      </c>
      <c r="HT2" s="91"/>
      <c r="HU2" s="91"/>
      <c r="HV2" s="110"/>
      <c r="HW2" s="110" t="s">
        <v>76</v>
      </c>
      <c r="HX2" s="91"/>
      <c r="HY2" s="91"/>
      <c r="HZ2" s="110"/>
      <c r="IA2" s="110"/>
      <c r="IB2" s="110"/>
      <c r="IC2" s="91" t="s">
        <v>76</v>
      </c>
      <c r="ID2" s="91"/>
      <c r="IE2" s="91"/>
      <c r="IF2" s="110"/>
      <c r="IG2" s="110"/>
      <c r="IH2" s="110"/>
      <c r="II2" s="110" t="s">
        <v>76</v>
      </c>
      <c r="IJ2" s="110"/>
      <c r="IK2" s="110"/>
      <c r="IL2" s="110"/>
      <c r="IM2" s="110"/>
      <c r="IN2" s="110"/>
      <c r="IO2" s="110" t="s">
        <v>76</v>
      </c>
      <c r="IP2" s="110"/>
      <c r="IQ2" s="110"/>
      <c r="IR2" s="110"/>
      <c r="IS2" s="110"/>
      <c r="IT2" s="113"/>
      <c r="IU2" s="91" t="s">
        <v>77</v>
      </c>
      <c r="IV2" s="91"/>
      <c r="IW2" s="91"/>
      <c r="IX2" s="110"/>
      <c r="IY2" s="91" t="s">
        <v>77</v>
      </c>
      <c r="IZ2" s="91"/>
      <c r="JA2" s="91"/>
      <c r="JB2" s="110"/>
      <c r="JC2" s="110"/>
      <c r="JD2" s="110"/>
      <c r="JE2" s="91" t="s">
        <v>77</v>
      </c>
      <c r="JF2" s="91"/>
      <c r="JG2" s="91"/>
      <c r="JH2" s="110"/>
      <c r="JI2" s="110"/>
      <c r="JJ2" s="110"/>
      <c r="JK2" s="110" t="s">
        <v>77</v>
      </c>
      <c r="JL2" s="110"/>
      <c r="JM2" s="110"/>
      <c r="JN2" s="110"/>
      <c r="JO2" s="110"/>
      <c r="JP2" s="110"/>
      <c r="JQ2" s="110" t="s">
        <v>77</v>
      </c>
      <c r="JR2" s="110"/>
      <c r="JS2" s="110"/>
      <c r="JT2" s="110"/>
      <c r="JU2" s="110"/>
      <c r="JV2" s="113"/>
      <c r="JW2" s="91" t="s">
        <v>78</v>
      </c>
      <c r="JX2" s="91"/>
      <c r="JY2" s="91"/>
      <c r="JZ2" s="110"/>
      <c r="KA2" s="91" t="s">
        <v>78</v>
      </c>
      <c r="KB2" s="91"/>
      <c r="KC2" s="91"/>
      <c r="KD2" s="110"/>
      <c r="KE2" s="110"/>
      <c r="KF2" s="110"/>
      <c r="KG2" s="91" t="s">
        <v>78</v>
      </c>
      <c r="KH2" s="91"/>
      <c r="KI2" s="91"/>
      <c r="KJ2" s="110"/>
      <c r="KK2" s="110"/>
      <c r="KL2" s="110"/>
      <c r="KM2" s="110" t="s">
        <v>78</v>
      </c>
      <c r="KN2" s="110"/>
      <c r="KO2" s="110"/>
      <c r="KP2" s="110"/>
      <c r="KQ2" s="110"/>
      <c r="KR2" s="110"/>
      <c r="KS2" s="110" t="s">
        <v>78</v>
      </c>
      <c r="KT2" s="110"/>
      <c r="KU2" s="110"/>
      <c r="KV2" s="110"/>
      <c r="KW2" s="110"/>
      <c r="KX2" s="113"/>
      <c r="KY2" s="91" t="s">
        <v>79</v>
      </c>
      <c r="KZ2" s="91"/>
      <c r="LA2" s="91"/>
      <c r="LB2" s="110"/>
      <c r="LC2" s="91" t="s">
        <v>79</v>
      </c>
      <c r="LD2" s="91"/>
      <c r="LE2" s="91"/>
      <c r="LF2" s="110"/>
      <c r="LG2" s="110"/>
      <c r="LH2" s="110"/>
      <c r="LI2" s="91" t="s">
        <v>79</v>
      </c>
      <c r="LJ2" s="91"/>
      <c r="LK2" s="91"/>
      <c r="LL2" s="110"/>
      <c r="LM2" s="110"/>
      <c r="LN2" s="110"/>
      <c r="LO2" s="110" t="s">
        <v>79</v>
      </c>
      <c r="LP2" s="110"/>
      <c r="LQ2" s="110"/>
      <c r="LR2" s="110"/>
      <c r="LS2" s="110"/>
      <c r="LT2" s="110"/>
      <c r="LU2" s="110" t="s">
        <v>79</v>
      </c>
      <c r="LV2" s="110"/>
      <c r="LW2" s="110"/>
      <c r="LX2" s="110"/>
      <c r="LY2" s="110"/>
      <c r="LZ2" s="113"/>
      <c r="MA2" s="91" t="s">
        <v>80</v>
      </c>
      <c r="MB2" s="91"/>
      <c r="MC2" s="91"/>
      <c r="MD2" s="110"/>
      <c r="ME2" s="91" t="s">
        <v>80</v>
      </c>
      <c r="MF2" s="91"/>
      <c r="MG2" s="91"/>
      <c r="MH2" s="110"/>
      <c r="MI2" s="110"/>
      <c r="MJ2" s="110"/>
      <c r="MK2" s="91" t="s">
        <v>80</v>
      </c>
      <c r="ML2" s="91"/>
      <c r="MM2" s="91"/>
      <c r="MN2" s="110"/>
      <c r="MO2" s="110"/>
      <c r="MP2" s="110"/>
      <c r="MQ2" s="110" t="s">
        <v>80</v>
      </c>
      <c r="MR2" s="110"/>
      <c r="MS2" s="110"/>
      <c r="MT2" s="110"/>
      <c r="MU2" s="110"/>
      <c r="MV2" s="110"/>
      <c r="MW2" s="110" t="s">
        <v>80</v>
      </c>
      <c r="MX2" s="110"/>
      <c r="MY2" s="110"/>
      <c r="MZ2" s="110"/>
      <c r="NA2" s="110"/>
      <c r="NB2" s="110"/>
    </row>
    <row r="3" spans="1:366" x14ac:dyDescent="0.2">
      <c r="B3" s="64" t="s">
        <v>9</v>
      </c>
      <c r="C3" s="93">
        <v>439</v>
      </c>
      <c r="D3" s="93"/>
      <c r="E3" s="91"/>
      <c r="F3" s="52"/>
      <c r="G3" s="66">
        <v>134</v>
      </c>
      <c r="H3" s="66"/>
      <c r="I3" s="63"/>
      <c r="J3" s="52"/>
      <c r="K3" s="52"/>
      <c r="L3" s="52"/>
      <c r="M3" s="66">
        <v>129.96739125000008</v>
      </c>
      <c r="N3" s="66"/>
      <c r="O3" s="63"/>
      <c r="P3" s="52"/>
      <c r="Q3" s="52"/>
      <c r="R3" s="52"/>
      <c r="S3" s="70">
        <v>136</v>
      </c>
      <c r="T3" s="52"/>
      <c r="U3" s="52"/>
      <c r="V3" s="52"/>
      <c r="W3" s="52"/>
      <c r="X3" s="52"/>
      <c r="Y3" s="70">
        <v>214</v>
      </c>
      <c r="Z3" s="52"/>
      <c r="AA3" s="52"/>
      <c r="AB3" s="52"/>
      <c r="AC3" s="52"/>
      <c r="AD3" s="75"/>
      <c r="AE3" s="93">
        <v>106</v>
      </c>
      <c r="AF3" s="93"/>
      <c r="AG3" s="91"/>
      <c r="AH3" s="63"/>
      <c r="AI3" s="66">
        <v>59</v>
      </c>
      <c r="AJ3" s="66"/>
      <c r="AK3" s="63"/>
      <c r="AL3" s="52"/>
      <c r="AM3" s="52"/>
      <c r="AN3" s="63"/>
      <c r="AO3" s="66">
        <v>99.696065520000005</v>
      </c>
      <c r="AP3" s="66"/>
      <c r="AQ3" s="63"/>
      <c r="AR3" s="52"/>
      <c r="AS3" s="52"/>
      <c r="AT3" s="52"/>
      <c r="AU3" s="70">
        <v>134</v>
      </c>
      <c r="AV3" s="52"/>
      <c r="AW3" s="52"/>
      <c r="AX3" s="52"/>
      <c r="AY3" s="52"/>
      <c r="AZ3" s="52"/>
      <c r="BA3" s="70">
        <v>87</v>
      </c>
      <c r="BB3" s="52"/>
      <c r="BC3" s="52"/>
      <c r="BD3" s="52"/>
      <c r="BE3" s="52"/>
      <c r="BF3" s="75"/>
      <c r="BG3" s="93">
        <v>1187</v>
      </c>
      <c r="BH3" s="93"/>
      <c r="BI3" s="91"/>
      <c r="BJ3" s="52"/>
      <c r="BK3" s="66">
        <v>363</v>
      </c>
      <c r="BL3" s="66"/>
      <c r="BM3" s="63"/>
      <c r="BN3" s="52"/>
      <c r="BO3" s="52"/>
      <c r="BP3" s="52"/>
      <c r="BQ3" s="66">
        <v>349.4295154499992</v>
      </c>
      <c r="BR3" s="66"/>
      <c r="BS3" s="63"/>
      <c r="BT3" s="52"/>
      <c r="BU3" s="52"/>
      <c r="BV3" s="52"/>
      <c r="BW3" s="70">
        <v>362</v>
      </c>
      <c r="BX3" s="52"/>
      <c r="BY3" s="52"/>
      <c r="BZ3" s="52"/>
      <c r="CA3" s="52"/>
      <c r="CB3" s="52"/>
      <c r="CC3" s="70">
        <v>422</v>
      </c>
      <c r="CD3" s="52"/>
      <c r="CE3" s="52"/>
      <c r="CF3" s="52"/>
      <c r="CG3" s="52"/>
      <c r="CH3" s="75"/>
      <c r="CI3" s="93">
        <v>729</v>
      </c>
      <c r="CJ3" s="93"/>
      <c r="CK3" s="91"/>
      <c r="CL3" s="63"/>
      <c r="CM3" s="66">
        <v>228</v>
      </c>
      <c r="CN3" s="66"/>
      <c r="CO3" s="63"/>
      <c r="CP3" s="52"/>
      <c r="CQ3" s="52"/>
      <c r="CR3" s="52"/>
      <c r="CS3" s="66">
        <v>246.21011462999931</v>
      </c>
      <c r="CT3" s="66"/>
      <c r="CU3" s="63"/>
      <c r="CV3" s="52"/>
      <c r="CW3" s="52"/>
      <c r="CX3" s="52"/>
      <c r="CY3" s="70">
        <v>216</v>
      </c>
      <c r="CZ3" s="52"/>
      <c r="DA3" s="52"/>
      <c r="DB3" s="52"/>
      <c r="DC3" s="52"/>
      <c r="DD3" s="52"/>
      <c r="DE3" s="70">
        <v>273</v>
      </c>
      <c r="DF3" s="52"/>
      <c r="DG3" s="52"/>
      <c r="DH3" s="52"/>
      <c r="DI3" s="52"/>
      <c r="DJ3" s="75"/>
      <c r="DK3" s="93">
        <v>220</v>
      </c>
      <c r="DL3" s="93"/>
      <c r="DM3" s="91"/>
      <c r="DN3" s="52"/>
      <c r="DO3" s="66">
        <v>80</v>
      </c>
      <c r="DP3" s="66"/>
      <c r="DQ3" s="63"/>
      <c r="DR3" s="52"/>
      <c r="DS3" s="52"/>
      <c r="DT3" s="52"/>
      <c r="DU3" s="66">
        <v>94.95133290000004</v>
      </c>
      <c r="DV3" s="66"/>
      <c r="DW3" s="63"/>
      <c r="DX3" s="52"/>
      <c r="DY3" s="52"/>
      <c r="DZ3" s="52"/>
      <c r="EA3" s="70">
        <v>89</v>
      </c>
      <c r="EB3" s="52"/>
      <c r="EC3" s="52"/>
      <c r="ED3" s="52"/>
      <c r="EE3" s="52"/>
      <c r="EF3" s="52"/>
      <c r="EG3" s="70">
        <v>61</v>
      </c>
      <c r="EH3" s="52"/>
      <c r="EI3" s="52"/>
      <c r="EJ3" s="52"/>
      <c r="EK3" s="52"/>
      <c r="EL3" s="75"/>
      <c r="EM3" s="93">
        <v>474</v>
      </c>
      <c r="EN3" s="93"/>
      <c r="EO3" s="91"/>
      <c r="EP3" s="52"/>
      <c r="EQ3" s="66">
        <v>159</v>
      </c>
      <c r="ER3" s="66"/>
      <c r="ES3" s="63"/>
      <c r="ET3" s="52"/>
      <c r="EU3" s="52"/>
      <c r="EV3" s="52"/>
      <c r="EW3" s="66">
        <v>166.74557807999986</v>
      </c>
      <c r="EX3" s="66"/>
      <c r="EY3" s="63"/>
      <c r="EZ3" s="52"/>
      <c r="FA3" s="52"/>
      <c r="FB3" s="52"/>
      <c r="FC3" s="70">
        <v>160</v>
      </c>
      <c r="FD3" s="52"/>
      <c r="FE3" s="52"/>
      <c r="FF3" s="52"/>
      <c r="FG3" s="52"/>
      <c r="FH3" s="52"/>
      <c r="FI3" s="70">
        <v>202</v>
      </c>
      <c r="FJ3" s="52"/>
      <c r="FK3" s="52"/>
      <c r="FL3" s="52"/>
      <c r="FM3" s="52"/>
      <c r="FN3" s="75"/>
      <c r="FO3" s="93">
        <v>223</v>
      </c>
      <c r="FP3" s="93"/>
      <c r="FQ3" s="91"/>
      <c r="FR3" s="63"/>
      <c r="FS3" s="66">
        <v>170</v>
      </c>
      <c r="FT3" s="66"/>
      <c r="FU3" s="63"/>
      <c r="FV3" s="52"/>
      <c r="FW3" s="52"/>
      <c r="FX3" s="63"/>
      <c r="FY3" s="66">
        <v>205.27626929000056</v>
      </c>
      <c r="FZ3" s="66"/>
      <c r="GA3" s="63"/>
      <c r="GB3" s="52"/>
      <c r="GC3" s="52"/>
      <c r="GD3" s="52"/>
      <c r="GE3" s="70">
        <v>220</v>
      </c>
      <c r="GF3" s="52"/>
      <c r="GG3" s="52"/>
      <c r="GH3" s="52"/>
      <c r="GI3" s="52"/>
      <c r="GJ3" s="52"/>
      <c r="GK3" s="70">
        <v>199</v>
      </c>
      <c r="GL3" s="52"/>
      <c r="GM3" s="52"/>
      <c r="GN3" s="52"/>
      <c r="GO3" s="52"/>
      <c r="GP3" s="75"/>
      <c r="GQ3" s="93">
        <v>226</v>
      </c>
      <c r="GR3" s="93"/>
      <c r="GS3" s="91"/>
      <c r="GT3" s="52"/>
      <c r="GU3" s="66">
        <v>139</v>
      </c>
      <c r="GV3" s="66"/>
      <c r="GW3" s="63"/>
      <c r="GX3" s="52"/>
      <c r="GY3" s="52"/>
      <c r="GZ3" s="52"/>
      <c r="HA3" s="66">
        <v>128.2127450399999</v>
      </c>
      <c r="HB3" s="66"/>
      <c r="HC3" s="63"/>
      <c r="HD3" s="52"/>
      <c r="HE3" s="52"/>
      <c r="HF3" s="52"/>
      <c r="HG3" s="70">
        <v>93</v>
      </c>
      <c r="HH3" s="52"/>
      <c r="HI3" s="52"/>
      <c r="HJ3" s="52"/>
      <c r="HK3" s="52"/>
      <c r="HL3" s="52"/>
      <c r="HM3" s="70">
        <v>157</v>
      </c>
      <c r="HN3" s="52"/>
      <c r="HO3" s="52"/>
      <c r="HP3" s="52"/>
      <c r="HQ3" s="52"/>
      <c r="HR3" s="75"/>
      <c r="HS3" s="93">
        <v>584</v>
      </c>
      <c r="HT3" s="93"/>
      <c r="HU3" s="91"/>
      <c r="HV3" s="52"/>
      <c r="HW3" s="66">
        <v>412</v>
      </c>
      <c r="HX3" s="66"/>
      <c r="HY3" s="63"/>
      <c r="HZ3" s="52"/>
      <c r="IA3" s="52"/>
      <c r="IB3" s="52"/>
      <c r="IC3" s="66">
        <v>420.51098416000019</v>
      </c>
      <c r="ID3" s="66"/>
      <c r="IE3" s="63"/>
      <c r="IF3" s="52"/>
      <c r="IG3" s="52"/>
      <c r="IH3" s="52"/>
      <c r="II3" s="70">
        <v>412</v>
      </c>
      <c r="IJ3" s="52"/>
      <c r="IK3" s="52"/>
      <c r="IL3" s="52"/>
      <c r="IM3" s="52"/>
      <c r="IN3" s="52"/>
      <c r="IO3" s="70">
        <v>445</v>
      </c>
      <c r="IP3" s="52"/>
      <c r="IQ3" s="52"/>
      <c r="IR3" s="52"/>
      <c r="IS3" s="52"/>
      <c r="IT3" s="75"/>
      <c r="IU3" s="93">
        <v>47</v>
      </c>
      <c r="IV3" s="93"/>
      <c r="IW3" s="91"/>
      <c r="IX3" s="52"/>
      <c r="IY3" s="66">
        <v>35</v>
      </c>
      <c r="IZ3" s="66"/>
      <c r="JA3" s="63"/>
      <c r="JB3" s="52"/>
      <c r="JC3" s="52"/>
      <c r="JD3" s="52"/>
      <c r="JE3" s="66">
        <v>33.664059260000002</v>
      </c>
      <c r="JF3" s="66"/>
      <c r="JG3" s="63"/>
      <c r="JH3" s="52"/>
      <c r="JI3" s="52"/>
      <c r="JJ3" s="52"/>
      <c r="JK3" s="70">
        <v>32</v>
      </c>
      <c r="JL3" s="52"/>
      <c r="JM3" s="52"/>
      <c r="JN3" s="52"/>
      <c r="JO3" s="52"/>
      <c r="JP3" s="52"/>
      <c r="JQ3" s="70">
        <v>55</v>
      </c>
      <c r="JR3" s="52"/>
      <c r="JS3" s="52"/>
      <c r="JT3" s="52"/>
      <c r="JU3" s="52"/>
      <c r="JV3" s="75"/>
      <c r="JW3" s="93">
        <v>528</v>
      </c>
      <c r="JX3" s="93"/>
      <c r="JY3" s="91"/>
      <c r="JZ3" s="52"/>
      <c r="KA3" s="66">
        <v>322</v>
      </c>
      <c r="KB3" s="66"/>
      <c r="KC3" s="63"/>
      <c r="KD3" s="52"/>
      <c r="KE3" s="52"/>
      <c r="KF3" s="52"/>
      <c r="KG3" s="66">
        <v>372.26171052000109</v>
      </c>
      <c r="KH3" s="66"/>
      <c r="KI3" s="63"/>
      <c r="KJ3" s="52"/>
      <c r="KK3" s="52"/>
      <c r="KL3" s="52"/>
      <c r="KM3" s="70">
        <v>723</v>
      </c>
      <c r="KN3" s="52"/>
      <c r="KO3" s="52"/>
      <c r="KP3" s="52"/>
      <c r="KQ3" s="52"/>
      <c r="KR3" s="52"/>
      <c r="KS3" s="70">
        <v>711</v>
      </c>
      <c r="KT3" s="52"/>
      <c r="KU3" s="52"/>
      <c r="KV3" s="52"/>
      <c r="KW3" s="52"/>
      <c r="KX3" s="75"/>
      <c r="KY3" s="93">
        <v>194</v>
      </c>
      <c r="KZ3" s="93"/>
      <c r="LA3" s="91"/>
      <c r="LB3" s="52"/>
      <c r="LC3" s="66">
        <v>200</v>
      </c>
      <c r="LD3" s="66"/>
      <c r="LE3" s="63"/>
      <c r="LF3" s="52"/>
      <c r="LG3" s="52"/>
      <c r="LH3" s="52"/>
      <c r="LI3" s="66">
        <v>204.44144112999939</v>
      </c>
      <c r="LJ3" s="66"/>
      <c r="LK3" s="63"/>
      <c r="LL3" s="52"/>
      <c r="LM3" s="52"/>
      <c r="LN3" s="52"/>
      <c r="LO3" s="70">
        <v>512</v>
      </c>
      <c r="LP3" s="52"/>
      <c r="LQ3" s="52"/>
      <c r="LR3" s="52"/>
      <c r="LS3" s="52"/>
      <c r="LT3" s="52"/>
      <c r="LU3" s="70">
        <v>493</v>
      </c>
      <c r="LV3" s="52"/>
      <c r="LW3" s="52"/>
      <c r="LX3" s="52"/>
      <c r="LY3" s="52"/>
      <c r="LZ3" s="75"/>
      <c r="MA3" s="93">
        <v>213</v>
      </c>
      <c r="MB3" s="93"/>
      <c r="MC3" s="91"/>
      <c r="MD3" s="52"/>
      <c r="ME3" s="66">
        <v>144</v>
      </c>
      <c r="MF3" s="66"/>
      <c r="MG3" s="63"/>
      <c r="MH3" s="52"/>
      <c r="MI3" s="52"/>
      <c r="MJ3" s="52"/>
      <c r="MK3" s="66">
        <v>129.63278847000009</v>
      </c>
      <c r="ML3" s="66"/>
      <c r="MM3" s="63"/>
      <c r="MN3" s="52"/>
      <c r="MO3" s="52"/>
      <c r="MP3" s="52"/>
      <c r="MQ3" s="70">
        <v>221</v>
      </c>
      <c r="MR3" s="52"/>
      <c r="MS3" s="52"/>
      <c r="MT3" s="52"/>
      <c r="MU3" s="52"/>
      <c r="MV3" s="52"/>
      <c r="MW3" s="70">
        <v>234</v>
      </c>
      <c r="MX3" s="52"/>
      <c r="MY3" s="52"/>
      <c r="MZ3" s="52"/>
      <c r="NA3" s="52"/>
      <c r="NB3" s="52"/>
    </row>
    <row r="4" spans="1:366" x14ac:dyDescent="0.2">
      <c r="B4" s="65" t="s">
        <v>10</v>
      </c>
      <c r="C4" s="27">
        <v>405</v>
      </c>
      <c r="D4" s="28">
        <v>3.6125527055735307</v>
      </c>
      <c r="E4" s="29">
        <v>4.930601155963938E-2</v>
      </c>
      <c r="F4" s="10"/>
      <c r="G4" s="42">
        <v>126</v>
      </c>
      <c r="H4" s="43">
        <v>3.4126105348535765</v>
      </c>
      <c r="I4" s="67">
        <v>9.803706979019558E-2</v>
      </c>
      <c r="J4" s="10">
        <f>IF($C4&lt;30,"NV",IF(G4&gt;=30,(($D4-H4))/SQRT(($E4^2)+(I4^2)),"NV"))</f>
        <v>1.82200172239167</v>
      </c>
      <c r="K4" s="10" t="str">
        <f>IF(J4="NV"," ",IF(ABS(J4)&gt;=1.96,"*"," "))</f>
        <v xml:space="preserve"> </v>
      </c>
      <c r="L4" s="10"/>
      <c r="M4" s="42">
        <v>127.8879129900001</v>
      </c>
      <c r="N4" s="43">
        <v>3.2845528455284549</v>
      </c>
      <c r="O4" s="67">
        <v>6.9340283335065783E-2</v>
      </c>
      <c r="P4" s="10">
        <f>IF($C4&lt;30,"NV",IF(M4&gt;=30,(($D4-N4))/SQRT(($E4^2)+(O4^2)),"NV"))</f>
        <v>3.8550466743408909</v>
      </c>
      <c r="Q4" s="10" t="str">
        <f>IF(P4="NV"," ",IF(ABS(P4)&gt;=1.96,"*"," "))</f>
        <v>*</v>
      </c>
      <c r="R4" s="10"/>
      <c r="S4" s="53">
        <v>135</v>
      </c>
      <c r="T4" s="55">
        <v>3.5037037037037031</v>
      </c>
      <c r="U4" s="56">
        <v>7.0790076898116644E-2</v>
      </c>
      <c r="V4" s="10">
        <f>IF($C4&lt;30,"NV",IF(S4&gt;=30,(($D4-T4))/SQRT(($E4^2)+(U4^2)),"NV"))</f>
        <v>1.2617413801499131</v>
      </c>
      <c r="W4" s="10" t="str">
        <f>IF(V4="NV"," ",IF(ABS(V4)&gt;=1.96,"*"," "))</f>
        <v xml:space="preserve"> </v>
      </c>
      <c r="X4" s="10"/>
      <c r="Y4" s="54">
        <v>206</v>
      </c>
      <c r="Z4" s="57">
        <v>3.3252427184466011</v>
      </c>
      <c r="AA4" s="58">
        <v>5.0935633412790497E-2</v>
      </c>
      <c r="AB4" s="10">
        <f>IF($C4&lt;30,"NV",IF(Y4&gt;=30,(($D4-Z4))/SQRT(($E4^2)+(AA4^2)),"NV"))</f>
        <v>4.0528464863608384</v>
      </c>
      <c r="AC4" s="10" t="str">
        <f>IF(AB4="NV"," ",IF(ABS(AB4)&gt;=1.96,"*"," "))</f>
        <v>*</v>
      </c>
      <c r="AD4" s="76"/>
      <c r="AE4" s="27">
        <v>102</v>
      </c>
      <c r="AF4" s="28">
        <v>3.8634046076184436</v>
      </c>
      <c r="AG4" s="29">
        <v>9.0905250335716004E-2</v>
      </c>
      <c r="AH4" s="67"/>
      <c r="AI4" s="42">
        <v>59</v>
      </c>
      <c r="AJ4" s="43">
        <v>3.6105805497456025</v>
      </c>
      <c r="AK4" s="67">
        <v>0.14258811136612232</v>
      </c>
      <c r="AL4" s="10">
        <f>IF($AE4&lt;30,"NV",IF(AI4&gt;=30,(($AF4-AJ4))/SQRT(($AG4^2)+(AK4^2)),"NV"))</f>
        <v>1.4951071872326958</v>
      </c>
      <c r="AM4" s="10" t="str">
        <f>IF(AL4="NV"," ",IF(ABS(AL4)&gt;=1.96,"*"," "))</f>
        <v xml:space="preserve"> </v>
      </c>
      <c r="AN4" s="67"/>
      <c r="AO4" s="42">
        <v>98.740694430000005</v>
      </c>
      <c r="AP4" s="43">
        <v>3.3386444499203436</v>
      </c>
      <c r="AQ4" s="67">
        <v>9.0724524596654116E-2</v>
      </c>
      <c r="AR4" s="10">
        <f>IF($AE4&lt;30,"NV",IF(AO4&gt;=30,(($AF4-AP4))/SQRT(($AG4^2)+(AQ4^2)),"NV"))</f>
        <v>4.0859080781741319</v>
      </c>
      <c r="AS4" s="10" t="str">
        <f>IF(AR4="NV"," ",IF(ABS(AR4)&gt;=1.96,"*"," "))</f>
        <v>*</v>
      </c>
      <c r="AT4" s="10"/>
      <c r="AU4" s="53">
        <v>130</v>
      </c>
      <c r="AV4" s="55">
        <v>3.4648028634448877</v>
      </c>
      <c r="AW4" s="56">
        <v>8.7102286523208144E-2</v>
      </c>
      <c r="AX4" s="10">
        <f>IF($AE4&lt;30,"NV",IF(AU4&gt;=30,(($AF4-AV4))/SQRT(($AG4^2)+(AW4^2)),"NV"))</f>
        <v>3.1660423029834592</v>
      </c>
      <c r="AY4" s="10" t="str">
        <f>IF(AX4="NV"," ",IF(ABS(AX4)&gt;=1.96,"*"," "))</f>
        <v>*</v>
      </c>
      <c r="AZ4" s="10"/>
      <c r="BA4" s="54">
        <v>87</v>
      </c>
      <c r="BB4" s="57">
        <v>3.1982169012615698</v>
      </c>
      <c r="BC4" s="58">
        <v>0.10296633668460521</v>
      </c>
      <c r="BD4" s="10">
        <f>IF($AE4&lt;30,"NV",IF(BA4&gt;=30,(($AF4-BB4))/SQRT(($AG4^2)+(BC4^2)),"NV"))</f>
        <v>4.8429082803145498</v>
      </c>
      <c r="BE4" s="10" t="str">
        <f>IF(BD4="NV"," ",IF(ABS(BD4)&gt;=1.96,"*"," "))</f>
        <v>*</v>
      </c>
      <c r="BF4" s="76"/>
      <c r="BG4" s="27">
        <v>1123</v>
      </c>
      <c r="BH4" s="28">
        <v>3.8031557970335474</v>
      </c>
      <c r="BI4" s="29">
        <v>2.740060930849263E-2</v>
      </c>
      <c r="BJ4" s="10"/>
      <c r="BK4" s="42">
        <v>345</v>
      </c>
      <c r="BL4" s="43">
        <v>3.7797053204074236</v>
      </c>
      <c r="BM4" s="67">
        <v>4.8691240434026874E-2</v>
      </c>
      <c r="BN4" s="10">
        <f>IF($BG4&lt;30,"NV",IF(BK4&gt;=30,(($BH4-BL4))/SQRT(($BI4^2)+(BM4^2)),"NV"))</f>
        <v>0.41972123428095287</v>
      </c>
      <c r="BO4" s="10" t="str">
        <f>IF(BN4="NV"," ",IF(ABS(BN4)&gt;=1.96,"*"," "))</f>
        <v xml:space="preserve"> </v>
      </c>
      <c r="BP4" s="10"/>
      <c r="BQ4" s="42">
        <v>347.43440522999919</v>
      </c>
      <c r="BR4" s="43">
        <v>3.4359442773945563</v>
      </c>
      <c r="BS4" s="67">
        <v>3.5010632048287929E-2</v>
      </c>
      <c r="BT4" s="10">
        <f>IF($BG4&lt;30,"NV",IF(BQ4&gt;=30,(($BH4-BR4))/SQRT(($BI4^2)+(BS4^2)),"NV"))</f>
        <v>8.2596898600520294</v>
      </c>
      <c r="BU4" s="10" t="str">
        <f>IF(BT4="NV"," ",IF(ABS(BT4)&gt;=1.96,"*"," "))</f>
        <v>*</v>
      </c>
      <c r="BV4" s="10"/>
      <c r="BW4" s="53">
        <v>360</v>
      </c>
      <c r="BX4" s="55">
        <v>3.611413471427475</v>
      </c>
      <c r="BY4" s="56">
        <v>2.7770070556536689E-2</v>
      </c>
      <c r="BZ4" s="10">
        <f>IF($BG4&lt;30,"NV",IF(BW4&gt;=30,(($BH4-BX4))/SQRT(($BI4^2)+(BY4^2)),"NV"))</f>
        <v>4.9149025883592854</v>
      </c>
      <c r="CA4" s="10" t="str">
        <f>IF(BZ4="NV"," ",IF(ABS(BZ4)&gt;=1.96,"*"," "))</f>
        <v>*</v>
      </c>
      <c r="CB4" s="10"/>
      <c r="CC4" s="54">
        <v>413</v>
      </c>
      <c r="CD4" s="57">
        <v>3.5945744989187474</v>
      </c>
      <c r="CE4" s="58">
        <v>4.4464881641450633E-2</v>
      </c>
      <c r="CF4" s="10">
        <f>IF($BG4&lt;30,"NV",IF(CC4&gt;=30,(($BH4-CD4))/SQRT(($BI4^2)+(CE4^2)),"NV"))</f>
        <v>3.9935545723058565</v>
      </c>
      <c r="CG4" s="10" t="str">
        <f>IF(CF4="NV"," ",IF(ABS(CF4)&gt;=1.96,"*"," "))</f>
        <v>*</v>
      </c>
      <c r="CH4" s="76"/>
      <c r="CI4" s="27">
        <v>683</v>
      </c>
      <c r="CJ4" s="28">
        <v>3.9381533361416698</v>
      </c>
      <c r="CK4" s="29">
        <v>3.4122849836781918E-2</v>
      </c>
      <c r="CL4" s="67"/>
      <c r="CM4" s="42">
        <v>209</v>
      </c>
      <c r="CN4" s="43">
        <v>4.0432402527794853</v>
      </c>
      <c r="CO4" s="67">
        <v>5.9923449011483138E-2</v>
      </c>
      <c r="CP4" s="10">
        <f>IF($CI4&lt;30,"NV",IF(CM4&gt;=30,(($CJ4-CN4))/SQRT(($CK4^2)+(CO4^2)),"NV"))</f>
        <v>-1.5239291459612321</v>
      </c>
      <c r="CQ4" s="10" t="str">
        <f>IF(CP4="NV"," ",IF(ABS(CP4)&gt;=1.96,"*"," "))</f>
        <v xml:space="preserve"> </v>
      </c>
      <c r="CR4" s="10"/>
      <c r="CS4" s="42">
        <v>241.26452309999937</v>
      </c>
      <c r="CT4" s="43">
        <v>4.0572995893982746</v>
      </c>
      <c r="CU4" s="67">
        <v>5.1998542743789594E-2</v>
      </c>
      <c r="CV4" s="10">
        <f>IF($CI4&lt;30,"NV",IF(CS4&gt;=30,(($CJ4-CT4))/SQRT(($CK4^2)+(CU4^2)),"NV"))</f>
        <v>-1.9156887850110955</v>
      </c>
      <c r="CW4" s="10" t="str">
        <f>IF(CV4="NV"," ",IF(ABS(CV4)&gt;=1.96,"*"," "))</f>
        <v xml:space="preserve"> </v>
      </c>
      <c r="CX4" s="10"/>
      <c r="CY4" s="53">
        <v>210</v>
      </c>
      <c r="CZ4" s="55">
        <v>4.1478754415568071</v>
      </c>
      <c r="DA4" s="56">
        <v>5.4332250857548732E-2</v>
      </c>
      <c r="DB4" s="10">
        <f>IF($CI4&lt;30,"NV",IF(CY4&gt;=30,(($CJ4-CZ4))/SQRT(($CK4^2)+(DA4^2)),"NV"))</f>
        <v>-3.2687929270655438</v>
      </c>
      <c r="DC4" s="10" t="str">
        <f t="shared" ref="DC4:DC41" si="0">IF(DB4="NV"," ",IF(ABS(DB4)&gt;=1.96,"*"," "))</f>
        <v>*</v>
      </c>
      <c r="DD4" s="10"/>
      <c r="DE4" s="54">
        <v>266</v>
      </c>
      <c r="DF4" s="57">
        <v>3.8713554055211001</v>
      </c>
      <c r="DG4" s="58">
        <v>5.4668970325986714E-2</v>
      </c>
      <c r="DH4" s="10">
        <f>IF($CI4&lt;30,"NV",IF(DE4&gt;=30,(($CJ4-DF4))/SQRT(($CK4^2)+(DG4^2)),"NV"))</f>
        <v>1.0365222613948553</v>
      </c>
      <c r="DI4" s="10" t="str">
        <f>IF(DH4="NV"," ",IF(ABS(DH4)&gt;=1.96,"*"," "))</f>
        <v xml:space="preserve"> </v>
      </c>
      <c r="DJ4" s="76"/>
      <c r="DK4" s="27">
        <v>205</v>
      </c>
      <c r="DL4" s="28">
        <v>3.5339375579418841</v>
      </c>
      <c r="DM4" s="29">
        <v>6.9842323972023002E-2</v>
      </c>
      <c r="DN4" s="10"/>
      <c r="DO4" s="42">
        <v>79</v>
      </c>
      <c r="DP4" s="43">
        <v>3.2667396868948502</v>
      </c>
      <c r="DQ4" s="67">
        <v>0.10779153532825089</v>
      </c>
      <c r="DR4" s="10">
        <f>IF($DK4&lt;30,"NV",IF(DO4&gt;=30,(($DL4-DP4))/SQRT(($DM4^2)+(DQ4^2)),"NV"))</f>
        <v>2.0803239211759581</v>
      </c>
      <c r="DS4" s="10" t="str">
        <f>IF(DR4="NV"," ",IF(ABS(DR4)&gt;=1.96,"*"," "))</f>
        <v>*</v>
      </c>
      <c r="DT4" s="10"/>
      <c r="DU4" s="42">
        <v>93.911593770000039</v>
      </c>
      <c r="DV4" s="43">
        <v>3.2770776200830731</v>
      </c>
      <c r="DW4" s="67">
        <v>0.10188785456111761</v>
      </c>
      <c r="DX4" s="10">
        <f>IF($DK4&lt;30,"NV",IF(DU4&gt;=30,(($DL4-DV4))/SQRT(($DM4^2)+(DW4^2)),"NV"))</f>
        <v>2.0793716821443429</v>
      </c>
      <c r="DY4" s="10" t="str">
        <f>IF(DX4="NV"," ",IF(ABS(DX4)&gt;=1.96,"*"," "))</f>
        <v>*</v>
      </c>
      <c r="DZ4" s="10"/>
      <c r="EA4" s="53">
        <v>89</v>
      </c>
      <c r="EB4" s="55">
        <v>3.286596497796062</v>
      </c>
      <c r="EC4" s="56">
        <v>9.9508741812641632E-2</v>
      </c>
      <c r="ED4" s="10">
        <f>IF($DK4&lt;30,"NV",IF(EA4&gt;=30,(($DL4-EB4))/SQRT(($DM4^2)+(EC4^2)),"NV"))</f>
        <v>2.0345102568227409</v>
      </c>
      <c r="EE4" s="10" t="str">
        <f>IF(ED4="NV"," ",IF(ABS(ED4)&gt;=1.96,"*"," "))</f>
        <v>*</v>
      </c>
      <c r="EF4" s="10"/>
      <c r="EG4" s="54">
        <v>59</v>
      </c>
      <c r="EH4" s="57">
        <v>3.5254237288135584</v>
      </c>
      <c r="EI4" s="58">
        <v>0.11819037417565548</v>
      </c>
      <c r="EJ4" s="10">
        <f>IF($DK4&lt;30,"NV",IF(EG4&gt;=30,(($DL4-EH4))/SQRT(($DM4^2)+(EI4^2)),"NV"))</f>
        <v>6.2016149281396718E-2</v>
      </c>
      <c r="EK4" s="10" t="str">
        <f>IF(EJ4="NV"," ",IF(ABS(EJ4)&gt;=1.96,"*"," "))</f>
        <v xml:space="preserve"> </v>
      </c>
      <c r="EL4" s="76"/>
      <c r="EM4" s="27">
        <v>448</v>
      </c>
      <c r="EN4" s="28">
        <v>4.0488661147560174</v>
      </c>
      <c r="EO4" s="29">
        <v>4.0703625600041052E-2</v>
      </c>
      <c r="EP4" s="10"/>
      <c r="EQ4" s="42">
        <v>153</v>
      </c>
      <c r="ER4" s="43">
        <v>4.0717866424260114</v>
      </c>
      <c r="ES4" s="67">
        <v>6.6276983568172076E-2</v>
      </c>
      <c r="ET4" s="10">
        <f>IF($EM4&lt;30,"NV",IF(EQ4&gt;=30,(($EN4-ER4))/SQRT(($EO4^2)+(ES4^2)),"NV"))</f>
        <v>-0.2946915006585844</v>
      </c>
      <c r="EU4" s="10" t="str">
        <f>IF(ET4="NV"," ",IF(ABS(ET4)&gt;=1.96,"*"," "))</f>
        <v xml:space="preserve"> </v>
      </c>
      <c r="EV4" s="10"/>
      <c r="EW4" s="42">
        <v>164.75046785999987</v>
      </c>
      <c r="EX4" s="43">
        <v>3.482693512576712</v>
      </c>
      <c r="EY4" s="67">
        <v>6.1184015587312332E-2</v>
      </c>
      <c r="EZ4" s="10">
        <f>IF($EM4&lt;30,"NV",IF(EW4&gt;=30,(($EN4-EX4))/SQRT(($EO4^2)+(EY4^2)),"NV"))</f>
        <v>7.7044414073682601</v>
      </c>
      <c r="FA4" s="10" t="str">
        <f>IF(EZ4="NV"," ",IF(ABS(EZ4)&gt;=1.96,"*"," "))</f>
        <v>*</v>
      </c>
      <c r="FB4" s="10"/>
      <c r="FC4" s="53">
        <v>153</v>
      </c>
      <c r="FD4" s="55">
        <v>3.6728567984262943</v>
      </c>
      <c r="FE4" s="56">
        <v>6.5236451717482491E-2</v>
      </c>
      <c r="FF4" s="10">
        <f>IF($EM4&lt;30,"NV",IF(FC4&gt;=30,(($EN4-FD4))/SQRT(($EO4^2)+(FE4^2)),"NV"))</f>
        <v>4.8900139603062573</v>
      </c>
      <c r="FG4" s="10" t="str">
        <f>IF(FF4="NV"," ",IF(ABS(FF4)&gt;=1.96,"*"," "))</f>
        <v>*</v>
      </c>
      <c r="FH4" s="10"/>
      <c r="FI4" s="54">
        <v>196</v>
      </c>
      <c r="FJ4" s="57">
        <v>3.5712950210785883</v>
      </c>
      <c r="FK4" s="58">
        <v>5.9838323615678667E-2</v>
      </c>
      <c r="FL4" s="10">
        <f>IF($EM4&lt;30,"NV",IF(FI4&gt;=30,(($EN4-FJ4))/SQRT(($EO4^2)+(FK4^2)),"NV"))</f>
        <v>6.5990245024651628</v>
      </c>
      <c r="FM4" s="10" t="str">
        <f>IF(FL4="NV"," ",IF(ABS(FL4)&gt;=1.96,"*"," "))</f>
        <v>*</v>
      </c>
      <c r="FN4" s="76"/>
      <c r="FO4" s="27">
        <v>208</v>
      </c>
      <c r="FP4" s="28">
        <v>3.4412048218553783</v>
      </c>
      <c r="FQ4" s="29">
        <v>6.6774601183214974E-2</v>
      </c>
      <c r="FR4" s="67"/>
      <c r="FS4" s="42">
        <v>163</v>
      </c>
      <c r="FT4" s="43">
        <v>3.5164982459678407</v>
      </c>
      <c r="FU4" s="67">
        <v>8.2411598866410793E-2</v>
      </c>
      <c r="FV4" s="10">
        <f>IF($FO4&lt;30,"NV",IF(FS4&gt;=30,(($FP4-FT4))/SQRT(($FQ4^2)+(FU4^2)),"NV"))</f>
        <v>-0.7098568366940633</v>
      </c>
      <c r="FW4" s="10" t="str">
        <f>IF(FV4="NV"," ",IF(ABS(FV4)&gt;=1.96,"*"," "))</f>
        <v xml:space="preserve"> </v>
      </c>
      <c r="FX4" s="67"/>
      <c r="FY4" s="42">
        <v>192.49816591000041</v>
      </c>
      <c r="FZ4" s="43">
        <v>3.5817975582809534</v>
      </c>
      <c r="GA4" s="67">
        <v>7.3184385483015355E-2</v>
      </c>
      <c r="GB4" s="10">
        <f>IF($FO4&lt;30,"NV",IF(FY4&gt;=30,(($FP4-FZ4))/SQRT(($FQ4^2)+(GA4^2)),"NV"))</f>
        <v>-1.4191298021453744</v>
      </c>
      <c r="GC4" s="10" t="str">
        <f>IF(GB4="NV"," ",IF(ABS(GB4)&gt;=1.96,"*"," "))</f>
        <v xml:space="preserve"> </v>
      </c>
      <c r="GD4" s="10"/>
      <c r="GE4" s="53">
        <v>218</v>
      </c>
      <c r="GF4" s="55">
        <v>3.3480677222533903</v>
      </c>
      <c r="GG4" s="56">
        <v>7.3857300952400187E-2</v>
      </c>
      <c r="GH4" s="10">
        <f>IF($FO4&lt;30,"NV",IF(GE4&gt;=30,(($FP4-GF4))/SQRT(($FQ4^2)+(GG4^2)),"NV"))</f>
        <v>0.93541378533414288</v>
      </c>
      <c r="GI4" s="10" t="str">
        <f>IF(GH4="NV"," ",IF(ABS(GH4)&gt;=1.96,"*"," "))</f>
        <v xml:space="preserve"> </v>
      </c>
      <c r="GJ4" s="10"/>
      <c r="GK4" s="54">
        <v>192</v>
      </c>
      <c r="GL4" s="57">
        <v>3.517142109605301</v>
      </c>
      <c r="GM4" s="58">
        <v>7.2996472330047565E-2</v>
      </c>
      <c r="GN4" s="10">
        <f>IF($FO4&lt;30,"NV",IF(GK4&gt;=30,(($FP4-GL4))/SQRT(($FQ4^2)+(GM4^2)),"NV"))</f>
        <v>-0.76757869821434843</v>
      </c>
      <c r="GO4" s="10" t="str">
        <f>IF(GN4="NV"," ",IF(ABS(GN4)&gt;=1.96,"*"," "))</f>
        <v xml:space="preserve"> </v>
      </c>
      <c r="GP4" s="76"/>
      <c r="GQ4" s="27">
        <v>216</v>
      </c>
      <c r="GR4" s="28">
        <v>3.6641485471927844</v>
      </c>
      <c r="GS4" s="29">
        <v>6.527613181664714E-2</v>
      </c>
      <c r="GT4" s="10"/>
      <c r="GU4" s="42">
        <v>129</v>
      </c>
      <c r="GV4" s="43">
        <v>3.6460661819189721</v>
      </c>
      <c r="GW4" s="67">
        <v>8.6196664768771275E-2</v>
      </c>
      <c r="GX4" s="10">
        <f>IF($GQ4&lt;30,"NV",IF(GU4&gt;=30,(($GR4-GV4))/SQRT(($GS4^2)+(GW4^2)),"NV"))</f>
        <v>0.16723701576550193</v>
      </c>
      <c r="GY4" s="10" t="str">
        <f>IF(GX4="NV"," ",IF(ABS(GX4)&gt;=1.96,"*"," "))</f>
        <v xml:space="preserve"> </v>
      </c>
      <c r="GZ4" s="10"/>
      <c r="HA4" s="42">
        <v>123.95796822999989</v>
      </c>
      <c r="HB4" s="43">
        <v>3.7654162645999047</v>
      </c>
      <c r="HC4" s="67">
        <v>8.8423068760738077E-2</v>
      </c>
      <c r="HD4" s="10">
        <f>IF($GQ4&lt;30,"NV",IF(HA4&gt;=30,(($GR4-HB4))/SQRT(($GS4^2)+(HC4^2)),"NV"))</f>
        <v>-0.92139217586511057</v>
      </c>
      <c r="HE4" s="10" t="str">
        <f>IF(HD4="NV"," ",IF(ABS(HD4)&gt;=1.96,"*"," "))</f>
        <v xml:space="preserve"> </v>
      </c>
      <c r="HF4" s="10"/>
      <c r="HG4" s="53">
        <v>91</v>
      </c>
      <c r="HH4" s="55">
        <v>3.6397365232469299</v>
      </c>
      <c r="HI4" s="56">
        <v>8.2503369284457534E-2</v>
      </c>
      <c r="HJ4" s="10">
        <f>IF($GQ4&lt;30,"NV",IF(HG4&gt;=30,(($GR4-HH4))/SQRT(($GS4^2)+(HI4^2)),"NV"))</f>
        <v>0.23204570884036185</v>
      </c>
      <c r="HK4" s="10" t="str">
        <f>IF(HJ4="NV"," ",IF(ABS(HJ4)&gt;=1.96,"*"," "))</f>
        <v xml:space="preserve"> </v>
      </c>
      <c r="HL4" s="10"/>
      <c r="HM4" s="54">
        <v>150</v>
      </c>
      <c r="HN4" s="57">
        <v>3.695741758583273</v>
      </c>
      <c r="HO4" s="58">
        <v>8.5077486818426501E-2</v>
      </c>
      <c r="HP4" s="10">
        <f>IF($GQ4&lt;30,"NV",IF(HM4&gt;=30,(($GR4-HN4))/SQRT(($GS4^2)+(HO4^2)),"NV"))</f>
        <v>-0.29461907607181204</v>
      </c>
      <c r="HQ4" s="10" t="str">
        <f>IF(HP4="NV"," ",IF(ABS(HP4)&gt;=1.96,"*"," "))</f>
        <v xml:space="preserve"> </v>
      </c>
      <c r="HR4" s="76"/>
      <c r="HS4" s="27">
        <v>559</v>
      </c>
      <c r="HT4" s="28">
        <v>3.731420697617672</v>
      </c>
      <c r="HU4" s="29">
        <v>4.0789832672395422E-2</v>
      </c>
      <c r="HV4" s="10"/>
      <c r="HW4" s="42">
        <v>392</v>
      </c>
      <c r="HX4" s="43">
        <v>3.6767433542194947</v>
      </c>
      <c r="HY4" s="67">
        <v>4.9524003785549345E-2</v>
      </c>
      <c r="HZ4" s="10">
        <f>IF($HS4&lt;30,"NV",IF(HW4&gt;=30,(($HT4-HX4))/SQRT(($HU4^2)+(HY4^2)),"NV"))</f>
        <v>0.85221004260078292</v>
      </c>
      <c r="IA4" s="10" t="str">
        <f>IF(HZ4="NV"," ",IF(ABS(HZ4)&gt;=1.96,"*"," "))</f>
        <v xml:space="preserve"> </v>
      </c>
      <c r="IB4" s="10"/>
      <c r="IC4" s="42">
        <v>411.31028904000033</v>
      </c>
      <c r="ID4" s="43">
        <v>3.7288003099062954</v>
      </c>
      <c r="IE4" s="67">
        <v>4.5875530894211008E-2</v>
      </c>
      <c r="IF4" s="10">
        <f>IF($HS4&lt;30,"NV",IF(IC4&gt;=30,(($HT4-ID4))/SQRT(($HU4^2)+(IE4^2)),"NV"))</f>
        <v>4.2686299730725089E-2</v>
      </c>
      <c r="IG4" s="10" t="str">
        <f>IF(IF4="NV"," ",IF(ABS(IF4)&gt;=1.96,"*"," "))</f>
        <v xml:space="preserve"> </v>
      </c>
      <c r="IH4" s="10"/>
      <c r="II4" s="53">
        <v>397</v>
      </c>
      <c r="IJ4" s="55">
        <v>3.7658708977650828</v>
      </c>
      <c r="IK4" s="56">
        <v>4.7916064188388396E-2</v>
      </c>
      <c r="IL4" s="10">
        <f>IF($HS4&lt;30,"NV",IF(II4&gt;=30,(($HT4-IJ4))/SQRT(($HU4^2)+(IK4^2)),"NV"))</f>
        <v>-0.54746623107467807</v>
      </c>
      <c r="IM4" s="10" t="str">
        <f>IF(IL4="NV"," ",IF(ABS(IL4)&gt;=1.96,"*"," "))</f>
        <v xml:space="preserve"> </v>
      </c>
      <c r="IN4" s="10"/>
      <c r="IO4" s="54">
        <v>423</v>
      </c>
      <c r="IP4" s="57">
        <v>3.7567079770771268</v>
      </c>
      <c r="IQ4" s="58">
        <v>4.6372164687911797E-2</v>
      </c>
      <c r="IR4" s="10">
        <f>IF($HS4&lt;30,"NV",IF(IO4&gt;=30,(($HT4-IP4))/SQRT(($HU4^2)+(IQ4^2)),"NV"))</f>
        <v>-0.40945016861876193</v>
      </c>
      <c r="IS4" s="10" t="str">
        <f>IF(IR4="NV"," ",IF(ABS(IR4)&gt;=1.96,"*"," "))</f>
        <v xml:space="preserve"> </v>
      </c>
      <c r="IT4" s="76"/>
      <c r="IU4" s="27">
        <v>46</v>
      </c>
      <c r="IV4" s="28">
        <v>3.8695652173913042</v>
      </c>
      <c r="IW4" s="29">
        <v>0.16040781814817395</v>
      </c>
      <c r="IX4" s="10"/>
      <c r="IY4" s="42">
        <v>34</v>
      </c>
      <c r="IZ4" s="43">
        <v>4.0306004616323223</v>
      </c>
      <c r="JA4" s="67">
        <v>0.14912322143520018</v>
      </c>
      <c r="JB4" s="10">
        <f>IF($IU4&lt;30,"NV",IF(IY4&gt;=30,(($IV4-IZ4))/SQRT(($IW4^2)+(JA4^2)),"NV"))</f>
        <v>-0.73526400420989668</v>
      </c>
      <c r="JC4" s="10" t="str">
        <f>IF(JB4="NV"," ",IF(ABS(JB4)&gt;=1.96,"*"," "))</f>
        <v xml:space="preserve"> </v>
      </c>
      <c r="JD4" s="10"/>
      <c r="JE4" s="42">
        <v>32.673939870000005</v>
      </c>
      <c r="JF4" s="43">
        <v>4.0303030303030312</v>
      </c>
      <c r="JG4" s="67">
        <v>0.15456053843752271</v>
      </c>
      <c r="JH4" s="10">
        <f>IF($IU4&lt;30,"NV",IF(JE4&gt;=30,(($IV4-JF4))/SQRT(($IW4^2)+(JG4^2)),"NV"))</f>
        <v>-0.72159132264545145</v>
      </c>
      <c r="JI4" s="10" t="str">
        <f>IF(JH4="NV"," ",IF(ABS(JH4)&gt;=1.96,"*"," "))</f>
        <v xml:space="preserve"> </v>
      </c>
      <c r="JJ4" s="10"/>
      <c r="JK4" s="53">
        <v>28</v>
      </c>
      <c r="JL4" s="55">
        <v>3.8571428571428568</v>
      </c>
      <c r="JM4" s="56">
        <v>0.19277796434645214</v>
      </c>
      <c r="JN4" s="10" t="str">
        <f>IF($IU4&lt;30,"NV",IF(JK4&gt;=30,(($IV4-JL4))/SQRT(($IW4^2)+(JM4^2)),"NV"))</f>
        <v>NV</v>
      </c>
      <c r="JO4" s="10" t="str">
        <f>IF(JN4="NV"," ",IF(ABS(JN4)&gt;=1.96,"*"," "))</f>
        <v xml:space="preserve"> </v>
      </c>
      <c r="JP4" s="10"/>
      <c r="JQ4" s="54">
        <v>51</v>
      </c>
      <c r="JR4" s="57">
        <v>3.6274509803921569</v>
      </c>
      <c r="JS4" s="58">
        <v>0.1612318581822913</v>
      </c>
      <c r="JT4" s="10">
        <f>IF($IU4&lt;30,"NV",IF(JQ4&gt;=30,(($IV4-JR4))/SQRT(($IW4^2)+(JS4^2)),"NV"))</f>
        <v>1.0645456362467465</v>
      </c>
      <c r="JU4" s="10" t="str">
        <f>IF(JT4="NV"," ",IF(ABS(JT4)&gt;=1.96,"*"," "))</f>
        <v xml:space="preserve"> </v>
      </c>
      <c r="JV4" s="76"/>
      <c r="JW4" s="27">
        <v>515</v>
      </c>
      <c r="JX4" s="28">
        <v>3.2269821035711903</v>
      </c>
      <c r="JY4" s="29">
        <v>4.840224527506877E-2</v>
      </c>
      <c r="JZ4" s="10"/>
      <c r="KA4" s="42">
        <v>306</v>
      </c>
      <c r="KB4" s="43">
        <v>3.1866452647658972</v>
      </c>
      <c r="KC4" s="67">
        <v>6.5685588654869245E-2</v>
      </c>
      <c r="KD4" s="10">
        <f>IF($JW4&lt;30,"NV",IF(KA4&gt;=30,(($JX4-KB4))/SQRT(($JY4^2)+(KC4^2)),"NV"))</f>
        <v>0.49436803804368168</v>
      </c>
      <c r="KE4" s="10" t="str">
        <f>IF(KD4="NV"," ",IF(ABS(KD4)&gt;=1.96,"*"," "))</f>
        <v xml:space="preserve"> </v>
      </c>
      <c r="KF4" s="10"/>
      <c r="KG4" s="42">
        <v>362.2015676900009</v>
      </c>
      <c r="KH4" s="43">
        <v>3.4821309391721376</v>
      </c>
      <c r="KI4" s="67">
        <v>5.4182236286175994E-2</v>
      </c>
      <c r="KJ4" s="10">
        <f>IF($JW4&lt;30,"NV",IF(KG4&gt;=30,(($JX4-KH4))/SQRT(($JY4^2)+(KI4^2)),"NV"))</f>
        <v>-3.511871800142857</v>
      </c>
      <c r="KK4" s="10" t="str">
        <f>IF(KJ4="NV"," ",IF(ABS(KJ4)&gt;=1.96,"*"," "))</f>
        <v>*</v>
      </c>
      <c r="KL4" s="10"/>
      <c r="KM4" s="53">
        <v>686</v>
      </c>
      <c r="KN4" s="55">
        <v>3.1958213629977821</v>
      </c>
      <c r="KO4" s="56">
        <v>4.1716805128082339E-2</v>
      </c>
      <c r="KP4" s="10">
        <f>IF($JW4&lt;30,"NV",IF(KM4&gt;=30,(($JX4-KN4))/SQRT(($JY4^2)+(KO4^2)),"NV"))</f>
        <v>0.48765693153352435</v>
      </c>
      <c r="KQ4" s="10" t="str">
        <f>IF(KP4="NV"," ",IF(ABS(KP4)&gt;=1.96,"*"," "))</f>
        <v xml:space="preserve"> </v>
      </c>
      <c r="KR4" s="10"/>
      <c r="KS4" s="54">
        <v>681</v>
      </c>
      <c r="KT4" s="57">
        <v>3.1261893057840155</v>
      </c>
      <c r="KU4" s="58">
        <v>3.908152568529917E-2</v>
      </c>
      <c r="KV4" s="10">
        <f>IF($JW4&lt;30,"NV",IF(KS4&gt;=30,(($JX4-KT4))/SQRT(($JY4^2)+(KU4^2)),"NV"))</f>
        <v>1.6201901756860402</v>
      </c>
      <c r="KW4" s="10" t="str">
        <f>IF(KV4="NV"," ",IF(ABS(KV4)&gt;=1.96,"*"," "))</f>
        <v xml:space="preserve"> </v>
      </c>
      <c r="KX4" s="76"/>
      <c r="KY4" s="27">
        <v>188</v>
      </c>
      <c r="KZ4" s="28">
        <v>3.7340577342765431</v>
      </c>
      <c r="LA4" s="29">
        <v>7.1719761480306898E-2</v>
      </c>
      <c r="LB4" s="10"/>
      <c r="LC4" s="42">
        <v>189</v>
      </c>
      <c r="LD4" s="43">
        <v>3.6718214842022201</v>
      </c>
      <c r="LE4" s="67">
        <v>7.2642631814280212E-2</v>
      </c>
      <c r="LF4" s="10">
        <f>IF($KY4&lt;30,"NV",IF(LC4&gt;=30,(($KZ4-LD4))/SQRT(($LA4^2)+(LE4^2)),"NV"))</f>
        <v>0.60967090188305606</v>
      </c>
      <c r="LG4" s="10" t="str">
        <f>IF(LF4="NV"," ",IF(ABS(LF4)&gt;=1.96,"*"," "))</f>
        <v xml:space="preserve"> </v>
      </c>
      <c r="LH4" s="10"/>
      <c r="LI4" s="42">
        <v>196.52048600999947</v>
      </c>
      <c r="LJ4" s="43">
        <v>3.8345465574599435</v>
      </c>
      <c r="LK4" s="67">
        <v>6.7291954913815052E-2</v>
      </c>
      <c r="LL4" s="10">
        <f>IF($KY4&lt;30,"NV",IF(LI4&gt;=30,(($KZ4-LJ4))/SQRT(($LA4^2)+(LK4^2)),"NV"))</f>
        <v>-1.0217888444187311</v>
      </c>
      <c r="LM4" s="10" t="str">
        <f>IF(LL4="NV"," ",IF(ABS(LL4)&gt;=1.96,"*"," "))</f>
        <v xml:space="preserve"> </v>
      </c>
      <c r="LN4" s="10"/>
      <c r="LO4" s="53">
        <v>495</v>
      </c>
      <c r="LP4" s="55">
        <v>3.5676767676767671</v>
      </c>
      <c r="LQ4" s="56">
        <v>4.3470341391753195E-2</v>
      </c>
      <c r="LR4" s="10">
        <f>IF($KY4&lt;30,"NV",IF(LO4&gt;=30,(($KZ4-LP4))/SQRT(($LA4^2)+(LQ4^2)),"NV"))</f>
        <v>1.9839062519257262</v>
      </c>
      <c r="LS4" s="10" t="str">
        <f>IF(LR4="NV"," ",IF(ABS(LR4)&gt;=1.96,"*"," "))</f>
        <v>*</v>
      </c>
      <c r="LT4" s="10"/>
      <c r="LU4" s="54">
        <v>477</v>
      </c>
      <c r="LV4" s="57">
        <v>3.6119261947606529</v>
      </c>
      <c r="LW4" s="58">
        <v>4.7034119518220341E-2</v>
      </c>
      <c r="LX4" s="10">
        <f>IF($KY4&lt;30,"NV",IF(LU4&gt;=30,(($KZ4-LV4))/SQRT(($LA4^2)+(LW4^2)),"NV"))</f>
        <v>1.4239966295284801</v>
      </c>
      <c r="LY4" s="10" t="str">
        <f>IF(LX4="NV"," ",IF(ABS(LX4)&gt;=1.96,"*"," "))</f>
        <v xml:space="preserve"> </v>
      </c>
      <c r="LZ4" s="76"/>
      <c r="MA4" s="27">
        <v>206</v>
      </c>
      <c r="MB4" s="28">
        <v>3.7087201762276614</v>
      </c>
      <c r="MC4" s="29">
        <v>6.1651543610957024E-2</v>
      </c>
      <c r="MD4" s="10"/>
      <c r="ME4" s="42">
        <v>136</v>
      </c>
      <c r="MF4" s="43">
        <v>3.7506501009837363</v>
      </c>
      <c r="MG4" s="67">
        <v>8.5952730915357059E-2</v>
      </c>
      <c r="MH4" s="10">
        <f>IF($MA4&lt;30,"NV",IF(ME4&gt;=30,(($MB4-MF4))/SQRT(($MC4^2)+(MG4^2)),"NV"))</f>
        <v>-0.39639906640023664</v>
      </c>
      <c r="MI4" s="10" t="str">
        <f>IF(MH4="NV"," ",IF(ABS(MH4)&gt;=1.96,"*"," "))</f>
        <v xml:space="preserve"> </v>
      </c>
      <c r="MJ4" s="10"/>
      <c r="MK4" s="42">
        <v>126.66243030000007</v>
      </c>
      <c r="ML4" s="43">
        <v>3.7617254901984931</v>
      </c>
      <c r="MM4" s="67">
        <v>8.6579662892217149E-2</v>
      </c>
      <c r="MN4" s="10">
        <f>IF($MA4&lt;30,"NV",IF(MK4&gt;=30,(($MB4-ML4))/SQRT(($MC4^2)+(MM4^2)),"NV"))</f>
        <v>-0.49869933786765286</v>
      </c>
      <c r="MO4" s="10" t="str">
        <f>IF(MN4="NV"," ",IF(ABS(MN4)&gt;=1.96,"*"," "))</f>
        <v xml:space="preserve"> </v>
      </c>
      <c r="MP4" s="10"/>
      <c r="MQ4" s="53">
        <v>217</v>
      </c>
      <c r="MR4" s="55">
        <v>3.5884849000972054</v>
      </c>
      <c r="MS4" s="56">
        <v>6.4832939341233783E-2</v>
      </c>
      <c r="MT4" s="10">
        <f>IF($MA4&lt;30,"NV",IF(MQ4&gt;=30,(($MB4-MR4))/SQRT(($MC4^2)+(MS4^2)),"NV"))</f>
        <v>1.3439166027397385</v>
      </c>
      <c r="MU4" s="10" t="str">
        <f>IF(MT4="NV"," ",IF(ABS(MT4)&gt;=1.96,"*"," "))</f>
        <v xml:space="preserve"> </v>
      </c>
      <c r="MV4" s="10"/>
      <c r="MW4" s="54">
        <v>220</v>
      </c>
      <c r="MX4" s="57">
        <v>3.6898636514754508</v>
      </c>
      <c r="MY4" s="58">
        <v>6.2673152589604625E-2</v>
      </c>
      <c r="MZ4" s="10">
        <f>IF($MA4&lt;30,"NV",IF(MW4&gt;=30,(($MB4-MX4))/SQRT(($MC4^2)+(MY4^2)),"NV"))</f>
        <v>0.21448878280272451</v>
      </c>
      <c r="NA4" s="10" t="str">
        <f>IF(MZ4="NV"," ",IF(ABS(MZ4)&gt;=1.96,"*"," "))</f>
        <v xml:space="preserve"> </v>
      </c>
      <c r="NB4" s="58"/>
    </row>
    <row r="5" spans="1:366" x14ac:dyDescent="0.2">
      <c r="B5" s="65" t="s">
        <v>3</v>
      </c>
      <c r="C5" s="27">
        <v>50</v>
      </c>
      <c r="D5" s="28">
        <v>3.399999999999999</v>
      </c>
      <c r="E5" s="29">
        <v>0.15845781508628221</v>
      </c>
      <c r="F5" s="10"/>
      <c r="G5" s="42">
        <v>14</v>
      </c>
      <c r="H5" s="43">
        <v>3.4285714285714284</v>
      </c>
      <c r="I5" s="67">
        <v>0.32773537664877028</v>
      </c>
      <c r="J5" s="10" t="str">
        <f t="shared" ref="J5:J41" si="1">IF($C5&lt;30,"NV",IF(G5&gt;=30,(($D5-H5))/SQRT(($E5^2)+(I5^2)),"NV"))</f>
        <v>NV</v>
      </c>
      <c r="K5" s="10" t="str">
        <f t="shared" ref="K5:K41" si="2">IF(J5="NV"," ",IF(ABS(J5)&gt;=1.96,"*"," "))</f>
        <v xml:space="preserve"> </v>
      </c>
      <c r="L5" s="10"/>
      <c r="M5" s="42">
        <v>36.390869550000026</v>
      </c>
      <c r="N5" s="43">
        <v>3.1714285714285713</v>
      </c>
      <c r="O5" s="67">
        <v>0.15293444679961896</v>
      </c>
      <c r="P5" s="10">
        <f t="shared" ref="P5:P41" si="3">IF($C5&lt;30,"NV",IF(M5&gt;=30,(($D5-N5))/SQRT(($E5^2)+(O5^2)),"NV"))</f>
        <v>1.0379126742475855</v>
      </c>
      <c r="Q5" s="10" t="str">
        <f t="shared" ref="Q5:Q41" si="4">IF(P5="NV"," ",IF(ABS(P5)&gt;=1.96,"*"," "))</f>
        <v xml:space="preserve"> </v>
      </c>
      <c r="R5" s="10"/>
      <c r="S5" s="53">
        <v>25</v>
      </c>
      <c r="T5" s="55">
        <v>3.48</v>
      </c>
      <c r="U5" s="56">
        <v>0.12185611151453654</v>
      </c>
      <c r="V5" s="10" t="str">
        <f t="shared" ref="V5:V41" si="5">IF($C5&lt;30,"NV",IF(S5&gt;=30,(($D5-T5))/SQRT(($E5^2)+(U5^2)),"NV"))</f>
        <v>NV</v>
      </c>
      <c r="W5" s="10" t="str">
        <f t="shared" ref="W5:W41" si="6">IF(V5="NV"," ",IF(ABS(V5)&gt;=1.96,"*"," "))</f>
        <v xml:space="preserve"> </v>
      </c>
      <c r="X5" s="10"/>
      <c r="Y5" s="54">
        <v>22</v>
      </c>
      <c r="Z5" s="57">
        <v>3.8181818181818183</v>
      </c>
      <c r="AA5" s="58">
        <v>0.18039452838564057</v>
      </c>
      <c r="AB5" s="10" t="str">
        <f t="shared" ref="AB5:AB41" si="7">IF($C5&lt;30,"NV",IF(Y5&gt;=30,(($D5-Z5))/SQRT(($E5^2)+(AA5^2)),"NV"))</f>
        <v>NV</v>
      </c>
      <c r="AC5" s="10" t="str">
        <f t="shared" ref="AC5:AC41" si="8">IF(AB5="NV"," ",IF(ABS(AB5)&gt;=1.96,"*"," "))</f>
        <v xml:space="preserve"> </v>
      </c>
      <c r="AD5" s="76"/>
      <c r="AE5" s="27">
        <v>17</v>
      </c>
      <c r="AF5" s="28">
        <v>3.7058823529411766</v>
      </c>
      <c r="AG5" s="29">
        <v>0.2631322405193311</v>
      </c>
      <c r="AH5" s="67"/>
      <c r="AI5" s="42">
        <v>12</v>
      </c>
      <c r="AJ5" s="43">
        <v>3.5</v>
      </c>
      <c r="AK5" s="67">
        <v>0.28748043870951107</v>
      </c>
      <c r="AL5" s="10" t="str">
        <f t="shared" ref="AL5:AL41" si="9">IF($AE5&lt;30,"NV",IF(AI5&gt;=30,(($AF5-AJ5))/SQRT(($AG5^2)+(AK5^2)),"NV"))</f>
        <v>NV</v>
      </c>
      <c r="AM5" s="10" t="str">
        <f t="shared" ref="AM5:AM41" si="10">IF(AL5="NV"," ",IF(ABS(AL5)&gt;=1.96,"*"," "))</f>
        <v xml:space="preserve"> </v>
      </c>
      <c r="AN5" s="67"/>
      <c r="AO5" s="42">
        <v>18.152050710000001</v>
      </c>
      <c r="AP5" s="43">
        <v>3.263157894736842</v>
      </c>
      <c r="AQ5" s="67">
        <v>0.15355529650497107</v>
      </c>
      <c r="AR5" s="10" t="str">
        <f t="shared" ref="AR5:AR41" si="11">IF($AE5&lt;30,"NV",IF(AO5&gt;=30,(($AF5-AP5))/SQRT(($AG5^2)+(AQ5^2)),"NV"))</f>
        <v>NV</v>
      </c>
      <c r="AS5" s="10" t="str">
        <f t="shared" ref="AS5:AS41" si="12">IF(AR5="NV"," ",IF(ABS(AR5)&gt;=1.96,"*"," "))</f>
        <v xml:space="preserve"> </v>
      </c>
      <c r="AT5" s="10"/>
      <c r="AU5" s="53">
        <v>38</v>
      </c>
      <c r="AV5" s="55">
        <v>3.4577295494224844</v>
      </c>
      <c r="AW5" s="56">
        <v>0.16183941775764335</v>
      </c>
      <c r="AX5" s="10" t="str">
        <f t="shared" ref="AX5:AX41" si="13">IF($AE5&lt;30,"NV",IF(AU5&gt;=30,(($AF5-AV5))/SQRT(($AG5^2)+(AW5^2)),"NV"))</f>
        <v>NV</v>
      </c>
      <c r="AY5" s="10" t="str">
        <f t="shared" ref="AY5:AY41" si="14">IF(AX5="NV"," ",IF(ABS(AX5)&gt;=1.96,"*"," "))</f>
        <v xml:space="preserve"> </v>
      </c>
      <c r="AZ5" s="10"/>
      <c r="BA5" s="54">
        <v>22</v>
      </c>
      <c r="BB5" s="57">
        <v>2.8262490895387109</v>
      </c>
      <c r="BC5" s="58">
        <v>0.22051472836559322</v>
      </c>
      <c r="BD5" s="10" t="str">
        <f t="shared" ref="BD5:BD41" si="15">IF($AE5&lt;30,"NV",IF(BA5&gt;=30,(($AF5-BB5))/SQRT(($AG5^2)+(BC5^2)),"NV"))</f>
        <v>NV</v>
      </c>
      <c r="BE5" s="10" t="str">
        <f t="shared" ref="BE5:BE41" si="16">IF(BD5="NV"," ",IF(ABS(BD5)&gt;=1.96,"*"," "))</f>
        <v xml:space="preserve"> </v>
      </c>
      <c r="BF5" s="76"/>
      <c r="BG5" s="27">
        <v>159</v>
      </c>
      <c r="BH5" s="28">
        <v>3.7011690222732714</v>
      </c>
      <c r="BI5" s="29">
        <v>7.0190714128314333E-2</v>
      </c>
      <c r="BJ5" s="10"/>
      <c r="BK5" s="42">
        <v>55</v>
      </c>
      <c r="BL5" s="43">
        <v>3.7090645143100058</v>
      </c>
      <c r="BM5" s="67">
        <v>0.12605638317854037</v>
      </c>
      <c r="BN5" s="10">
        <f t="shared" ref="BN5:BN41" si="17">IF($BG5&lt;30,"NV",IF(BK5&gt;=30,(($BH5-BL5))/SQRT(($BI5^2)+(BM5^2)),"NV"))</f>
        <v>-5.4723097296933788E-2</v>
      </c>
      <c r="BO5" s="10" t="str">
        <f t="shared" ref="BO5:BO41" si="18">IF(BN5="NV"," ",IF(ABS(BN5)&gt;=1.96,"*"," "))</f>
        <v xml:space="preserve"> </v>
      </c>
      <c r="BP5" s="10"/>
      <c r="BQ5" s="42">
        <v>65.501165100000009</v>
      </c>
      <c r="BR5" s="43">
        <v>3.2659870410457787</v>
      </c>
      <c r="BS5" s="67">
        <v>7.9199542327894626E-2</v>
      </c>
      <c r="BT5" s="10">
        <f t="shared" ref="BT5:BT41" si="19">IF($BG5&lt;30,"NV",IF(BQ5&gt;=30,(($BH5-BR5))/SQRT(($BI5^2)+(BS5^2)),"NV"))</f>
        <v>4.1122110058581223</v>
      </c>
      <c r="BU5" s="10" t="str">
        <f t="shared" ref="BU5:BU41" si="20">IF(BT5="NV"," ",IF(ABS(BT5)&gt;=1.96,"*"," "))</f>
        <v>*</v>
      </c>
      <c r="BV5" s="10"/>
      <c r="BW5" s="53">
        <v>50</v>
      </c>
      <c r="BX5" s="55">
        <v>3.6954284880315811</v>
      </c>
      <c r="BY5" s="56">
        <v>6.5898737340311639E-2</v>
      </c>
      <c r="BZ5" s="10">
        <f t="shared" ref="BZ5:BZ41" si="21">IF($BG5&lt;30,"NV",IF(BW5&gt;=30,(($BH5-BX5))/SQRT(($BI5^2)+(BY5^2)),"NV"))</f>
        <v>5.9624804782455174E-2</v>
      </c>
      <c r="CA5" s="10" t="str">
        <f t="shared" ref="CA5:CA41" si="22">IF(BZ5="NV"," ",IF(ABS(BZ5)&gt;=1.96,"*"," "))</f>
        <v xml:space="preserve"> </v>
      </c>
      <c r="CB5" s="10"/>
      <c r="CC5" s="54">
        <v>76</v>
      </c>
      <c r="CD5" s="57">
        <v>3.3392033177262856</v>
      </c>
      <c r="CE5" s="58">
        <v>0.11522373643451807</v>
      </c>
      <c r="CF5" s="10">
        <f t="shared" ref="CF5:CF41" si="23">IF($BG5&lt;30,"NV",IF(CC5&gt;=30,(($BH5-CD5))/SQRT(($BI5^2)+(CE5^2)),"NV"))</f>
        <v>2.682829094313409</v>
      </c>
      <c r="CG5" s="10" t="str">
        <f t="shared" ref="CG5:CG41" si="24">IF(CF5="NV"," ",IF(ABS(CF5)&gt;=1.96,"*"," "))</f>
        <v>*</v>
      </c>
      <c r="CH5" s="76"/>
      <c r="CI5" s="27">
        <v>61</v>
      </c>
      <c r="CJ5" s="28">
        <v>3.6236438878768524</v>
      </c>
      <c r="CK5" s="29">
        <v>0.12226396892880298</v>
      </c>
      <c r="CL5" s="67"/>
      <c r="CM5" s="42">
        <v>24</v>
      </c>
      <c r="CN5" s="43">
        <v>3.9999999999999991</v>
      </c>
      <c r="CO5" s="67">
        <v>0.13428956499845884</v>
      </c>
      <c r="CP5" s="10" t="str">
        <f t="shared" ref="CP5:CP41" si="25">IF($CI5&lt;30,"NV",IF(CM5&gt;=30,(($CJ5-CN5))/SQRT(($CK5^2)+(CO5^2)),"NV"))</f>
        <v>NV</v>
      </c>
      <c r="CQ5" s="10" t="str">
        <f t="shared" ref="CQ5:CQ41" si="26">IF(CP5="NV"," ",IF(ABS(CP5)&gt;=1.96,"*"," "))</f>
        <v xml:space="preserve"> </v>
      </c>
      <c r="CR5" s="10"/>
      <c r="CS5" s="42">
        <v>34.899567480000002</v>
      </c>
      <c r="CT5" s="43">
        <v>3.8631256547022406</v>
      </c>
      <c r="CU5" s="67">
        <v>0.15215428813646462</v>
      </c>
      <c r="CV5" s="10">
        <f t="shared" ref="CV5:CV41" si="27">IF($CI5&lt;30,"NV",IF(CS5&gt;=30,(($CJ5-CT5))/SQRT(($CK5^2)+(CU5^2)),"NV"))</f>
        <v>-1.2269118302669373</v>
      </c>
      <c r="CW5" s="10" t="str">
        <f t="shared" ref="CW5:CW41" si="28">IF(CV5="NV"," ",IF(ABS(CV5)&gt;=1.96,"*"," "))</f>
        <v xml:space="preserve"> </v>
      </c>
      <c r="CX5" s="10"/>
      <c r="CY5" s="53">
        <v>26</v>
      </c>
      <c r="CZ5" s="55">
        <v>4.30863593678251</v>
      </c>
      <c r="DA5" s="56">
        <v>0.16559439127203004</v>
      </c>
      <c r="DB5" s="10" t="str">
        <f t="shared" ref="DB5:DB41" si="29">IF($CI5&lt;30,"NV",IF(CY5&gt;=30,(($CJ5-CZ5))/SQRT(($CK5^2)+(DA5^2)),"NV"))</f>
        <v>NV</v>
      </c>
      <c r="DC5" s="10" t="str">
        <f t="shared" si="0"/>
        <v xml:space="preserve"> </v>
      </c>
      <c r="DD5" s="10"/>
      <c r="DE5" s="54">
        <v>35</v>
      </c>
      <c r="DF5" s="57">
        <v>3.8962707306713038</v>
      </c>
      <c r="DG5" s="58">
        <v>0.13620730606482401</v>
      </c>
      <c r="DH5" s="10">
        <f t="shared" ref="DH5:DH41" si="30">IF($CI5&lt;30,"NV",IF(DE5&gt;=30,(($CJ5-DF5))/SQRT(($CK5^2)+(DG5^2)),"NV"))</f>
        <v>-1.4894993669375962</v>
      </c>
      <c r="DI5" s="10" t="str">
        <f t="shared" ref="DI5:DI41" si="31">IF(DH5="NV"," ",IF(ABS(DH5)&gt;=1.96,"*"," "))</f>
        <v xml:space="preserve"> </v>
      </c>
      <c r="DJ5" s="76"/>
      <c r="DK5" s="27">
        <v>25</v>
      </c>
      <c r="DL5" s="28">
        <v>3.4400946319169514</v>
      </c>
      <c r="DM5" s="29">
        <v>0.15357665459858272</v>
      </c>
      <c r="DN5" s="10"/>
      <c r="DO5" s="42">
        <v>10</v>
      </c>
      <c r="DP5" s="43">
        <v>3.3976072787913121</v>
      </c>
      <c r="DQ5" s="67">
        <v>0.3396917954069103</v>
      </c>
      <c r="DR5" s="10" t="str">
        <f t="shared" ref="DR5:DR41" si="32">IF($DK5&lt;30,"NV",IF(DO5&gt;=30,(($DL5-DP5))/SQRT(($DM5^2)+(DQ5^2)),"NV"))</f>
        <v>NV</v>
      </c>
      <c r="DS5" s="10" t="str">
        <f t="shared" ref="DS5:DS41" si="33">IF(DR5="NV"," ",IF(ABS(DR5)&gt;=1.96,"*"," "))</f>
        <v xml:space="preserve"> </v>
      </c>
      <c r="DT5" s="10"/>
      <c r="DU5" s="42">
        <v>13.09476849</v>
      </c>
      <c r="DV5" s="43">
        <v>3.079401108220738</v>
      </c>
      <c r="DW5" s="67">
        <v>0.26775508668156994</v>
      </c>
      <c r="DX5" s="10" t="str">
        <f t="shared" ref="DX5:DX41" si="34">IF($DK5&lt;30,"NV",IF(DU5&gt;=30,(($DL5-DV5))/SQRT(($DM5^2)+(DW5^2)),"NV"))</f>
        <v>NV</v>
      </c>
      <c r="DY5" s="10" t="str">
        <f t="shared" ref="DY5:DY41" si="35">IF(DX5="NV"," ",IF(ABS(DX5)&gt;=1.96,"*"," "))</f>
        <v xml:space="preserve"> </v>
      </c>
      <c r="DZ5" s="10"/>
      <c r="EA5" s="53">
        <v>10</v>
      </c>
      <c r="EB5" s="55">
        <v>3.4284096062339748</v>
      </c>
      <c r="EC5" s="56">
        <v>0.2790431152055185</v>
      </c>
      <c r="ED5" s="10" t="str">
        <f t="shared" ref="ED5:ED41" si="36">IF($DK5&lt;30,"NV",IF(EA5&gt;=30,(($DL5-EB5))/SQRT(($DM5^2)+(EC5^2)),"NV"))</f>
        <v>NV</v>
      </c>
      <c r="EE5" s="10" t="str">
        <f t="shared" ref="EE5:EE41" si="37">IF(ED5="NV"," ",IF(ABS(ED5)&gt;=1.96,"*"," "))</f>
        <v xml:space="preserve"> </v>
      </c>
      <c r="EF5" s="10"/>
      <c r="EG5" s="54">
        <v>5</v>
      </c>
      <c r="EH5" s="57">
        <v>3.8</v>
      </c>
      <c r="EI5" s="58">
        <v>0.34479344605415924</v>
      </c>
      <c r="EJ5" s="10" t="str">
        <f t="shared" ref="EJ5:EJ41" si="38">IF($DK5&lt;30,"NV",IF(EG5&gt;=30,(($DL5-EH5))/SQRT(($DM5^2)+(EI5^2)),"NV"))</f>
        <v>NV</v>
      </c>
      <c r="EK5" s="10" t="str">
        <f t="shared" ref="EK5:EK41" si="39">IF(EJ5="NV"," ",IF(ABS(EJ5)&gt;=1.96,"*"," "))</f>
        <v xml:space="preserve"> </v>
      </c>
      <c r="EL5" s="76"/>
      <c r="EM5" s="27">
        <v>54</v>
      </c>
      <c r="EN5" s="28">
        <v>3.9662950354100284</v>
      </c>
      <c r="EO5" s="29">
        <v>0.10512276240131493</v>
      </c>
      <c r="EP5" s="10"/>
      <c r="EQ5" s="42">
        <v>30</v>
      </c>
      <c r="ER5" s="43">
        <v>3.7992024262637702</v>
      </c>
      <c r="ES5" s="67">
        <v>0.14689522441442121</v>
      </c>
      <c r="ET5" s="10">
        <f t="shared" ref="ET5:ET41" si="40">IF($EM5&lt;30,"NV",IF(EQ5&gt;=30,(($EN5-ER5))/SQRT(($EO5^2)+(ES5^2)),"NV"))</f>
        <v>0.925028991880542</v>
      </c>
      <c r="EU5" s="10" t="str">
        <f t="shared" ref="EU5:EU41" si="41">IF(ET5="NV"," ",IF(ABS(ET5)&gt;=1.96,"*"," "))</f>
        <v xml:space="preserve"> </v>
      </c>
      <c r="EV5" s="10"/>
      <c r="EW5" s="42">
        <v>35.068303560000004</v>
      </c>
      <c r="EX5" s="43">
        <v>3.4206763673286744</v>
      </c>
      <c r="EY5" s="67">
        <v>0.15306609141936739</v>
      </c>
      <c r="EZ5" s="10">
        <f t="shared" ref="EZ5:EZ41" si="42">IF($EM5&lt;30,"NV",IF(EW5&gt;=30,(($EN5-EX5))/SQRT(($EO5^2)+(EY5^2)),"NV"))</f>
        <v>2.9383629843139003</v>
      </c>
      <c r="FA5" s="10" t="str">
        <f t="shared" ref="FA5:FA41" si="43">IF(EZ5="NV"," ",IF(ABS(EZ5)&gt;=1.96,"*"," "))</f>
        <v>*</v>
      </c>
      <c r="FB5" s="10"/>
      <c r="FC5" s="53">
        <v>38</v>
      </c>
      <c r="FD5" s="55">
        <v>3.2750908007866659</v>
      </c>
      <c r="FE5" s="56">
        <v>0.12440284626409294</v>
      </c>
      <c r="FF5" s="10">
        <f t="shared" ref="FF5:FF41" si="44">IF($EM5&lt;30,"NV",IF(FC5&gt;=30,(($EN5-FD5))/SQRT(($EO5^2)+(FE5^2)),"NV"))</f>
        <v>4.2438833705100851</v>
      </c>
      <c r="FG5" s="10" t="str">
        <f t="shared" ref="FG5:FG41" si="45">IF(FF5="NV"," ",IF(ABS(FF5)&gt;=1.96,"*"," "))</f>
        <v>*</v>
      </c>
      <c r="FH5" s="10"/>
      <c r="FI5" s="54">
        <v>38</v>
      </c>
      <c r="FJ5" s="57">
        <v>3.3875121240342279</v>
      </c>
      <c r="FK5" s="58">
        <v>0.1606332294270226</v>
      </c>
      <c r="FL5" s="10">
        <f t="shared" ref="FL5:FL41" si="46">IF($EM5&lt;30,"NV",IF(FI5&gt;=30,(($EN5-FJ5))/SQRT(($EO5^2)+(FK5^2)),"NV"))</f>
        <v>3.014910251384026</v>
      </c>
      <c r="FM5" s="10" t="str">
        <f>IF(FL5="NV"," ",IF(ABS(FL5)&gt;=1.96,"*"," "))</f>
        <v>*</v>
      </c>
      <c r="FN5" s="76"/>
      <c r="FO5" s="27">
        <v>66</v>
      </c>
      <c r="FP5" s="28">
        <v>3.1958713958141152</v>
      </c>
      <c r="FQ5" s="29">
        <v>0.11181205434009693</v>
      </c>
      <c r="FR5" s="67"/>
      <c r="FS5" s="42">
        <v>51</v>
      </c>
      <c r="FT5" s="43">
        <v>3.2360108626109119</v>
      </c>
      <c r="FU5" s="67">
        <v>0.16171031505164349</v>
      </c>
      <c r="FV5" s="10">
        <f t="shared" ref="FV5:FV41" si="47">IF($FO5&lt;30,"NV",IF(FS5&gt;=30,(($FP5-FT5))/SQRT(($FQ5^2)+(FU5^2)),"NV"))</f>
        <v>-0.20416660467050837</v>
      </c>
      <c r="FW5" s="10" t="str">
        <f t="shared" ref="FW5:FW41" si="48">IF(FV5="NV"," ",IF(ABS(FV5)&gt;=1.96,"*"," "))</f>
        <v xml:space="preserve"> </v>
      </c>
      <c r="FX5" s="67"/>
      <c r="FY5" s="42">
        <v>76.262199149999958</v>
      </c>
      <c r="FZ5" s="43">
        <v>3.4450967844926095</v>
      </c>
      <c r="GA5" s="67">
        <v>0.12427714580189173</v>
      </c>
      <c r="GB5" s="10">
        <f t="shared" ref="GB5:GB41" si="49">IF($FO5&lt;30,"NV",IF(FY5&gt;=30,(($FP5-FZ5))/SQRT(($FQ5^2)+(GA5^2)),"NV"))</f>
        <v>-1.49082501060845</v>
      </c>
      <c r="GC5" s="10" t="str">
        <f t="shared" ref="GC5:GC41" si="50">IF(GB5="NV"," ",IF(ABS(GB5)&gt;=1.96,"*"," "))</f>
        <v xml:space="preserve"> </v>
      </c>
      <c r="GD5" s="10"/>
      <c r="GE5" s="53">
        <v>57</v>
      </c>
      <c r="GF5" s="55">
        <v>3.2650114193059205</v>
      </c>
      <c r="GG5" s="56">
        <v>0.14345760498559249</v>
      </c>
      <c r="GH5" s="10">
        <f t="shared" ref="GH5:GH41" si="51">IF($FO5&lt;30,"NV",IF(GE5&gt;=30,(($FP5-GF5))/SQRT(($FQ5^2)+(GG5^2)),"NV"))</f>
        <v>-0.38013119712147853</v>
      </c>
      <c r="GI5" s="10" t="str">
        <f t="shared" ref="GI5:GI41" si="52">IF(GH5="NV"," ",IF(ABS(GH5)&gt;=1.96,"*"," "))</f>
        <v xml:space="preserve"> </v>
      </c>
      <c r="GJ5" s="10"/>
      <c r="GK5" s="54">
        <v>39</v>
      </c>
      <c r="GL5" s="57">
        <v>3.233548387481767</v>
      </c>
      <c r="GM5" s="58">
        <v>0.18112964207355797</v>
      </c>
      <c r="GN5" s="10">
        <f t="shared" ref="GN5:GN41" si="53">IF($FO5&lt;30,"NV",IF(GK5&gt;=30,(($FP5-GL5))/SQRT(($FQ5^2)+(GM5^2)),"NV"))</f>
        <v>-0.17700264248431838</v>
      </c>
      <c r="GO5" s="10" t="str">
        <f>IF(GN5="NV"," ",IF(ABS(GN5)&gt;=1.96,"*"," "))</f>
        <v xml:space="preserve"> </v>
      </c>
      <c r="GP5" s="76"/>
      <c r="GQ5" s="27">
        <v>40</v>
      </c>
      <c r="GR5" s="28">
        <v>3.6311865362751261</v>
      </c>
      <c r="GS5" s="29">
        <v>0.15228495874545067</v>
      </c>
      <c r="GT5" s="10"/>
      <c r="GU5" s="42">
        <v>16</v>
      </c>
      <c r="GV5" s="43">
        <v>3.3778696803607575</v>
      </c>
      <c r="GW5" s="67">
        <v>0.2220318695691105</v>
      </c>
      <c r="GX5" s="10" t="str">
        <f t="shared" ref="GX5:GX41" si="54">IF($GQ5&lt;30,"NV",IF(GU5&gt;=30,(($GR5-GV5))/SQRT(($GS5^2)+(GW5^2)),"NV"))</f>
        <v>NV</v>
      </c>
      <c r="GY5" s="10" t="str">
        <f t="shared" ref="GY5:GY41" si="55">IF(GX5="NV"," ",IF(ABS(GX5)&gt;=1.96,"*"," "))</f>
        <v xml:space="preserve"> </v>
      </c>
      <c r="GZ5" s="10"/>
      <c r="HA5" s="42">
        <v>27.317364989999991</v>
      </c>
      <c r="HB5" s="43">
        <v>3.6785743777551656</v>
      </c>
      <c r="HC5" s="67">
        <v>0.16079219973472972</v>
      </c>
      <c r="HD5" s="10" t="str">
        <f t="shared" ref="HD5:HD41" si="56">IF($GQ5&lt;30,"NV",IF(HA5&gt;=30,(($GR5-HB5))/SQRT(($GS5^2)+(HC5^2)),"NV"))</f>
        <v>NV</v>
      </c>
      <c r="HE5" s="10" t="str">
        <f t="shared" ref="HE5:HE41" si="57">IF(HD5="NV"," ",IF(ABS(HD5)&gt;=1.96,"*"," "))</f>
        <v xml:space="preserve"> </v>
      </c>
      <c r="HF5" s="10"/>
      <c r="HG5" s="53">
        <v>25</v>
      </c>
      <c r="HH5" s="55">
        <v>3.4304212489635644</v>
      </c>
      <c r="HI5" s="56">
        <v>0.1916378034143956</v>
      </c>
      <c r="HJ5" s="10" t="str">
        <f t="shared" ref="HJ5:HJ41" si="58">IF($GQ5&lt;30,"NV",IF(HG5&gt;=30,(($GR5-HH5))/SQRT(($GS5^2)+(HI5^2)),"NV"))</f>
        <v>NV</v>
      </c>
      <c r="HK5" s="10" t="str">
        <f t="shared" ref="HK5:HK41" si="59">IF(HJ5="NV"," ",IF(ABS(HJ5)&gt;=1.96,"*"," "))</f>
        <v xml:space="preserve"> </v>
      </c>
      <c r="HL5" s="10"/>
      <c r="HM5" s="54">
        <v>21</v>
      </c>
      <c r="HN5" s="57">
        <v>3.3936430335785661</v>
      </c>
      <c r="HO5" s="58">
        <v>0.24437297128785551</v>
      </c>
      <c r="HP5" s="10" t="str">
        <f t="shared" ref="HP5:HP41" si="60">IF($GQ5&lt;30,"NV",IF(HM5&gt;=30,(($GR5-HN5))/SQRT(($GS5^2)+(HO5^2)),"NV"))</f>
        <v>NV</v>
      </c>
      <c r="HQ5" s="10" t="str">
        <f>IF(HP5="NV"," ",IF(ABS(HP5)&gt;=1.96,"*"," "))</f>
        <v xml:space="preserve"> </v>
      </c>
      <c r="HR5" s="76"/>
      <c r="HS5" s="27">
        <v>134</v>
      </c>
      <c r="HT5" s="28">
        <v>3.6026080707678223</v>
      </c>
      <c r="HU5" s="29">
        <v>7.8925844215594773E-2</v>
      </c>
      <c r="HV5" s="10"/>
      <c r="HW5" s="42">
        <v>117</v>
      </c>
      <c r="HX5" s="43">
        <v>3.5276584579007793</v>
      </c>
      <c r="HY5" s="67">
        <v>8.6265800061279471E-2</v>
      </c>
      <c r="HZ5" s="10">
        <f t="shared" ref="HZ5:HZ41" si="61">IF($HS5&lt;30,"NV",IF(HW5&gt;=30,(($HT5-HX5))/SQRT(($HU5^2)+(HY5^2)),"NV"))</f>
        <v>0.64101475594238877</v>
      </c>
      <c r="IA5" s="10" t="str">
        <f t="shared" ref="IA5:IA41" si="62">IF(HZ5="NV"," ",IF(ABS(HZ5)&gt;=1.96,"*"," "))</f>
        <v xml:space="preserve"> </v>
      </c>
      <c r="IB5" s="10"/>
      <c r="IC5" s="42">
        <v>113.75612112999993</v>
      </c>
      <c r="ID5" s="43">
        <v>3.665516111203218</v>
      </c>
      <c r="IE5" s="67">
        <v>8.5863550845747483E-2</v>
      </c>
      <c r="IF5" s="10">
        <f t="shared" ref="IF5:IF41" si="63">IF($HS5&lt;30,"NV",IF(IC5&gt;=30,(($HT5-ID5))/SQRT(($HU5^2)+(IE5^2)),"NV"))</f>
        <v>-0.53939554387145228</v>
      </c>
      <c r="IG5" s="10" t="str">
        <f t="shared" ref="IG5:IG41" si="64">IF(IF5="NV"," ",IF(ABS(IF5)&gt;=1.96,"*"," "))</f>
        <v xml:space="preserve"> </v>
      </c>
      <c r="IH5" s="10"/>
      <c r="II5" s="53">
        <v>126</v>
      </c>
      <c r="IJ5" s="55">
        <v>3.710266183340245</v>
      </c>
      <c r="IK5" s="56">
        <v>8.9236005636239291E-2</v>
      </c>
      <c r="IL5" s="10">
        <f t="shared" ref="IL5:IL41" si="65">IF($HS5&lt;30,"NV",IF(II5&gt;=30,(($HT5-IJ5))/SQRT(($HU5^2)+(IK5^2)),"NV"))</f>
        <v>-0.90369015360469895</v>
      </c>
      <c r="IM5" s="10" t="str">
        <f t="shared" ref="IM5:IM41" si="66">IF(IL5="NV"," ",IF(ABS(IL5)&gt;=1.96,"*"," "))</f>
        <v xml:space="preserve"> </v>
      </c>
      <c r="IN5" s="10"/>
      <c r="IO5" s="54">
        <v>88</v>
      </c>
      <c r="IP5" s="57">
        <v>3.6576989122282719</v>
      </c>
      <c r="IQ5" s="58">
        <v>9.5145369184287676E-2</v>
      </c>
      <c r="IR5" s="10">
        <f t="shared" ref="IR5:IR41" si="67">IF($HS5&lt;30,"NV",IF(IO5&gt;=30,(($HT5-IP5))/SQRT(($HU5^2)+(IQ5^2)),"NV"))</f>
        <v>-0.44564629529375527</v>
      </c>
      <c r="IS5" s="10" t="str">
        <f t="shared" ref="IS5:IS41" si="68">IF(IR5="NV"," ",IF(ABS(IR5)&gt;=1.96,"*"," "))</f>
        <v xml:space="preserve"> </v>
      </c>
      <c r="IT5" s="76"/>
      <c r="IU5" s="27">
        <v>10</v>
      </c>
      <c r="IV5" s="28">
        <v>3.6999999999999997</v>
      </c>
      <c r="IW5" s="29">
        <v>0.44866061365530219</v>
      </c>
      <c r="IX5" s="10"/>
      <c r="IY5" s="42">
        <v>8</v>
      </c>
      <c r="IZ5" s="43">
        <v>3.8771498766764192</v>
      </c>
      <c r="JA5" s="67">
        <v>0.35063407076863201</v>
      </c>
      <c r="JB5" s="10" t="str">
        <f t="shared" ref="JB5:JB41" si="69">IF($IU5&lt;30,"NV",IF(IY5&gt;=30,(($IV5-IZ5))/SQRT(($IW5^2)+(JA5^2)),"NV"))</f>
        <v>NV</v>
      </c>
      <c r="JC5" s="10" t="str">
        <f t="shared" ref="JC5:JC41" si="70">IF(JB5="NV"," ",IF(ABS(JB5)&gt;=1.96,"*"," "))</f>
        <v xml:space="preserve"> </v>
      </c>
      <c r="JD5" s="10"/>
      <c r="JE5" s="42">
        <v>3.9604775600000002</v>
      </c>
      <c r="JF5" s="43">
        <v>3.75</v>
      </c>
      <c r="JG5" s="67">
        <v>0.48189837794420398</v>
      </c>
      <c r="JH5" s="10" t="str">
        <f t="shared" ref="JH5:JH41" si="71">IF($IU5&lt;30,"NV",IF(JE5&gt;=30,(($IV5-JF5))/SQRT(($IW5^2)+(JG5^2)),"NV"))</f>
        <v>NV</v>
      </c>
      <c r="JI5" s="10" t="str">
        <f t="shared" ref="JI5:JI41" si="72">IF(JH5="NV"," ",IF(ABS(JH5)&gt;=1.96,"*"," "))</f>
        <v xml:space="preserve"> </v>
      </c>
      <c r="JJ5" s="10"/>
      <c r="JK5" s="53">
        <v>15</v>
      </c>
      <c r="JL5" s="55">
        <v>3.8666666666666663</v>
      </c>
      <c r="JM5" s="56">
        <v>0.27713577134937462</v>
      </c>
      <c r="JN5" s="10" t="str">
        <f t="shared" ref="JN5:JN41" si="73">IF($IU5&lt;30,"NV",IF(JK5&gt;=30,(($IV5-JL5))/SQRT(($IW5^2)+(JM5^2)),"NV"))</f>
        <v>NV</v>
      </c>
      <c r="JO5" s="10" t="str">
        <f t="shared" ref="JO5:JO41" si="74">IF(JN5="NV"," ",IF(ABS(JN5)&gt;=1.96,"*"," "))</f>
        <v xml:space="preserve"> </v>
      </c>
      <c r="JP5" s="10"/>
      <c r="JQ5" s="54">
        <v>32</v>
      </c>
      <c r="JR5" s="57">
        <v>3.5624999999999996</v>
      </c>
      <c r="JS5" s="58">
        <v>0.21266973491820079</v>
      </c>
      <c r="JT5" s="10" t="str">
        <f t="shared" ref="JT5:JT41" si="75">IF($IU5&lt;30,"NV",IF(JQ5&gt;=30,(($IV5-JR5))/SQRT(($IW5^2)+(JS5^2)),"NV"))</f>
        <v>NV</v>
      </c>
      <c r="JU5" s="10" t="str">
        <f t="shared" ref="JU5:JU41" si="76">IF(JT5="NV"," ",IF(ABS(JT5)&gt;=1.96,"*"," "))</f>
        <v xml:space="preserve"> </v>
      </c>
      <c r="JV5" s="76"/>
      <c r="JW5" s="27">
        <v>130</v>
      </c>
      <c r="JX5" s="28">
        <v>2.9305445083140458</v>
      </c>
      <c r="JY5" s="29">
        <v>9.3450238908916419E-2</v>
      </c>
      <c r="JZ5" s="10"/>
      <c r="KA5" s="42">
        <v>119</v>
      </c>
      <c r="KB5" s="43">
        <v>2.8660949866867313</v>
      </c>
      <c r="KC5" s="67">
        <v>0.10328002187900451</v>
      </c>
      <c r="KD5" s="10">
        <f t="shared" ref="KD5:KD41" si="77">IF($JW5&lt;30,"NV",IF(KA5&gt;=30,(($JX5-KB5))/SQRT(($JY5^2)+(KC5^2)),"NV"))</f>
        <v>0.46272405637863356</v>
      </c>
      <c r="KE5" s="10" t="str">
        <f t="shared" ref="KE5:KE41" si="78">IF(KD5="NV"," ",IF(ABS(KD5)&gt;=1.96,"*"," "))</f>
        <v xml:space="preserve"> </v>
      </c>
      <c r="KF5" s="10"/>
      <c r="KG5" s="42">
        <v>115.13532129000005</v>
      </c>
      <c r="KH5" s="43">
        <v>3.286548362052172</v>
      </c>
      <c r="KI5" s="67">
        <v>9.3526445265589384E-2</v>
      </c>
      <c r="KJ5" s="10">
        <f t="shared" ref="KJ5:KJ41" si="79">IF($JW5&lt;30,"NV",IF(KG5&gt;=30,(($JX5-KH5))/SQRT(($JY5^2)+(KI5^2)),"NV"))</f>
        <v>-2.6926642678464257</v>
      </c>
      <c r="KK5" s="10" t="str">
        <f t="shared" ref="KK5:KK41" si="80">IF(KJ5="NV"," ",IF(ABS(KJ5)&gt;=1.96,"*"," "))</f>
        <v>*</v>
      </c>
      <c r="KL5" s="10"/>
      <c r="KM5" s="53">
        <v>210</v>
      </c>
      <c r="KN5" s="55">
        <v>2.9195139349935633</v>
      </c>
      <c r="KO5" s="56">
        <v>7.302138667715162E-2</v>
      </c>
      <c r="KP5" s="10">
        <f t="shared" ref="KP5:KP41" si="81">IF($JW5&lt;30,"NV",IF(KM5&gt;=30,(($JX5-KN5))/SQRT(($JY5^2)+(KO5^2)),"NV"))</f>
        <v>9.3009462751241612E-2</v>
      </c>
      <c r="KQ5" s="10" t="str">
        <f t="shared" ref="KQ5:KQ41" si="82">IF(KP5="NV"," ",IF(ABS(KP5)&gt;=1.96,"*"," "))</f>
        <v xml:space="preserve"> </v>
      </c>
      <c r="KR5" s="10"/>
      <c r="KS5" s="54">
        <v>200</v>
      </c>
      <c r="KT5" s="57">
        <v>3.0047082202623878</v>
      </c>
      <c r="KU5" s="58">
        <v>7.2578368883480862E-2</v>
      </c>
      <c r="KV5" s="10">
        <f t="shared" ref="KV5:KV41" si="83">IF($JW5&lt;30,"NV",IF(KS5&gt;=30,(($JX5-KT5))/SQRT(($JY5^2)+(KU5^2)),"NV"))</f>
        <v>-0.62678507960831731</v>
      </c>
      <c r="KW5" s="10" t="str">
        <f>IF(KV5="NV"," ",IF(ABS(KV5)&gt;=1.96,"*"," "))</f>
        <v xml:space="preserve"> </v>
      </c>
      <c r="KX5" s="76"/>
      <c r="KY5" s="27">
        <v>43</v>
      </c>
      <c r="KZ5" s="28">
        <v>3.7674418604651168</v>
      </c>
      <c r="LA5" s="29">
        <v>0.12384103674353442</v>
      </c>
      <c r="LB5" s="10"/>
      <c r="LC5" s="42">
        <v>68</v>
      </c>
      <c r="LD5" s="43">
        <v>3.5439861552062815</v>
      </c>
      <c r="LE5" s="67">
        <v>0.11926695668097152</v>
      </c>
      <c r="LF5" s="10">
        <f t="shared" ref="LF5:LF41" si="84">IF($KY5&lt;30,"NV",IF(LC5&gt;=30,(($KZ5-LD5))/SQRT(($LA5^2)+(LE5^2)),"NV"))</f>
        <v>1.2996617845585747</v>
      </c>
      <c r="LG5" s="10" t="str">
        <f t="shared" ref="LG5:LG41" si="85">IF(LF5="NV"," ",IF(ABS(LF5)&gt;=1.96,"*"," "))</f>
        <v xml:space="preserve"> </v>
      </c>
      <c r="LH5" s="10"/>
      <c r="LI5" s="42">
        <v>48.515850109999953</v>
      </c>
      <c r="LJ5" s="43">
        <v>3.8979591836734695</v>
      </c>
      <c r="LK5" s="67">
        <v>0.15014820694462469</v>
      </c>
      <c r="LL5" s="10">
        <f t="shared" ref="LL5:LL41" si="86">IF($KY5&lt;30,"NV",IF(LI5&gt;=30,(($KZ5-LJ5))/SQRT(($LA5^2)+(LK5^2)),"NV"))</f>
        <v>-0.67058980288550174</v>
      </c>
      <c r="LM5" s="10" t="str">
        <f t="shared" ref="LM5:LM41" si="87">IF(LL5="NV"," ",IF(ABS(LL5)&gt;=1.96,"*"," "))</f>
        <v xml:space="preserve"> </v>
      </c>
      <c r="LN5" s="10"/>
      <c r="LO5" s="53">
        <v>228</v>
      </c>
      <c r="LP5" s="55">
        <v>3.3684210526315783</v>
      </c>
      <c r="LQ5" s="56">
        <v>6.146767396416862E-2</v>
      </c>
      <c r="LR5" s="10">
        <f t="shared" ref="LR5:LR41" si="88">IF($KY5&lt;30,"NV",IF(LO5&gt;=30,(($KZ5-LP5))/SQRT(($LA5^2)+(LQ5^2)),"NV"))</f>
        <v>2.8860894413208844</v>
      </c>
      <c r="LS5" s="10" t="str">
        <f t="shared" ref="LS5:LS41" si="89">IF(LR5="NV"," ",IF(ABS(LR5)&gt;=1.96,"*"," "))</f>
        <v>*</v>
      </c>
      <c r="LT5" s="10"/>
      <c r="LU5" s="54">
        <v>163</v>
      </c>
      <c r="LV5" s="57">
        <v>3.5081808496103686</v>
      </c>
      <c r="LW5" s="58">
        <v>8.420069179875718E-2</v>
      </c>
      <c r="LX5" s="10">
        <f t="shared" ref="LX5:LX41" si="90">IF($KY5&lt;30,"NV",IF(LU5&gt;=30,(($KZ5-LV5))/SQRT(($LA5^2)+(LW5^2)),"NV"))</f>
        <v>1.7312421856968854</v>
      </c>
      <c r="LY5" s="10" t="str">
        <f t="shared" ref="LY5:LY41" si="91">IF(LX5="NV"," ",IF(ABS(LX5)&gt;=1.96,"*"," "))</f>
        <v xml:space="preserve"> </v>
      </c>
      <c r="LZ5" s="76"/>
      <c r="MA5" s="27">
        <v>58</v>
      </c>
      <c r="MB5" s="28">
        <v>3.5860666058200557</v>
      </c>
      <c r="MC5" s="29">
        <v>0.11545170197380097</v>
      </c>
      <c r="MD5" s="10"/>
      <c r="ME5" s="42">
        <v>31</v>
      </c>
      <c r="MF5" s="43">
        <v>3.8725428024432111</v>
      </c>
      <c r="MG5" s="67">
        <v>0.18385519457543906</v>
      </c>
      <c r="MH5" s="10">
        <f t="shared" ref="MH5:MH41" si="92">IF($MA5&lt;30,"NV",IF(ME5&gt;=30,(($MB5-MF5))/SQRT(($MC5^2)+(MG5^2)),"NV"))</f>
        <v>-1.3195668594448788</v>
      </c>
      <c r="MI5" s="10" t="str">
        <f t="shared" ref="MI5:MI41" si="93">IF(MH5="NV"," ",IF(ABS(MH5)&gt;=1.96,"*"," "))</f>
        <v xml:space="preserve"> </v>
      </c>
      <c r="MJ5" s="10"/>
      <c r="MK5" s="42">
        <v>34.654178649999999</v>
      </c>
      <c r="ML5" s="43">
        <v>3.6000000000000005</v>
      </c>
      <c r="MM5" s="67">
        <v>0.17579121658711166</v>
      </c>
      <c r="MN5" s="10">
        <f t="shared" ref="MN5:MN41" si="94">IF($MA5&lt;30,"NV",IF(MK5&gt;=30,(($MB5-ML5))/SQRT(($MC5^2)+(MM5^2)),"NV"))</f>
        <v>-6.6250684014152406E-2</v>
      </c>
      <c r="MO5" s="10" t="str">
        <f t="shared" ref="MO5:MO41" si="95">IF(MN5="NV"," ",IF(ABS(MN5)&gt;=1.96,"*"," "))</f>
        <v xml:space="preserve"> </v>
      </c>
      <c r="MP5" s="10"/>
      <c r="MQ5" s="53">
        <v>94</v>
      </c>
      <c r="MR5" s="55">
        <v>3.4617272280271623</v>
      </c>
      <c r="MS5" s="56">
        <v>0.10101653679087975</v>
      </c>
      <c r="MT5" s="10">
        <f t="shared" ref="MT5:MT41" si="96">IF($MA5&lt;30,"NV",IF(MQ5&gt;=30,(($MB5-MR5))/SQRT(($MC5^2)+(MS5^2)),"NV"))</f>
        <v>0.81052425841135634</v>
      </c>
      <c r="MU5" s="10" t="str">
        <f t="shared" ref="MU5:MU41" si="97">IF(MT5="NV"," ",IF(ABS(MT5)&gt;=1.96,"*"," "))</f>
        <v xml:space="preserve"> </v>
      </c>
      <c r="MV5" s="10"/>
      <c r="MW5" s="54">
        <v>26</v>
      </c>
      <c r="MX5" s="57">
        <v>3.4868057631102252</v>
      </c>
      <c r="MY5" s="58">
        <v>0.22570582769753036</v>
      </c>
      <c r="MZ5" s="10" t="str">
        <f t="shared" ref="MZ5:MZ41" si="98">IF($MA5&lt;30,"NV",IF(MW5&gt;=30,(($MB5-MX5))/SQRT(($MC5^2)+(MY5^2)),"NV"))</f>
        <v>NV</v>
      </c>
      <c r="NA5" s="10" t="str">
        <f>IF(MZ5="NV"," ",IF(ABS(MZ5)&gt;=1.96,"*"," "))</f>
        <v xml:space="preserve"> </v>
      </c>
      <c r="NB5" s="58"/>
    </row>
    <row r="6" spans="1:366" x14ac:dyDescent="0.2">
      <c r="B6" s="65" t="s">
        <v>4</v>
      </c>
      <c r="C6" s="27">
        <v>273</v>
      </c>
      <c r="D6" s="28">
        <v>3.5863935040348691</v>
      </c>
      <c r="E6" s="29">
        <v>5.7821403891585202E-2</v>
      </c>
      <c r="F6" s="10"/>
      <c r="G6" s="42">
        <v>89</v>
      </c>
      <c r="H6" s="43">
        <v>3.4156050228424664</v>
      </c>
      <c r="I6" s="67">
        <v>0.11194990790232924</v>
      </c>
      <c r="J6" s="10">
        <f t="shared" si="1"/>
        <v>1.3554600115330613</v>
      </c>
      <c r="K6" s="10" t="str">
        <f t="shared" si="2"/>
        <v xml:space="preserve"> </v>
      </c>
      <c r="L6" s="10"/>
      <c r="M6" s="42">
        <v>60.304869540000048</v>
      </c>
      <c r="N6" s="43">
        <v>3.3793103448275867</v>
      </c>
      <c r="O6" s="67">
        <v>8.9666250783146106E-2</v>
      </c>
      <c r="P6" s="10">
        <f t="shared" si="3"/>
        <v>1.9409292855405447</v>
      </c>
      <c r="Q6" s="10" t="str">
        <f t="shared" si="4"/>
        <v xml:space="preserve"> </v>
      </c>
      <c r="R6" s="10"/>
      <c r="S6" s="53">
        <v>82</v>
      </c>
      <c r="T6" s="55">
        <v>3.5365853658536595</v>
      </c>
      <c r="U6" s="56">
        <v>0.10280658366955026</v>
      </c>
      <c r="V6" s="10">
        <f t="shared" si="5"/>
        <v>0.42227715653557174</v>
      </c>
      <c r="W6" s="10" t="str">
        <f t="shared" si="6"/>
        <v xml:space="preserve"> </v>
      </c>
      <c r="X6" s="10"/>
      <c r="Y6" s="54">
        <v>127</v>
      </c>
      <c r="Z6" s="57">
        <v>3.2204724409448824</v>
      </c>
      <c r="AA6" s="58">
        <v>5.8134443000081457E-2</v>
      </c>
      <c r="AB6" s="10">
        <f t="shared" si="7"/>
        <v>4.4628076833659653</v>
      </c>
      <c r="AC6" s="10" t="str">
        <f t="shared" si="8"/>
        <v>*</v>
      </c>
      <c r="AD6" s="76"/>
      <c r="AE6" s="27">
        <v>71</v>
      </c>
      <c r="AF6" s="28">
        <v>3.9166970718240339</v>
      </c>
      <c r="AG6" s="29">
        <v>0.10570766580315014</v>
      </c>
      <c r="AH6" s="67"/>
      <c r="AI6" s="42">
        <v>38</v>
      </c>
      <c r="AJ6" s="43">
        <v>3.5532098329901518</v>
      </c>
      <c r="AK6" s="67">
        <v>0.18687816144040223</v>
      </c>
      <c r="AL6" s="10">
        <f t="shared" si="9"/>
        <v>1.6929736922651613</v>
      </c>
      <c r="AM6" s="10" t="str">
        <f t="shared" si="10"/>
        <v xml:space="preserve"> </v>
      </c>
      <c r="AN6" s="67"/>
      <c r="AO6" s="42">
        <v>65.133970200000007</v>
      </c>
      <c r="AP6" s="43">
        <v>3.2200167793548684</v>
      </c>
      <c r="AQ6" s="67">
        <v>0.10661426172528653</v>
      </c>
      <c r="AR6" s="10">
        <f t="shared" si="11"/>
        <v>4.6403390746540927</v>
      </c>
      <c r="AS6" s="10" t="str">
        <f t="shared" si="12"/>
        <v>*</v>
      </c>
      <c r="AT6" s="10"/>
      <c r="AU6" s="53">
        <v>76</v>
      </c>
      <c r="AV6" s="55">
        <v>3.3835220678262758</v>
      </c>
      <c r="AW6" s="56">
        <v>0.11155025526243033</v>
      </c>
      <c r="AX6" s="10">
        <f t="shared" si="13"/>
        <v>3.4693824296954929</v>
      </c>
      <c r="AY6" s="10" t="str">
        <f t="shared" si="14"/>
        <v>*</v>
      </c>
      <c r="AZ6" s="10"/>
      <c r="BA6" s="54">
        <v>46</v>
      </c>
      <c r="BB6" s="57">
        <v>3.2505741637083285</v>
      </c>
      <c r="BC6" s="58">
        <v>0.12337324012015019</v>
      </c>
      <c r="BD6" s="10">
        <f t="shared" si="15"/>
        <v>4.1000861786310834</v>
      </c>
      <c r="BE6" s="10" t="str">
        <f t="shared" si="16"/>
        <v>*</v>
      </c>
      <c r="BF6" s="76"/>
      <c r="BG6" s="27">
        <v>764</v>
      </c>
      <c r="BH6" s="28">
        <v>3.8537220890264416</v>
      </c>
      <c r="BI6" s="29">
        <v>3.2231823686539637E-2</v>
      </c>
      <c r="BJ6" s="10"/>
      <c r="BK6" s="42">
        <v>234</v>
      </c>
      <c r="BL6" s="43">
        <v>3.7481575584723585</v>
      </c>
      <c r="BM6" s="67">
        <v>5.9699810232171795E-2</v>
      </c>
      <c r="BN6" s="10">
        <f t="shared" si="17"/>
        <v>1.5559639265464289</v>
      </c>
      <c r="BO6" s="10" t="str">
        <f t="shared" si="18"/>
        <v xml:space="preserve"> </v>
      </c>
      <c r="BP6" s="10"/>
      <c r="BQ6" s="42">
        <v>211.11928859999932</v>
      </c>
      <c r="BR6" s="43">
        <v>3.5141752340577006</v>
      </c>
      <c r="BS6" s="67">
        <v>4.6290739435636809E-2</v>
      </c>
      <c r="BT6" s="10">
        <f t="shared" si="19"/>
        <v>6.019612390184844</v>
      </c>
      <c r="BU6" s="10" t="str">
        <f t="shared" si="20"/>
        <v>*</v>
      </c>
      <c r="BV6" s="10"/>
      <c r="BW6" s="53">
        <v>236</v>
      </c>
      <c r="BX6" s="55">
        <v>3.647300548278456</v>
      </c>
      <c r="BY6" s="56">
        <v>3.5420231342233613E-2</v>
      </c>
      <c r="BZ6" s="10">
        <f t="shared" si="21"/>
        <v>4.3102973292166791</v>
      </c>
      <c r="CA6" s="10" t="str">
        <f t="shared" si="22"/>
        <v>*</v>
      </c>
      <c r="CB6" s="10"/>
      <c r="CC6" s="54">
        <v>256</v>
      </c>
      <c r="CD6" s="57">
        <v>3.6024385204652956</v>
      </c>
      <c r="CE6" s="58">
        <v>5.5309044207700782E-2</v>
      </c>
      <c r="CF6" s="10">
        <f t="shared" si="23"/>
        <v>3.9253567204508832</v>
      </c>
      <c r="CG6" s="10" t="str">
        <f t="shared" si="24"/>
        <v>*</v>
      </c>
      <c r="CH6" s="76"/>
      <c r="CI6" s="27">
        <v>471</v>
      </c>
      <c r="CJ6" s="28">
        <v>3.956414485496762</v>
      </c>
      <c r="CK6" s="29">
        <v>4.0530201858766782E-2</v>
      </c>
      <c r="CL6" s="67"/>
      <c r="CM6" s="42">
        <v>136</v>
      </c>
      <c r="CN6" s="43">
        <v>4.0586682892744346</v>
      </c>
      <c r="CO6" s="67">
        <v>7.641274087260394E-2</v>
      </c>
      <c r="CP6" s="10">
        <f t="shared" si="25"/>
        <v>-1.1821759152197651</v>
      </c>
      <c r="CQ6" s="10" t="str">
        <f t="shared" si="26"/>
        <v xml:space="preserve"> </v>
      </c>
      <c r="CR6" s="10"/>
      <c r="CS6" s="42">
        <v>149.88397052999991</v>
      </c>
      <c r="CT6" s="43">
        <v>4.0864225508184493</v>
      </c>
      <c r="CU6" s="67">
        <v>6.3786459248214897E-2</v>
      </c>
      <c r="CV6" s="10">
        <f t="shared" si="27"/>
        <v>-1.7202780190776705</v>
      </c>
      <c r="CW6" s="10" t="str">
        <f t="shared" si="28"/>
        <v xml:space="preserve"> </v>
      </c>
      <c r="CX6" s="10"/>
      <c r="CY6" s="53">
        <v>149</v>
      </c>
      <c r="CZ6" s="55">
        <v>4.1260011693103573</v>
      </c>
      <c r="DA6" s="56">
        <v>6.5246225522281195E-2</v>
      </c>
      <c r="DB6" s="10">
        <f t="shared" si="29"/>
        <v>-2.2078741259956272</v>
      </c>
      <c r="DC6" s="10" t="str">
        <f t="shared" si="0"/>
        <v>*</v>
      </c>
      <c r="DD6" s="10"/>
      <c r="DE6" s="54">
        <v>179</v>
      </c>
      <c r="DF6" s="57">
        <v>3.8230433315915713</v>
      </c>
      <c r="DG6" s="58">
        <v>6.748477592781664E-2</v>
      </c>
      <c r="DH6" s="10">
        <f t="shared" si="30"/>
        <v>1.6942400212597077</v>
      </c>
      <c r="DI6" s="10" t="str">
        <f t="shared" si="31"/>
        <v xml:space="preserve"> </v>
      </c>
      <c r="DJ6" s="76"/>
      <c r="DK6" s="27">
        <v>151</v>
      </c>
      <c r="DL6" s="28">
        <v>3.4872497078773739</v>
      </c>
      <c r="DM6" s="29">
        <v>8.0383404347045606E-2</v>
      </c>
      <c r="DN6" s="10"/>
      <c r="DO6" s="42">
        <v>53</v>
      </c>
      <c r="DP6" s="43">
        <v>3.1525054082085773</v>
      </c>
      <c r="DQ6" s="67">
        <v>0.13321729054756606</v>
      </c>
      <c r="DR6" s="10">
        <f t="shared" si="32"/>
        <v>2.1514472444606141</v>
      </c>
      <c r="DS6" s="10" t="str">
        <f t="shared" si="33"/>
        <v>*</v>
      </c>
      <c r="DT6" s="10"/>
      <c r="DU6" s="42">
        <v>65.558210490000022</v>
      </c>
      <c r="DV6" s="43">
        <v>3.3043265221988216</v>
      </c>
      <c r="DW6" s="67">
        <v>0.12575706308327539</v>
      </c>
      <c r="DX6" s="10">
        <f t="shared" si="34"/>
        <v>1.2255948540425003</v>
      </c>
      <c r="DY6" s="10" t="str">
        <f t="shared" si="35"/>
        <v xml:space="preserve"> </v>
      </c>
      <c r="DZ6" s="10"/>
      <c r="EA6" s="53">
        <v>73</v>
      </c>
      <c r="EB6" s="55">
        <v>3.222277510507225</v>
      </c>
      <c r="EC6" s="56">
        <v>0.11088014799112875</v>
      </c>
      <c r="ED6" s="10">
        <f t="shared" si="36"/>
        <v>1.9347790029404854</v>
      </c>
      <c r="EE6" s="10" t="str">
        <f t="shared" si="37"/>
        <v xml:space="preserve"> </v>
      </c>
      <c r="EF6" s="10"/>
      <c r="EG6" s="54">
        <v>44</v>
      </c>
      <c r="EH6" s="57">
        <v>3.3409090909090908</v>
      </c>
      <c r="EI6" s="58">
        <v>0.1423060921661965</v>
      </c>
      <c r="EJ6" s="10">
        <f t="shared" si="38"/>
        <v>0.89538020248902828</v>
      </c>
      <c r="EK6" s="10" t="str">
        <f t="shared" si="39"/>
        <v xml:space="preserve"> </v>
      </c>
      <c r="EL6" s="76"/>
      <c r="EM6" s="27">
        <v>298</v>
      </c>
      <c r="EN6" s="28">
        <v>4.071777536380857</v>
      </c>
      <c r="EO6" s="29">
        <v>5.0341581529028845E-2</v>
      </c>
      <c r="EP6" s="10"/>
      <c r="EQ6" s="42">
        <v>93</v>
      </c>
      <c r="ER6" s="43">
        <v>4.0964919634082975</v>
      </c>
      <c r="ES6" s="67">
        <v>8.5175597268625905E-2</v>
      </c>
      <c r="ET6" s="10">
        <f t="shared" si="40"/>
        <v>-0.24979163747460145</v>
      </c>
      <c r="EU6" s="10" t="str">
        <f t="shared" si="41"/>
        <v xml:space="preserve"> </v>
      </c>
      <c r="EV6" s="10"/>
      <c r="EW6" s="42">
        <v>107.90468796000003</v>
      </c>
      <c r="EX6" s="43">
        <v>3.4708396354274575</v>
      </c>
      <c r="EY6" s="67">
        <v>6.7937797973123243E-2</v>
      </c>
      <c r="EZ6" s="10">
        <f t="shared" si="42"/>
        <v>7.1069304450249886</v>
      </c>
      <c r="FA6" s="10" t="str">
        <f t="shared" si="43"/>
        <v>*</v>
      </c>
      <c r="FB6" s="10"/>
      <c r="FC6" s="53">
        <v>94</v>
      </c>
      <c r="FD6" s="55">
        <v>3.7432321751213928</v>
      </c>
      <c r="FE6" s="56">
        <v>8.0129555329059077E-2</v>
      </c>
      <c r="FF6" s="10">
        <f t="shared" si="44"/>
        <v>3.4718587533849306</v>
      </c>
      <c r="FG6" s="10" t="str">
        <f t="shared" si="45"/>
        <v>*</v>
      </c>
      <c r="FH6" s="10"/>
      <c r="FI6" s="54">
        <v>135</v>
      </c>
      <c r="FJ6" s="57">
        <v>3.594715312448916</v>
      </c>
      <c r="FK6" s="58">
        <v>6.8818890540973621E-2</v>
      </c>
      <c r="FL6" s="10">
        <f t="shared" si="46"/>
        <v>5.5949785853569871</v>
      </c>
      <c r="FM6" s="10" t="str">
        <f t="shared" ref="FM6:FM41" si="99">IF(FL6="NV"," ",IF(ABS(FL6)&gt;=1.96,"*"," "))</f>
        <v>*</v>
      </c>
      <c r="FN6" s="76"/>
      <c r="FO6" s="27">
        <v>121</v>
      </c>
      <c r="FP6" s="28">
        <v>3.5192025864077237</v>
      </c>
      <c r="FQ6" s="29">
        <v>8.627652529010571E-2</v>
      </c>
      <c r="FR6" s="67"/>
      <c r="FS6" s="42">
        <v>97</v>
      </c>
      <c r="FT6" s="43">
        <v>3.6094993891622171</v>
      </c>
      <c r="FU6" s="67">
        <v>0.10062698623167633</v>
      </c>
      <c r="FV6" s="10">
        <f t="shared" si="47"/>
        <v>-0.68122965809575775</v>
      </c>
      <c r="FW6" s="10" t="str">
        <f t="shared" si="48"/>
        <v xml:space="preserve"> </v>
      </c>
      <c r="FX6" s="67"/>
      <c r="FY6" s="42">
        <v>87.928966949999946</v>
      </c>
      <c r="FZ6" s="43">
        <v>3.6672846640330059</v>
      </c>
      <c r="GA6" s="67">
        <v>0.1065890074300684</v>
      </c>
      <c r="GB6" s="10">
        <f t="shared" si="49"/>
        <v>-1.0798601154059564</v>
      </c>
      <c r="GC6" s="10" t="str">
        <f t="shared" si="50"/>
        <v xml:space="preserve"> </v>
      </c>
      <c r="GD6" s="10"/>
      <c r="GE6" s="53">
        <v>132</v>
      </c>
      <c r="GF6" s="55">
        <v>3.3388985341347395</v>
      </c>
      <c r="GG6" s="56">
        <v>9.3224368838423693E-2</v>
      </c>
      <c r="GH6" s="10">
        <f t="shared" si="51"/>
        <v>1.4194783883307502</v>
      </c>
      <c r="GI6" s="10" t="str">
        <f t="shared" si="52"/>
        <v xml:space="preserve"> </v>
      </c>
      <c r="GJ6" s="10"/>
      <c r="GK6" s="54">
        <v>113</v>
      </c>
      <c r="GL6" s="57">
        <v>3.5576323987691594</v>
      </c>
      <c r="GM6" s="58">
        <v>9.1784834080704869E-2</v>
      </c>
      <c r="GN6" s="10">
        <f t="shared" si="53"/>
        <v>-0.30507447581964303</v>
      </c>
      <c r="GO6" s="10" t="str">
        <f t="shared" ref="GO6:GO41" si="100">IF(GN6="NV"," ",IF(ABS(GN6)&gt;=1.96,"*"," "))</f>
        <v xml:space="preserve"> </v>
      </c>
      <c r="GP6" s="76"/>
      <c r="GQ6" s="27">
        <v>145</v>
      </c>
      <c r="GR6" s="28">
        <v>3.6754138066210293</v>
      </c>
      <c r="GS6" s="29">
        <v>7.9639143980088672E-2</v>
      </c>
      <c r="GT6" s="10"/>
      <c r="GU6" s="42">
        <v>85</v>
      </c>
      <c r="GV6" s="43">
        <v>3.7090454799623007</v>
      </c>
      <c r="GW6" s="67">
        <v>0.10872409536604098</v>
      </c>
      <c r="GX6" s="10">
        <f t="shared" si="54"/>
        <v>-0.2495461264922913</v>
      </c>
      <c r="GY6" s="10" t="str">
        <f t="shared" si="55"/>
        <v xml:space="preserve"> </v>
      </c>
      <c r="GZ6" s="10"/>
      <c r="HA6" s="42">
        <v>83.049657599999932</v>
      </c>
      <c r="HB6" s="43">
        <v>3.7175757608421494</v>
      </c>
      <c r="HC6" s="67">
        <v>0.1153581117100418</v>
      </c>
      <c r="HD6" s="10">
        <f t="shared" si="56"/>
        <v>-0.30077428401424927</v>
      </c>
      <c r="HE6" s="10" t="str">
        <f t="shared" si="57"/>
        <v xml:space="preserve"> </v>
      </c>
      <c r="HF6" s="10"/>
      <c r="HG6" s="53">
        <v>49</v>
      </c>
      <c r="HH6" s="55">
        <v>3.7137970968062137</v>
      </c>
      <c r="HI6" s="56">
        <v>0.10094022534477443</v>
      </c>
      <c r="HJ6" s="10">
        <f t="shared" si="58"/>
        <v>-0.29853028956132827</v>
      </c>
      <c r="HK6" s="10" t="str">
        <f t="shared" si="59"/>
        <v xml:space="preserve"> </v>
      </c>
      <c r="HL6" s="10"/>
      <c r="HM6" s="54">
        <v>104</v>
      </c>
      <c r="HN6" s="57">
        <v>3.6936444887699671</v>
      </c>
      <c r="HO6" s="58">
        <v>0.1012467592522176</v>
      </c>
      <c r="HP6" s="10">
        <f t="shared" si="60"/>
        <v>-0.14152610128823939</v>
      </c>
      <c r="HQ6" s="10" t="str">
        <f t="shared" ref="HQ6:HQ41" si="101">IF(HP6="NV"," ",IF(ABS(HP6)&gt;=1.96,"*"," "))</f>
        <v xml:space="preserve"> </v>
      </c>
      <c r="HR6" s="76"/>
      <c r="HS6" s="27">
        <v>363</v>
      </c>
      <c r="HT6" s="28">
        <v>3.776941775296657</v>
      </c>
      <c r="HU6" s="29">
        <v>5.2014723191737416E-2</v>
      </c>
      <c r="HV6" s="10"/>
      <c r="HW6" s="42">
        <v>214</v>
      </c>
      <c r="HX6" s="43">
        <v>3.8167687700122626</v>
      </c>
      <c r="HY6" s="67">
        <v>6.7270955494027604E-2</v>
      </c>
      <c r="HZ6" s="10">
        <f t="shared" si="61"/>
        <v>-0.46836126665894334</v>
      </c>
      <c r="IA6" s="10" t="str">
        <f t="shared" si="62"/>
        <v xml:space="preserve"> </v>
      </c>
      <c r="IB6" s="10"/>
      <c r="IC6" s="42">
        <v>223.92106105000093</v>
      </c>
      <c r="ID6" s="43">
        <v>3.7833572826846873</v>
      </c>
      <c r="IE6" s="67">
        <v>6.3265531189806101E-2</v>
      </c>
      <c r="IF6" s="10">
        <f t="shared" si="63"/>
        <v>-7.8330802682120892E-2</v>
      </c>
      <c r="IG6" s="10" t="str">
        <f t="shared" si="64"/>
        <v xml:space="preserve"> </v>
      </c>
      <c r="IH6" s="10"/>
      <c r="II6" s="53">
        <v>222</v>
      </c>
      <c r="IJ6" s="55">
        <v>3.7793343599145173</v>
      </c>
      <c r="IK6" s="56">
        <v>6.37776117360003E-2</v>
      </c>
      <c r="IL6" s="10">
        <f t="shared" si="65"/>
        <v>-2.9071877201571263E-2</v>
      </c>
      <c r="IM6" s="10" t="str">
        <f t="shared" si="66"/>
        <v xml:space="preserve"> </v>
      </c>
      <c r="IN6" s="10"/>
      <c r="IO6" s="54">
        <v>260</v>
      </c>
      <c r="IP6" s="57">
        <v>3.7178480265089964</v>
      </c>
      <c r="IQ6" s="58">
        <v>6.0372279129200589E-2</v>
      </c>
      <c r="IR6" s="10">
        <f t="shared" si="67"/>
        <v>0.74155425682381604</v>
      </c>
      <c r="IS6" s="10" t="str">
        <f t="shared" si="68"/>
        <v xml:space="preserve"> </v>
      </c>
      <c r="IT6" s="76"/>
      <c r="IU6" s="27">
        <v>31</v>
      </c>
      <c r="IV6" s="28">
        <v>3.8709677419354844</v>
      </c>
      <c r="IW6" s="29">
        <v>0.17812984501924223</v>
      </c>
      <c r="IX6" s="10"/>
      <c r="IY6" s="42">
        <v>23</v>
      </c>
      <c r="IZ6" s="43">
        <v>4.0878839588404494</v>
      </c>
      <c r="JA6" s="67">
        <v>0.17674530772142777</v>
      </c>
      <c r="JB6" s="10" t="str">
        <f t="shared" si="69"/>
        <v>NV</v>
      </c>
      <c r="JC6" s="10" t="str">
        <f t="shared" si="70"/>
        <v xml:space="preserve"> </v>
      </c>
      <c r="JD6" s="10"/>
      <c r="JE6" s="42">
        <v>19.802387800000002</v>
      </c>
      <c r="JF6" s="43">
        <v>3.8000000000000003</v>
      </c>
      <c r="JG6" s="67">
        <v>0.20104824817523623</v>
      </c>
      <c r="JH6" s="10" t="str">
        <f t="shared" si="71"/>
        <v>NV</v>
      </c>
      <c r="JI6" s="10" t="str">
        <f t="shared" si="72"/>
        <v xml:space="preserve"> </v>
      </c>
      <c r="JJ6" s="10"/>
      <c r="JK6" s="53">
        <v>12</v>
      </c>
      <c r="JL6" s="55">
        <v>3.8333333333333335</v>
      </c>
      <c r="JM6" s="56">
        <v>0.30107699616824501</v>
      </c>
      <c r="JN6" s="10" t="str">
        <f t="shared" si="73"/>
        <v>NV</v>
      </c>
      <c r="JO6" s="10" t="str">
        <f t="shared" si="74"/>
        <v xml:space="preserve"> </v>
      </c>
      <c r="JP6" s="10"/>
      <c r="JQ6" s="54">
        <v>16</v>
      </c>
      <c r="JR6" s="57">
        <v>3.8750000000000004</v>
      </c>
      <c r="JS6" s="58">
        <v>0.26548286598916143</v>
      </c>
      <c r="JT6" s="10" t="str">
        <f t="shared" si="75"/>
        <v>NV</v>
      </c>
      <c r="JU6" s="10" t="str">
        <f t="shared" si="76"/>
        <v xml:space="preserve"> </v>
      </c>
      <c r="JV6" s="76"/>
      <c r="JW6" s="27">
        <v>327</v>
      </c>
      <c r="JX6" s="28">
        <v>3.3148806853172945</v>
      </c>
      <c r="JY6" s="29">
        <v>5.9724191341361192E-2</v>
      </c>
      <c r="JZ6" s="10"/>
      <c r="KA6" s="42">
        <v>154</v>
      </c>
      <c r="KB6" s="43">
        <v>3.2993232025190857</v>
      </c>
      <c r="KC6" s="67">
        <v>8.9460255411044826E-2</v>
      </c>
      <c r="KD6" s="10">
        <f t="shared" si="77"/>
        <v>0.14463402314036652</v>
      </c>
      <c r="KE6" s="10" t="str">
        <f t="shared" si="78"/>
        <v xml:space="preserve"> </v>
      </c>
      <c r="KF6" s="10"/>
      <c r="KG6" s="42">
        <v>200.05378827999959</v>
      </c>
      <c r="KH6" s="43">
        <v>3.5959313392413201</v>
      </c>
      <c r="KI6" s="67">
        <v>7.2988453217233615E-2</v>
      </c>
      <c r="KJ6" s="10">
        <f t="shared" si="79"/>
        <v>-2.9800865398700105</v>
      </c>
      <c r="KK6" s="10" t="str">
        <f t="shared" si="80"/>
        <v>*</v>
      </c>
      <c r="KL6" s="10"/>
      <c r="KM6" s="53">
        <v>416</v>
      </c>
      <c r="KN6" s="55">
        <v>3.2993377499101251</v>
      </c>
      <c r="KO6" s="56">
        <v>5.2809005268115432E-2</v>
      </c>
      <c r="KP6" s="10">
        <f t="shared" si="81"/>
        <v>0.19496154304330163</v>
      </c>
      <c r="KQ6" s="10" t="str">
        <f t="shared" si="82"/>
        <v xml:space="preserve"> </v>
      </c>
      <c r="KR6" s="10"/>
      <c r="KS6" s="54">
        <v>389</v>
      </c>
      <c r="KT6" s="57">
        <v>3.0978136930723275</v>
      </c>
      <c r="KU6" s="58">
        <v>5.1219525898719781E-2</v>
      </c>
      <c r="KV6" s="10">
        <f t="shared" si="83"/>
        <v>2.7588860970627644</v>
      </c>
      <c r="KW6" s="10" t="str">
        <f t="shared" ref="KW6:KW41" si="102">IF(KV6="NV"," ",IF(ABS(KV6)&gt;=1.96,"*"," "))</f>
        <v>*</v>
      </c>
      <c r="KX6" s="76"/>
      <c r="KY6" s="27">
        <v>133</v>
      </c>
      <c r="KZ6" s="28">
        <v>3.7443815282023505</v>
      </c>
      <c r="LA6" s="29">
        <v>8.8467300247585923E-2</v>
      </c>
      <c r="LB6" s="10"/>
      <c r="LC6" s="42">
        <v>107</v>
      </c>
      <c r="LD6" s="43">
        <v>3.738038496853306</v>
      </c>
      <c r="LE6" s="67">
        <v>9.7835791214348128E-2</v>
      </c>
      <c r="LF6" s="10">
        <f t="shared" si="84"/>
        <v>4.808873851769184E-2</v>
      </c>
      <c r="LG6" s="10" t="str">
        <f t="shared" si="85"/>
        <v xml:space="preserve"> </v>
      </c>
      <c r="LH6" s="10"/>
      <c r="LI6" s="42">
        <v>116.32081542000009</v>
      </c>
      <c r="LJ6" s="43">
        <v>3.7374953738954808</v>
      </c>
      <c r="LK6" s="67">
        <v>8.3766739789179243E-2</v>
      </c>
      <c r="LL6" s="10">
        <f t="shared" si="86"/>
        <v>5.6521161790235544E-2</v>
      </c>
      <c r="LM6" s="10" t="str">
        <f t="shared" si="87"/>
        <v xml:space="preserve"> </v>
      </c>
      <c r="LN6" s="10"/>
      <c r="LO6" s="53">
        <v>222</v>
      </c>
      <c r="LP6" s="55">
        <v>3.7657657657657646</v>
      </c>
      <c r="LQ6" s="56">
        <v>6.7100269781604646E-2</v>
      </c>
      <c r="LR6" s="10">
        <f t="shared" si="88"/>
        <v>-0.19258898290407192</v>
      </c>
      <c r="LS6" s="10" t="str">
        <f t="shared" si="89"/>
        <v xml:space="preserve"> </v>
      </c>
      <c r="LT6" s="10"/>
      <c r="LU6" s="54">
        <v>270</v>
      </c>
      <c r="LV6" s="57">
        <v>3.6844271295492459</v>
      </c>
      <c r="LW6" s="58">
        <v>5.9421866290596682E-2</v>
      </c>
      <c r="LX6" s="10">
        <f t="shared" si="90"/>
        <v>0.56257597463046627</v>
      </c>
      <c r="LY6" s="10" t="str">
        <f t="shared" si="91"/>
        <v xml:space="preserve"> </v>
      </c>
      <c r="LZ6" s="76"/>
      <c r="MA6" s="27">
        <v>128</v>
      </c>
      <c r="MB6" s="28">
        <v>3.7658017215599067</v>
      </c>
      <c r="MC6" s="29">
        <v>7.724413997556652E-2</v>
      </c>
      <c r="MD6" s="10"/>
      <c r="ME6" s="42">
        <v>87</v>
      </c>
      <c r="MF6" s="43">
        <v>3.7592048790220387</v>
      </c>
      <c r="MG6" s="67">
        <v>0.10976599067429456</v>
      </c>
      <c r="MH6" s="10">
        <f t="shared" si="92"/>
        <v>4.9149172915930336E-2</v>
      </c>
      <c r="MI6" s="10" t="str">
        <f t="shared" si="93"/>
        <v xml:space="preserve"> </v>
      </c>
      <c r="MJ6" s="10"/>
      <c r="MK6" s="42">
        <v>79.967870039999895</v>
      </c>
      <c r="ML6" s="43">
        <v>3.8454594393495998</v>
      </c>
      <c r="MM6" s="67">
        <v>9.6860255533446141E-2</v>
      </c>
      <c r="MN6" s="10">
        <f t="shared" si="94"/>
        <v>-0.64297480127062634</v>
      </c>
      <c r="MO6" s="10" t="str">
        <f t="shared" si="95"/>
        <v xml:space="preserve"> </v>
      </c>
      <c r="MP6" s="10"/>
      <c r="MQ6" s="53">
        <v>99</v>
      </c>
      <c r="MR6" s="55">
        <v>3.6375951265699387</v>
      </c>
      <c r="MS6" s="56">
        <v>9.278431057445656E-2</v>
      </c>
      <c r="MT6" s="10">
        <f t="shared" si="96"/>
        <v>1.0619335995612802</v>
      </c>
      <c r="MU6" s="10" t="str">
        <f t="shared" si="97"/>
        <v xml:space="preserve"> </v>
      </c>
      <c r="MV6" s="10"/>
      <c r="MW6" s="54">
        <v>155</v>
      </c>
      <c r="MX6" s="57">
        <v>3.7368960145262369</v>
      </c>
      <c r="MY6" s="58">
        <v>6.9687297083414396E-2</v>
      </c>
      <c r="MZ6" s="10">
        <f t="shared" si="98"/>
        <v>0.27784989579613628</v>
      </c>
      <c r="NA6" s="10" t="str">
        <f t="shared" ref="NA6:NA41" si="103">IF(MZ6="NV"," ",IF(ABS(MZ6)&gt;=1.96,"*"," "))</f>
        <v xml:space="preserve"> </v>
      </c>
      <c r="NB6" s="58"/>
    </row>
    <row r="7" spans="1:366" x14ac:dyDescent="0.2">
      <c r="B7" s="65" t="s">
        <v>5</v>
      </c>
      <c r="C7" s="27">
        <v>82</v>
      </c>
      <c r="D7" s="28">
        <v>3.8292682926829271</v>
      </c>
      <c r="E7" s="29">
        <v>0.11084380440472344</v>
      </c>
      <c r="F7" s="10"/>
      <c r="G7" s="42">
        <v>23</v>
      </c>
      <c r="H7" s="43">
        <v>3.3913043478260865</v>
      </c>
      <c r="I7" s="67">
        <v>0.25799158289741214</v>
      </c>
      <c r="J7" s="10" t="str">
        <f t="shared" si="1"/>
        <v>NV</v>
      </c>
      <c r="K7" s="10" t="str">
        <f t="shared" si="2"/>
        <v xml:space="preserve"> </v>
      </c>
      <c r="L7" s="10"/>
      <c r="M7" s="42">
        <v>31.192173900000022</v>
      </c>
      <c r="N7" s="43">
        <v>3.2333333333333329</v>
      </c>
      <c r="O7" s="67">
        <v>0.13846831736754769</v>
      </c>
      <c r="P7" s="10">
        <f t="shared" si="3"/>
        <v>3.3598564275382126</v>
      </c>
      <c r="Q7" s="10" t="str">
        <f t="shared" si="4"/>
        <v>*</v>
      </c>
      <c r="R7" s="10"/>
      <c r="S7" s="53">
        <v>28</v>
      </c>
      <c r="T7" s="55">
        <v>3.4285714285714288</v>
      </c>
      <c r="U7" s="56">
        <v>0.12167735115643376</v>
      </c>
      <c r="V7" s="10" t="str">
        <f t="shared" si="5"/>
        <v>NV</v>
      </c>
      <c r="W7" s="10" t="str">
        <f t="shared" si="6"/>
        <v xml:space="preserve"> </v>
      </c>
      <c r="X7" s="10"/>
      <c r="Y7" s="54">
        <v>57</v>
      </c>
      <c r="Z7" s="57">
        <v>3.3684210526315783</v>
      </c>
      <c r="AA7" s="58">
        <v>0.10366351342370381</v>
      </c>
      <c r="AB7" s="10">
        <f t="shared" si="7"/>
        <v>3.0365938326178505</v>
      </c>
      <c r="AC7" s="10" t="str">
        <f t="shared" si="8"/>
        <v>*</v>
      </c>
      <c r="AD7" s="76"/>
      <c r="AE7" s="27">
        <v>14</v>
      </c>
      <c r="AF7" s="28">
        <v>3.7857142857142856</v>
      </c>
      <c r="AG7" s="29">
        <v>0.23420335878516296</v>
      </c>
      <c r="AH7" s="67"/>
      <c r="AI7" s="42">
        <v>9</v>
      </c>
      <c r="AJ7" s="43">
        <v>4</v>
      </c>
      <c r="AK7" s="67">
        <v>0.3319109830184282</v>
      </c>
      <c r="AL7" s="10" t="str">
        <f t="shared" si="9"/>
        <v>NV</v>
      </c>
      <c r="AM7" s="10" t="str">
        <f t="shared" si="10"/>
        <v xml:space="preserve"> </v>
      </c>
      <c r="AN7" s="67"/>
      <c r="AO7" s="42">
        <v>15.45467352</v>
      </c>
      <c r="AP7" s="43">
        <v>3.9272642564370384</v>
      </c>
      <c r="AQ7" s="67">
        <v>0.28573716840491487</v>
      </c>
      <c r="AR7" s="10" t="str">
        <f t="shared" si="11"/>
        <v>NV</v>
      </c>
      <c r="AS7" s="10" t="str">
        <f t="shared" si="12"/>
        <v xml:space="preserve"> </v>
      </c>
      <c r="AT7" s="10"/>
      <c r="AU7" s="53">
        <v>16</v>
      </c>
      <c r="AV7" s="55">
        <v>3.875</v>
      </c>
      <c r="AW7" s="56">
        <v>0.25968764959859547</v>
      </c>
      <c r="AX7" s="10" t="str">
        <f t="shared" si="13"/>
        <v>NV</v>
      </c>
      <c r="AY7" s="10" t="str">
        <f t="shared" si="14"/>
        <v xml:space="preserve"> </v>
      </c>
      <c r="AZ7" s="10"/>
      <c r="BA7" s="54">
        <v>19</v>
      </c>
      <c r="BB7" s="57">
        <v>3.4789321169577363</v>
      </c>
      <c r="BC7" s="58">
        <v>0.24118518142007933</v>
      </c>
      <c r="BD7" s="10" t="str">
        <f t="shared" si="15"/>
        <v>NV</v>
      </c>
      <c r="BE7" s="10" t="str">
        <f t="shared" si="16"/>
        <v xml:space="preserve"> </v>
      </c>
      <c r="BF7" s="76"/>
      <c r="BG7" s="27">
        <v>200</v>
      </c>
      <c r="BH7" s="28">
        <v>3.6916860259085684</v>
      </c>
      <c r="BI7" s="29">
        <v>7.2840828668369037E-2</v>
      </c>
      <c r="BJ7" s="10"/>
      <c r="BK7" s="42">
        <v>56</v>
      </c>
      <c r="BL7" s="43">
        <v>3.9812563031927493</v>
      </c>
      <c r="BM7" s="67">
        <v>0.10966914819412185</v>
      </c>
      <c r="BN7" s="10">
        <f t="shared" si="17"/>
        <v>-2.1994584170629508</v>
      </c>
      <c r="BO7" s="10" t="str">
        <f t="shared" si="18"/>
        <v>*</v>
      </c>
      <c r="BP7" s="10"/>
      <c r="BQ7" s="42">
        <v>70.81395153000004</v>
      </c>
      <c r="BR7" s="43">
        <v>3.3599187654314493</v>
      </c>
      <c r="BS7" s="67">
        <v>6.7287540830063636E-2</v>
      </c>
      <c r="BT7" s="10">
        <f t="shared" si="19"/>
        <v>3.3456590869271703</v>
      </c>
      <c r="BU7" s="10" t="str">
        <f t="shared" si="20"/>
        <v>*</v>
      </c>
      <c r="BV7" s="10"/>
      <c r="BW7" s="53">
        <v>74</v>
      </c>
      <c r="BX7" s="55">
        <v>3.451306957341461</v>
      </c>
      <c r="BY7" s="56">
        <v>5.6270478468165457E-2</v>
      </c>
      <c r="BZ7" s="10">
        <f t="shared" si="21"/>
        <v>2.6115584550670112</v>
      </c>
      <c r="CA7" s="10" t="str">
        <f t="shared" si="22"/>
        <v>*</v>
      </c>
      <c r="CB7" s="10"/>
      <c r="CC7" s="54">
        <v>81</v>
      </c>
      <c r="CD7" s="57">
        <v>3.7817261059420311</v>
      </c>
      <c r="CE7" s="58">
        <v>9.2874268799396198E-2</v>
      </c>
      <c r="CF7" s="10">
        <f t="shared" si="23"/>
        <v>-0.76284840064098047</v>
      </c>
      <c r="CG7" s="10" t="str">
        <f t="shared" si="24"/>
        <v xml:space="preserve"> </v>
      </c>
      <c r="CH7" s="76"/>
      <c r="CI7" s="27">
        <v>151</v>
      </c>
      <c r="CJ7" s="28">
        <v>4.0104870287589556</v>
      </c>
      <c r="CK7" s="29">
        <v>7.1804193900825083E-2</v>
      </c>
      <c r="CL7" s="67"/>
      <c r="CM7" s="42">
        <v>49</v>
      </c>
      <c r="CN7" s="43">
        <v>4.0216116188030542</v>
      </c>
      <c r="CO7" s="67">
        <v>0.12857787423121431</v>
      </c>
      <c r="CP7" s="10">
        <f t="shared" si="25"/>
        <v>-7.553933233243823E-2</v>
      </c>
      <c r="CQ7" s="10" t="str">
        <f t="shared" si="26"/>
        <v xml:space="preserve"> </v>
      </c>
      <c r="CR7" s="10"/>
      <c r="CS7" s="42">
        <v>56.480985090000019</v>
      </c>
      <c r="CT7" s="43">
        <v>4.0999957506229814</v>
      </c>
      <c r="CU7" s="67">
        <v>0.10866912511712697</v>
      </c>
      <c r="CV7" s="10">
        <f t="shared" si="27"/>
        <v>-0.68721196863345368</v>
      </c>
      <c r="CW7" s="10" t="str">
        <f t="shared" si="28"/>
        <v xml:space="preserve"> </v>
      </c>
      <c r="CX7" s="10"/>
      <c r="CY7" s="53">
        <v>35</v>
      </c>
      <c r="CZ7" s="55">
        <v>4.1272111628924577</v>
      </c>
      <c r="DA7" s="56">
        <v>0.1215136365635181</v>
      </c>
      <c r="DB7" s="10">
        <f t="shared" si="29"/>
        <v>-0.82699077731973558</v>
      </c>
      <c r="DC7" s="10" t="str">
        <f t="shared" si="0"/>
        <v xml:space="preserve"> </v>
      </c>
      <c r="DD7" s="10"/>
      <c r="DE7" s="54">
        <v>52</v>
      </c>
      <c r="DF7" s="57">
        <v>4.012626751592923</v>
      </c>
      <c r="DG7" s="58">
        <v>0.12437829611710501</v>
      </c>
      <c r="DH7" s="10">
        <f t="shared" si="30"/>
        <v>-1.4898827455393096E-2</v>
      </c>
      <c r="DI7" s="10" t="str">
        <f t="shared" si="31"/>
        <v xml:space="preserve"> </v>
      </c>
      <c r="DJ7" s="76"/>
      <c r="DK7" s="27">
        <v>29</v>
      </c>
      <c r="DL7" s="28">
        <v>3.858181639739819</v>
      </c>
      <c r="DM7" s="29">
        <v>0.22189109795116596</v>
      </c>
      <c r="DN7" s="10"/>
      <c r="DO7" s="42">
        <v>16</v>
      </c>
      <c r="DP7" s="43">
        <v>3.5632325544459542</v>
      </c>
      <c r="DQ7" s="67">
        <v>0.20408161496689797</v>
      </c>
      <c r="DR7" s="10" t="str">
        <f t="shared" si="32"/>
        <v>NV</v>
      </c>
      <c r="DS7" s="10" t="str">
        <f t="shared" si="33"/>
        <v xml:space="preserve"> </v>
      </c>
      <c r="DT7" s="10"/>
      <c r="DU7" s="42">
        <v>15.258614790000006</v>
      </c>
      <c r="DV7" s="43">
        <v>3.3296471953205389</v>
      </c>
      <c r="DW7" s="67">
        <v>0.23179634560459597</v>
      </c>
      <c r="DX7" s="10" t="str">
        <f t="shared" si="34"/>
        <v>NV</v>
      </c>
      <c r="DY7" s="10" t="str">
        <f t="shared" si="35"/>
        <v xml:space="preserve"> </v>
      </c>
      <c r="DZ7" s="10"/>
      <c r="EA7" s="53">
        <v>6</v>
      </c>
      <c r="EB7" s="55">
        <v>3.9043573489182704</v>
      </c>
      <c r="EC7" s="56">
        <v>0.30545855139208911</v>
      </c>
      <c r="ED7" s="10" t="str">
        <f t="shared" si="36"/>
        <v>NV</v>
      </c>
      <c r="EE7" s="10" t="str">
        <f t="shared" si="37"/>
        <v xml:space="preserve"> </v>
      </c>
      <c r="EF7" s="10"/>
      <c r="EG7" s="54">
        <v>10</v>
      </c>
      <c r="EH7" s="57">
        <v>4.2</v>
      </c>
      <c r="EI7" s="58">
        <v>0.12390930772787181</v>
      </c>
      <c r="EJ7" s="10" t="str">
        <f t="shared" si="38"/>
        <v>NV</v>
      </c>
      <c r="EK7" s="10" t="str">
        <f t="shared" si="39"/>
        <v xml:space="preserve"> </v>
      </c>
      <c r="EL7" s="76"/>
      <c r="EM7" s="27">
        <v>96</v>
      </c>
      <c r="EN7" s="28">
        <v>4.0244100432132388</v>
      </c>
      <c r="EO7" s="29">
        <v>9.0848928241258856E-2</v>
      </c>
      <c r="EP7" s="10"/>
      <c r="EQ7" s="42">
        <v>30</v>
      </c>
      <c r="ER7" s="43">
        <v>4.2689216809250192</v>
      </c>
      <c r="ES7" s="67">
        <v>0.14325599250238039</v>
      </c>
      <c r="ET7" s="10">
        <f t="shared" si="40"/>
        <v>-1.4414041807520499</v>
      </c>
      <c r="EU7" s="10" t="str">
        <f t="shared" si="41"/>
        <v xml:space="preserve"> </v>
      </c>
      <c r="EV7" s="10"/>
      <c r="EW7" s="42">
        <v>21.777476340000003</v>
      </c>
      <c r="EX7" s="43">
        <v>3.6412943043518884</v>
      </c>
      <c r="EY7" s="67">
        <v>0.20523826193291156</v>
      </c>
      <c r="EZ7" s="10" t="str">
        <f t="shared" si="42"/>
        <v>NV</v>
      </c>
      <c r="FA7" s="10" t="str">
        <f t="shared" si="43"/>
        <v xml:space="preserve"> </v>
      </c>
      <c r="FB7" s="10"/>
      <c r="FC7" s="53">
        <v>21</v>
      </c>
      <c r="FD7" s="55">
        <v>3.9997321081759654</v>
      </c>
      <c r="FE7" s="56">
        <v>0.17172878647318349</v>
      </c>
      <c r="FF7" s="10" t="str">
        <f t="shared" si="44"/>
        <v>NV</v>
      </c>
      <c r="FG7" s="10" t="str">
        <f t="shared" si="45"/>
        <v xml:space="preserve"> </v>
      </c>
      <c r="FH7" s="10"/>
      <c r="FI7" s="54">
        <v>23</v>
      </c>
      <c r="FJ7" s="57">
        <v>3.6958567002261784</v>
      </c>
      <c r="FK7" s="58">
        <v>0.17246488966098389</v>
      </c>
      <c r="FL7" s="10" t="str">
        <f t="shared" si="46"/>
        <v>NV</v>
      </c>
      <c r="FM7" s="10" t="str">
        <f t="shared" si="99"/>
        <v xml:space="preserve"> </v>
      </c>
      <c r="FN7" s="76"/>
      <c r="FO7" s="27">
        <v>21</v>
      </c>
      <c r="FP7" s="28">
        <v>3.7630857914264801</v>
      </c>
      <c r="FQ7" s="29">
        <v>0.23615276677943356</v>
      </c>
      <c r="FR7" s="67"/>
      <c r="FS7" s="42">
        <v>15</v>
      </c>
      <c r="FT7" s="43">
        <v>3.8694344256649162</v>
      </c>
      <c r="FU7" s="67">
        <v>0.23563495841043861</v>
      </c>
      <c r="FV7" s="10" t="str">
        <f t="shared" si="47"/>
        <v>NV</v>
      </c>
      <c r="FW7" s="10" t="str">
        <f t="shared" si="48"/>
        <v xml:space="preserve"> </v>
      </c>
      <c r="FX7" s="67"/>
      <c r="FY7" s="42">
        <v>28.306999809999986</v>
      </c>
      <c r="FZ7" s="43">
        <v>3.6845392390596827</v>
      </c>
      <c r="GA7" s="67">
        <v>0.15916394410093956</v>
      </c>
      <c r="GB7" s="10" t="str">
        <f t="shared" si="49"/>
        <v>NV</v>
      </c>
      <c r="GC7" s="10" t="str">
        <f t="shared" si="50"/>
        <v xml:space="preserve"> </v>
      </c>
      <c r="GD7" s="10"/>
      <c r="GE7" s="53">
        <v>29</v>
      </c>
      <c r="GF7" s="55">
        <v>3.5560215955223859</v>
      </c>
      <c r="GG7" s="56">
        <v>0.22394077991856043</v>
      </c>
      <c r="GH7" s="10" t="str">
        <f t="shared" si="51"/>
        <v>NV</v>
      </c>
      <c r="GI7" s="10" t="str">
        <f t="shared" si="52"/>
        <v xml:space="preserve"> </v>
      </c>
      <c r="GJ7" s="10"/>
      <c r="GK7" s="54">
        <v>40</v>
      </c>
      <c r="GL7" s="57">
        <v>3.6783479353800366</v>
      </c>
      <c r="GM7" s="58">
        <v>0.15165393240576666</v>
      </c>
      <c r="GN7" s="10" t="str">
        <f t="shared" si="53"/>
        <v>NV</v>
      </c>
      <c r="GO7" s="10" t="str">
        <f t="shared" si="100"/>
        <v xml:space="preserve"> </v>
      </c>
      <c r="GP7" s="76"/>
      <c r="GQ7" s="27">
        <v>31</v>
      </c>
      <c r="GR7" s="28">
        <v>3.6547766828925012</v>
      </c>
      <c r="GS7" s="29">
        <v>0.1772423444963207</v>
      </c>
      <c r="GT7" s="10"/>
      <c r="GU7" s="42">
        <v>28</v>
      </c>
      <c r="GV7" s="43">
        <v>3.6083805067070189</v>
      </c>
      <c r="GW7" s="67">
        <v>0.18160616615789144</v>
      </c>
      <c r="GX7" s="10" t="str">
        <f t="shared" si="54"/>
        <v>NV</v>
      </c>
      <c r="GY7" s="10" t="str">
        <f t="shared" si="55"/>
        <v xml:space="preserve"> </v>
      </c>
      <c r="GZ7" s="10"/>
      <c r="HA7" s="42">
        <v>13.590945640000003</v>
      </c>
      <c r="HB7" s="43">
        <v>4.2323027597658758</v>
      </c>
      <c r="HC7" s="67">
        <v>0.19554078707967554</v>
      </c>
      <c r="HD7" s="10" t="str">
        <f t="shared" si="56"/>
        <v>NV</v>
      </c>
      <c r="HE7" s="10" t="str">
        <f t="shared" si="57"/>
        <v xml:space="preserve"> </v>
      </c>
      <c r="HF7" s="10"/>
      <c r="HG7" s="53">
        <v>17</v>
      </c>
      <c r="HH7" s="55">
        <v>3.6954637716737304</v>
      </c>
      <c r="HI7" s="56">
        <v>0.19190997792065001</v>
      </c>
      <c r="HJ7" s="10" t="str">
        <f t="shared" si="58"/>
        <v>NV</v>
      </c>
      <c r="HK7" s="10" t="str">
        <f t="shared" si="59"/>
        <v xml:space="preserve"> </v>
      </c>
      <c r="HL7" s="10"/>
      <c r="HM7" s="54">
        <v>25</v>
      </c>
      <c r="HN7" s="57">
        <v>3.9570552143094875</v>
      </c>
      <c r="HO7" s="58">
        <v>0.19680835363681903</v>
      </c>
      <c r="HP7" s="10" t="str">
        <f t="shared" si="60"/>
        <v>NV</v>
      </c>
      <c r="HQ7" s="10" t="str">
        <f t="shared" si="101"/>
        <v xml:space="preserve"> </v>
      </c>
      <c r="HR7" s="76"/>
      <c r="HS7" s="27">
        <v>62</v>
      </c>
      <c r="HT7" s="28">
        <v>3.7456111128691232</v>
      </c>
      <c r="HU7" s="29">
        <v>0.1145357358816754</v>
      </c>
      <c r="HV7" s="10"/>
      <c r="HW7" s="42">
        <v>61</v>
      </c>
      <c r="HX7" s="43">
        <v>3.471963126116691</v>
      </c>
      <c r="HY7" s="67">
        <v>0.12733195523319504</v>
      </c>
      <c r="HZ7" s="10">
        <f t="shared" si="61"/>
        <v>1.5978000987116039</v>
      </c>
      <c r="IA7" s="10" t="str">
        <f t="shared" si="62"/>
        <v xml:space="preserve"> </v>
      </c>
      <c r="IB7" s="10"/>
      <c r="IC7" s="42">
        <v>73.633106859999955</v>
      </c>
      <c r="ID7" s="43">
        <v>3.6606585395410831</v>
      </c>
      <c r="IE7" s="67">
        <v>0.10534672917270484</v>
      </c>
      <c r="IF7" s="10">
        <f t="shared" si="63"/>
        <v>0.5459112367173764</v>
      </c>
      <c r="IG7" s="10" t="str">
        <f t="shared" si="64"/>
        <v xml:space="preserve"> </v>
      </c>
      <c r="IH7" s="10"/>
      <c r="II7" s="53">
        <v>49</v>
      </c>
      <c r="IJ7" s="55">
        <v>3.8304903122520062</v>
      </c>
      <c r="IK7" s="56">
        <v>0.12607774446392181</v>
      </c>
      <c r="IL7" s="10">
        <f t="shared" si="65"/>
        <v>-0.49830727571768452</v>
      </c>
      <c r="IM7" s="10" t="str">
        <f t="shared" si="66"/>
        <v xml:space="preserve"> </v>
      </c>
      <c r="IN7" s="10"/>
      <c r="IO7" s="54">
        <v>75</v>
      </c>
      <c r="IP7" s="57">
        <v>4.0088375248618586</v>
      </c>
      <c r="IQ7" s="58">
        <v>0.10681913488795106</v>
      </c>
      <c r="IR7" s="10">
        <f t="shared" si="67"/>
        <v>-1.6807055958388046</v>
      </c>
      <c r="IS7" s="10" t="str">
        <f t="shared" si="68"/>
        <v xml:space="preserve"> </v>
      </c>
      <c r="IT7" s="76"/>
      <c r="IU7" s="27">
        <v>5</v>
      </c>
      <c r="IV7" s="28">
        <v>4.2</v>
      </c>
      <c r="IW7" s="29">
        <v>0.49015172597732931</v>
      </c>
      <c r="IX7" s="10"/>
      <c r="IY7" s="42">
        <v>3</v>
      </c>
      <c r="IZ7" s="43">
        <v>4</v>
      </c>
      <c r="JA7" s="67">
        <v>0.57673267262194938</v>
      </c>
      <c r="JB7" s="10" t="str">
        <f t="shared" si="69"/>
        <v>NV</v>
      </c>
      <c r="JC7" s="10" t="str">
        <f t="shared" si="70"/>
        <v xml:space="preserve"> </v>
      </c>
      <c r="JD7" s="10"/>
      <c r="JE7" s="42">
        <v>8.9110745100000006</v>
      </c>
      <c r="JF7" s="43">
        <v>4.666666666666667</v>
      </c>
      <c r="JG7" s="67">
        <v>0.16760076849519018</v>
      </c>
      <c r="JH7" s="10" t="str">
        <f t="shared" si="71"/>
        <v>NV</v>
      </c>
      <c r="JI7" s="10" t="str">
        <f t="shared" si="72"/>
        <v xml:space="preserve"> </v>
      </c>
      <c r="JJ7" s="10"/>
      <c r="JK7" s="53">
        <v>1</v>
      </c>
      <c r="JL7" s="55">
        <v>4</v>
      </c>
      <c r="JN7" s="10" t="str">
        <f t="shared" si="73"/>
        <v>NV</v>
      </c>
      <c r="JO7" s="10" t="str">
        <f t="shared" si="74"/>
        <v xml:space="preserve"> </v>
      </c>
      <c r="JP7" s="10"/>
      <c r="JQ7" s="54">
        <v>3</v>
      </c>
      <c r="JR7" s="57">
        <v>3</v>
      </c>
      <c r="JS7" s="58">
        <v>0.60753205994075554</v>
      </c>
      <c r="JT7" s="10" t="str">
        <f t="shared" si="75"/>
        <v>NV</v>
      </c>
      <c r="JU7" s="10" t="str">
        <f t="shared" si="76"/>
        <v xml:space="preserve"> </v>
      </c>
      <c r="JV7" s="76"/>
      <c r="JW7" s="27">
        <v>58</v>
      </c>
      <c r="JX7" s="28">
        <v>3.395114807047126</v>
      </c>
      <c r="JY7" s="29">
        <v>0.15347443629557764</v>
      </c>
      <c r="JZ7" s="10"/>
      <c r="KA7" s="42">
        <v>33</v>
      </c>
      <c r="KB7" s="43">
        <v>3.8184523808928352</v>
      </c>
      <c r="KC7" s="67">
        <v>0.18701918867546188</v>
      </c>
      <c r="KD7" s="10">
        <f t="shared" si="77"/>
        <v>-1.7498281723277955</v>
      </c>
      <c r="KE7" s="10" t="str">
        <f t="shared" si="78"/>
        <v xml:space="preserve"> </v>
      </c>
      <c r="KF7" s="10"/>
      <c r="KG7" s="42">
        <v>47.012458119999962</v>
      </c>
      <c r="KH7" s="43">
        <v>3.4768613086083824</v>
      </c>
      <c r="KI7" s="67">
        <v>0.15201620449109038</v>
      </c>
      <c r="KJ7" s="10">
        <f t="shared" si="79"/>
        <v>-0.37842630409660694</v>
      </c>
      <c r="KK7" s="10" t="str">
        <f t="shared" si="80"/>
        <v xml:space="preserve"> </v>
      </c>
      <c r="KL7" s="10"/>
      <c r="KM7" s="53">
        <v>60</v>
      </c>
      <c r="KN7" s="55">
        <v>3.4501607327512209</v>
      </c>
      <c r="KO7" s="56">
        <v>0.14868543553775751</v>
      </c>
      <c r="KP7" s="10">
        <f t="shared" si="81"/>
        <v>-0.25760177413758811</v>
      </c>
      <c r="KQ7" s="10" t="str">
        <f t="shared" si="82"/>
        <v xml:space="preserve"> </v>
      </c>
      <c r="KR7" s="10"/>
      <c r="KS7" s="54">
        <v>92</v>
      </c>
      <c r="KT7" s="57">
        <v>3.5106325028675438</v>
      </c>
      <c r="KU7" s="58">
        <v>0.10131505442168783</v>
      </c>
      <c r="KV7" s="10">
        <f t="shared" si="83"/>
        <v>-0.62815557643458886</v>
      </c>
      <c r="KW7" s="10" t="str">
        <f t="shared" si="102"/>
        <v xml:space="preserve"> </v>
      </c>
      <c r="KX7" s="76"/>
      <c r="KY7" s="27">
        <v>12</v>
      </c>
      <c r="KZ7" s="28">
        <v>3.4999999999999996</v>
      </c>
      <c r="LA7" s="29">
        <v>0.33725231601978967</v>
      </c>
      <c r="LB7" s="10"/>
      <c r="LC7" s="42">
        <v>14</v>
      </c>
      <c r="LD7" s="43">
        <v>3.7868162690422822</v>
      </c>
      <c r="LE7" s="67">
        <v>0.26062044496161818</v>
      </c>
      <c r="LF7" s="10" t="str">
        <f t="shared" si="84"/>
        <v>NV</v>
      </c>
      <c r="LG7" s="10" t="str">
        <f t="shared" si="85"/>
        <v xml:space="preserve"> </v>
      </c>
      <c r="LH7" s="10"/>
      <c r="LI7" s="42">
        <v>31.683820480000005</v>
      </c>
      <c r="LJ7" s="43">
        <v>4.09375</v>
      </c>
      <c r="LK7" s="67">
        <v>0.15866588075549287</v>
      </c>
      <c r="LL7" s="10" t="str">
        <f t="shared" si="86"/>
        <v>NV</v>
      </c>
      <c r="LM7" s="10" t="str">
        <f t="shared" si="87"/>
        <v xml:space="preserve"> </v>
      </c>
      <c r="LN7" s="10"/>
      <c r="LO7" s="53">
        <v>45</v>
      </c>
      <c r="LP7" s="55">
        <v>3.6</v>
      </c>
      <c r="LQ7" s="56">
        <v>0.11772769805480282</v>
      </c>
      <c r="LR7" s="10" t="str">
        <f t="shared" si="88"/>
        <v>NV</v>
      </c>
      <c r="LS7" s="10" t="str">
        <f t="shared" si="89"/>
        <v xml:space="preserve"> </v>
      </c>
      <c r="LT7" s="10"/>
      <c r="LU7" s="54">
        <v>44</v>
      </c>
      <c r="LV7" s="57">
        <v>3.5518240272878874</v>
      </c>
      <c r="LW7" s="58">
        <v>0.17091680075713994</v>
      </c>
      <c r="LX7" s="10" t="str">
        <f t="shared" si="90"/>
        <v>NV</v>
      </c>
      <c r="LY7" s="10" t="str">
        <f t="shared" si="91"/>
        <v xml:space="preserve"> </v>
      </c>
      <c r="LZ7" s="76"/>
      <c r="MA7" s="27">
        <v>20</v>
      </c>
      <c r="MB7" s="28">
        <v>3.6990362050358359</v>
      </c>
      <c r="MC7" s="29">
        <v>0.21856321149521152</v>
      </c>
      <c r="MD7" s="10"/>
      <c r="ME7" s="42">
        <v>18</v>
      </c>
      <c r="MF7" s="43">
        <v>3.5000000000000009</v>
      </c>
      <c r="MG7" s="67">
        <v>0.20196033562162133</v>
      </c>
      <c r="MH7" s="10" t="str">
        <f t="shared" si="92"/>
        <v>NV</v>
      </c>
      <c r="MI7" s="10" t="str">
        <f t="shared" si="93"/>
        <v xml:space="preserve"> </v>
      </c>
      <c r="MJ7" s="10"/>
      <c r="MK7" s="42">
        <v>12.040381610000001</v>
      </c>
      <c r="ML7" s="43">
        <v>3.6710671066512814</v>
      </c>
      <c r="MM7" s="67">
        <v>0.41104938549100917</v>
      </c>
      <c r="MN7" s="10" t="str">
        <f t="shared" si="94"/>
        <v>NV</v>
      </c>
      <c r="MO7" s="10" t="str">
        <f t="shared" si="95"/>
        <v xml:space="preserve"> </v>
      </c>
      <c r="MP7" s="10"/>
      <c r="MQ7" s="53">
        <v>24</v>
      </c>
      <c r="MR7" s="55">
        <v>3.8750000000000004</v>
      </c>
      <c r="MS7" s="56">
        <v>0.1956486834387911</v>
      </c>
      <c r="MT7" s="10" t="str">
        <f t="shared" si="96"/>
        <v>NV</v>
      </c>
      <c r="MU7" s="10" t="str">
        <f t="shared" si="97"/>
        <v xml:space="preserve"> </v>
      </c>
      <c r="MV7" s="10"/>
      <c r="MW7" s="54">
        <v>39</v>
      </c>
      <c r="MX7" s="57">
        <v>3.6422606929797721</v>
      </c>
      <c r="MY7" s="58">
        <v>0.16018343049267217</v>
      </c>
      <c r="MZ7" s="10" t="str">
        <f t="shared" si="98"/>
        <v>NV</v>
      </c>
      <c r="NA7" s="10" t="str">
        <f t="shared" si="103"/>
        <v xml:space="preserve"> </v>
      </c>
      <c r="NB7" s="58"/>
    </row>
    <row r="8" spans="1:366" x14ac:dyDescent="0.2">
      <c r="B8" s="65" t="s">
        <v>6</v>
      </c>
      <c r="C8" s="27">
        <v>355</v>
      </c>
      <c r="D8" s="28">
        <v>3.6424846110485629</v>
      </c>
      <c r="E8" s="29">
        <v>5.1526495506149878E-2</v>
      </c>
      <c r="F8" s="10"/>
      <c r="G8" s="42">
        <v>112</v>
      </c>
      <c r="H8" s="43">
        <v>3.4106159010583776</v>
      </c>
      <c r="I8" s="67">
        <v>0.1029778969346393</v>
      </c>
      <c r="J8" s="10">
        <f t="shared" si="1"/>
        <v>2.0136304388182662</v>
      </c>
      <c r="K8" s="10" t="str">
        <f t="shared" si="2"/>
        <v>*</v>
      </c>
      <c r="L8" s="10"/>
      <c r="M8" s="42">
        <v>91.49704344000007</v>
      </c>
      <c r="N8" s="43">
        <v>3.3295454545454541</v>
      </c>
      <c r="O8" s="67">
        <v>7.553980066097106E-2</v>
      </c>
      <c r="P8" s="10">
        <f t="shared" si="3"/>
        <v>3.4223508573321366</v>
      </c>
      <c r="Q8" s="10" t="str">
        <f t="shared" si="4"/>
        <v>*</v>
      </c>
      <c r="R8" s="10"/>
      <c r="S8" s="53">
        <v>82</v>
      </c>
      <c r="T8" s="55">
        <v>3.5365853658536595</v>
      </c>
      <c r="U8" s="56">
        <v>0.10280658366955026</v>
      </c>
      <c r="V8" s="10">
        <f t="shared" si="5"/>
        <v>0.92089178184233522</v>
      </c>
      <c r="W8" s="10" t="str">
        <f t="shared" si="6"/>
        <v xml:space="preserve"> </v>
      </c>
      <c r="X8" s="10"/>
      <c r="Y8" s="54">
        <v>184</v>
      </c>
      <c r="Z8" s="57">
        <v>3.2663043478260874</v>
      </c>
      <c r="AA8" s="58">
        <v>5.14707590023602E-2</v>
      </c>
      <c r="AB8" s="10">
        <f t="shared" si="7"/>
        <v>5.1651779922681618</v>
      </c>
      <c r="AC8" s="10" t="str">
        <f t="shared" si="8"/>
        <v>*</v>
      </c>
      <c r="AD8" s="76"/>
      <c r="AE8" s="27">
        <v>85</v>
      </c>
      <c r="AF8" s="28">
        <v>3.8950363023723265</v>
      </c>
      <c r="AG8" s="29">
        <v>9.5948485617732004E-2</v>
      </c>
      <c r="AH8" s="67"/>
      <c r="AI8" s="42">
        <v>47</v>
      </c>
      <c r="AJ8" s="43">
        <v>3.6388377621189476</v>
      </c>
      <c r="AK8" s="67">
        <v>0.16446495357353144</v>
      </c>
      <c r="AL8" s="10">
        <f t="shared" si="9"/>
        <v>1.345530966945619</v>
      </c>
      <c r="AM8" s="10" t="str">
        <f t="shared" si="10"/>
        <v xml:space="preserve"> </v>
      </c>
      <c r="AN8" s="67"/>
      <c r="AO8" s="42">
        <v>80.588643720000007</v>
      </c>
      <c r="AP8" s="43">
        <v>3.3556472894565794</v>
      </c>
      <c r="AQ8" s="67">
        <v>0.10592762416365774</v>
      </c>
      <c r="AR8" s="10">
        <f t="shared" si="11"/>
        <v>3.7740027274648211</v>
      </c>
      <c r="AS8" s="10" t="str">
        <f t="shared" si="12"/>
        <v>*</v>
      </c>
      <c r="AT8" s="10"/>
      <c r="AU8" s="53">
        <v>76</v>
      </c>
      <c r="AV8" s="55">
        <v>3.3835220678262758</v>
      </c>
      <c r="AW8" s="56">
        <v>0.11155025526243033</v>
      </c>
      <c r="AX8" s="10">
        <f t="shared" si="13"/>
        <v>3.4764266695346731</v>
      </c>
      <c r="AY8" s="10" t="str">
        <f t="shared" si="14"/>
        <v>*</v>
      </c>
      <c r="AZ8" s="10"/>
      <c r="BA8" s="54">
        <v>65</v>
      </c>
      <c r="BB8" s="57">
        <v>3.3202170461585929</v>
      </c>
      <c r="BC8" s="58">
        <v>0.11262622805710361</v>
      </c>
      <c r="BD8" s="10">
        <f t="shared" si="15"/>
        <v>3.8850865545717879</v>
      </c>
      <c r="BE8" s="10" t="str">
        <f t="shared" si="16"/>
        <v>*</v>
      </c>
      <c r="BF8" s="76"/>
      <c r="BG8" s="27">
        <v>964</v>
      </c>
      <c r="BH8" s="28">
        <v>3.8202314795063197</v>
      </c>
      <c r="BI8" s="29">
        <v>2.9730265915922122E-2</v>
      </c>
      <c r="BJ8" s="10"/>
      <c r="BK8" s="42">
        <v>290</v>
      </c>
      <c r="BL8" s="43">
        <v>3.7931590626434653</v>
      </c>
      <c r="BM8" s="67">
        <v>5.282004103036532E-2</v>
      </c>
      <c r="BN8" s="10">
        <f t="shared" si="17"/>
        <v>0.44664922796255835</v>
      </c>
      <c r="BO8" s="10" t="str">
        <f t="shared" si="18"/>
        <v xml:space="preserve"> </v>
      </c>
      <c r="BP8" s="10"/>
      <c r="BQ8" s="42">
        <v>281.93324012999864</v>
      </c>
      <c r="BR8" s="43">
        <v>3.4754302102802566</v>
      </c>
      <c r="BS8" s="67">
        <v>3.8712770563034161E-2</v>
      </c>
      <c r="BT8" s="10">
        <f t="shared" si="19"/>
        <v>7.063928030701117</v>
      </c>
      <c r="BU8" s="10" t="str">
        <f t="shared" si="20"/>
        <v>*</v>
      </c>
      <c r="BV8" s="10"/>
      <c r="BW8" s="53">
        <v>236</v>
      </c>
      <c r="BX8" s="55">
        <v>3.647300548278456</v>
      </c>
      <c r="BY8" s="56">
        <v>3.5420231342233613E-2</v>
      </c>
      <c r="BZ8" s="10">
        <f t="shared" si="21"/>
        <v>3.7395550547218281</v>
      </c>
      <c r="CA8" s="10" t="str">
        <f t="shared" si="22"/>
        <v>*</v>
      </c>
      <c r="CB8" s="10"/>
      <c r="CC8" s="54">
        <v>337</v>
      </c>
      <c r="CD8" s="57">
        <v>3.6474981595438032</v>
      </c>
      <c r="CE8" s="58">
        <v>4.7653965677036558E-2</v>
      </c>
      <c r="CF8" s="10">
        <f t="shared" si="23"/>
        <v>3.0753245177449404</v>
      </c>
      <c r="CG8" s="10" t="str">
        <f t="shared" si="24"/>
        <v>*</v>
      </c>
      <c r="CH8" s="76"/>
      <c r="CI8" s="27">
        <v>622</v>
      </c>
      <c r="CJ8" s="28">
        <v>3.9694936558267515</v>
      </c>
      <c r="CK8" s="29">
        <v>3.5279614237670405E-2</v>
      </c>
      <c r="CL8" s="67"/>
      <c r="CM8" s="42">
        <v>185</v>
      </c>
      <c r="CN8" s="43">
        <v>4.0488654755781379</v>
      </c>
      <c r="CO8" s="67">
        <v>6.5521688220558191E-2</v>
      </c>
      <c r="CP8" s="10">
        <f t="shared" si="25"/>
        <v>-1.0665959900499715</v>
      </c>
      <c r="CQ8" s="10" t="str">
        <f t="shared" si="26"/>
        <v xml:space="preserve"> </v>
      </c>
      <c r="CR8" s="10"/>
      <c r="CS8" s="42">
        <v>206.36495561999959</v>
      </c>
      <c r="CT8" s="43">
        <v>4.0901374630402447</v>
      </c>
      <c r="CU8" s="67">
        <v>5.4915664754781615E-2</v>
      </c>
      <c r="CV8" s="10">
        <f t="shared" si="27"/>
        <v>-1.8483354502403959</v>
      </c>
      <c r="CW8" s="10" t="str">
        <f t="shared" si="28"/>
        <v xml:space="preserve"> </v>
      </c>
      <c r="CX8" s="10"/>
      <c r="CY8" s="53">
        <v>149</v>
      </c>
      <c r="CZ8" s="55">
        <v>4.1260011693103573</v>
      </c>
      <c r="DA8" s="56">
        <v>6.5246225522281195E-2</v>
      </c>
      <c r="DB8" s="10">
        <f t="shared" si="29"/>
        <v>-2.1100167613085001</v>
      </c>
      <c r="DC8" s="10" t="str">
        <f t="shared" si="0"/>
        <v>*</v>
      </c>
      <c r="DD8" s="10"/>
      <c r="DE8" s="54">
        <v>231</v>
      </c>
      <c r="DF8" s="57">
        <v>3.8678561518687133</v>
      </c>
      <c r="DG8" s="58">
        <v>5.9442839303829875E-2</v>
      </c>
      <c r="DH8" s="10">
        <f t="shared" si="30"/>
        <v>1.4703687632567894</v>
      </c>
      <c r="DI8" s="10" t="str">
        <f t="shared" si="31"/>
        <v xml:space="preserve"> </v>
      </c>
      <c r="DJ8" s="76"/>
      <c r="DK8" s="27">
        <v>180</v>
      </c>
      <c r="DL8" s="28">
        <v>3.5470436458304389</v>
      </c>
      <c r="DM8" s="29">
        <v>7.6733357901029489E-2</v>
      </c>
      <c r="DN8" s="10"/>
      <c r="DO8" s="42">
        <v>69</v>
      </c>
      <c r="DP8" s="43">
        <v>3.2476472076980523</v>
      </c>
      <c r="DQ8" s="67">
        <v>0.11401338454019283</v>
      </c>
      <c r="DR8" s="10">
        <f t="shared" si="32"/>
        <v>2.178534532953273</v>
      </c>
      <c r="DS8" s="10" t="str">
        <f t="shared" si="33"/>
        <v>*</v>
      </c>
      <c r="DT8" s="10"/>
      <c r="DU8" s="42">
        <v>80.816825280000032</v>
      </c>
      <c r="DV8" s="43">
        <v>3.3091071900368512</v>
      </c>
      <c r="DW8" s="67">
        <v>0.11040766967552713</v>
      </c>
      <c r="DX8" s="10">
        <f t="shared" si="34"/>
        <v>1.7696503159113868</v>
      </c>
      <c r="DY8" s="10" t="str">
        <f t="shared" si="35"/>
        <v xml:space="preserve"> </v>
      </c>
      <c r="DZ8" s="10"/>
      <c r="EA8" s="53">
        <v>73</v>
      </c>
      <c r="EB8" s="55">
        <v>3.222277510507225</v>
      </c>
      <c r="EC8" s="56">
        <v>0.11088014799112875</v>
      </c>
      <c r="ED8" s="10">
        <f t="shared" si="36"/>
        <v>2.4084905637182903</v>
      </c>
      <c r="EE8" s="10" t="str">
        <f t="shared" si="37"/>
        <v>*</v>
      </c>
      <c r="EF8" s="10"/>
      <c r="EG8" s="54">
        <v>54</v>
      </c>
      <c r="EH8" s="57">
        <v>3.4999999999999991</v>
      </c>
      <c r="EI8" s="58">
        <v>0.12537366003607911</v>
      </c>
      <c r="EJ8" s="10">
        <f t="shared" si="38"/>
        <v>0.32004284996946003</v>
      </c>
      <c r="EK8" s="10" t="str">
        <f t="shared" si="39"/>
        <v xml:space="preserve"> </v>
      </c>
      <c r="EL8" s="76"/>
      <c r="EM8" s="27">
        <v>394</v>
      </c>
      <c r="EN8" s="28">
        <v>4.0602007996831491</v>
      </c>
      <c r="EO8" s="29">
        <v>4.399887231579299E-2</v>
      </c>
      <c r="EP8" s="10"/>
      <c r="EQ8" s="42">
        <v>123</v>
      </c>
      <c r="ER8" s="43">
        <v>4.1385165149298393</v>
      </c>
      <c r="ES8" s="67">
        <v>7.3290272543301963E-2</v>
      </c>
      <c r="ET8" s="10">
        <f t="shared" si="40"/>
        <v>-0.91615408792485231</v>
      </c>
      <c r="EU8" s="10" t="str">
        <f t="shared" si="41"/>
        <v xml:space="preserve"> </v>
      </c>
      <c r="EV8" s="10"/>
      <c r="EW8" s="42">
        <v>129.68216430000004</v>
      </c>
      <c r="EX8" s="43">
        <v>3.4994640229026475</v>
      </c>
      <c r="EY8" s="67">
        <v>6.6062137412789018E-2</v>
      </c>
      <c r="EZ8" s="10">
        <f t="shared" si="42"/>
        <v>7.0645594839700365</v>
      </c>
      <c r="FA8" s="10" t="str">
        <f t="shared" si="43"/>
        <v>*</v>
      </c>
      <c r="FB8" s="10"/>
      <c r="FC8" s="53">
        <v>94</v>
      </c>
      <c r="FD8" s="55">
        <v>3.7432321751213928</v>
      </c>
      <c r="FE8" s="56">
        <v>8.0129555329059077E-2</v>
      </c>
      <c r="FF8" s="10">
        <f t="shared" si="44"/>
        <v>3.4673705982719731</v>
      </c>
      <c r="FG8" s="10" t="str">
        <f t="shared" si="45"/>
        <v>*</v>
      </c>
      <c r="FH8" s="10"/>
      <c r="FI8" s="54">
        <v>158</v>
      </c>
      <c r="FJ8" s="57">
        <v>3.6104025139914304</v>
      </c>
      <c r="FK8" s="58">
        <v>6.3844490107975743E-2</v>
      </c>
      <c r="FL8" s="10">
        <f t="shared" si="46"/>
        <v>5.8010632278925511</v>
      </c>
      <c r="FM8" s="10" t="str">
        <f t="shared" si="99"/>
        <v>*</v>
      </c>
      <c r="FN8" s="76"/>
      <c r="FO8" s="27">
        <v>142</v>
      </c>
      <c r="FP8" s="28">
        <v>3.555396252155949</v>
      </c>
      <c r="FQ8" s="29">
        <v>8.1382903286267655E-2</v>
      </c>
      <c r="FR8" s="67"/>
      <c r="FS8" s="42">
        <v>112</v>
      </c>
      <c r="FT8" s="43">
        <v>3.6442445004800654</v>
      </c>
      <c r="FU8" s="67">
        <v>9.2702536257957463E-2</v>
      </c>
      <c r="FV8" s="10">
        <f t="shared" si="47"/>
        <v>-0.72025328237440367</v>
      </c>
      <c r="FW8" s="10" t="str">
        <f t="shared" si="48"/>
        <v xml:space="preserve"> </v>
      </c>
      <c r="FX8" s="67"/>
      <c r="FY8" s="42">
        <v>116.23596675999993</v>
      </c>
      <c r="FZ8" s="43">
        <v>3.6714866788277054</v>
      </c>
      <c r="GA8" s="67">
        <v>8.9138445666171115E-2</v>
      </c>
      <c r="GB8" s="10">
        <f t="shared" si="49"/>
        <v>-0.96179813099618827</v>
      </c>
      <c r="GC8" s="10" t="str">
        <f t="shared" si="50"/>
        <v xml:space="preserve"> </v>
      </c>
      <c r="GD8" s="10"/>
      <c r="GE8" s="53">
        <v>132</v>
      </c>
      <c r="GF8" s="55">
        <v>3.3388985341347395</v>
      </c>
      <c r="GG8" s="56">
        <v>9.3224368838423693E-2</v>
      </c>
      <c r="GH8" s="10">
        <f t="shared" si="51"/>
        <v>1.7494823702183735</v>
      </c>
      <c r="GI8" s="10" t="str">
        <f t="shared" si="52"/>
        <v xml:space="preserve"> </v>
      </c>
      <c r="GJ8" s="10"/>
      <c r="GK8" s="54">
        <v>153</v>
      </c>
      <c r="GL8" s="57">
        <v>3.5892974394114745</v>
      </c>
      <c r="GM8" s="58">
        <v>7.8394927156974131E-2</v>
      </c>
      <c r="GN8" s="10">
        <f t="shared" si="53"/>
        <v>-0.30001119332164933</v>
      </c>
      <c r="GO8" s="10" t="str">
        <f t="shared" si="100"/>
        <v xml:space="preserve"> </v>
      </c>
      <c r="GP8" s="76"/>
      <c r="GQ8" s="27">
        <v>176</v>
      </c>
      <c r="GR8" s="28">
        <v>3.6717259203187371</v>
      </c>
      <c r="GS8" s="29">
        <v>7.2450707724659821E-2</v>
      </c>
      <c r="GT8" s="10"/>
      <c r="GU8" s="42">
        <v>113</v>
      </c>
      <c r="GV8" s="43">
        <v>3.6840706892575295</v>
      </c>
      <c r="GW8" s="67">
        <v>9.3031484304946774E-2</v>
      </c>
      <c r="GX8" s="10">
        <f t="shared" si="54"/>
        <v>-0.10469204363874016</v>
      </c>
      <c r="GY8" s="10" t="str">
        <f t="shared" si="55"/>
        <v xml:space="preserve"> </v>
      </c>
      <c r="GZ8" s="10"/>
      <c r="HA8" s="42">
        <v>96.640603239999919</v>
      </c>
      <c r="HB8" s="43">
        <v>3.789963829907069</v>
      </c>
      <c r="HC8" s="67">
        <v>0.10418067297540322</v>
      </c>
      <c r="HD8" s="10">
        <f t="shared" si="56"/>
        <v>-0.93176663204834165</v>
      </c>
      <c r="HE8" s="10" t="str">
        <f t="shared" si="57"/>
        <v xml:space="preserve"> </v>
      </c>
      <c r="HF8" s="10"/>
      <c r="HG8" s="53">
        <v>49</v>
      </c>
      <c r="HH8" s="55">
        <v>3.7137970968062137</v>
      </c>
      <c r="HI8" s="56">
        <v>0.10094022534477443</v>
      </c>
      <c r="HJ8" s="10">
        <f t="shared" si="58"/>
        <v>-0.33860132898943046</v>
      </c>
      <c r="HK8" s="10" t="str">
        <f t="shared" si="59"/>
        <v xml:space="preserve"> </v>
      </c>
      <c r="HL8" s="10"/>
      <c r="HM8" s="54">
        <v>129</v>
      </c>
      <c r="HN8" s="57">
        <v>3.7451058730829554</v>
      </c>
      <c r="HO8" s="58">
        <v>9.0225129425243328E-2</v>
      </c>
      <c r="HP8" s="10">
        <f t="shared" si="60"/>
        <v>-0.63415050791225702</v>
      </c>
      <c r="HQ8" s="10" t="str">
        <f t="shared" si="101"/>
        <v xml:space="preserve"> </v>
      </c>
      <c r="HR8" s="76"/>
      <c r="HS8" s="27">
        <v>425</v>
      </c>
      <c r="HT8" s="28">
        <v>3.7723787235947999</v>
      </c>
      <c r="HU8" s="29">
        <v>4.7421098647004778E-2</v>
      </c>
      <c r="HV8" s="10"/>
      <c r="HW8" s="42">
        <v>275</v>
      </c>
      <c r="HX8" s="43">
        <v>3.7403475489852451</v>
      </c>
      <c r="HY8" s="67">
        <v>5.9999742883611651E-2</v>
      </c>
      <c r="HZ8" s="10">
        <f t="shared" si="61"/>
        <v>0.41883415275433139</v>
      </c>
      <c r="IA8" s="10" t="str">
        <f t="shared" si="62"/>
        <v xml:space="preserve"> </v>
      </c>
      <c r="IB8" s="10"/>
      <c r="IC8" s="42">
        <v>297.55416791000113</v>
      </c>
      <c r="ID8" s="43">
        <v>3.7529941063630776</v>
      </c>
      <c r="IE8" s="67">
        <v>5.4279517361061763E-2</v>
      </c>
      <c r="IF8" s="10">
        <f t="shared" si="63"/>
        <v>0.26894491783674956</v>
      </c>
      <c r="IG8" s="10" t="str">
        <f t="shared" si="64"/>
        <v xml:space="preserve"> </v>
      </c>
      <c r="IH8" s="10"/>
      <c r="II8" s="53">
        <v>222</v>
      </c>
      <c r="IJ8" s="55">
        <v>3.7793343599145173</v>
      </c>
      <c r="IK8" s="56">
        <v>6.37776117360003E-2</v>
      </c>
      <c r="IL8" s="10">
        <f t="shared" si="65"/>
        <v>-8.7519326531636799E-2</v>
      </c>
      <c r="IM8" s="10" t="str">
        <f t="shared" si="66"/>
        <v xml:space="preserve"> </v>
      </c>
      <c r="IN8" s="10"/>
      <c r="IO8" s="54">
        <v>335</v>
      </c>
      <c r="IP8" s="57">
        <v>3.7830591100154352</v>
      </c>
      <c r="IQ8" s="58">
        <v>5.2949596102774332E-2</v>
      </c>
      <c r="IR8" s="10">
        <f t="shared" si="67"/>
        <v>-0.15025787035390595</v>
      </c>
      <c r="IS8" s="10" t="str">
        <f t="shared" si="68"/>
        <v xml:space="preserve"> </v>
      </c>
      <c r="IT8" s="76"/>
      <c r="IU8" s="27">
        <v>36</v>
      </c>
      <c r="IV8" s="28">
        <v>3.9166666666666665</v>
      </c>
      <c r="IW8" s="29">
        <v>0.16614114078858552</v>
      </c>
      <c r="IX8" s="10"/>
      <c r="IY8" s="42">
        <v>26</v>
      </c>
      <c r="IZ8" s="43">
        <v>4.0777358488779152</v>
      </c>
      <c r="JA8" s="67">
        <v>0.16559619943032508</v>
      </c>
      <c r="JB8" s="10" t="str">
        <f t="shared" si="69"/>
        <v>NV</v>
      </c>
      <c r="JC8" s="10" t="str">
        <f t="shared" si="70"/>
        <v xml:space="preserve"> </v>
      </c>
      <c r="JD8" s="10"/>
      <c r="JE8" s="42">
        <v>28.713462310000004</v>
      </c>
      <c r="JF8" s="43">
        <v>4.068965517241379</v>
      </c>
      <c r="JG8" s="67">
        <v>0.16493059955509556</v>
      </c>
      <c r="JH8" s="10" t="str">
        <f t="shared" si="71"/>
        <v>NV</v>
      </c>
      <c r="JI8" s="10" t="str">
        <f t="shared" si="72"/>
        <v xml:space="preserve"> </v>
      </c>
      <c r="JJ8" s="10"/>
      <c r="JK8" s="53">
        <v>12</v>
      </c>
      <c r="JL8" s="55">
        <v>3.8333333333333335</v>
      </c>
      <c r="JM8" s="56">
        <v>0.30107699616824501</v>
      </c>
      <c r="JN8" s="10" t="str">
        <f t="shared" si="73"/>
        <v>NV</v>
      </c>
      <c r="JO8" s="10" t="str">
        <f t="shared" si="74"/>
        <v xml:space="preserve"> </v>
      </c>
      <c r="JP8" s="10"/>
      <c r="JQ8" s="54">
        <v>19</v>
      </c>
      <c r="JR8" s="57">
        <v>3.736842105263158</v>
      </c>
      <c r="JS8" s="58">
        <v>0.24853094449402169</v>
      </c>
      <c r="JT8" s="10" t="str">
        <f t="shared" si="75"/>
        <v>NV</v>
      </c>
      <c r="JU8" s="10" t="str">
        <f t="shared" si="76"/>
        <v xml:space="preserve"> </v>
      </c>
      <c r="JV8" s="76"/>
      <c r="JW8" s="27">
        <v>385</v>
      </c>
      <c r="JX8" s="28">
        <v>3.3269660416247433</v>
      </c>
      <c r="JY8" s="29">
        <v>5.5685435499454664E-2</v>
      </c>
      <c r="JZ8" s="10"/>
      <c r="KA8" s="42">
        <v>187</v>
      </c>
      <c r="KB8" s="43">
        <v>3.3910209229991901</v>
      </c>
      <c r="KC8" s="67">
        <v>8.1817889273950853E-2</v>
      </c>
      <c r="KD8" s="10">
        <f t="shared" si="77"/>
        <v>-0.64721599411454434</v>
      </c>
      <c r="KE8" s="10" t="str">
        <f t="shared" si="78"/>
        <v xml:space="preserve"> </v>
      </c>
      <c r="KF8" s="10"/>
      <c r="KG8" s="42">
        <v>247.06624639999913</v>
      </c>
      <c r="KH8" s="43">
        <v>3.5732743599491541</v>
      </c>
      <c r="KI8" s="67">
        <v>6.5731272030633309E-2</v>
      </c>
      <c r="KJ8" s="10">
        <f t="shared" si="79"/>
        <v>-2.8591317868248911</v>
      </c>
      <c r="KK8" s="10" t="str">
        <f t="shared" si="80"/>
        <v>*</v>
      </c>
      <c r="KL8" s="10"/>
      <c r="KM8" s="53">
        <v>416</v>
      </c>
      <c r="KN8" s="55">
        <v>3.2993377499101251</v>
      </c>
      <c r="KO8" s="56">
        <v>5.2809005268115432E-2</v>
      </c>
      <c r="KP8" s="10">
        <f t="shared" si="81"/>
        <v>0.36000535945552048</v>
      </c>
      <c r="KQ8" s="10" t="str">
        <f t="shared" si="82"/>
        <v xml:space="preserve"> </v>
      </c>
      <c r="KR8" s="10"/>
      <c r="KS8" s="54">
        <v>481</v>
      </c>
      <c r="KT8" s="57">
        <v>3.1767183729071147</v>
      </c>
      <c r="KU8" s="58">
        <v>4.6241988819192621E-2</v>
      </c>
      <c r="KV8" s="10">
        <f t="shared" si="83"/>
        <v>2.0757531166173844</v>
      </c>
      <c r="KW8" s="10" t="str">
        <f t="shared" si="102"/>
        <v>*</v>
      </c>
      <c r="KX8" s="76"/>
      <c r="KY8" s="27">
        <v>145</v>
      </c>
      <c r="KZ8" s="28">
        <v>3.7241583467752757</v>
      </c>
      <c r="LA8" s="29">
        <v>8.5621255495187884E-2</v>
      </c>
      <c r="LB8" s="10"/>
      <c r="LC8" s="42">
        <v>121</v>
      </c>
      <c r="LD8" s="43">
        <v>3.7436770428289448</v>
      </c>
      <c r="LE8" s="67">
        <v>9.127153963406015E-2</v>
      </c>
      <c r="LF8" s="10">
        <f t="shared" si="84"/>
        <v>-0.15596753781076436</v>
      </c>
      <c r="LG8" s="10" t="str">
        <f t="shared" si="85"/>
        <v xml:space="preserve"> </v>
      </c>
      <c r="LH8" s="10"/>
      <c r="LI8" s="42">
        <v>148.00463589999998</v>
      </c>
      <c r="LJ8" s="43">
        <v>3.8137599283807297</v>
      </c>
      <c r="LK8" s="67">
        <v>7.4808385052449897E-2</v>
      </c>
      <c r="LL8" s="10">
        <f t="shared" si="86"/>
        <v>-0.78806468278993436</v>
      </c>
      <c r="LM8" s="10" t="str">
        <f t="shared" si="87"/>
        <v xml:space="preserve"> </v>
      </c>
      <c r="LN8" s="10"/>
      <c r="LO8" s="53">
        <v>222</v>
      </c>
      <c r="LP8" s="55">
        <v>3.7657657657657646</v>
      </c>
      <c r="LQ8" s="56">
        <v>6.7100269781604646E-2</v>
      </c>
      <c r="LR8" s="10">
        <f t="shared" si="88"/>
        <v>-0.38248566848109616</v>
      </c>
      <c r="LS8" s="10" t="str">
        <f t="shared" si="89"/>
        <v xml:space="preserve"> </v>
      </c>
      <c r="LT8" s="10"/>
      <c r="LU8" s="54">
        <v>314</v>
      </c>
      <c r="LV8" s="57">
        <v>3.6659607192059807</v>
      </c>
      <c r="LW8" s="58">
        <v>5.6358511961375021E-2</v>
      </c>
      <c r="LX8" s="10">
        <f t="shared" si="90"/>
        <v>0.56775386852938092</v>
      </c>
      <c r="LY8" s="10" t="str">
        <f t="shared" si="91"/>
        <v xml:space="preserve"> </v>
      </c>
      <c r="LZ8" s="76"/>
      <c r="MA8" s="27">
        <v>148</v>
      </c>
      <c r="MB8" s="28">
        <v>3.7567685044314003</v>
      </c>
      <c r="MC8" s="29">
        <v>7.2777500323853786E-2</v>
      </c>
      <c r="MD8" s="10"/>
      <c r="ME8" s="42">
        <v>105</v>
      </c>
      <c r="MF8" s="43">
        <v>3.7146866229239222</v>
      </c>
      <c r="MG8" s="67">
        <v>9.7406907229944412E-2</v>
      </c>
      <c r="MH8" s="10">
        <f t="shared" si="92"/>
        <v>0.34609022210788348</v>
      </c>
      <c r="MI8" s="10" t="str">
        <f t="shared" si="93"/>
        <v xml:space="preserve"> </v>
      </c>
      <c r="MJ8" s="10"/>
      <c r="MK8" s="42">
        <v>92.008251649999934</v>
      </c>
      <c r="ML8" s="43">
        <v>3.8226381141109331</v>
      </c>
      <c r="MM8" s="67">
        <v>9.8973076900048182E-2</v>
      </c>
      <c r="MN8" s="10">
        <f t="shared" si="94"/>
        <v>-0.53617716938564897</v>
      </c>
      <c r="MO8" s="10" t="str">
        <f t="shared" si="95"/>
        <v xml:space="preserve"> </v>
      </c>
      <c r="MP8" s="10"/>
      <c r="MQ8" s="53">
        <v>99</v>
      </c>
      <c r="MR8" s="55">
        <v>3.6375951265699387</v>
      </c>
      <c r="MS8" s="56">
        <v>9.278431057445656E-2</v>
      </c>
      <c r="MT8" s="10">
        <f t="shared" si="96"/>
        <v>1.0106157361168555</v>
      </c>
      <c r="MU8" s="10" t="str">
        <f t="shared" si="97"/>
        <v xml:space="preserve"> </v>
      </c>
      <c r="MV8" s="10"/>
      <c r="MW8" s="54">
        <v>194</v>
      </c>
      <c r="MX8" s="57">
        <v>3.7174947856063305</v>
      </c>
      <c r="MY8" s="58">
        <v>6.4246556877939509E-2</v>
      </c>
      <c r="MZ8" s="10">
        <f t="shared" si="98"/>
        <v>0.40455738530852026</v>
      </c>
      <c r="NA8" s="10" t="str">
        <f t="shared" si="103"/>
        <v xml:space="preserve"> </v>
      </c>
      <c r="NB8" s="58"/>
    </row>
    <row r="9" spans="1:366" x14ac:dyDescent="0.2">
      <c r="A9" s="73"/>
      <c r="B9" s="65" t="s">
        <v>11</v>
      </c>
      <c r="C9" s="27">
        <v>235</v>
      </c>
      <c r="D9" s="28">
        <v>3.6808510638297851</v>
      </c>
      <c r="E9" s="29">
        <v>7.4156705661090644E-2</v>
      </c>
      <c r="F9" s="10"/>
      <c r="G9" s="42">
        <v>83</v>
      </c>
      <c r="H9" s="43">
        <v>3.6142592295032183</v>
      </c>
      <c r="I9" s="67">
        <v>0.10710385202354088</v>
      </c>
      <c r="J9" s="10">
        <f t="shared" si="1"/>
        <v>0.51118049214180095</v>
      </c>
      <c r="K9" s="10" t="str">
        <f t="shared" si="2"/>
        <v xml:space="preserve"> </v>
      </c>
      <c r="L9" s="10"/>
      <c r="M9" s="42">
        <v>46.788260850000036</v>
      </c>
      <c r="N9" s="43">
        <v>3.6000000000000005</v>
      </c>
      <c r="O9" s="67">
        <v>0.15701766876418718</v>
      </c>
      <c r="P9" s="10">
        <f t="shared" si="3"/>
        <v>0.46560213553833268</v>
      </c>
      <c r="Q9" s="10" t="str">
        <f t="shared" si="4"/>
        <v xml:space="preserve"> </v>
      </c>
      <c r="R9" s="10"/>
      <c r="S9" s="53">
        <v>64</v>
      </c>
      <c r="T9" s="55">
        <v>3.8125000000000009</v>
      </c>
      <c r="U9" s="56">
        <v>9.9519479604098363E-2</v>
      </c>
      <c r="V9" s="10">
        <f t="shared" si="5"/>
        <v>-1.0607422058738645</v>
      </c>
      <c r="W9" s="10" t="str">
        <f t="shared" si="6"/>
        <v xml:space="preserve"> </v>
      </c>
      <c r="X9" s="10"/>
      <c r="Y9" s="54">
        <v>84</v>
      </c>
      <c r="Z9" s="57">
        <v>3.5476190476190492</v>
      </c>
      <c r="AA9" s="58">
        <v>9.9410457508128408E-2</v>
      </c>
      <c r="AB9" s="10">
        <f t="shared" si="7"/>
        <v>1.0742541797805496</v>
      </c>
      <c r="AC9" s="10" t="str">
        <f t="shared" si="8"/>
        <v xml:space="preserve"> </v>
      </c>
      <c r="AD9" s="76"/>
      <c r="AE9" s="27">
        <v>52</v>
      </c>
      <c r="AF9" s="28">
        <v>3.6378082629873321</v>
      </c>
      <c r="AG9" s="29">
        <v>0.14036308789410251</v>
      </c>
      <c r="AH9" s="67"/>
      <c r="AI9" s="42">
        <v>16</v>
      </c>
      <c r="AJ9" s="43">
        <v>4</v>
      </c>
      <c r="AK9" s="67">
        <v>0.25715392327057246</v>
      </c>
      <c r="AL9" s="10" t="str">
        <f t="shared" si="9"/>
        <v>NV</v>
      </c>
      <c r="AM9" s="10" t="str">
        <f t="shared" si="10"/>
        <v xml:space="preserve"> </v>
      </c>
      <c r="AN9" s="67"/>
      <c r="AO9" s="42">
        <v>31.61161401</v>
      </c>
      <c r="AP9" s="43">
        <v>3.5742209399449765</v>
      </c>
      <c r="AQ9" s="67">
        <v>0.23948016391443713</v>
      </c>
      <c r="AR9" s="10">
        <f t="shared" si="11"/>
        <v>0.22907465816145794</v>
      </c>
      <c r="AS9" s="10" t="str">
        <f t="shared" si="12"/>
        <v xml:space="preserve"> </v>
      </c>
      <c r="AT9" s="10"/>
      <c r="AU9" s="53">
        <v>32</v>
      </c>
      <c r="AV9" s="55">
        <v>3.3814011990870498</v>
      </c>
      <c r="AW9" s="56">
        <v>0.19115862466591424</v>
      </c>
      <c r="AX9" s="10">
        <f t="shared" si="13"/>
        <v>1.0811703813376869</v>
      </c>
      <c r="AY9" s="10" t="str">
        <f t="shared" si="14"/>
        <v xml:space="preserve"> </v>
      </c>
      <c r="AZ9" s="10"/>
      <c r="BA9" s="54">
        <v>16</v>
      </c>
      <c r="BB9" s="57">
        <v>3.368070151885747</v>
      </c>
      <c r="BC9" s="58">
        <v>0.25451104116347545</v>
      </c>
      <c r="BD9" s="10" t="str">
        <f t="shared" si="15"/>
        <v>NV</v>
      </c>
      <c r="BE9" s="10" t="str">
        <f t="shared" si="16"/>
        <v xml:space="preserve"> </v>
      </c>
      <c r="BF9" s="76"/>
      <c r="BG9" s="27">
        <v>613</v>
      </c>
      <c r="BH9" s="28">
        <v>3.7405045113477002</v>
      </c>
      <c r="BI9" s="29">
        <v>4.463544488142792E-2</v>
      </c>
      <c r="BJ9" s="10"/>
      <c r="BK9" s="42">
        <v>153</v>
      </c>
      <c r="BL9" s="43">
        <v>3.7313520059280991</v>
      </c>
      <c r="BM9" s="67">
        <v>8.7072906669924524E-2</v>
      </c>
      <c r="BN9" s="10">
        <f t="shared" si="17"/>
        <v>9.3539052247951948E-2</v>
      </c>
      <c r="BO9" s="10" t="str">
        <f t="shared" si="18"/>
        <v xml:space="preserve"> </v>
      </c>
      <c r="BP9" s="10"/>
      <c r="BQ9" s="42">
        <v>68.059528950000029</v>
      </c>
      <c r="BR9" s="43">
        <v>3.5400517007251482</v>
      </c>
      <c r="BS9" s="67">
        <v>9.5187524453306652E-2</v>
      </c>
      <c r="BT9" s="10">
        <f t="shared" si="19"/>
        <v>1.9066558297085194</v>
      </c>
      <c r="BU9" s="10" t="str">
        <f t="shared" si="20"/>
        <v xml:space="preserve"> </v>
      </c>
      <c r="BV9" s="10"/>
      <c r="BW9" s="53">
        <v>56</v>
      </c>
      <c r="BX9" s="55">
        <v>3.3448691518182581</v>
      </c>
      <c r="BY9" s="56">
        <v>9.1036578723755743E-2</v>
      </c>
      <c r="BZ9" s="10">
        <f t="shared" si="21"/>
        <v>3.9021048120543425</v>
      </c>
      <c r="CA9" s="10" t="str">
        <f t="shared" si="22"/>
        <v>*</v>
      </c>
      <c r="CB9" s="10"/>
      <c r="CC9" s="54">
        <v>132</v>
      </c>
      <c r="CD9" s="57">
        <v>3.4781081587441127</v>
      </c>
      <c r="CE9" s="58">
        <v>8.9804232050848684E-2</v>
      </c>
      <c r="CF9" s="10">
        <f t="shared" si="23"/>
        <v>2.6165010439451959</v>
      </c>
      <c r="CG9" s="10" t="str">
        <f t="shared" si="24"/>
        <v>*</v>
      </c>
      <c r="CH9" s="76"/>
      <c r="CI9" s="27">
        <v>365</v>
      </c>
      <c r="CJ9" s="28">
        <v>3.6807129298570311</v>
      </c>
      <c r="CK9" s="29">
        <v>5.4494595874036836E-2</v>
      </c>
      <c r="CL9" s="67"/>
      <c r="CM9" s="42">
        <v>107</v>
      </c>
      <c r="CN9" s="43">
        <v>3.6826401645241789</v>
      </c>
      <c r="CO9" s="67">
        <v>0.10726492255987637</v>
      </c>
      <c r="CP9" s="10">
        <f t="shared" si="25"/>
        <v>-1.6018392961875634E-2</v>
      </c>
      <c r="CQ9" s="10" t="str">
        <f t="shared" si="26"/>
        <v xml:space="preserve"> </v>
      </c>
      <c r="CR9" s="10"/>
      <c r="CS9" s="42">
        <v>80.196526260000013</v>
      </c>
      <c r="CT9" s="43">
        <v>3.961105330424318</v>
      </c>
      <c r="CU9" s="67">
        <v>0.12073309395322492</v>
      </c>
      <c r="CV9" s="10">
        <f t="shared" si="27"/>
        <v>-2.116778578612093</v>
      </c>
      <c r="CW9" s="10" t="str">
        <f t="shared" si="28"/>
        <v>*</v>
      </c>
      <c r="CX9" s="10"/>
      <c r="CY9" s="53">
        <v>117</v>
      </c>
      <c r="CZ9" s="55">
        <v>3.7402772600646577</v>
      </c>
      <c r="DA9" s="56">
        <v>9.7372183198972853E-2</v>
      </c>
      <c r="DB9" s="10">
        <f t="shared" si="29"/>
        <v>-0.53380678912409718</v>
      </c>
      <c r="DC9" s="10" t="str">
        <f t="shared" si="0"/>
        <v xml:space="preserve"> </v>
      </c>
      <c r="DD9" s="10"/>
      <c r="DE9" s="54">
        <v>103</v>
      </c>
      <c r="DF9" s="57">
        <v>3.889548565481546</v>
      </c>
      <c r="DG9" s="58">
        <v>0.10206112723536744</v>
      </c>
      <c r="DH9" s="10">
        <f t="shared" si="30"/>
        <v>-1.8049991989861756</v>
      </c>
      <c r="DI9" s="10" t="str">
        <f t="shared" si="31"/>
        <v xml:space="preserve"> </v>
      </c>
      <c r="DJ9" s="76"/>
      <c r="DK9" s="27">
        <v>134</v>
      </c>
      <c r="DL9" s="28">
        <v>3.7092961852915263</v>
      </c>
      <c r="DM9" s="29">
        <v>9.5770393697111406E-2</v>
      </c>
      <c r="DN9" s="10"/>
      <c r="DO9" s="42">
        <v>43</v>
      </c>
      <c r="DP9" s="43">
        <v>3.8143366618313772</v>
      </c>
      <c r="DQ9" s="67">
        <v>0.15721359664247583</v>
      </c>
      <c r="DR9" s="10">
        <f t="shared" si="32"/>
        <v>-0.57060185673997588</v>
      </c>
      <c r="DS9" s="10" t="str">
        <f t="shared" si="33"/>
        <v xml:space="preserve"> </v>
      </c>
      <c r="DT9" s="10"/>
      <c r="DU9" s="42">
        <v>44.37131043000003</v>
      </c>
      <c r="DV9" s="43">
        <v>3.5566803134869693</v>
      </c>
      <c r="DW9" s="67">
        <v>0.15827993074158608</v>
      </c>
      <c r="DX9" s="10">
        <f t="shared" si="34"/>
        <v>0.82495662674221237</v>
      </c>
      <c r="DY9" s="10" t="str">
        <f t="shared" si="35"/>
        <v xml:space="preserve"> </v>
      </c>
      <c r="DZ9" s="10"/>
      <c r="EA9" s="53">
        <v>50</v>
      </c>
      <c r="EB9" s="55">
        <v>3.6275128121041806</v>
      </c>
      <c r="EC9" s="56">
        <v>0.11784921859320545</v>
      </c>
      <c r="ED9" s="10">
        <f t="shared" si="36"/>
        <v>0.53855683085387418</v>
      </c>
      <c r="EE9" s="10" t="str">
        <f t="shared" si="37"/>
        <v xml:space="preserve"> </v>
      </c>
      <c r="EF9" s="10"/>
      <c r="EG9" s="54">
        <v>35</v>
      </c>
      <c r="EH9" s="57">
        <v>3.4571428571428577</v>
      </c>
      <c r="EI9" s="58">
        <v>0.14998509978985267</v>
      </c>
      <c r="EJ9" s="10">
        <f t="shared" si="38"/>
        <v>1.4169607671028666</v>
      </c>
      <c r="EK9" s="10" t="str">
        <f t="shared" si="39"/>
        <v xml:space="preserve"> </v>
      </c>
      <c r="EL9" s="76"/>
      <c r="EM9" s="27">
        <v>229</v>
      </c>
      <c r="EN9" s="28">
        <v>3.9177268977374116</v>
      </c>
      <c r="EO9" s="29">
        <v>6.4438237523309072E-2</v>
      </c>
      <c r="EP9" s="10"/>
      <c r="EQ9" s="42">
        <v>75</v>
      </c>
      <c r="ER9" s="43">
        <v>3.6791466077353561</v>
      </c>
      <c r="ES9" s="67">
        <v>0.13713969304124463</v>
      </c>
      <c r="ET9" s="10">
        <f t="shared" si="40"/>
        <v>1.5745359280982292</v>
      </c>
      <c r="EU9" s="10" t="str">
        <f t="shared" si="41"/>
        <v xml:space="preserve"> </v>
      </c>
      <c r="EV9" s="10"/>
      <c r="EW9" s="42">
        <v>40.688839410000014</v>
      </c>
      <c r="EX9" s="43">
        <v>3.7272063192032925</v>
      </c>
      <c r="EY9" s="67">
        <v>0.14931354670646255</v>
      </c>
      <c r="EZ9" s="10">
        <f t="shared" si="42"/>
        <v>1.1715346770310997</v>
      </c>
      <c r="FA9" s="10" t="str">
        <f t="shared" si="43"/>
        <v xml:space="preserve"> </v>
      </c>
      <c r="FB9" s="10"/>
      <c r="FC9" s="53">
        <v>81</v>
      </c>
      <c r="FD9" s="55">
        <v>3.8047264201149797</v>
      </c>
      <c r="FE9" s="56">
        <v>0.10912709848743953</v>
      </c>
      <c r="FF9" s="10">
        <f t="shared" si="44"/>
        <v>0.89164884595418614</v>
      </c>
      <c r="FG9" s="10" t="str">
        <f t="shared" si="45"/>
        <v xml:space="preserve"> </v>
      </c>
      <c r="FH9" s="10"/>
      <c r="FI9" s="54">
        <v>62</v>
      </c>
      <c r="FJ9" s="57">
        <v>3.8993405042286953</v>
      </c>
      <c r="FK9" s="58">
        <v>0.13225855306807244</v>
      </c>
      <c r="FL9" s="10">
        <f t="shared" si="46"/>
        <v>0.12497457112443752</v>
      </c>
      <c r="FM9" s="10" t="str">
        <f t="shared" si="99"/>
        <v xml:space="preserve"> </v>
      </c>
      <c r="FN9" s="76"/>
      <c r="FO9" s="27">
        <v>134</v>
      </c>
      <c r="FP9" s="28">
        <v>3.7838773403837931</v>
      </c>
      <c r="FQ9" s="29">
        <v>8.8060336553666824E-2</v>
      </c>
      <c r="FR9" s="67"/>
      <c r="FS9" s="42">
        <v>84</v>
      </c>
      <c r="FT9" s="43">
        <v>3.8232896792586035</v>
      </c>
      <c r="FU9" s="67">
        <v>0.10957573238574608</v>
      </c>
      <c r="FV9" s="10">
        <f t="shared" si="47"/>
        <v>-0.28036426015273025</v>
      </c>
      <c r="FW9" s="10" t="str">
        <f t="shared" si="48"/>
        <v xml:space="preserve"> </v>
      </c>
      <c r="FX9" s="67"/>
      <c r="FY9" s="42">
        <v>99.474033989999938</v>
      </c>
      <c r="FZ9" s="43">
        <v>3.7693781331688405</v>
      </c>
      <c r="GA9" s="67">
        <v>9.5670472858380234E-2</v>
      </c>
      <c r="GB9" s="10">
        <f t="shared" si="49"/>
        <v>0.11150774760155262</v>
      </c>
      <c r="GC9" s="10" t="str">
        <f t="shared" si="50"/>
        <v xml:space="preserve"> </v>
      </c>
      <c r="GD9" s="10"/>
      <c r="GE9" s="53">
        <v>121</v>
      </c>
      <c r="GF9" s="55">
        <v>3.7362120020887915</v>
      </c>
      <c r="GG9" s="56">
        <v>0.10505102780851391</v>
      </c>
      <c r="GH9" s="10">
        <f t="shared" si="51"/>
        <v>0.34772454316201074</v>
      </c>
      <c r="GI9" s="10" t="str">
        <f t="shared" si="52"/>
        <v xml:space="preserve"> </v>
      </c>
      <c r="GJ9" s="10"/>
      <c r="GK9" s="54">
        <v>101</v>
      </c>
      <c r="GL9" s="57">
        <v>3.7238805971682338</v>
      </c>
      <c r="GM9" s="58">
        <v>9.8892268383124926E-2</v>
      </c>
      <c r="GN9" s="10">
        <f t="shared" si="53"/>
        <v>0.45308889206562719</v>
      </c>
      <c r="GO9" s="10" t="str">
        <f t="shared" si="100"/>
        <v xml:space="preserve"> </v>
      </c>
      <c r="GP9" s="76"/>
      <c r="GQ9" s="27">
        <v>128</v>
      </c>
      <c r="GR9" s="28">
        <v>3.9959776488808232</v>
      </c>
      <c r="GS9" s="29">
        <v>7.9846541914781743E-2</v>
      </c>
      <c r="GT9" s="10"/>
      <c r="GU9" s="42">
        <v>79</v>
      </c>
      <c r="GV9" s="43">
        <v>3.861159753030631</v>
      </c>
      <c r="GW9" s="67">
        <v>9.7126731434720892E-2</v>
      </c>
      <c r="GX9" s="10">
        <f t="shared" si="54"/>
        <v>1.0722457981387024</v>
      </c>
      <c r="GY9" s="10" t="str">
        <f t="shared" si="55"/>
        <v xml:space="preserve"> </v>
      </c>
      <c r="GZ9" s="10"/>
      <c r="HA9" s="42">
        <v>78.239212999999936</v>
      </c>
      <c r="HB9" s="43">
        <v>3.8966073503321152</v>
      </c>
      <c r="HC9" s="67">
        <v>0.1189411327175094</v>
      </c>
      <c r="HD9" s="10">
        <f t="shared" si="56"/>
        <v>0.69365233201873555</v>
      </c>
      <c r="HE9" s="10" t="str">
        <f t="shared" si="57"/>
        <v xml:space="preserve"> </v>
      </c>
      <c r="HF9" s="10"/>
      <c r="HG9" s="53">
        <v>49</v>
      </c>
      <c r="HH9" s="55">
        <v>3.7034947770607012</v>
      </c>
      <c r="HI9" s="56">
        <v>0.14412582166984506</v>
      </c>
      <c r="HJ9" s="10">
        <f t="shared" si="58"/>
        <v>1.7751446008389788</v>
      </c>
      <c r="HK9" s="10" t="str">
        <f t="shared" si="59"/>
        <v xml:space="preserve"> </v>
      </c>
      <c r="HL9" s="10"/>
      <c r="HM9" s="54">
        <v>81</v>
      </c>
      <c r="HN9" s="57">
        <v>3.938255887967216</v>
      </c>
      <c r="HO9" s="58">
        <v>0.11236770601911254</v>
      </c>
      <c r="HP9" s="10">
        <f t="shared" si="60"/>
        <v>0.41873594122392299</v>
      </c>
      <c r="HQ9" s="10" t="str">
        <f t="shared" si="101"/>
        <v xml:space="preserve"> </v>
      </c>
      <c r="HR9" s="76"/>
      <c r="HS9" s="27">
        <v>249</v>
      </c>
      <c r="HT9" s="28">
        <v>3.7092281462420011</v>
      </c>
      <c r="HU9" s="29">
        <v>6.5734146983157118E-2</v>
      </c>
      <c r="HV9" s="10"/>
      <c r="HW9" s="42">
        <v>163</v>
      </c>
      <c r="HX9" s="43">
        <v>3.6249149902604216</v>
      </c>
      <c r="HY9" s="67">
        <v>8.4384620912012293E-2</v>
      </c>
      <c r="HZ9" s="10">
        <f t="shared" si="61"/>
        <v>0.788223292627802</v>
      </c>
      <c r="IA9" s="10" t="str">
        <f t="shared" si="62"/>
        <v xml:space="preserve"> </v>
      </c>
      <c r="IB9" s="10"/>
      <c r="IC9" s="42">
        <v>171.16919006000037</v>
      </c>
      <c r="ID9" s="43">
        <v>3.8290049236095562</v>
      </c>
      <c r="IE9" s="67">
        <v>7.4237123028149846E-2</v>
      </c>
      <c r="IF9" s="10">
        <f t="shared" si="63"/>
        <v>-1.2079497014176153</v>
      </c>
      <c r="IG9" s="10" t="str">
        <f t="shared" si="64"/>
        <v xml:space="preserve"> </v>
      </c>
      <c r="IH9" s="10"/>
      <c r="II9" s="53">
        <v>183</v>
      </c>
      <c r="IJ9" s="55">
        <v>3.8339285601711395</v>
      </c>
      <c r="IK9" s="56">
        <v>7.5817656457109001E-2</v>
      </c>
      <c r="IL9" s="10">
        <f t="shared" si="65"/>
        <v>-1.2427059004903558</v>
      </c>
      <c r="IM9" s="10" t="str">
        <f t="shared" si="66"/>
        <v xml:space="preserve"> </v>
      </c>
      <c r="IN9" s="10"/>
      <c r="IO9" s="54">
        <v>175</v>
      </c>
      <c r="IP9" s="57">
        <v>3.7827856935055486</v>
      </c>
      <c r="IQ9" s="58">
        <v>6.9765185032676674E-2</v>
      </c>
      <c r="IR9" s="10">
        <f t="shared" si="67"/>
        <v>-0.76738443416424085</v>
      </c>
      <c r="IS9" s="10" t="str">
        <f t="shared" si="68"/>
        <v xml:space="preserve"> </v>
      </c>
      <c r="IT9" s="76"/>
      <c r="IU9" s="27">
        <v>35</v>
      </c>
      <c r="IV9" s="28">
        <v>3.5428571428571431</v>
      </c>
      <c r="IW9" s="29">
        <v>0.18947547452381716</v>
      </c>
      <c r="IX9" s="10"/>
      <c r="IY9" s="42">
        <v>25</v>
      </c>
      <c r="IZ9" s="43">
        <v>4.2796543598560985</v>
      </c>
      <c r="JA9" s="67">
        <v>0.14748275702134481</v>
      </c>
      <c r="JB9" s="10" t="str">
        <f t="shared" si="69"/>
        <v>NV</v>
      </c>
      <c r="JC9" s="10" t="str">
        <f t="shared" si="70"/>
        <v xml:space="preserve"> </v>
      </c>
      <c r="JD9" s="10"/>
      <c r="JE9" s="42">
        <v>27.723342920000004</v>
      </c>
      <c r="JF9" s="43">
        <v>3.964285714285714</v>
      </c>
      <c r="JG9" s="67">
        <v>0.2034258433107243</v>
      </c>
      <c r="JH9" s="10" t="str">
        <f t="shared" si="71"/>
        <v>NV</v>
      </c>
      <c r="JI9" s="10" t="str">
        <f t="shared" si="72"/>
        <v xml:space="preserve"> </v>
      </c>
      <c r="JJ9" s="10"/>
      <c r="JK9" s="53">
        <v>26</v>
      </c>
      <c r="JL9" s="55">
        <v>3.4999999999999996</v>
      </c>
      <c r="JM9" s="56">
        <v>0.27070830360637621</v>
      </c>
      <c r="JN9" s="10" t="str">
        <f t="shared" si="73"/>
        <v>NV</v>
      </c>
      <c r="JO9" s="10" t="str">
        <f t="shared" si="74"/>
        <v xml:space="preserve"> </v>
      </c>
      <c r="JP9" s="10"/>
      <c r="JQ9" s="54">
        <v>40</v>
      </c>
      <c r="JR9" s="57">
        <v>3.4250000000000003</v>
      </c>
      <c r="JS9" s="58">
        <v>0.20257329309917252</v>
      </c>
      <c r="JT9" s="10">
        <f t="shared" si="75"/>
        <v>0.42490181116351478</v>
      </c>
      <c r="JU9" s="10" t="str">
        <f t="shared" si="76"/>
        <v xml:space="preserve"> </v>
      </c>
      <c r="JV9" s="76"/>
      <c r="JW9" s="27">
        <v>367</v>
      </c>
      <c r="JX9" s="28">
        <v>3.3758600619075856</v>
      </c>
      <c r="JY9" s="29">
        <v>6.4790097834824228E-2</v>
      </c>
      <c r="JZ9" s="10"/>
      <c r="KA9" s="42">
        <v>223</v>
      </c>
      <c r="KB9" s="43">
        <v>3.2686580316327483</v>
      </c>
      <c r="KC9" s="67">
        <v>8.194317233709196E-2</v>
      </c>
      <c r="KD9" s="10">
        <f t="shared" si="77"/>
        <v>1.0262237719528109</v>
      </c>
      <c r="KE9" s="10" t="str">
        <f t="shared" si="78"/>
        <v xml:space="preserve"> </v>
      </c>
      <c r="KF9" s="10"/>
      <c r="KG9" s="42">
        <v>270.51121389999923</v>
      </c>
      <c r="KH9" s="43">
        <v>3.6164034765362465</v>
      </c>
      <c r="KI9" s="67">
        <v>6.6893525650946487E-2</v>
      </c>
      <c r="KJ9" s="10">
        <f t="shared" si="79"/>
        <v>-2.5829815474538447</v>
      </c>
      <c r="KK9" s="10" t="str">
        <f t="shared" si="80"/>
        <v>*</v>
      </c>
      <c r="KL9" s="10"/>
      <c r="KM9" s="53">
        <v>513</v>
      </c>
      <c r="KN9" s="55">
        <v>3.2726649785532307</v>
      </c>
      <c r="KO9" s="56">
        <v>5.441974430051439E-2</v>
      </c>
      <c r="KP9" s="10">
        <f t="shared" si="81"/>
        <v>1.2196206712871442</v>
      </c>
      <c r="KQ9" s="10" t="str">
        <f t="shared" si="82"/>
        <v xml:space="preserve"> </v>
      </c>
      <c r="KR9" s="10"/>
      <c r="KS9" s="54">
        <v>482</v>
      </c>
      <c r="KT9" s="57">
        <v>3.2154980045998816</v>
      </c>
      <c r="KU9" s="58">
        <v>5.4802677466775064E-2</v>
      </c>
      <c r="KV9" s="10">
        <f t="shared" si="83"/>
        <v>1.8897419010713563</v>
      </c>
      <c r="KW9" s="10" t="str">
        <f t="shared" si="102"/>
        <v xml:space="preserve"> </v>
      </c>
      <c r="KX9" s="76"/>
      <c r="KY9" s="27">
        <v>112</v>
      </c>
      <c r="KZ9" s="28">
        <v>3.5357142857142851</v>
      </c>
      <c r="LA9" s="29">
        <v>0.11830614512549049</v>
      </c>
      <c r="LB9" s="10"/>
      <c r="LC9" s="42">
        <v>121</v>
      </c>
      <c r="LD9" s="43">
        <v>3.2233387357749197</v>
      </c>
      <c r="LE9" s="67">
        <v>0.11639872757397694</v>
      </c>
      <c r="LF9" s="10">
        <f t="shared" si="84"/>
        <v>1.882155860090734</v>
      </c>
      <c r="LG9" s="10" t="str">
        <f t="shared" si="85"/>
        <v xml:space="preserve"> </v>
      </c>
      <c r="LH9" s="10"/>
      <c r="LI9" s="42">
        <v>121.11246344000011</v>
      </c>
      <c r="LJ9" s="43">
        <v>3.4414611472789316</v>
      </c>
      <c r="LK9" s="67">
        <v>0.10927637849834414</v>
      </c>
      <c r="LL9" s="10">
        <f t="shared" si="86"/>
        <v>0.5852350558535353</v>
      </c>
      <c r="LM9" s="10" t="str">
        <f t="shared" si="87"/>
        <v xml:space="preserve"> </v>
      </c>
      <c r="LN9" s="10"/>
      <c r="LO9" s="53">
        <v>303</v>
      </c>
      <c r="LP9" s="55">
        <v>3.082508250825081</v>
      </c>
      <c r="LQ9" s="56">
        <v>7.4554019498361476E-2</v>
      </c>
      <c r="LR9" s="10">
        <f t="shared" si="88"/>
        <v>3.2409378840049237</v>
      </c>
      <c r="LS9" s="10" t="str">
        <f t="shared" si="89"/>
        <v>*</v>
      </c>
      <c r="LT9" s="10"/>
      <c r="LU9" s="54">
        <v>278</v>
      </c>
      <c r="LV9" s="57">
        <v>3.3840935269968058</v>
      </c>
      <c r="LW9" s="58">
        <v>7.2740609637158296E-2</v>
      </c>
      <c r="LX9" s="10">
        <f t="shared" si="90"/>
        <v>1.0917425642945127</v>
      </c>
      <c r="LY9" s="10" t="str">
        <f t="shared" si="91"/>
        <v xml:space="preserve"> </v>
      </c>
      <c r="LZ9" s="76"/>
      <c r="MA9" s="27">
        <v>146</v>
      </c>
      <c r="MB9" s="28">
        <v>3.513692591243962</v>
      </c>
      <c r="MC9" s="29">
        <v>9.7818506734176885E-2</v>
      </c>
      <c r="MD9" s="10"/>
      <c r="ME9" s="42">
        <v>105</v>
      </c>
      <c r="MF9" s="43">
        <v>3.561669474130039</v>
      </c>
      <c r="MG9" s="67">
        <v>0.11640658504818446</v>
      </c>
      <c r="MH9" s="10">
        <f t="shared" si="92"/>
        <v>-0.31553529401678843</v>
      </c>
      <c r="MI9" s="10" t="str">
        <f t="shared" si="93"/>
        <v xml:space="preserve"> </v>
      </c>
      <c r="MJ9" s="10"/>
      <c r="MK9" s="42">
        <v>85.431739589999935</v>
      </c>
      <c r="ML9" s="43">
        <v>3.6003721074410113</v>
      </c>
      <c r="MM9" s="67">
        <v>0.12884956098250189</v>
      </c>
      <c r="MN9" s="10">
        <f t="shared" si="94"/>
        <v>-0.53580783650130126</v>
      </c>
      <c r="MO9" s="10" t="str">
        <f t="shared" si="95"/>
        <v xml:space="preserve"> </v>
      </c>
      <c r="MP9" s="10"/>
      <c r="MQ9" s="53">
        <v>143</v>
      </c>
      <c r="MR9" s="55">
        <v>3.1921269787875408</v>
      </c>
      <c r="MS9" s="56">
        <v>0.10235066076056441</v>
      </c>
      <c r="MT9" s="10">
        <f t="shared" si="96"/>
        <v>2.2713084909323706</v>
      </c>
      <c r="MU9" s="10" t="str">
        <f t="shared" si="97"/>
        <v>*</v>
      </c>
      <c r="MV9" s="10"/>
      <c r="MW9" s="54">
        <v>141</v>
      </c>
      <c r="MX9" s="57">
        <v>3.4272111972261272</v>
      </c>
      <c r="MY9" s="58">
        <v>0.1076128891213938</v>
      </c>
      <c r="MZ9" s="10">
        <f t="shared" si="98"/>
        <v>0.59467245529355706</v>
      </c>
      <c r="NA9" s="10" t="str">
        <f t="shared" si="103"/>
        <v xml:space="preserve"> </v>
      </c>
      <c r="NB9" s="58"/>
    </row>
    <row r="10" spans="1:366" x14ac:dyDescent="0.2">
      <c r="B10" s="65" t="s">
        <v>12</v>
      </c>
      <c r="C10" s="27">
        <v>47</v>
      </c>
      <c r="D10" s="28">
        <v>3.7234042553191493</v>
      </c>
      <c r="E10" s="29">
        <v>0.15914328827420349</v>
      </c>
      <c r="F10" s="10"/>
      <c r="G10" s="42">
        <v>19</v>
      </c>
      <c r="H10" s="43">
        <v>3.7894736842105265</v>
      </c>
      <c r="I10" s="67">
        <v>0.19673974036155337</v>
      </c>
      <c r="J10" s="10" t="str">
        <f t="shared" si="1"/>
        <v>NV</v>
      </c>
      <c r="K10" s="10" t="str">
        <f t="shared" si="2"/>
        <v xml:space="preserve"> </v>
      </c>
      <c r="L10" s="10"/>
      <c r="M10" s="42">
        <v>6.2384347800000004</v>
      </c>
      <c r="N10" s="43">
        <v>3.3333333333333335</v>
      </c>
      <c r="O10" s="67">
        <v>0.41192956967751421</v>
      </c>
      <c r="P10" s="10" t="str">
        <f t="shared" si="3"/>
        <v>NV</v>
      </c>
      <c r="Q10" s="10" t="str">
        <f t="shared" si="4"/>
        <v xml:space="preserve"> </v>
      </c>
      <c r="R10" s="10"/>
      <c r="S10" s="53">
        <v>6</v>
      </c>
      <c r="T10" s="55">
        <v>3.3333333333333335</v>
      </c>
      <c r="U10" s="56">
        <v>0.56773269993783526</v>
      </c>
      <c r="V10" s="10" t="str">
        <f t="shared" si="5"/>
        <v>NV</v>
      </c>
      <c r="W10" s="10" t="str">
        <f t="shared" si="6"/>
        <v xml:space="preserve"> </v>
      </c>
      <c r="X10" s="10"/>
      <c r="Y10" s="54">
        <v>14</v>
      </c>
      <c r="Z10" s="57">
        <v>3.6428571428571428</v>
      </c>
      <c r="AA10" s="58">
        <v>0.23116833211079646</v>
      </c>
      <c r="AB10" s="10" t="str">
        <f t="shared" si="7"/>
        <v>NV</v>
      </c>
      <c r="AC10" s="10" t="str">
        <f t="shared" si="8"/>
        <v xml:space="preserve"> </v>
      </c>
      <c r="AD10" s="76"/>
      <c r="AE10" s="27">
        <v>10</v>
      </c>
      <c r="AF10" s="28">
        <v>3.3000000000000003</v>
      </c>
      <c r="AG10" s="29">
        <v>0.14988158893096601</v>
      </c>
      <c r="AH10" s="67"/>
      <c r="AI10" s="42">
        <v>6</v>
      </c>
      <c r="AJ10" s="43">
        <v>3.5</v>
      </c>
      <c r="AK10" s="67">
        <v>0.49772520873483422</v>
      </c>
      <c r="AL10" s="10" t="str">
        <f t="shared" si="9"/>
        <v>NV</v>
      </c>
      <c r="AM10" s="10" t="str">
        <f t="shared" si="10"/>
        <v xml:space="preserve"> </v>
      </c>
      <c r="AN10" s="67"/>
      <c r="AO10" s="42">
        <v>3.8214843599999999</v>
      </c>
      <c r="AP10" s="43">
        <v>3.5</v>
      </c>
      <c r="AQ10" s="67">
        <v>0.6656043979677273</v>
      </c>
      <c r="AR10" s="10" t="str">
        <f t="shared" si="11"/>
        <v>NV</v>
      </c>
      <c r="AS10" s="10" t="str">
        <f t="shared" si="12"/>
        <v xml:space="preserve"> </v>
      </c>
      <c r="AT10" s="10"/>
      <c r="AU10" s="53">
        <v>1</v>
      </c>
      <c r="AV10" s="55">
        <v>3.9999999999999996</v>
      </c>
      <c r="AX10" s="10" t="str">
        <f t="shared" si="13"/>
        <v>NV</v>
      </c>
      <c r="AY10" s="10" t="str">
        <f t="shared" si="14"/>
        <v xml:space="preserve"> </v>
      </c>
      <c r="AZ10" s="10"/>
      <c r="BA10" s="54">
        <v>1</v>
      </c>
      <c r="BB10" s="57">
        <v>4.9999999999999991</v>
      </c>
      <c r="BC10" s="59">
        <v>0</v>
      </c>
      <c r="BD10" s="10" t="str">
        <f t="shared" si="15"/>
        <v>NV</v>
      </c>
      <c r="BE10" s="10" t="str">
        <f t="shared" si="16"/>
        <v xml:space="preserve"> </v>
      </c>
      <c r="BF10" s="76"/>
      <c r="BG10" s="27">
        <v>126</v>
      </c>
      <c r="BH10" s="28">
        <v>3.5492342102226213</v>
      </c>
      <c r="BI10" s="29">
        <v>0.10068008898326779</v>
      </c>
      <c r="BJ10" s="10"/>
      <c r="BK10" s="42">
        <v>32</v>
      </c>
      <c r="BL10" s="43">
        <v>3.8438544756999629</v>
      </c>
      <c r="BM10" s="67">
        <v>0.21163769505206312</v>
      </c>
      <c r="BN10" s="10">
        <f t="shared" si="17"/>
        <v>-1.2570996324469779</v>
      </c>
      <c r="BO10" s="10" t="str">
        <f t="shared" si="18"/>
        <v xml:space="preserve"> </v>
      </c>
      <c r="BP10" s="10"/>
      <c r="BQ10" s="42">
        <v>4.0745884800000001</v>
      </c>
      <c r="BR10" s="43">
        <v>3.2551764761284554</v>
      </c>
      <c r="BS10" s="67">
        <v>0.47729186644918775</v>
      </c>
      <c r="BT10" s="10" t="str">
        <f t="shared" si="19"/>
        <v>NV</v>
      </c>
      <c r="BU10" s="10" t="str">
        <f t="shared" si="20"/>
        <v xml:space="preserve"> </v>
      </c>
      <c r="BV10" s="10"/>
      <c r="BW10" s="53">
        <v>4</v>
      </c>
      <c r="BX10" s="55">
        <v>3.75</v>
      </c>
      <c r="BY10" s="56">
        <v>0.57645920259370143</v>
      </c>
      <c r="BZ10" s="10" t="str">
        <f t="shared" si="21"/>
        <v>NV</v>
      </c>
      <c r="CA10" s="10" t="str">
        <f t="shared" si="22"/>
        <v xml:space="preserve"> </v>
      </c>
      <c r="CB10" s="10"/>
      <c r="CC10" s="54">
        <v>19</v>
      </c>
      <c r="CD10" s="57">
        <v>3.4912364733867749</v>
      </c>
      <c r="CE10" s="58">
        <v>0.26962246756987313</v>
      </c>
      <c r="CF10" s="10" t="str">
        <f t="shared" si="23"/>
        <v>NV</v>
      </c>
      <c r="CG10" s="10" t="str">
        <f t="shared" si="24"/>
        <v xml:space="preserve"> </v>
      </c>
      <c r="CH10" s="76"/>
      <c r="CI10" s="27">
        <v>86</v>
      </c>
      <c r="CJ10" s="28">
        <v>3.5236777840235285</v>
      </c>
      <c r="CK10" s="29">
        <v>0.11536308475559459</v>
      </c>
      <c r="CL10" s="67"/>
      <c r="CM10" s="42">
        <v>25</v>
      </c>
      <c r="CN10" s="43">
        <v>3.2021296942769815</v>
      </c>
      <c r="CO10" s="67">
        <v>0.26390666791122053</v>
      </c>
      <c r="CP10" s="10" t="str">
        <f t="shared" si="25"/>
        <v>NV</v>
      </c>
      <c r="CQ10" s="10" t="str">
        <f t="shared" si="26"/>
        <v xml:space="preserve"> </v>
      </c>
      <c r="CR10" s="10"/>
      <c r="CS10" s="42">
        <v>16.66314873</v>
      </c>
      <c r="CT10" s="43">
        <v>3.9949368488893038</v>
      </c>
      <c r="CU10" s="67">
        <v>0.31523430657843199</v>
      </c>
      <c r="CV10" s="10" t="str">
        <f t="shared" si="27"/>
        <v>NV</v>
      </c>
      <c r="CW10" s="10" t="str">
        <f t="shared" si="28"/>
        <v xml:space="preserve"> </v>
      </c>
      <c r="CX10" s="10"/>
      <c r="CY10" s="53">
        <v>29</v>
      </c>
      <c r="CZ10" s="55">
        <v>3.7847835909839218</v>
      </c>
      <c r="DA10" s="56">
        <v>0.1660869554717182</v>
      </c>
      <c r="DB10" s="10" t="str">
        <f t="shared" si="29"/>
        <v>NV</v>
      </c>
      <c r="DC10" s="10" t="str">
        <f t="shared" si="0"/>
        <v xml:space="preserve"> </v>
      </c>
      <c r="DD10" s="10"/>
      <c r="DE10" s="54">
        <v>13</v>
      </c>
      <c r="DF10" s="57">
        <v>3.2909546851465534</v>
      </c>
      <c r="DG10" s="58">
        <v>0.24953299134045287</v>
      </c>
      <c r="DH10" s="10" t="str">
        <f t="shared" si="30"/>
        <v>NV</v>
      </c>
      <c r="DI10" s="10" t="str">
        <f t="shared" si="31"/>
        <v xml:space="preserve"> </v>
      </c>
      <c r="DJ10" s="76"/>
      <c r="DK10" s="27">
        <v>20</v>
      </c>
      <c r="DL10" s="28">
        <v>3.6540668494115631</v>
      </c>
      <c r="DM10" s="97">
        <v>0.28684137029753637</v>
      </c>
      <c r="DN10" s="10"/>
      <c r="DO10" s="42">
        <v>7</v>
      </c>
      <c r="DP10" s="43">
        <v>3.8571428571428572</v>
      </c>
      <c r="DQ10" s="68">
        <v>0.26169283809063487</v>
      </c>
      <c r="DR10" s="10" t="str">
        <f t="shared" si="32"/>
        <v>NV</v>
      </c>
      <c r="DS10" s="10" t="str">
        <f t="shared" si="33"/>
        <v xml:space="preserve"> </v>
      </c>
      <c r="DT10" s="10"/>
      <c r="DU10" s="42">
        <v>2.0794782600000001</v>
      </c>
      <c r="DV10" s="43">
        <v>2.5</v>
      </c>
      <c r="DW10" s="68">
        <v>1.4437244413927033</v>
      </c>
      <c r="DX10" s="10" t="str">
        <f t="shared" si="34"/>
        <v>NV</v>
      </c>
      <c r="DY10" s="10" t="str">
        <f t="shared" si="35"/>
        <v xml:space="preserve"> </v>
      </c>
      <c r="DZ10" s="10"/>
      <c r="EA10" s="53">
        <v>5</v>
      </c>
      <c r="EB10" s="55">
        <v>3.2104713792130792</v>
      </c>
      <c r="EC10" s="56">
        <v>0.19362316465601265</v>
      </c>
      <c r="ED10" s="10" t="str">
        <f t="shared" si="36"/>
        <v>NV</v>
      </c>
      <c r="EE10" s="10" t="str">
        <f t="shared" si="37"/>
        <v xml:space="preserve"> </v>
      </c>
      <c r="EF10" s="10"/>
      <c r="EG10" s="54">
        <v>2</v>
      </c>
      <c r="EH10" s="57">
        <v>4.5</v>
      </c>
      <c r="EI10" s="58">
        <v>0.44121621008071654</v>
      </c>
      <c r="EJ10" s="10" t="str">
        <f t="shared" si="38"/>
        <v>NV</v>
      </c>
      <c r="EK10" s="10" t="str">
        <f t="shared" si="39"/>
        <v xml:space="preserve"> </v>
      </c>
      <c r="EL10" s="76"/>
      <c r="EM10" s="27">
        <v>46</v>
      </c>
      <c r="EN10" s="28">
        <v>3.6923170574898965</v>
      </c>
      <c r="EO10" s="29">
        <v>0.14887489324493811</v>
      </c>
      <c r="EP10" s="10"/>
      <c r="EQ10" s="42">
        <v>19</v>
      </c>
      <c r="ER10" s="43">
        <v>3.8438042058164603</v>
      </c>
      <c r="ES10" s="67">
        <v>0.30804847667650581</v>
      </c>
      <c r="ET10" s="10" t="str">
        <f t="shared" si="40"/>
        <v>NV</v>
      </c>
      <c r="EU10" s="10" t="str">
        <f t="shared" si="41"/>
        <v xml:space="preserve"> </v>
      </c>
      <c r="EV10" s="10"/>
      <c r="EW10" s="42">
        <v>3.9902204399999999</v>
      </c>
      <c r="EX10" s="43">
        <v>3.5000000000000004</v>
      </c>
      <c r="EY10" s="67">
        <v>0.28914680739658921</v>
      </c>
      <c r="EZ10" s="10" t="str">
        <f t="shared" si="42"/>
        <v>NV</v>
      </c>
      <c r="FA10" s="10" t="str">
        <f t="shared" si="43"/>
        <v xml:space="preserve"> </v>
      </c>
      <c r="FB10" s="10"/>
      <c r="FC10" s="53">
        <v>11</v>
      </c>
      <c r="FD10" s="55">
        <v>4.1501734901658507</v>
      </c>
      <c r="FE10" s="56">
        <v>0.26395179524143153</v>
      </c>
      <c r="FF10" s="10" t="str">
        <f t="shared" si="44"/>
        <v>NV</v>
      </c>
      <c r="FG10" s="10" t="str">
        <f t="shared" si="45"/>
        <v xml:space="preserve"> </v>
      </c>
      <c r="FH10" s="10"/>
      <c r="FI10" s="54">
        <v>10</v>
      </c>
      <c r="FJ10" s="57">
        <v>3.9691637585710211</v>
      </c>
      <c r="FK10" s="58">
        <v>0.3997807468257828</v>
      </c>
      <c r="FL10" s="10" t="str">
        <f t="shared" si="46"/>
        <v>NV</v>
      </c>
      <c r="FM10" s="10" t="str">
        <f t="shared" si="99"/>
        <v xml:space="preserve"> </v>
      </c>
      <c r="FN10" s="76"/>
      <c r="FO10" s="27">
        <v>32</v>
      </c>
      <c r="FP10" s="28">
        <v>3.5909492956238354</v>
      </c>
      <c r="FQ10" s="29">
        <v>0.18869319663460304</v>
      </c>
      <c r="FR10" s="67"/>
      <c r="FS10" s="42">
        <v>17</v>
      </c>
      <c r="FT10" s="43">
        <v>3.52959149844567</v>
      </c>
      <c r="FU10" s="67">
        <v>0.24297439212196129</v>
      </c>
      <c r="FV10" s="10" t="str">
        <f t="shared" si="47"/>
        <v>NV</v>
      </c>
      <c r="FW10" s="10" t="str">
        <f t="shared" si="48"/>
        <v xml:space="preserve"> </v>
      </c>
      <c r="FX10" s="67"/>
      <c r="FY10" s="42">
        <v>20.203867319999993</v>
      </c>
      <c r="FZ10" s="43">
        <v>3.2380952380952381</v>
      </c>
      <c r="GA10" s="67">
        <v>0.24298046511505708</v>
      </c>
      <c r="GB10" s="10" t="str">
        <f t="shared" si="49"/>
        <v>NV</v>
      </c>
      <c r="GC10" s="10" t="str">
        <f t="shared" si="50"/>
        <v xml:space="preserve"> </v>
      </c>
      <c r="GD10" s="10"/>
      <c r="GE10" s="53">
        <v>12</v>
      </c>
      <c r="GF10" s="55">
        <v>3.391016749386687</v>
      </c>
      <c r="GG10" s="56">
        <v>0.363476241829091</v>
      </c>
      <c r="GH10" s="10" t="str">
        <f t="shared" si="51"/>
        <v>NV</v>
      </c>
      <c r="GI10" s="10" t="str">
        <f t="shared" si="52"/>
        <v xml:space="preserve"> </v>
      </c>
      <c r="GJ10" s="10"/>
      <c r="GK10" s="54">
        <v>33</v>
      </c>
      <c r="GL10" s="57">
        <v>3.5449010653724815</v>
      </c>
      <c r="GM10" s="58">
        <v>0.19871721096816464</v>
      </c>
      <c r="GN10" s="10">
        <f t="shared" si="53"/>
        <v>0.16803948034957683</v>
      </c>
      <c r="GO10" s="10" t="str">
        <f t="shared" si="100"/>
        <v xml:space="preserve"> </v>
      </c>
      <c r="GP10" s="76"/>
      <c r="GQ10" s="27">
        <v>30</v>
      </c>
      <c r="GR10" s="28">
        <v>3.5823347322252439</v>
      </c>
      <c r="GS10" s="29">
        <v>0.1914358800928653</v>
      </c>
      <c r="GT10" s="10"/>
      <c r="GU10" s="42">
        <v>20</v>
      </c>
      <c r="GV10" s="43">
        <v>3.7536099660417874</v>
      </c>
      <c r="GW10" s="67">
        <v>0.21670861093460855</v>
      </c>
      <c r="GX10" s="10" t="str">
        <f t="shared" si="54"/>
        <v>NV</v>
      </c>
      <c r="GY10" s="10" t="str">
        <f t="shared" si="55"/>
        <v xml:space="preserve"> </v>
      </c>
      <c r="GZ10" s="10"/>
      <c r="HA10" s="42">
        <v>12.493383010000001</v>
      </c>
      <c r="HB10" s="43">
        <v>4.0108436369789962</v>
      </c>
      <c r="HC10" s="67">
        <v>0.36449734657956151</v>
      </c>
      <c r="HD10" s="10" t="str">
        <f t="shared" si="56"/>
        <v>NV</v>
      </c>
      <c r="HE10" s="10" t="str">
        <f t="shared" si="57"/>
        <v xml:space="preserve"> </v>
      </c>
      <c r="HF10" s="10"/>
      <c r="HG10" s="53">
        <v>8</v>
      </c>
      <c r="HH10" s="55">
        <v>3.7023375526568501</v>
      </c>
      <c r="HI10" s="56">
        <v>0.37349511991644357</v>
      </c>
      <c r="HJ10" s="10" t="str">
        <f t="shared" si="58"/>
        <v>NV</v>
      </c>
      <c r="HK10" s="10" t="str">
        <f t="shared" si="59"/>
        <v xml:space="preserve"> </v>
      </c>
      <c r="HL10" s="10"/>
      <c r="HM10" s="54">
        <v>19</v>
      </c>
      <c r="HN10" s="57">
        <v>4.0000000000000009</v>
      </c>
      <c r="HO10" s="58">
        <v>0.23238340266184743</v>
      </c>
      <c r="HP10" s="10" t="str">
        <f t="shared" si="60"/>
        <v>NV</v>
      </c>
      <c r="HQ10" s="10" t="str">
        <f t="shared" si="101"/>
        <v xml:space="preserve"> </v>
      </c>
      <c r="HR10" s="76"/>
      <c r="HS10" s="27">
        <v>79</v>
      </c>
      <c r="HT10" s="28">
        <v>3.6003715069807098</v>
      </c>
      <c r="HU10" s="29">
        <v>0.10732097176683716</v>
      </c>
      <c r="HV10" s="10"/>
      <c r="HW10" s="42">
        <v>47</v>
      </c>
      <c r="HX10" s="43">
        <v>3.2949363952256094</v>
      </c>
      <c r="HY10" s="67">
        <v>0.16878927002594651</v>
      </c>
      <c r="HZ10" s="10">
        <f t="shared" si="61"/>
        <v>1.5270303325583923</v>
      </c>
      <c r="IA10" s="10" t="str">
        <f t="shared" si="62"/>
        <v xml:space="preserve"> </v>
      </c>
      <c r="IB10" s="10"/>
      <c r="IC10" s="42">
        <v>30.502125069999984</v>
      </c>
      <c r="ID10" s="43">
        <v>3.3785004163973817</v>
      </c>
      <c r="IE10" s="67">
        <v>0.21548033441001577</v>
      </c>
      <c r="IF10" s="10">
        <f t="shared" si="63"/>
        <v>0.92167037032457</v>
      </c>
      <c r="IG10" s="10" t="str">
        <f t="shared" si="64"/>
        <v xml:space="preserve"> </v>
      </c>
      <c r="IH10" s="10"/>
      <c r="II10" s="53">
        <v>47</v>
      </c>
      <c r="IJ10" s="55">
        <v>3.4698024407106001</v>
      </c>
      <c r="IK10" s="56">
        <v>0.16010187998009576</v>
      </c>
      <c r="IL10" s="10">
        <f t="shared" si="65"/>
        <v>0.67742081033701895</v>
      </c>
      <c r="IM10" s="10" t="str">
        <f t="shared" si="66"/>
        <v xml:space="preserve"> </v>
      </c>
      <c r="IN10" s="10"/>
      <c r="IO10" s="54">
        <v>53</v>
      </c>
      <c r="IP10" s="57">
        <v>3.5211132427554555</v>
      </c>
      <c r="IQ10" s="58">
        <v>0.13599866993303295</v>
      </c>
      <c r="IR10" s="10">
        <f t="shared" si="67"/>
        <v>0.45749541665746624</v>
      </c>
      <c r="IS10" s="10" t="str">
        <f t="shared" si="68"/>
        <v xml:space="preserve"> </v>
      </c>
      <c r="IT10" s="76"/>
      <c r="IU10" s="27">
        <v>4</v>
      </c>
      <c r="IV10" s="28">
        <v>3</v>
      </c>
      <c r="IW10" s="29">
        <v>0.91337536736763081</v>
      </c>
      <c r="IX10" s="10"/>
      <c r="IY10" s="42">
        <v>5</v>
      </c>
      <c r="IZ10" s="43">
        <v>4.2</v>
      </c>
      <c r="JA10" s="67">
        <v>0.58257526552276462</v>
      </c>
      <c r="JB10" s="10" t="str">
        <f t="shared" si="69"/>
        <v>NV</v>
      </c>
      <c r="JC10" s="10" t="str">
        <f t="shared" si="70"/>
        <v xml:space="preserve"> </v>
      </c>
      <c r="JD10" s="10"/>
      <c r="JE10" s="42">
        <v>2.9703581699999999</v>
      </c>
      <c r="JF10" s="43">
        <v>4</v>
      </c>
      <c r="JG10" s="67">
        <v>0.58167685159737692</v>
      </c>
      <c r="JH10" s="10" t="str">
        <f t="shared" si="71"/>
        <v>NV</v>
      </c>
      <c r="JI10" s="10" t="str">
        <f t="shared" si="72"/>
        <v xml:space="preserve"> </v>
      </c>
      <c r="JJ10" s="10"/>
      <c r="JK10" s="53">
        <v>3</v>
      </c>
      <c r="JL10" s="55">
        <v>3.3333333333333335</v>
      </c>
      <c r="JM10" s="61">
        <v>1.2230299195858236</v>
      </c>
      <c r="JN10" s="10" t="str">
        <f t="shared" si="73"/>
        <v>NV</v>
      </c>
      <c r="JO10" s="10" t="str">
        <f t="shared" si="74"/>
        <v xml:space="preserve"> </v>
      </c>
      <c r="JP10" s="10"/>
      <c r="JQ10" s="54">
        <v>6</v>
      </c>
      <c r="JR10" s="57">
        <v>3</v>
      </c>
      <c r="JS10" s="58">
        <v>0.71125142297773425</v>
      </c>
      <c r="JT10" s="10" t="str">
        <f t="shared" si="75"/>
        <v>NV</v>
      </c>
      <c r="JU10" s="10" t="str">
        <f t="shared" si="76"/>
        <v xml:space="preserve"> </v>
      </c>
      <c r="JV10" s="76"/>
      <c r="JW10" s="27">
        <v>60</v>
      </c>
      <c r="JX10" s="28">
        <v>2.9001785442822823</v>
      </c>
      <c r="JY10" s="29">
        <v>0.16917383992354346</v>
      </c>
      <c r="JZ10" s="10"/>
      <c r="KA10" s="42">
        <v>22</v>
      </c>
      <c r="KB10" s="43">
        <v>3.0918822477788841</v>
      </c>
      <c r="KC10" s="67">
        <v>0.31489004788458097</v>
      </c>
      <c r="KD10" s="10" t="str">
        <f t="shared" si="77"/>
        <v>NV</v>
      </c>
      <c r="KE10" s="10" t="str">
        <f t="shared" si="78"/>
        <v xml:space="preserve"> </v>
      </c>
      <c r="KF10" s="10"/>
      <c r="KG10" s="42">
        <v>31.170547880000008</v>
      </c>
      <c r="KH10" s="43">
        <v>3.0152979919325054</v>
      </c>
      <c r="KI10" s="67">
        <v>0.22196327364405791</v>
      </c>
      <c r="KJ10" s="10">
        <f t="shared" si="79"/>
        <v>-0.41249136592676533</v>
      </c>
      <c r="KK10" s="10" t="str">
        <f t="shared" si="80"/>
        <v xml:space="preserve"> </v>
      </c>
      <c r="KL10" s="10"/>
      <c r="KM10" s="53">
        <v>37</v>
      </c>
      <c r="KN10" s="55">
        <v>1.997405470182098</v>
      </c>
      <c r="KO10" s="56">
        <v>0.2143668801591623</v>
      </c>
      <c r="KP10" s="10">
        <f t="shared" si="81"/>
        <v>3.3058865319135449</v>
      </c>
      <c r="KQ10" s="10" t="str">
        <f t="shared" si="82"/>
        <v>*</v>
      </c>
      <c r="KR10" s="10"/>
      <c r="KS10" s="54">
        <v>44</v>
      </c>
      <c r="KT10" s="57">
        <v>2.249757557965363</v>
      </c>
      <c r="KU10" s="58">
        <v>0.17974625390304813</v>
      </c>
      <c r="KV10" s="10">
        <f t="shared" si="83"/>
        <v>2.6350222610558047</v>
      </c>
      <c r="KW10" s="10" t="str">
        <f t="shared" si="102"/>
        <v>*</v>
      </c>
      <c r="KX10" s="76"/>
      <c r="KY10" s="27">
        <v>11</v>
      </c>
      <c r="KZ10" s="28">
        <v>3.5454545454545454</v>
      </c>
      <c r="LA10" s="29">
        <v>0.47433992448908274</v>
      </c>
      <c r="LB10" s="10"/>
      <c r="LC10" s="42">
        <v>15</v>
      </c>
      <c r="LD10" s="43">
        <v>2.7329842932704969</v>
      </c>
      <c r="LE10" s="67">
        <v>0.31590121641150737</v>
      </c>
      <c r="LF10" s="10" t="str">
        <f t="shared" si="84"/>
        <v>NV</v>
      </c>
      <c r="LG10" s="10" t="str">
        <f t="shared" si="85"/>
        <v xml:space="preserve"> </v>
      </c>
      <c r="LH10" s="10"/>
      <c r="LI10" s="42">
        <v>16.990978560000002</v>
      </c>
      <c r="LJ10" s="43">
        <v>2.9230169560051515</v>
      </c>
      <c r="LK10" s="67">
        <v>0.31679805545243145</v>
      </c>
      <c r="LL10" s="10" t="str">
        <f t="shared" si="86"/>
        <v>NV</v>
      </c>
      <c r="LM10" s="10" t="str">
        <f t="shared" si="87"/>
        <v xml:space="preserve"> </v>
      </c>
      <c r="LN10" s="10"/>
      <c r="LO10" s="53">
        <v>26</v>
      </c>
      <c r="LP10" s="55">
        <v>3.0384615384615383</v>
      </c>
      <c r="LQ10" s="56">
        <v>0.24779534842698697</v>
      </c>
      <c r="LR10" s="10" t="str">
        <f t="shared" si="88"/>
        <v>NV</v>
      </c>
      <c r="LS10" s="10" t="str">
        <f t="shared" si="89"/>
        <v xml:space="preserve"> </v>
      </c>
      <c r="LT10" s="10"/>
      <c r="LU10" s="54">
        <v>34</v>
      </c>
      <c r="LV10" s="57">
        <v>2.7144187164550098</v>
      </c>
      <c r="LW10" s="58">
        <v>0.23767073904082553</v>
      </c>
      <c r="LX10" s="10" t="str">
        <f t="shared" si="90"/>
        <v>NV</v>
      </c>
      <c r="LY10" s="10" t="str">
        <f t="shared" si="91"/>
        <v xml:space="preserve"> </v>
      </c>
      <c r="LZ10" s="76"/>
      <c r="MA10" s="27">
        <v>15</v>
      </c>
      <c r="MB10" s="28">
        <v>3.1333333333333333</v>
      </c>
      <c r="MC10" s="29">
        <v>0.36356675069168609</v>
      </c>
      <c r="MD10" s="10"/>
      <c r="ME10" s="42">
        <v>12</v>
      </c>
      <c r="MF10" s="43">
        <v>2.6704918024356035</v>
      </c>
      <c r="MG10" s="67">
        <v>0.39612259321639331</v>
      </c>
      <c r="MH10" s="10" t="str">
        <f t="shared" si="92"/>
        <v>NV</v>
      </c>
      <c r="MI10" s="10" t="str">
        <f t="shared" si="93"/>
        <v xml:space="preserve"> </v>
      </c>
      <c r="MJ10" s="10"/>
      <c r="MK10" s="42">
        <v>10.378040690000001</v>
      </c>
      <c r="ML10" s="43">
        <v>3.4923420549818638</v>
      </c>
      <c r="MM10" s="67">
        <v>0.50694784439279905</v>
      </c>
      <c r="MN10" s="10" t="str">
        <f t="shared" si="94"/>
        <v>NV</v>
      </c>
      <c r="MO10" s="10" t="str">
        <f t="shared" si="95"/>
        <v xml:space="preserve"> </v>
      </c>
      <c r="MP10" s="10"/>
      <c r="MQ10" s="53">
        <v>9</v>
      </c>
      <c r="MR10" s="55">
        <v>2.9232921506336353</v>
      </c>
      <c r="MS10" s="56">
        <v>0.4615098065233178</v>
      </c>
      <c r="MT10" s="10" t="str">
        <f t="shared" si="96"/>
        <v>NV</v>
      </c>
      <c r="MU10" s="10" t="str">
        <f t="shared" si="97"/>
        <v xml:space="preserve"> </v>
      </c>
      <c r="MV10" s="10"/>
      <c r="MW10" s="54">
        <v>16</v>
      </c>
      <c r="MX10" s="57">
        <v>2.5</v>
      </c>
      <c r="MY10" s="58">
        <v>0.21154181114555642</v>
      </c>
      <c r="MZ10" s="10" t="str">
        <f t="shared" si="98"/>
        <v>NV</v>
      </c>
      <c r="NA10" s="10" t="str">
        <f t="shared" si="103"/>
        <v xml:space="preserve"> </v>
      </c>
      <c r="NB10" s="58"/>
    </row>
    <row r="11" spans="1:366" x14ac:dyDescent="0.2">
      <c r="B11" s="65" t="s">
        <v>13</v>
      </c>
      <c r="C11" s="27">
        <v>45</v>
      </c>
      <c r="D11" s="28">
        <v>3.2222222222222228</v>
      </c>
      <c r="E11" s="29">
        <v>0.18734608587473553</v>
      </c>
      <c r="F11" s="10"/>
      <c r="G11" s="42">
        <v>19</v>
      </c>
      <c r="H11" s="43">
        <v>2.8947368421052628</v>
      </c>
      <c r="I11" s="67">
        <v>0.2754356365061747</v>
      </c>
      <c r="J11" s="10" t="str">
        <f t="shared" si="1"/>
        <v>NV</v>
      </c>
      <c r="K11" s="10" t="str">
        <f t="shared" si="2"/>
        <v xml:space="preserve"> </v>
      </c>
      <c r="L11" s="10"/>
      <c r="M11" s="42">
        <v>6.2384347800000004</v>
      </c>
      <c r="N11" s="43">
        <v>2.833333333333333</v>
      </c>
      <c r="O11" s="67">
        <v>0.30024268810673888</v>
      </c>
      <c r="P11" s="10" t="str">
        <f t="shared" si="3"/>
        <v>NV</v>
      </c>
      <c r="Q11" s="10" t="str">
        <f t="shared" si="4"/>
        <v xml:space="preserve"> </v>
      </c>
      <c r="R11" s="10"/>
      <c r="S11" s="53">
        <v>6</v>
      </c>
      <c r="T11" s="55">
        <v>3.1666666666666665</v>
      </c>
      <c r="U11" s="56">
        <v>0.55506792387238213</v>
      </c>
      <c r="V11" s="10" t="str">
        <f t="shared" si="5"/>
        <v>NV</v>
      </c>
      <c r="W11" s="10" t="str">
        <f t="shared" si="6"/>
        <v xml:space="preserve"> </v>
      </c>
      <c r="X11" s="10"/>
      <c r="Y11" s="54">
        <v>13</v>
      </c>
      <c r="Z11" s="57">
        <v>2.9230769230769229</v>
      </c>
      <c r="AA11" s="58">
        <v>0.24632978966851499</v>
      </c>
      <c r="AB11" s="10" t="str">
        <f t="shared" si="7"/>
        <v>NV</v>
      </c>
      <c r="AC11" s="10" t="str">
        <f t="shared" si="8"/>
        <v xml:space="preserve"> </v>
      </c>
      <c r="AD11" s="76"/>
      <c r="AE11" s="27">
        <v>10</v>
      </c>
      <c r="AF11" s="28">
        <v>3</v>
      </c>
      <c r="AG11" s="29">
        <v>0.14626945357137183</v>
      </c>
      <c r="AH11" s="67"/>
      <c r="AI11" s="42">
        <v>6</v>
      </c>
      <c r="AJ11" s="43">
        <v>3.166666666666667</v>
      </c>
      <c r="AK11" s="67">
        <v>0.39956034501530951</v>
      </c>
      <c r="AL11" s="10" t="str">
        <f t="shared" si="9"/>
        <v>NV</v>
      </c>
      <c r="AM11" s="10" t="str">
        <f t="shared" si="10"/>
        <v xml:space="preserve"> </v>
      </c>
      <c r="AN11" s="67"/>
      <c r="AO11" s="42">
        <v>3.8214843599999999</v>
      </c>
      <c r="AP11" s="43">
        <v>2.5</v>
      </c>
      <c r="AQ11" s="67">
        <v>0.98725086584249555</v>
      </c>
      <c r="AR11" s="10" t="str">
        <f t="shared" si="11"/>
        <v>NV</v>
      </c>
      <c r="AS11" s="10" t="str">
        <f t="shared" si="12"/>
        <v xml:space="preserve"> </v>
      </c>
      <c r="AT11" s="10"/>
      <c r="AU11" s="53">
        <v>1</v>
      </c>
      <c r="AV11" s="60">
        <v>0.99999999999999989</v>
      </c>
      <c r="AX11" s="10" t="str">
        <f t="shared" si="13"/>
        <v>NV</v>
      </c>
      <c r="AY11" s="10" t="str">
        <f t="shared" si="14"/>
        <v xml:space="preserve"> </v>
      </c>
      <c r="AZ11" s="10"/>
      <c r="BA11" s="54">
        <v>1</v>
      </c>
      <c r="BB11" s="57">
        <v>4</v>
      </c>
      <c r="BC11" s="59">
        <v>0</v>
      </c>
      <c r="BD11" s="10" t="str">
        <f t="shared" si="15"/>
        <v>NV</v>
      </c>
      <c r="BE11" s="10" t="str">
        <f t="shared" si="16"/>
        <v xml:space="preserve"> </v>
      </c>
      <c r="BF11" s="76"/>
      <c r="BG11" s="27">
        <v>130</v>
      </c>
      <c r="BH11" s="28">
        <v>3.1330653998554423</v>
      </c>
      <c r="BI11" s="29">
        <v>0.10951965718167229</v>
      </c>
      <c r="BJ11" s="10"/>
      <c r="BK11" s="42">
        <v>31</v>
      </c>
      <c r="BL11" s="43">
        <v>2.8718443300676348</v>
      </c>
      <c r="BM11" s="67">
        <v>0.24014005406633737</v>
      </c>
      <c r="BN11" s="10">
        <f t="shared" si="17"/>
        <v>0.98971660096504355</v>
      </c>
      <c r="BO11" s="10" t="str">
        <f t="shared" si="18"/>
        <v xml:space="preserve"> </v>
      </c>
      <c r="BP11" s="10"/>
      <c r="BQ11" s="42">
        <v>3.03484935</v>
      </c>
      <c r="BR11" s="43">
        <v>3.3425999152149015</v>
      </c>
      <c r="BS11" s="67">
        <v>0.88552182208904007</v>
      </c>
      <c r="BT11" s="10" t="str">
        <f t="shared" si="19"/>
        <v>NV</v>
      </c>
      <c r="BU11" s="10" t="str">
        <f t="shared" si="20"/>
        <v xml:space="preserve"> </v>
      </c>
      <c r="BV11" s="10"/>
      <c r="BW11" s="53">
        <v>3</v>
      </c>
      <c r="BX11" s="55">
        <v>3.6666666666666665</v>
      </c>
      <c r="BY11" s="56">
        <v>0.80006814548329197</v>
      </c>
      <c r="BZ11" s="10" t="str">
        <f t="shared" si="21"/>
        <v>NV</v>
      </c>
      <c r="CA11" s="10" t="str">
        <f t="shared" si="22"/>
        <v xml:space="preserve"> </v>
      </c>
      <c r="CB11" s="10"/>
      <c r="CC11" s="54">
        <v>18</v>
      </c>
      <c r="CD11" s="57">
        <v>2.937179059907753</v>
      </c>
      <c r="CE11" s="58">
        <v>0.27903984073174709</v>
      </c>
      <c r="CF11" s="10" t="str">
        <f t="shared" si="23"/>
        <v>NV</v>
      </c>
      <c r="CG11" s="10" t="str">
        <f t="shared" si="24"/>
        <v xml:space="preserve"> </v>
      </c>
      <c r="CH11" s="76"/>
      <c r="CI11" s="27">
        <v>84</v>
      </c>
      <c r="CJ11" s="28">
        <v>3.0516735055640543</v>
      </c>
      <c r="CK11" s="29">
        <v>0.1112595019200837</v>
      </c>
      <c r="CL11" s="67"/>
      <c r="CM11" s="42">
        <v>22</v>
      </c>
      <c r="CN11" s="43">
        <v>2.5447402916584512</v>
      </c>
      <c r="CO11" s="67">
        <v>0.26037671245071858</v>
      </c>
      <c r="CP11" s="10" t="str">
        <f t="shared" si="25"/>
        <v>NV</v>
      </c>
      <c r="CQ11" s="10" t="str">
        <f t="shared" si="26"/>
        <v xml:space="preserve"> </v>
      </c>
      <c r="CR11" s="10"/>
      <c r="CS11" s="42">
        <v>17.702887860000001</v>
      </c>
      <c r="CT11" s="43">
        <v>3.3333333333333339</v>
      </c>
      <c r="CU11" s="67">
        <v>0.27260889958358986</v>
      </c>
      <c r="CV11" s="10" t="str">
        <f t="shared" si="27"/>
        <v>NV</v>
      </c>
      <c r="CW11" s="10" t="str">
        <f t="shared" si="28"/>
        <v xml:space="preserve"> </v>
      </c>
      <c r="CX11" s="10"/>
      <c r="CY11" s="53">
        <v>25</v>
      </c>
      <c r="CZ11" s="55">
        <v>3.3207369941849922</v>
      </c>
      <c r="DA11" s="56">
        <v>0.25374961451818534</v>
      </c>
      <c r="DB11" s="10" t="str">
        <f t="shared" si="29"/>
        <v>NV</v>
      </c>
      <c r="DC11" s="10" t="str">
        <f t="shared" si="0"/>
        <v xml:space="preserve"> </v>
      </c>
      <c r="DD11" s="10"/>
      <c r="DE11" s="54">
        <v>12</v>
      </c>
      <c r="DF11" s="57">
        <v>2.817503754038615</v>
      </c>
      <c r="DG11" s="58">
        <v>0.21129979977393229</v>
      </c>
      <c r="DH11" s="10" t="str">
        <f t="shared" si="30"/>
        <v>NV</v>
      </c>
      <c r="DI11" s="10" t="str">
        <f t="shared" si="31"/>
        <v xml:space="preserve"> </v>
      </c>
      <c r="DJ11" s="76"/>
      <c r="DK11" s="27">
        <v>18</v>
      </c>
      <c r="DL11" s="28">
        <v>3.217405112319101</v>
      </c>
      <c r="DM11" s="97">
        <v>0.32251787852764313</v>
      </c>
      <c r="DN11" s="10"/>
      <c r="DO11" s="42">
        <v>7</v>
      </c>
      <c r="DP11" s="43">
        <v>2.4277515054351237</v>
      </c>
      <c r="DQ11" s="68">
        <v>0.3694017323607594</v>
      </c>
      <c r="DR11" s="10" t="str">
        <f t="shared" si="32"/>
        <v>NV</v>
      </c>
      <c r="DS11" s="10" t="str">
        <f t="shared" si="33"/>
        <v xml:space="preserve"> </v>
      </c>
      <c r="DT11" s="10"/>
      <c r="DU11" s="42">
        <v>2.0794782600000001</v>
      </c>
      <c r="DV11" s="43">
        <v>2.5</v>
      </c>
      <c r="DW11" s="68">
        <v>1.4437244413927033</v>
      </c>
      <c r="DX11" s="10" t="str">
        <f t="shared" si="34"/>
        <v>NV</v>
      </c>
      <c r="DY11" s="10" t="str">
        <f t="shared" si="35"/>
        <v xml:space="preserve"> </v>
      </c>
      <c r="DZ11" s="10"/>
      <c r="EA11" s="53">
        <v>5</v>
      </c>
      <c r="EB11" s="55">
        <v>2.8942424129177127</v>
      </c>
      <c r="EC11" s="56">
        <v>0.43318345241442335</v>
      </c>
      <c r="ED11" s="10" t="str">
        <f t="shared" si="36"/>
        <v>NV</v>
      </c>
      <c r="EE11" s="10" t="str">
        <f t="shared" si="37"/>
        <v xml:space="preserve"> </v>
      </c>
      <c r="EF11" s="10"/>
      <c r="EG11" s="54">
        <v>3</v>
      </c>
      <c r="EH11" s="57">
        <v>4</v>
      </c>
      <c r="EI11" s="58">
        <v>0.5241799021643232</v>
      </c>
      <c r="EJ11" s="10" t="str">
        <f t="shared" si="38"/>
        <v>NV</v>
      </c>
      <c r="EK11" s="10" t="str">
        <f t="shared" si="39"/>
        <v xml:space="preserve"> </v>
      </c>
      <c r="EL11" s="76"/>
      <c r="EM11" s="27">
        <v>47</v>
      </c>
      <c r="EN11" s="28">
        <v>3.0244731280524491</v>
      </c>
      <c r="EO11" s="29">
        <v>0.15409974902946982</v>
      </c>
      <c r="EP11" s="10"/>
      <c r="EQ11" s="42">
        <v>17</v>
      </c>
      <c r="ER11" s="43">
        <v>3.7074024852586183</v>
      </c>
      <c r="ES11" s="67">
        <v>0.31755116646710096</v>
      </c>
      <c r="ET11" s="10" t="str">
        <f t="shared" si="40"/>
        <v>NV</v>
      </c>
      <c r="EU11" s="10" t="str">
        <f t="shared" si="41"/>
        <v xml:space="preserve"> </v>
      </c>
      <c r="EV11" s="10"/>
      <c r="EW11" s="42">
        <v>2.9504813099999998</v>
      </c>
      <c r="EX11" s="43">
        <v>1.3238017765989509</v>
      </c>
      <c r="EY11" s="67">
        <v>0.33504699700881124</v>
      </c>
      <c r="EZ11" s="10" t="str">
        <f t="shared" si="42"/>
        <v>NV</v>
      </c>
      <c r="FA11" s="10" t="str">
        <f t="shared" si="43"/>
        <v xml:space="preserve"> </v>
      </c>
      <c r="FB11" s="10"/>
      <c r="FC11" s="53">
        <v>11</v>
      </c>
      <c r="FD11" s="55">
        <v>3.390586003840895</v>
      </c>
      <c r="FE11" s="56">
        <v>0.37478807588456248</v>
      </c>
      <c r="FF11" s="10" t="str">
        <f t="shared" si="44"/>
        <v>NV</v>
      </c>
      <c r="FG11" s="10" t="str">
        <f t="shared" si="45"/>
        <v xml:space="preserve"> </v>
      </c>
      <c r="FH11" s="10"/>
      <c r="FI11" s="54">
        <v>10</v>
      </c>
      <c r="FJ11" s="57">
        <v>3.0828222825698837</v>
      </c>
      <c r="FK11" s="58">
        <v>0.44691879669547935</v>
      </c>
      <c r="FL11" s="10" t="str">
        <f t="shared" si="46"/>
        <v>NV</v>
      </c>
      <c r="FM11" s="10" t="str">
        <f t="shared" si="99"/>
        <v xml:space="preserve"> </v>
      </c>
      <c r="FN11" s="76"/>
      <c r="FO11" s="27">
        <v>27</v>
      </c>
      <c r="FP11" s="28">
        <v>2.8430078065750259</v>
      </c>
      <c r="FQ11" s="29">
        <v>0.23531628272934935</v>
      </c>
      <c r="FR11" s="67"/>
      <c r="FS11" s="42">
        <v>18</v>
      </c>
      <c r="FT11" s="43">
        <v>3.054355309390659</v>
      </c>
      <c r="FU11" s="67">
        <v>0.2954380709142912</v>
      </c>
      <c r="FV11" s="10" t="str">
        <f t="shared" si="47"/>
        <v>NV</v>
      </c>
      <c r="FW11" s="10" t="str">
        <f t="shared" si="48"/>
        <v xml:space="preserve"> </v>
      </c>
      <c r="FX11" s="67"/>
      <c r="FY11" s="42">
        <v>22.263518869999992</v>
      </c>
      <c r="FZ11" s="43">
        <v>2.5678630473386623</v>
      </c>
      <c r="GA11" s="67">
        <v>0.29103810505533279</v>
      </c>
      <c r="GB11" s="10" t="str">
        <f t="shared" si="49"/>
        <v>NV</v>
      </c>
      <c r="GC11" s="10" t="str">
        <f t="shared" si="50"/>
        <v xml:space="preserve"> </v>
      </c>
      <c r="GD11" s="10"/>
      <c r="GE11" s="53">
        <v>9</v>
      </c>
      <c r="GF11" s="55">
        <v>2.8888888888888888</v>
      </c>
      <c r="GG11" s="56">
        <v>0.49305188496344038</v>
      </c>
      <c r="GH11" s="10" t="str">
        <f t="shared" si="51"/>
        <v>NV</v>
      </c>
      <c r="GI11" s="10" t="str">
        <f t="shared" si="52"/>
        <v xml:space="preserve"> </v>
      </c>
      <c r="GJ11" s="10"/>
      <c r="GK11" s="54">
        <v>30</v>
      </c>
      <c r="GL11" s="57">
        <v>3.2361809049165235</v>
      </c>
      <c r="GM11" s="58">
        <v>0.19487714865225622</v>
      </c>
      <c r="GN11" s="10" t="str">
        <f t="shared" si="53"/>
        <v>NV</v>
      </c>
      <c r="GO11" s="10" t="str">
        <f t="shared" si="100"/>
        <v xml:space="preserve"> </v>
      </c>
      <c r="GP11" s="76"/>
      <c r="GQ11" s="27">
        <v>27</v>
      </c>
      <c r="GR11" s="28">
        <v>3.1694610955976787</v>
      </c>
      <c r="GS11" s="29">
        <v>0.2313382233934721</v>
      </c>
      <c r="GT11" s="10"/>
      <c r="GU11" s="42">
        <v>18</v>
      </c>
      <c r="GV11" s="43">
        <v>3.1158061610189107</v>
      </c>
      <c r="GW11" s="67">
        <v>0.26824701735468598</v>
      </c>
      <c r="GX11" s="10" t="str">
        <f t="shared" si="54"/>
        <v>NV</v>
      </c>
      <c r="GY11" s="10" t="str">
        <f t="shared" si="55"/>
        <v xml:space="preserve"> </v>
      </c>
      <c r="GZ11" s="10"/>
      <c r="HA11" s="42">
        <v>11.531294089999999</v>
      </c>
      <c r="HB11" s="43">
        <v>4</v>
      </c>
      <c r="HC11" s="67">
        <v>0.37732735263635186</v>
      </c>
      <c r="HD11" s="10" t="str">
        <f t="shared" si="56"/>
        <v>NV</v>
      </c>
      <c r="HE11" s="10" t="str">
        <f t="shared" si="57"/>
        <v xml:space="preserve"> </v>
      </c>
      <c r="HF11" s="10"/>
      <c r="HG11" s="53">
        <v>8</v>
      </c>
      <c r="HH11" s="55">
        <v>3</v>
      </c>
      <c r="HI11" s="56">
        <v>0.4501769704948812</v>
      </c>
      <c r="HJ11" s="10" t="str">
        <f t="shared" si="58"/>
        <v>NV</v>
      </c>
      <c r="HK11" s="10" t="str">
        <f t="shared" si="59"/>
        <v xml:space="preserve"> </v>
      </c>
      <c r="HL11" s="10"/>
      <c r="HM11" s="54">
        <v>18</v>
      </c>
      <c r="HN11" s="57">
        <v>3.6118980171076251</v>
      </c>
      <c r="HO11" s="58">
        <v>0.30695093256971462</v>
      </c>
      <c r="HP11" s="10" t="str">
        <f t="shared" si="60"/>
        <v>NV</v>
      </c>
      <c r="HQ11" s="10" t="str">
        <f t="shared" si="101"/>
        <v xml:space="preserve"> </v>
      </c>
      <c r="HR11" s="76"/>
      <c r="HS11" s="27">
        <v>77</v>
      </c>
      <c r="HT11" s="28">
        <v>2.8053131326537946</v>
      </c>
      <c r="HU11" s="29">
        <v>0.12647804486007097</v>
      </c>
      <c r="HV11" s="10"/>
      <c r="HW11" s="42">
        <v>46</v>
      </c>
      <c r="HX11" s="43">
        <v>2.8212560224182446</v>
      </c>
      <c r="HY11" s="67">
        <v>0.17882484911758728</v>
      </c>
      <c r="HZ11" s="10">
        <f t="shared" si="61"/>
        <v>-7.2787943568239241E-2</v>
      </c>
      <c r="IA11" s="10" t="str">
        <f t="shared" si="62"/>
        <v xml:space="preserve"> </v>
      </c>
      <c r="IB11" s="10"/>
      <c r="IC11" s="42">
        <v>29.540036149999988</v>
      </c>
      <c r="ID11" s="43">
        <v>2.8371550875708733</v>
      </c>
      <c r="IE11" s="67">
        <v>0.25314965657591604</v>
      </c>
      <c r="IF11" s="10" t="str">
        <f t="shared" si="63"/>
        <v>NV</v>
      </c>
      <c r="IG11" s="10" t="str">
        <f t="shared" si="64"/>
        <v xml:space="preserve"> </v>
      </c>
      <c r="IH11" s="10"/>
      <c r="II11" s="53">
        <v>49</v>
      </c>
      <c r="IJ11" s="55">
        <v>3.0830257429910515</v>
      </c>
      <c r="IK11" s="56">
        <v>0.16898732654391033</v>
      </c>
      <c r="IL11" s="10">
        <f t="shared" si="65"/>
        <v>-1.3156946670844289</v>
      </c>
      <c r="IM11" s="10" t="str">
        <f t="shared" si="66"/>
        <v xml:space="preserve"> </v>
      </c>
      <c r="IN11" s="10"/>
      <c r="IO11" s="54">
        <v>47</v>
      </c>
      <c r="IP11" s="57">
        <v>3.0075593933317948</v>
      </c>
      <c r="IQ11" s="58">
        <v>0.19086726960727288</v>
      </c>
      <c r="IR11" s="10">
        <f t="shared" si="67"/>
        <v>-0.88328926835747656</v>
      </c>
      <c r="IS11" s="10" t="str">
        <f t="shared" si="68"/>
        <v xml:space="preserve"> </v>
      </c>
      <c r="IT11" s="76"/>
      <c r="IU11" s="27">
        <v>4</v>
      </c>
      <c r="IV11" s="28">
        <v>3.5</v>
      </c>
      <c r="IW11" s="29">
        <v>0.64585391603440578</v>
      </c>
      <c r="IX11" s="10"/>
      <c r="IY11" s="42">
        <v>4</v>
      </c>
      <c r="IZ11" s="43">
        <v>4.75</v>
      </c>
      <c r="JA11" s="67">
        <v>0.24976224459637555</v>
      </c>
      <c r="JB11" s="10" t="str">
        <f t="shared" si="69"/>
        <v>NV</v>
      </c>
      <c r="JC11" s="10" t="str">
        <f t="shared" si="70"/>
        <v xml:space="preserve"> </v>
      </c>
      <c r="JD11" s="10"/>
      <c r="JE11" s="42">
        <v>2.9703581699999999</v>
      </c>
      <c r="JF11" s="43">
        <v>4</v>
      </c>
      <c r="JG11" s="67">
        <v>0.58167685159737692</v>
      </c>
      <c r="JH11" s="10" t="str">
        <f t="shared" si="71"/>
        <v>NV</v>
      </c>
      <c r="JI11" s="10" t="str">
        <f t="shared" si="72"/>
        <v xml:space="preserve"> </v>
      </c>
      <c r="JJ11" s="10"/>
      <c r="JK11" s="53">
        <v>3</v>
      </c>
      <c r="JL11" s="55">
        <v>2.6666666666666665</v>
      </c>
      <c r="JM11" s="61">
        <v>1.2230299195858236</v>
      </c>
      <c r="JN11" s="10" t="str">
        <f t="shared" si="73"/>
        <v>NV</v>
      </c>
      <c r="JO11" s="10" t="str">
        <f t="shared" si="74"/>
        <v xml:space="preserve"> </v>
      </c>
      <c r="JP11" s="10"/>
      <c r="JQ11" s="54">
        <v>5</v>
      </c>
      <c r="JR11" s="57">
        <v>2.4</v>
      </c>
      <c r="JS11" s="58">
        <v>0.4171971466999706</v>
      </c>
      <c r="JT11" s="10" t="str">
        <f t="shared" si="75"/>
        <v>NV</v>
      </c>
      <c r="JU11" s="10" t="str">
        <f t="shared" si="76"/>
        <v xml:space="preserve"> </v>
      </c>
      <c r="JV11" s="76"/>
      <c r="JW11" s="27">
        <v>52</v>
      </c>
      <c r="JX11" s="28">
        <v>2.6542183823700278</v>
      </c>
      <c r="JY11" s="29">
        <v>0.1796354102184814</v>
      </c>
      <c r="JZ11" s="10"/>
      <c r="KA11" s="42">
        <v>20</v>
      </c>
      <c r="KB11" s="43">
        <v>2.7006869478371622</v>
      </c>
      <c r="KC11" s="67">
        <v>0.33329272140517274</v>
      </c>
      <c r="KD11" s="10" t="str">
        <f t="shared" si="77"/>
        <v>NV</v>
      </c>
      <c r="KE11" s="10" t="str">
        <f t="shared" si="78"/>
        <v xml:space="preserve"> </v>
      </c>
      <c r="KF11" s="10"/>
      <c r="KG11" s="42">
        <v>28.200189710000007</v>
      </c>
      <c r="KH11" s="43">
        <v>2.8764678250102453</v>
      </c>
      <c r="KI11" s="67">
        <v>0.26491322651058041</v>
      </c>
      <c r="KJ11" s="10" t="str">
        <f t="shared" si="79"/>
        <v>NV</v>
      </c>
      <c r="KK11" s="10" t="str">
        <f t="shared" si="80"/>
        <v xml:space="preserve"> </v>
      </c>
      <c r="KL11" s="10"/>
      <c r="KM11" s="53">
        <v>32</v>
      </c>
      <c r="KN11" s="55">
        <v>2.093186508922233</v>
      </c>
      <c r="KO11" s="56">
        <v>0.2378662152953806</v>
      </c>
      <c r="KP11" s="10">
        <f t="shared" si="81"/>
        <v>1.8821781732053067</v>
      </c>
      <c r="KQ11" s="10" t="str">
        <f t="shared" si="82"/>
        <v xml:space="preserve"> </v>
      </c>
      <c r="KR11" s="10"/>
      <c r="KS11" s="54">
        <v>39</v>
      </c>
      <c r="KT11" s="57">
        <v>2.461931308875311</v>
      </c>
      <c r="KU11" s="58">
        <v>0.20222815771221289</v>
      </c>
      <c r="KV11" s="10">
        <f t="shared" si="83"/>
        <v>0.71088291974886542</v>
      </c>
      <c r="KW11" s="10" t="str">
        <f t="shared" si="102"/>
        <v xml:space="preserve"> </v>
      </c>
      <c r="KX11" s="76"/>
      <c r="KY11" s="27">
        <v>9</v>
      </c>
      <c r="KZ11" s="28">
        <v>3.4444444444444446</v>
      </c>
      <c r="LA11" s="29">
        <v>0.55581454592327884</v>
      </c>
      <c r="LB11" s="10"/>
      <c r="LC11" s="42">
        <v>12</v>
      </c>
      <c r="LD11" s="43">
        <v>2.5</v>
      </c>
      <c r="LE11" s="67">
        <v>0.39855157915006878</v>
      </c>
      <c r="LF11" s="10" t="str">
        <f t="shared" si="84"/>
        <v>NV</v>
      </c>
      <c r="LG11" s="10" t="str">
        <f t="shared" si="85"/>
        <v xml:space="preserve"> </v>
      </c>
      <c r="LH11" s="10"/>
      <c r="LI11" s="42">
        <v>17.822149020000001</v>
      </c>
      <c r="LJ11" s="43">
        <v>2.0555555555555558</v>
      </c>
      <c r="LK11" s="67">
        <v>0.26300101953803462</v>
      </c>
      <c r="LL11" s="10" t="str">
        <f t="shared" si="86"/>
        <v>NV</v>
      </c>
      <c r="LM11" s="10" t="str">
        <f t="shared" si="87"/>
        <v xml:space="preserve"> </v>
      </c>
      <c r="LN11" s="10"/>
      <c r="LO11" s="53">
        <v>23</v>
      </c>
      <c r="LP11" s="55">
        <v>2.7826086956521743</v>
      </c>
      <c r="LQ11" s="56">
        <v>0.28427699618057711</v>
      </c>
      <c r="LR11" s="10" t="str">
        <f t="shared" si="88"/>
        <v>NV</v>
      </c>
      <c r="LS11" s="10" t="str">
        <f t="shared" si="89"/>
        <v xml:space="preserve"> </v>
      </c>
      <c r="LT11" s="10"/>
      <c r="LU11" s="54">
        <v>29</v>
      </c>
      <c r="LV11" s="57">
        <v>2.5517241379310347</v>
      </c>
      <c r="LW11" s="58">
        <v>0.25988188037046989</v>
      </c>
      <c r="LX11" s="10" t="str">
        <f t="shared" si="90"/>
        <v>NV</v>
      </c>
      <c r="LY11" s="10" t="str">
        <f t="shared" si="91"/>
        <v xml:space="preserve"> </v>
      </c>
      <c r="LZ11" s="76"/>
      <c r="MA11" s="27">
        <v>16</v>
      </c>
      <c r="MB11" s="28">
        <v>3.25</v>
      </c>
      <c r="MC11" s="29">
        <v>0.30970642164805295</v>
      </c>
      <c r="MD11" s="10"/>
      <c r="ME11" s="42">
        <v>11</v>
      </c>
      <c r="MF11" s="43">
        <v>2.7303571421783293</v>
      </c>
      <c r="MG11" s="67">
        <v>0.4281785659235437</v>
      </c>
      <c r="MH11" s="10" t="str">
        <f t="shared" si="92"/>
        <v>NV</v>
      </c>
      <c r="MI11" s="10" t="str">
        <f t="shared" si="93"/>
        <v xml:space="preserve"> </v>
      </c>
      <c r="MJ11" s="10"/>
      <c r="MK11" s="42">
        <v>10.378040690000001</v>
      </c>
      <c r="ML11" s="43">
        <v>3</v>
      </c>
      <c r="MM11" s="67">
        <v>0.5268491673888287</v>
      </c>
      <c r="MN11" s="10" t="str">
        <f t="shared" si="94"/>
        <v>NV</v>
      </c>
      <c r="MO11" s="10" t="str">
        <f t="shared" si="95"/>
        <v xml:space="preserve"> </v>
      </c>
      <c r="MP11" s="10"/>
      <c r="MQ11" s="53">
        <v>10</v>
      </c>
      <c r="MR11" s="55">
        <v>2.6533819477682652</v>
      </c>
      <c r="MS11" s="56">
        <v>0.47862183808454167</v>
      </c>
      <c r="MT11" s="10" t="str">
        <f t="shared" si="96"/>
        <v>NV</v>
      </c>
      <c r="MU11" s="10" t="str">
        <f t="shared" si="97"/>
        <v xml:space="preserve"> </v>
      </c>
      <c r="MV11" s="10"/>
      <c r="MW11" s="54">
        <v>11</v>
      </c>
      <c r="MX11" s="57">
        <v>2.5454545454545454</v>
      </c>
      <c r="MY11" s="58">
        <v>0.35291969579457838</v>
      </c>
      <c r="MZ11" s="10" t="str">
        <f t="shared" si="98"/>
        <v>NV</v>
      </c>
      <c r="NA11" s="10" t="str">
        <f t="shared" si="103"/>
        <v xml:space="preserve"> </v>
      </c>
      <c r="NB11" s="58"/>
    </row>
    <row r="12" spans="1:366" x14ac:dyDescent="0.2">
      <c r="B12" s="65" t="s">
        <v>14</v>
      </c>
      <c r="C12" s="27">
        <v>209</v>
      </c>
      <c r="D12" s="28">
        <v>3.5502392344497617</v>
      </c>
      <c r="E12" s="29">
        <v>8.5174968256905487E-2</v>
      </c>
      <c r="F12" s="10"/>
      <c r="G12" s="42">
        <v>48</v>
      </c>
      <c r="H12" s="43">
        <v>3.4791666666666661</v>
      </c>
      <c r="I12" s="67">
        <v>0.1911839434086039</v>
      </c>
      <c r="J12" s="10">
        <f t="shared" si="1"/>
        <v>0.33957431478784017</v>
      </c>
      <c r="K12" s="10" t="str">
        <f t="shared" si="2"/>
        <v xml:space="preserve"> </v>
      </c>
      <c r="L12" s="10"/>
      <c r="M12" s="42">
        <v>37.430608680000027</v>
      </c>
      <c r="N12" s="43">
        <v>3.4722222222222223</v>
      </c>
      <c r="O12" s="67">
        <v>0.16329660307323435</v>
      </c>
      <c r="P12" s="10">
        <f t="shared" si="3"/>
        <v>0.4236018367579853</v>
      </c>
      <c r="Q12" s="10" t="str">
        <f t="shared" si="4"/>
        <v xml:space="preserve"> </v>
      </c>
      <c r="R12" s="10"/>
      <c r="S12" s="53">
        <v>54</v>
      </c>
      <c r="T12" s="55">
        <v>3.4444444444444455</v>
      </c>
      <c r="U12" s="56">
        <v>0.1432754154121815</v>
      </c>
      <c r="V12" s="10">
        <f t="shared" si="5"/>
        <v>0.63471342220188975</v>
      </c>
      <c r="W12" s="10" t="str">
        <f t="shared" si="6"/>
        <v xml:space="preserve"> </v>
      </c>
      <c r="X12" s="10"/>
      <c r="Y12" s="54">
        <v>80</v>
      </c>
      <c r="Z12" s="57">
        <v>3.4625000000000004</v>
      </c>
      <c r="AA12" s="58">
        <v>0.11395943868964102</v>
      </c>
      <c r="AB12" s="10">
        <f t="shared" si="7"/>
        <v>0.61669749516872974</v>
      </c>
      <c r="AC12" s="10" t="str">
        <f t="shared" si="8"/>
        <v xml:space="preserve"> </v>
      </c>
      <c r="AD12" s="76"/>
      <c r="AE12" s="27">
        <v>40</v>
      </c>
      <c r="AF12" s="28">
        <v>3.6760030024273438</v>
      </c>
      <c r="AG12" s="29">
        <v>0.16646192690824929</v>
      </c>
      <c r="AH12" s="67"/>
      <c r="AI12" s="42">
        <v>21</v>
      </c>
      <c r="AJ12" s="43">
        <v>3.5714285714285712</v>
      </c>
      <c r="AK12" s="67">
        <v>0.30406596407901021</v>
      </c>
      <c r="AL12" s="10" t="str">
        <f t="shared" si="9"/>
        <v>NV</v>
      </c>
      <c r="AM12" s="10" t="str">
        <f t="shared" si="10"/>
        <v xml:space="preserve"> </v>
      </c>
      <c r="AN12" s="67"/>
      <c r="AO12" s="42">
        <v>21.973535070000001</v>
      </c>
      <c r="AP12" s="43">
        <v>3.8695652173913042</v>
      </c>
      <c r="AQ12" s="67">
        <v>0.23486162248266398</v>
      </c>
      <c r="AR12" s="10" t="str">
        <f t="shared" si="11"/>
        <v>NV</v>
      </c>
      <c r="AS12" s="10" t="str">
        <f t="shared" si="12"/>
        <v xml:space="preserve"> </v>
      </c>
      <c r="AT12" s="10"/>
      <c r="AU12" s="53">
        <v>29</v>
      </c>
      <c r="AV12" s="55">
        <v>3.0681869333748351</v>
      </c>
      <c r="AW12" s="56">
        <v>0.23701158253565388</v>
      </c>
      <c r="AX12" s="10" t="str">
        <f t="shared" si="13"/>
        <v>NV</v>
      </c>
      <c r="AY12" s="10" t="str">
        <f t="shared" si="14"/>
        <v xml:space="preserve"> </v>
      </c>
      <c r="AZ12" s="10"/>
      <c r="BA12" s="54">
        <v>34</v>
      </c>
      <c r="BB12" s="57">
        <v>2.6725786985473503</v>
      </c>
      <c r="BC12" s="58">
        <v>0.17877476652830213</v>
      </c>
      <c r="BD12" s="10">
        <f t="shared" si="15"/>
        <v>4.1077748573615303</v>
      </c>
      <c r="BE12" s="10" t="str">
        <f t="shared" si="16"/>
        <v>*</v>
      </c>
      <c r="BF12" s="76"/>
      <c r="BG12" s="27">
        <v>469</v>
      </c>
      <c r="BH12" s="28">
        <v>3.6448589379102514</v>
      </c>
      <c r="BI12" s="29">
        <v>5.4852945567091686E-2</v>
      </c>
      <c r="BJ12" s="10"/>
      <c r="BK12" s="42">
        <v>122</v>
      </c>
      <c r="BL12" s="43">
        <v>3.6221615700408796</v>
      </c>
      <c r="BM12" s="67">
        <v>0.11199877792227161</v>
      </c>
      <c r="BN12" s="10">
        <f t="shared" si="17"/>
        <v>0.18200125712817103</v>
      </c>
      <c r="BO12" s="10" t="str">
        <f t="shared" si="18"/>
        <v xml:space="preserve"> </v>
      </c>
      <c r="BP12" s="10"/>
      <c r="BQ12" s="42">
        <v>81.380078910000051</v>
      </c>
      <c r="BR12" s="43">
        <v>2.9744473305033314</v>
      </c>
      <c r="BS12" s="67">
        <v>6.1067726997662733E-2</v>
      </c>
      <c r="BT12" s="10">
        <f t="shared" si="19"/>
        <v>8.1671848023842948</v>
      </c>
      <c r="BU12" s="10" t="str">
        <f t="shared" si="20"/>
        <v>*</v>
      </c>
      <c r="BV12" s="10"/>
      <c r="BW12" s="53">
        <v>126</v>
      </c>
      <c r="BX12" s="55">
        <v>2.8741095531430929</v>
      </c>
      <c r="BY12" s="56">
        <v>5.2422942282872073E-2</v>
      </c>
      <c r="BZ12" s="10">
        <f t="shared" si="21"/>
        <v>10.158151259732545</v>
      </c>
      <c r="CA12" s="10" t="str">
        <f t="shared" si="22"/>
        <v>*</v>
      </c>
      <c r="CB12" s="10"/>
      <c r="CC12" s="54">
        <v>139</v>
      </c>
      <c r="CD12" s="57">
        <v>3.323395179277866</v>
      </c>
      <c r="CE12" s="58">
        <v>9.5959250310757166E-2</v>
      </c>
      <c r="CF12" s="10">
        <f t="shared" si="23"/>
        <v>2.9083677227887841</v>
      </c>
      <c r="CG12" s="10" t="str">
        <f t="shared" si="24"/>
        <v>*</v>
      </c>
      <c r="CH12" s="76"/>
      <c r="CI12" s="27">
        <v>254</v>
      </c>
      <c r="CJ12" s="28">
        <v>3.6237651439040888</v>
      </c>
      <c r="CK12" s="29">
        <v>7.5506609589955809E-2</v>
      </c>
      <c r="CL12" s="67"/>
      <c r="CM12" s="42">
        <v>89</v>
      </c>
      <c r="CN12" s="43">
        <v>3.6851478660508943</v>
      </c>
      <c r="CO12" s="67">
        <v>0.12425593775574181</v>
      </c>
      <c r="CP12" s="10">
        <f t="shared" si="25"/>
        <v>-0.4221682590892385</v>
      </c>
      <c r="CQ12" s="10" t="str">
        <f t="shared" si="26"/>
        <v xml:space="preserve"> </v>
      </c>
      <c r="CR12" s="10"/>
      <c r="CS12" s="42">
        <v>63.955217730000015</v>
      </c>
      <c r="CT12" s="43">
        <v>3.8668760412020879</v>
      </c>
      <c r="CU12" s="67">
        <v>0.14686719201572271</v>
      </c>
      <c r="CV12" s="10">
        <f t="shared" si="27"/>
        <v>-1.4721502646378124</v>
      </c>
      <c r="CW12" s="10" t="str">
        <f t="shared" si="28"/>
        <v xml:space="preserve"> </v>
      </c>
      <c r="CX12" s="10"/>
      <c r="CY12" s="53">
        <v>77</v>
      </c>
      <c r="CZ12" s="55">
        <v>3.8222924850673046</v>
      </c>
      <c r="DA12" s="56">
        <v>0.13319743770747469</v>
      </c>
      <c r="DB12" s="10">
        <f t="shared" si="29"/>
        <v>-1.2966284128578354</v>
      </c>
      <c r="DC12" s="10" t="str">
        <f t="shared" si="0"/>
        <v xml:space="preserve"> </v>
      </c>
      <c r="DD12" s="10"/>
      <c r="DE12" s="54">
        <v>84</v>
      </c>
      <c r="DF12" s="57">
        <v>3.5627664416289617</v>
      </c>
      <c r="DG12" s="58">
        <v>0.12982587412842489</v>
      </c>
      <c r="DH12" s="10">
        <f t="shared" si="30"/>
        <v>0.40615284337317109</v>
      </c>
      <c r="DI12" s="10" t="str">
        <f t="shared" si="31"/>
        <v xml:space="preserve"> </v>
      </c>
      <c r="DJ12" s="76"/>
      <c r="DK12" s="27">
        <v>80</v>
      </c>
      <c r="DL12" s="28">
        <v>3.4179006207197387</v>
      </c>
      <c r="DM12" s="29">
        <v>0.12728721111766139</v>
      </c>
      <c r="DN12" s="10"/>
      <c r="DO12" s="42">
        <v>29</v>
      </c>
      <c r="DP12" s="43">
        <v>3.3430949571786024</v>
      </c>
      <c r="DQ12" s="67">
        <v>0.20074590627021915</v>
      </c>
      <c r="DR12" s="10" t="str">
        <f t="shared" si="32"/>
        <v>NV</v>
      </c>
      <c r="DS12" s="10" t="str">
        <f t="shared" si="33"/>
        <v xml:space="preserve"> </v>
      </c>
      <c r="DT12" s="10"/>
      <c r="DU12" s="42">
        <v>27.735484350000018</v>
      </c>
      <c r="DV12" s="43">
        <v>3.3313054127356532</v>
      </c>
      <c r="DW12" s="67">
        <v>0.22956647907545999</v>
      </c>
      <c r="DX12" s="10" t="str">
        <f t="shared" si="34"/>
        <v>NV</v>
      </c>
      <c r="DY12" s="10" t="str">
        <f t="shared" si="35"/>
        <v xml:space="preserve"> </v>
      </c>
      <c r="DZ12" s="10"/>
      <c r="EA12" s="53">
        <v>24</v>
      </c>
      <c r="EB12" s="55">
        <v>3.3789275871240272</v>
      </c>
      <c r="EC12" s="56">
        <v>0.24597982807600519</v>
      </c>
      <c r="ED12" s="10" t="str">
        <f t="shared" si="36"/>
        <v>NV</v>
      </c>
      <c r="EE12" s="10" t="str">
        <f t="shared" si="37"/>
        <v xml:space="preserve"> </v>
      </c>
      <c r="EF12" s="10"/>
      <c r="EG12" s="54">
        <v>23</v>
      </c>
      <c r="EH12" s="57">
        <v>3.5652173913043481</v>
      </c>
      <c r="EI12" s="58">
        <v>0.21009168532234018</v>
      </c>
      <c r="EJ12" s="10" t="str">
        <f t="shared" si="38"/>
        <v>NV</v>
      </c>
      <c r="EK12" s="10" t="str">
        <f t="shared" si="39"/>
        <v xml:space="preserve"> </v>
      </c>
      <c r="EL12" s="76"/>
      <c r="EM12" s="27">
        <v>202</v>
      </c>
      <c r="EN12" s="28">
        <v>3.7194794050971427</v>
      </c>
      <c r="EO12" s="29">
        <v>8.0271411478266677E-2</v>
      </c>
      <c r="EP12" s="10"/>
      <c r="EQ12" s="42">
        <v>56</v>
      </c>
      <c r="ER12" s="43">
        <v>3.7500000000000004</v>
      </c>
      <c r="ES12" s="67">
        <v>0.16166652846684226</v>
      </c>
      <c r="ET12" s="10">
        <f t="shared" si="40"/>
        <v>-0.16909094360921728</v>
      </c>
      <c r="EU12" s="10" t="str">
        <f t="shared" si="41"/>
        <v xml:space="preserve"> </v>
      </c>
      <c r="EV12" s="10"/>
      <c r="EW12" s="42">
        <v>35.040980910000009</v>
      </c>
      <c r="EX12" s="43">
        <v>3.4210043830648003</v>
      </c>
      <c r="EY12" s="67">
        <v>0.20717541143611148</v>
      </c>
      <c r="EZ12" s="10">
        <f t="shared" si="42"/>
        <v>1.3433765400876878</v>
      </c>
      <c r="FA12" s="10" t="str">
        <f t="shared" si="43"/>
        <v xml:space="preserve"> </v>
      </c>
      <c r="FB12" s="10"/>
      <c r="FC12" s="53">
        <v>50</v>
      </c>
      <c r="FD12" s="55">
        <v>3.7569665964357726</v>
      </c>
      <c r="FE12" s="56">
        <v>0.16956465432699744</v>
      </c>
      <c r="FF12" s="10">
        <f t="shared" si="44"/>
        <v>-0.19981968736159272</v>
      </c>
      <c r="FG12" s="10" t="str">
        <f t="shared" si="45"/>
        <v xml:space="preserve"> </v>
      </c>
      <c r="FH12" s="10"/>
      <c r="FI12" s="54">
        <v>66</v>
      </c>
      <c r="FJ12" s="57">
        <v>3.0021650484144504</v>
      </c>
      <c r="FK12" s="58">
        <v>0.13535400401959061</v>
      </c>
      <c r="FL12" s="10">
        <f t="shared" si="46"/>
        <v>4.5582413860245588</v>
      </c>
      <c r="FM12" s="10" t="str">
        <f t="shared" si="99"/>
        <v>*</v>
      </c>
      <c r="FN12" s="76"/>
      <c r="FO12" s="27">
        <v>58</v>
      </c>
      <c r="FP12" s="28">
        <v>3.5167750073265749</v>
      </c>
      <c r="FQ12" s="29">
        <v>0.15151715341380176</v>
      </c>
      <c r="FR12" s="67"/>
      <c r="FS12" s="42">
        <v>42</v>
      </c>
      <c r="FT12" s="43">
        <v>3.3110532303373299</v>
      </c>
      <c r="FU12" s="67">
        <v>0.21632865810641028</v>
      </c>
      <c r="FV12" s="10">
        <f t="shared" si="47"/>
        <v>0.77891654111381137</v>
      </c>
      <c r="FW12" s="10" t="str">
        <f t="shared" si="48"/>
        <v xml:space="preserve"> </v>
      </c>
      <c r="FX12" s="67"/>
      <c r="FY12" s="42">
        <v>46.857636709999973</v>
      </c>
      <c r="FZ12" s="43">
        <v>3.791787132364747</v>
      </c>
      <c r="GA12" s="67">
        <v>0.15304108820269696</v>
      </c>
      <c r="GB12" s="10">
        <f t="shared" si="49"/>
        <v>-1.277000439046152</v>
      </c>
      <c r="GC12" s="10" t="str">
        <f t="shared" si="50"/>
        <v xml:space="preserve"> </v>
      </c>
      <c r="GD12" s="10"/>
      <c r="GE12" s="53">
        <v>58</v>
      </c>
      <c r="GF12" s="55">
        <v>3.2955018024961178</v>
      </c>
      <c r="GG12" s="56">
        <v>0.15959633108899315</v>
      </c>
      <c r="GH12" s="10">
        <f t="shared" si="51"/>
        <v>1.0054919573893564</v>
      </c>
      <c r="GI12" s="10" t="str">
        <f t="shared" si="52"/>
        <v xml:space="preserve"> </v>
      </c>
      <c r="GJ12" s="10"/>
      <c r="GK12" s="54">
        <v>54</v>
      </c>
      <c r="GL12" s="57">
        <v>3.3339517626084691</v>
      </c>
      <c r="GM12" s="58">
        <v>0.16385335141417945</v>
      </c>
      <c r="GN12" s="10">
        <f t="shared" si="53"/>
        <v>0.81920639407256557</v>
      </c>
      <c r="GO12" s="10" t="str">
        <f t="shared" si="100"/>
        <v xml:space="preserve"> </v>
      </c>
      <c r="GP12" s="76"/>
      <c r="GQ12" s="27">
        <v>76</v>
      </c>
      <c r="GR12" s="28">
        <v>3.3589700026105564</v>
      </c>
      <c r="GS12" s="29">
        <v>0.14369582984969637</v>
      </c>
      <c r="GT12" s="10"/>
      <c r="GU12" s="42">
        <v>39</v>
      </c>
      <c r="GV12" s="43">
        <v>3.6446026844661725</v>
      </c>
      <c r="GW12" s="67">
        <v>0.20687367439961149</v>
      </c>
      <c r="GX12" s="10">
        <f t="shared" si="54"/>
        <v>-1.1339880617949445</v>
      </c>
      <c r="GY12" s="10" t="str">
        <f t="shared" si="55"/>
        <v xml:space="preserve"> </v>
      </c>
      <c r="GZ12" s="10"/>
      <c r="HA12" s="42">
        <v>34.038214479999986</v>
      </c>
      <c r="HB12" s="43">
        <v>3.5199002374345452</v>
      </c>
      <c r="HC12" s="67">
        <v>0.20783903361470696</v>
      </c>
      <c r="HD12" s="10">
        <f t="shared" si="56"/>
        <v>-0.63690155659601888</v>
      </c>
      <c r="HE12" s="10" t="str">
        <f t="shared" si="57"/>
        <v xml:space="preserve"> </v>
      </c>
      <c r="HF12" s="10"/>
      <c r="HG12" s="53">
        <v>24</v>
      </c>
      <c r="HH12" s="55">
        <v>3.7285367087921464</v>
      </c>
      <c r="HI12" s="56">
        <v>0.16620159360726908</v>
      </c>
      <c r="HJ12" s="10" t="str">
        <f t="shared" si="58"/>
        <v>NV</v>
      </c>
      <c r="HK12" s="10" t="str">
        <f t="shared" si="59"/>
        <v xml:space="preserve"> </v>
      </c>
      <c r="HL12" s="10"/>
      <c r="HM12" s="54">
        <v>56</v>
      </c>
      <c r="HN12" s="57">
        <v>3.5427782898702542</v>
      </c>
      <c r="HO12" s="58">
        <v>0.17744074379613534</v>
      </c>
      <c r="HP12" s="10">
        <f t="shared" si="60"/>
        <v>-0.8050183429965625</v>
      </c>
      <c r="HQ12" s="10" t="str">
        <f t="shared" si="101"/>
        <v xml:space="preserve"> </v>
      </c>
      <c r="HR12" s="76"/>
      <c r="HS12" s="27">
        <v>165</v>
      </c>
      <c r="HT12" s="28">
        <v>3.6984111387364935</v>
      </c>
      <c r="HU12" s="29">
        <v>8.9565950477120571E-2</v>
      </c>
      <c r="HV12" s="10"/>
      <c r="HW12" s="42">
        <v>100</v>
      </c>
      <c r="HX12" s="43">
        <v>3.2672518169948295</v>
      </c>
      <c r="HY12" s="67">
        <v>0.12874292728155709</v>
      </c>
      <c r="HZ12" s="10">
        <f t="shared" si="61"/>
        <v>2.7491501987014608</v>
      </c>
      <c r="IA12" s="10" t="str">
        <f t="shared" si="62"/>
        <v>*</v>
      </c>
      <c r="IB12" s="10"/>
      <c r="IC12" s="42">
        <v>113.18668038999992</v>
      </c>
      <c r="ID12" s="43">
        <v>3.5437578411870931</v>
      </c>
      <c r="IE12" s="67">
        <v>0.10578361418190113</v>
      </c>
      <c r="IF12" s="10">
        <f t="shared" si="63"/>
        <v>1.1157586631677188</v>
      </c>
      <c r="IG12" s="10" t="str">
        <f t="shared" si="64"/>
        <v xml:space="preserve"> </v>
      </c>
      <c r="IH12" s="10"/>
      <c r="II12" s="53">
        <v>125</v>
      </c>
      <c r="IJ12" s="55">
        <v>3.6430273793457091</v>
      </c>
      <c r="IK12" s="56">
        <v>9.85268720198514E-2</v>
      </c>
      <c r="IL12" s="10">
        <f t="shared" si="65"/>
        <v>0.41594213258176277</v>
      </c>
      <c r="IM12" s="10" t="str">
        <f t="shared" si="66"/>
        <v xml:space="preserve"> </v>
      </c>
      <c r="IN12" s="10"/>
      <c r="IO12" s="54">
        <v>131</v>
      </c>
      <c r="IP12" s="57">
        <v>3.4290724855109662</v>
      </c>
      <c r="IQ12" s="58">
        <v>0.10705819758291124</v>
      </c>
      <c r="IR12" s="10">
        <f t="shared" si="67"/>
        <v>1.929589845875882</v>
      </c>
      <c r="IS12" s="10" t="str">
        <f t="shared" si="68"/>
        <v xml:space="preserve"> </v>
      </c>
      <c r="IT12" s="76"/>
      <c r="IU12" s="27">
        <v>14</v>
      </c>
      <c r="IV12" s="28">
        <v>3.1428571428571428</v>
      </c>
      <c r="IW12" s="29">
        <v>0.34556586741617873</v>
      </c>
      <c r="IX12" s="10"/>
      <c r="IY12" s="42">
        <v>9</v>
      </c>
      <c r="IZ12" s="43">
        <v>4.333333333333333</v>
      </c>
      <c r="JA12" s="67">
        <v>0.37237888364849731</v>
      </c>
      <c r="JB12" s="10" t="str">
        <f t="shared" si="69"/>
        <v>NV</v>
      </c>
      <c r="JC12" s="10" t="str">
        <f t="shared" si="70"/>
        <v xml:space="preserve"> </v>
      </c>
      <c r="JD12" s="10"/>
      <c r="JE12" s="42">
        <v>13.861671460000002</v>
      </c>
      <c r="JF12" s="43">
        <v>3.9285714285714284</v>
      </c>
      <c r="JG12" s="67">
        <v>0.30661784817586363</v>
      </c>
      <c r="JH12" s="10" t="str">
        <f t="shared" si="71"/>
        <v>NV</v>
      </c>
      <c r="JI12" s="10" t="str">
        <f t="shared" si="72"/>
        <v xml:space="preserve"> </v>
      </c>
      <c r="JJ12" s="10"/>
      <c r="JK12" s="53">
        <v>6</v>
      </c>
      <c r="JL12" s="55">
        <v>2.8333333333333335</v>
      </c>
      <c r="JM12" s="56">
        <v>0.60935222415818524</v>
      </c>
      <c r="JN12" s="10" t="str">
        <f t="shared" si="73"/>
        <v>NV</v>
      </c>
      <c r="JO12" s="10" t="str">
        <f t="shared" si="74"/>
        <v xml:space="preserve"> </v>
      </c>
      <c r="JP12" s="10"/>
      <c r="JQ12" s="54">
        <v>12</v>
      </c>
      <c r="JR12" s="57">
        <v>3.4166666666666665</v>
      </c>
      <c r="JS12" s="58">
        <v>0.34867135402227439</v>
      </c>
      <c r="JT12" s="10" t="str">
        <f t="shared" si="75"/>
        <v>NV</v>
      </c>
      <c r="JU12" s="10" t="str">
        <f t="shared" si="76"/>
        <v xml:space="preserve"> </v>
      </c>
      <c r="JV12" s="76"/>
      <c r="JW12" s="27">
        <v>135</v>
      </c>
      <c r="JX12" s="28">
        <v>3.4069397166398572</v>
      </c>
      <c r="JY12" s="29">
        <v>0.10789142168449405</v>
      </c>
      <c r="JZ12" s="10"/>
      <c r="KA12" s="42">
        <v>69</v>
      </c>
      <c r="KB12" s="43">
        <v>3.4211724528507927</v>
      </c>
      <c r="KC12" s="67">
        <v>0.15369597360992263</v>
      </c>
      <c r="KD12" s="10">
        <f t="shared" si="77"/>
        <v>-7.5792931134992012E-2</v>
      </c>
      <c r="KE12" s="10" t="str">
        <f t="shared" si="78"/>
        <v xml:space="preserve"> </v>
      </c>
      <c r="KF12" s="10"/>
      <c r="KG12" s="42">
        <v>102.06839447999997</v>
      </c>
      <c r="KH12" s="43">
        <v>3.3647925249504729</v>
      </c>
      <c r="KI12" s="67">
        <v>0.12029782214954951</v>
      </c>
      <c r="KJ12" s="10">
        <f t="shared" si="79"/>
        <v>0.26082399061480199</v>
      </c>
      <c r="KK12" s="10" t="str">
        <f t="shared" si="80"/>
        <v xml:space="preserve"> </v>
      </c>
      <c r="KL12" s="10"/>
      <c r="KM12" s="53">
        <v>163</v>
      </c>
      <c r="KN12" s="55">
        <v>3.1378154290315083</v>
      </c>
      <c r="KO12" s="56">
        <v>9.8042278995428292E-2</v>
      </c>
      <c r="KP12" s="10">
        <f t="shared" si="81"/>
        <v>1.8460537074253569</v>
      </c>
      <c r="KQ12" s="10" t="str">
        <f t="shared" si="82"/>
        <v xml:space="preserve"> </v>
      </c>
      <c r="KR12" s="10"/>
      <c r="KS12" s="54">
        <v>167</v>
      </c>
      <c r="KT12" s="57">
        <v>3.042121650132616</v>
      </c>
      <c r="KU12" s="58">
        <v>9.0314459354433538E-2</v>
      </c>
      <c r="KV12" s="10">
        <f t="shared" si="83"/>
        <v>2.5928284840314237</v>
      </c>
      <c r="KW12" s="10" t="str">
        <f t="shared" si="102"/>
        <v>*</v>
      </c>
      <c r="KX12" s="76"/>
      <c r="KY12" s="27">
        <v>30</v>
      </c>
      <c r="KZ12" s="28">
        <v>3.5</v>
      </c>
      <c r="LA12" s="29">
        <v>0.21316948784124451</v>
      </c>
      <c r="LB12" s="10"/>
      <c r="LC12" s="42">
        <v>35</v>
      </c>
      <c r="LD12" s="43">
        <v>3.3155829593561101</v>
      </c>
      <c r="LE12" s="67">
        <v>0.21187444120522794</v>
      </c>
      <c r="LF12" s="10">
        <f t="shared" si="84"/>
        <v>0.61359274095900462</v>
      </c>
      <c r="LG12" s="10" t="str">
        <f t="shared" si="85"/>
        <v xml:space="preserve"> </v>
      </c>
      <c r="LH12" s="10"/>
      <c r="LI12" s="42">
        <v>46.535611329999959</v>
      </c>
      <c r="LJ12" s="43">
        <v>3.7446808510638299</v>
      </c>
      <c r="LK12" s="67">
        <v>0.14809121980993281</v>
      </c>
      <c r="LL12" s="10">
        <f t="shared" si="86"/>
        <v>-0.94266957241629223</v>
      </c>
      <c r="LM12" s="10" t="str">
        <f t="shared" si="87"/>
        <v xml:space="preserve"> </v>
      </c>
      <c r="LN12" s="10"/>
      <c r="LO12" s="53">
        <v>82</v>
      </c>
      <c r="LP12" s="55">
        <v>3.3780487804878052</v>
      </c>
      <c r="LQ12" s="56">
        <v>0.13444803678100958</v>
      </c>
      <c r="LR12" s="10">
        <f t="shared" si="88"/>
        <v>0.48388196088081648</v>
      </c>
      <c r="LS12" s="10" t="str">
        <f t="shared" si="89"/>
        <v xml:space="preserve"> </v>
      </c>
      <c r="LT12" s="10"/>
      <c r="LU12" s="54">
        <v>96</v>
      </c>
      <c r="LV12" s="57">
        <v>3.2679051665547485</v>
      </c>
      <c r="LW12" s="58">
        <v>0.13112567400125685</v>
      </c>
      <c r="LX12" s="10">
        <f t="shared" si="90"/>
        <v>0.92737702527946275</v>
      </c>
      <c r="LY12" s="10" t="str">
        <f t="shared" si="91"/>
        <v xml:space="preserve"> </v>
      </c>
      <c r="LZ12" s="76"/>
      <c r="MA12" s="27">
        <v>44</v>
      </c>
      <c r="MB12" s="28">
        <v>3.7496953417302463</v>
      </c>
      <c r="MC12" s="29">
        <v>0.14941045873899914</v>
      </c>
      <c r="MD12" s="10"/>
      <c r="ME12" s="42">
        <v>43</v>
      </c>
      <c r="MF12" s="43">
        <v>3.4888178912757772</v>
      </c>
      <c r="MG12" s="67">
        <v>0.17412318150447398</v>
      </c>
      <c r="MH12" s="10">
        <f t="shared" si="92"/>
        <v>1.1370219141609337</v>
      </c>
      <c r="MI12" s="10" t="str">
        <f t="shared" si="93"/>
        <v xml:space="preserve"> </v>
      </c>
      <c r="MJ12" s="10"/>
      <c r="MK12" s="42">
        <v>30.021479560000007</v>
      </c>
      <c r="ML12" s="43">
        <v>4.1042356055019162</v>
      </c>
      <c r="MM12" s="67">
        <v>0.16107618346339983</v>
      </c>
      <c r="MN12" s="10">
        <f t="shared" si="94"/>
        <v>-1.6137316373431565</v>
      </c>
      <c r="MO12" s="10" t="str">
        <f t="shared" si="95"/>
        <v xml:space="preserve"> </v>
      </c>
      <c r="MP12" s="10"/>
      <c r="MQ12" s="53">
        <v>58</v>
      </c>
      <c r="MR12" s="55">
        <v>3.4140204776999745</v>
      </c>
      <c r="MS12" s="56">
        <v>0.13016170766886409</v>
      </c>
      <c r="MT12" s="10">
        <f t="shared" si="96"/>
        <v>1.6939982201553618</v>
      </c>
      <c r="MU12" s="10" t="str">
        <f t="shared" si="97"/>
        <v xml:space="preserve"> </v>
      </c>
      <c r="MV12" s="10"/>
      <c r="MW12" s="54">
        <v>50</v>
      </c>
      <c r="MX12" s="57">
        <v>3.4882659225814154</v>
      </c>
      <c r="MY12" s="58">
        <v>0.17006563965760127</v>
      </c>
      <c r="MZ12" s="10">
        <f t="shared" si="98"/>
        <v>1.1548492317557106</v>
      </c>
      <c r="NA12" s="10" t="str">
        <f t="shared" si="103"/>
        <v xml:space="preserve"> </v>
      </c>
      <c r="NB12" s="58"/>
    </row>
    <row r="13" spans="1:366" x14ac:dyDescent="0.2">
      <c r="A13" s="73"/>
      <c r="B13" s="65" t="s">
        <v>15</v>
      </c>
      <c r="C13" s="27">
        <v>412</v>
      </c>
      <c r="D13" s="28">
        <v>3.8472564616924774</v>
      </c>
      <c r="E13" s="29">
        <v>5.6061105108226664E-2</v>
      </c>
      <c r="F13" s="10"/>
      <c r="G13" s="42">
        <v>128</v>
      </c>
      <c r="H13" s="43">
        <v>3.6953444358720327</v>
      </c>
      <c r="I13" s="67">
        <v>0.10407966635960425</v>
      </c>
      <c r="J13" s="10">
        <f t="shared" si="1"/>
        <v>1.2850193039572426</v>
      </c>
      <c r="K13" s="10" t="str">
        <f t="shared" si="2"/>
        <v xml:space="preserve"> </v>
      </c>
      <c r="L13" s="10"/>
      <c r="M13" s="42">
        <v>93.576521700000072</v>
      </c>
      <c r="N13" s="43">
        <v>3.6666666666666674</v>
      </c>
      <c r="O13" s="67">
        <v>0.12586798543315497</v>
      </c>
      <c r="P13" s="10">
        <f t="shared" si="3"/>
        <v>1.3106329225087567</v>
      </c>
      <c r="Q13" s="10" t="str">
        <f t="shared" si="4"/>
        <v xml:space="preserve"> </v>
      </c>
      <c r="R13" s="10"/>
      <c r="S13" s="53">
        <v>124</v>
      </c>
      <c r="T13" s="55">
        <v>3.612903225806452</v>
      </c>
      <c r="U13" s="56">
        <v>0.10306173981105142</v>
      </c>
      <c r="V13" s="10">
        <f t="shared" si="5"/>
        <v>1.9975130927131346</v>
      </c>
      <c r="W13" s="10" t="str">
        <f t="shared" si="6"/>
        <v>*</v>
      </c>
      <c r="X13" s="10"/>
      <c r="Y13" s="54">
        <v>206</v>
      </c>
      <c r="Z13" s="57">
        <v>3.0533980582524274</v>
      </c>
      <c r="AA13" s="58">
        <v>7.703719625709303E-2</v>
      </c>
      <c r="AB13" s="10">
        <f t="shared" si="7"/>
        <v>8.3321690549451457</v>
      </c>
      <c r="AC13" s="10" t="str">
        <f t="shared" si="8"/>
        <v>*</v>
      </c>
      <c r="AD13" s="76"/>
      <c r="AE13" s="27">
        <v>89</v>
      </c>
      <c r="AF13" s="28">
        <v>3.9687533462679769</v>
      </c>
      <c r="AG13" s="29">
        <v>0.11148122523441785</v>
      </c>
      <c r="AH13" s="67"/>
      <c r="AI13" s="42">
        <v>42</v>
      </c>
      <c r="AJ13" s="43">
        <v>4.1423163898476645</v>
      </c>
      <c r="AK13" s="67">
        <v>0.1648873060813783</v>
      </c>
      <c r="AL13" s="10">
        <f t="shared" si="9"/>
        <v>-0.87201220510844812</v>
      </c>
      <c r="AM13" s="10" t="str">
        <f t="shared" si="10"/>
        <v xml:space="preserve"> </v>
      </c>
      <c r="AN13" s="67"/>
      <c r="AO13" s="42">
        <v>63.138859979999999</v>
      </c>
      <c r="AP13" s="43">
        <v>3.3618142317938</v>
      </c>
      <c r="AQ13" s="67">
        <v>0.15244521228593144</v>
      </c>
      <c r="AR13" s="10">
        <f t="shared" si="11"/>
        <v>3.2137208055935202</v>
      </c>
      <c r="AS13" s="10" t="str">
        <f t="shared" si="12"/>
        <v>*</v>
      </c>
      <c r="AT13" s="10"/>
      <c r="AU13" s="53">
        <v>89</v>
      </c>
      <c r="AV13" s="55">
        <v>3.5418742345251997</v>
      </c>
      <c r="AW13" s="56">
        <v>0.14801753571770773</v>
      </c>
      <c r="AX13" s="10">
        <f t="shared" si="13"/>
        <v>2.3036798350112693</v>
      </c>
      <c r="AY13" s="10" t="str">
        <f t="shared" si="14"/>
        <v>*</v>
      </c>
      <c r="AZ13" s="10"/>
      <c r="BA13" s="54">
        <v>80</v>
      </c>
      <c r="BB13" s="57">
        <v>2.6967314459541538</v>
      </c>
      <c r="BC13" s="58">
        <v>0.10100818080018782</v>
      </c>
      <c r="BD13" s="10">
        <f t="shared" si="15"/>
        <v>8.4556196570043554</v>
      </c>
      <c r="BE13" s="10" t="str">
        <f t="shared" si="16"/>
        <v>*</v>
      </c>
      <c r="BF13" s="76"/>
      <c r="BG13" s="27">
        <v>980</v>
      </c>
      <c r="BH13" s="28">
        <v>3.6923703759234319</v>
      </c>
      <c r="BI13" s="29">
        <v>3.9838835682675107E-2</v>
      </c>
      <c r="BJ13" s="10"/>
      <c r="BK13" s="42">
        <v>292</v>
      </c>
      <c r="BL13" s="43">
        <v>3.7671991292399345</v>
      </c>
      <c r="BM13" s="67">
        <v>6.9007184806032879E-2</v>
      </c>
      <c r="BN13" s="10">
        <f t="shared" si="17"/>
        <v>-0.93909946275465594</v>
      </c>
      <c r="BO13" s="10" t="str">
        <f t="shared" si="18"/>
        <v xml:space="preserve"> </v>
      </c>
      <c r="BP13" s="10"/>
      <c r="BQ13" s="42">
        <v>170.09297702999979</v>
      </c>
      <c r="BR13" s="43">
        <v>3.3454517828777646</v>
      </c>
      <c r="BS13" s="67">
        <v>7.340272805345173E-2</v>
      </c>
      <c r="BT13" s="10">
        <f t="shared" si="19"/>
        <v>4.1538667929216313</v>
      </c>
      <c r="BU13" s="10" t="str">
        <f t="shared" si="20"/>
        <v>*</v>
      </c>
      <c r="BV13" s="10"/>
      <c r="BW13" s="53">
        <v>150</v>
      </c>
      <c r="BX13" s="55">
        <v>3.2580612372188731</v>
      </c>
      <c r="BY13" s="56">
        <v>6.1884566852652187E-2</v>
      </c>
      <c r="BZ13" s="10">
        <f t="shared" si="21"/>
        <v>5.9010088625529287</v>
      </c>
      <c r="CA13" s="10" t="str">
        <f t="shared" si="22"/>
        <v>*</v>
      </c>
      <c r="CB13" s="10"/>
      <c r="CC13" s="54">
        <v>369</v>
      </c>
      <c r="CD13" s="57">
        <v>3.3215121020334193</v>
      </c>
      <c r="CE13" s="58">
        <v>6.247288736328338E-2</v>
      </c>
      <c r="CF13" s="10">
        <f t="shared" si="23"/>
        <v>5.0052067152158841</v>
      </c>
      <c r="CG13" s="10" t="str">
        <f t="shared" si="24"/>
        <v>*</v>
      </c>
      <c r="CH13" s="76"/>
      <c r="CI13" s="27">
        <v>586</v>
      </c>
      <c r="CJ13" s="28">
        <v>3.7676051000495256</v>
      </c>
      <c r="CK13" s="29">
        <v>5.0964330371572775E-2</v>
      </c>
      <c r="CL13" s="67"/>
      <c r="CM13" s="42">
        <v>195</v>
      </c>
      <c r="CN13" s="43">
        <v>3.8354885363778166</v>
      </c>
      <c r="CO13" s="67">
        <v>8.3540514858481921E-2</v>
      </c>
      <c r="CP13" s="10">
        <f t="shared" si="25"/>
        <v>-0.69368630357808791</v>
      </c>
      <c r="CQ13" s="10" t="str">
        <f t="shared" si="26"/>
        <v xml:space="preserve"> </v>
      </c>
      <c r="CR13" s="10"/>
      <c r="CS13" s="42">
        <v>189.98223365999965</v>
      </c>
      <c r="CT13" s="43">
        <v>3.7260712183585771</v>
      </c>
      <c r="CU13" s="67">
        <v>8.744740109651751E-2</v>
      </c>
      <c r="CV13" s="10">
        <f t="shared" si="27"/>
        <v>0.41035433538415877</v>
      </c>
      <c r="CW13" s="10" t="str">
        <f t="shared" si="28"/>
        <v xml:space="preserve"> </v>
      </c>
      <c r="CX13" s="10"/>
      <c r="CY13" s="53">
        <v>176</v>
      </c>
      <c r="CZ13" s="55">
        <v>4.1909511988938846</v>
      </c>
      <c r="DA13" s="56">
        <v>7.7238997886596814E-2</v>
      </c>
      <c r="DB13" s="10">
        <f t="shared" si="29"/>
        <v>-4.5748500634215397</v>
      </c>
      <c r="DC13" s="10" t="str">
        <f t="shared" si="0"/>
        <v>*</v>
      </c>
      <c r="DD13" s="10"/>
      <c r="DE13" s="54">
        <v>226</v>
      </c>
      <c r="DF13" s="57">
        <v>3.5539371621081797</v>
      </c>
      <c r="DG13" s="58">
        <v>7.8386553720664054E-2</v>
      </c>
      <c r="DH13" s="10">
        <f t="shared" si="30"/>
        <v>2.2852754735761471</v>
      </c>
      <c r="DI13" s="10" t="str">
        <f t="shared" si="31"/>
        <v>*</v>
      </c>
      <c r="DJ13" s="76"/>
      <c r="DK13" s="27">
        <v>207</v>
      </c>
      <c r="DL13" s="28">
        <v>3.9655389627879623</v>
      </c>
      <c r="DM13" s="29">
        <v>7.5564495848588528E-2</v>
      </c>
      <c r="DN13" s="10"/>
      <c r="DO13" s="42">
        <v>71</v>
      </c>
      <c r="DP13" s="43">
        <v>3.9868975467860461</v>
      </c>
      <c r="DQ13" s="67">
        <v>0.13243666242258273</v>
      </c>
      <c r="DR13" s="10">
        <f t="shared" si="32"/>
        <v>-0.14007673093239378</v>
      </c>
      <c r="DS13" s="10" t="str">
        <f t="shared" si="33"/>
        <v xml:space="preserve"> </v>
      </c>
      <c r="DT13" s="10"/>
      <c r="DU13" s="42">
        <v>75.337702860000036</v>
      </c>
      <c r="DV13" s="43">
        <v>3.5035568577196727</v>
      </c>
      <c r="DW13" s="67">
        <v>0.1525533953190179</v>
      </c>
      <c r="DX13" s="10">
        <f t="shared" si="34"/>
        <v>2.7136697625319268</v>
      </c>
      <c r="DY13" s="10" t="str">
        <f t="shared" si="35"/>
        <v>*</v>
      </c>
      <c r="DZ13" s="10"/>
      <c r="EA13" s="53">
        <v>75</v>
      </c>
      <c r="EB13" s="55">
        <v>3.7413380388759085</v>
      </c>
      <c r="EC13" s="56">
        <v>0.11526365746393226</v>
      </c>
      <c r="ED13" s="10">
        <f t="shared" si="36"/>
        <v>1.6267083796378745</v>
      </c>
      <c r="EE13" s="10" t="str">
        <f t="shared" si="37"/>
        <v xml:space="preserve"> </v>
      </c>
      <c r="EF13" s="10"/>
      <c r="EG13" s="54">
        <v>58</v>
      </c>
      <c r="EH13" s="57">
        <v>4.1379310344827598</v>
      </c>
      <c r="EI13" s="58">
        <v>0.10892517506103899</v>
      </c>
      <c r="EJ13" s="10">
        <f t="shared" si="38"/>
        <v>-1.3003896126330179</v>
      </c>
      <c r="EK13" s="10" t="str">
        <f t="shared" si="39"/>
        <v xml:space="preserve"> </v>
      </c>
      <c r="EL13" s="76"/>
      <c r="EM13" s="27">
        <v>400</v>
      </c>
      <c r="EN13" s="28">
        <v>3.9530063767595078</v>
      </c>
      <c r="EO13" s="29">
        <v>5.6815943851682732E-2</v>
      </c>
      <c r="EP13" s="10"/>
      <c r="EQ13" s="42">
        <v>129</v>
      </c>
      <c r="ER13" s="43">
        <v>4.0149895971265703</v>
      </c>
      <c r="ES13" s="67">
        <v>9.718295758936181E-2</v>
      </c>
      <c r="ET13" s="10">
        <f t="shared" si="40"/>
        <v>-0.5506068849021748</v>
      </c>
      <c r="EU13" s="10" t="str">
        <f t="shared" si="41"/>
        <v xml:space="preserve"> </v>
      </c>
      <c r="EV13" s="10"/>
      <c r="EW13" s="42">
        <v>114.22749078000004</v>
      </c>
      <c r="EX13" s="43">
        <v>3.2012295936209481</v>
      </c>
      <c r="EY13" s="67">
        <v>0.11543722289036382</v>
      </c>
      <c r="EZ13" s="10">
        <f t="shared" si="42"/>
        <v>5.8430554304731555</v>
      </c>
      <c r="FA13" s="10" t="str">
        <f t="shared" si="43"/>
        <v>*</v>
      </c>
      <c r="FB13" s="10"/>
      <c r="FC13" s="53">
        <v>120</v>
      </c>
      <c r="FD13" s="55">
        <v>4.0590017068080382</v>
      </c>
      <c r="FE13" s="56">
        <v>9.6628257790025235E-2</v>
      </c>
      <c r="FF13" s="10">
        <f t="shared" si="44"/>
        <v>-0.94559299502649807</v>
      </c>
      <c r="FG13" s="10" t="str">
        <f t="shared" si="45"/>
        <v xml:space="preserve"> </v>
      </c>
      <c r="FH13" s="10"/>
      <c r="FI13" s="54">
        <v>188</v>
      </c>
      <c r="FJ13" s="57">
        <v>3.1670213722930161</v>
      </c>
      <c r="FK13" s="58">
        <v>7.5058019534171669E-2</v>
      </c>
      <c r="FL13" s="10">
        <f t="shared" si="46"/>
        <v>8.3493818395073376</v>
      </c>
      <c r="FM13" s="10" t="str">
        <f t="shared" si="99"/>
        <v>*</v>
      </c>
      <c r="FN13" s="76"/>
      <c r="FO13" s="27">
        <v>188</v>
      </c>
      <c r="FP13" s="28">
        <v>4.022064758550596</v>
      </c>
      <c r="FQ13" s="29">
        <v>7.6499243186716595E-2</v>
      </c>
      <c r="FR13" s="67"/>
      <c r="FS13" s="42">
        <v>139</v>
      </c>
      <c r="FT13" s="43">
        <v>3.9726171716054615</v>
      </c>
      <c r="FU13" s="67">
        <v>0.10021490903832775</v>
      </c>
      <c r="FV13" s="10">
        <f t="shared" si="47"/>
        <v>0.39220454377733732</v>
      </c>
      <c r="FW13" s="10" t="str">
        <f t="shared" si="48"/>
        <v xml:space="preserve"> </v>
      </c>
      <c r="FX13" s="67"/>
      <c r="FY13" s="42">
        <v>164.74683389000012</v>
      </c>
      <c r="FZ13" s="43">
        <v>4.1434445103556818</v>
      </c>
      <c r="GA13" s="67">
        <v>7.8614533915721624E-2</v>
      </c>
      <c r="GB13" s="10">
        <f t="shared" si="49"/>
        <v>-1.1065485944912994</v>
      </c>
      <c r="GC13" s="10" t="str">
        <f t="shared" si="50"/>
        <v xml:space="preserve"> </v>
      </c>
      <c r="GD13" s="10"/>
      <c r="GE13" s="53">
        <v>168</v>
      </c>
      <c r="GF13" s="55">
        <v>3.840953042313711</v>
      </c>
      <c r="GG13" s="56">
        <v>8.8857604901844023E-2</v>
      </c>
      <c r="GH13" s="10">
        <f t="shared" si="51"/>
        <v>1.5446490243397284</v>
      </c>
      <c r="GI13" s="10" t="str">
        <f t="shared" si="52"/>
        <v xml:space="preserve"> </v>
      </c>
      <c r="GJ13" s="10"/>
      <c r="GK13" s="54">
        <v>171</v>
      </c>
      <c r="GL13" s="57">
        <v>3.7025279248571823</v>
      </c>
      <c r="GM13" s="58">
        <v>9.0273479721696401E-2</v>
      </c>
      <c r="GN13" s="10">
        <f t="shared" si="53"/>
        <v>2.700440717667139</v>
      </c>
      <c r="GO13" s="10" t="str">
        <f t="shared" si="100"/>
        <v>*</v>
      </c>
      <c r="GP13" s="76"/>
      <c r="GQ13" s="27">
        <v>201</v>
      </c>
      <c r="GR13" s="28">
        <v>3.7483061754943381</v>
      </c>
      <c r="GS13" s="29">
        <v>8.4246228284223068E-2</v>
      </c>
      <c r="GT13" s="10"/>
      <c r="GU13" s="42">
        <v>117</v>
      </c>
      <c r="GV13" s="43">
        <v>3.975273602921257</v>
      </c>
      <c r="GW13" s="67">
        <v>0.10434427485005761</v>
      </c>
      <c r="GX13" s="10">
        <f t="shared" si="54"/>
        <v>-1.6924133660826226</v>
      </c>
      <c r="GY13" s="10" t="str">
        <f t="shared" si="55"/>
        <v xml:space="preserve"> </v>
      </c>
      <c r="GZ13" s="10"/>
      <c r="HA13" s="42">
        <v>112.5621478499999</v>
      </c>
      <c r="HB13" s="43">
        <v>4.0160131724067849</v>
      </c>
      <c r="HC13" s="67">
        <v>0.10978996885750955</v>
      </c>
      <c r="HD13" s="10">
        <f t="shared" si="56"/>
        <v>-1.934465541108924</v>
      </c>
      <c r="HE13" s="10" t="str">
        <f t="shared" si="57"/>
        <v xml:space="preserve"> </v>
      </c>
      <c r="HF13" s="10"/>
      <c r="HG13" s="53">
        <v>75</v>
      </c>
      <c r="HH13" s="55">
        <v>4.1798962204101144</v>
      </c>
      <c r="HI13" s="56">
        <v>0.11243193226319917</v>
      </c>
      <c r="HJ13" s="10">
        <f t="shared" si="58"/>
        <v>-3.0719618340953043</v>
      </c>
      <c r="HK13" s="10" t="str">
        <f t="shared" si="59"/>
        <v>*</v>
      </c>
      <c r="HL13" s="10"/>
      <c r="HM13" s="54">
        <v>140</v>
      </c>
      <c r="HN13" s="57">
        <v>4.1723122239840063</v>
      </c>
      <c r="HO13" s="58">
        <v>8.9440328019687695E-2</v>
      </c>
      <c r="HP13" s="10">
        <f t="shared" si="60"/>
        <v>-3.450855189291818</v>
      </c>
      <c r="HQ13" s="10" t="str">
        <f t="shared" si="101"/>
        <v>*</v>
      </c>
      <c r="HR13" s="76"/>
      <c r="HS13" s="27">
        <v>412</v>
      </c>
      <c r="HT13" s="28">
        <v>3.6840726765751715</v>
      </c>
      <c r="HU13" s="29">
        <v>6.2721624929525113E-2</v>
      </c>
      <c r="HV13" s="10"/>
      <c r="HW13" s="42">
        <v>270</v>
      </c>
      <c r="HX13" s="43">
        <v>3.9162042236918815</v>
      </c>
      <c r="HY13" s="67">
        <v>7.147144776154267E-2</v>
      </c>
      <c r="HZ13" s="10">
        <f t="shared" si="61"/>
        <v>-2.4411689089337441</v>
      </c>
      <c r="IA13" s="10" t="str">
        <f t="shared" si="62"/>
        <v>*</v>
      </c>
      <c r="IB13" s="10"/>
      <c r="IC13" s="42">
        <v>312.25644913000104</v>
      </c>
      <c r="ID13" s="43">
        <v>3.9519159731309519</v>
      </c>
      <c r="IE13" s="67">
        <v>6.0293707958816334E-2</v>
      </c>
      <c r="IF13" s="10">
        <f t="shared" si="63"/>
        <v>-3.078590768000915</v>
      </c>
      <c r="IG13" s="10" t="str">
        <f t="shared" si="64"/>
        <v>*</v>
      </c>
      <c r="IH13" s="10"/>
      <c r="II13" s="53">
        <v>308</v>
      </c>
      <c r="IJ13" s="55">
        <v>3.9937169634728389</v>
      </c>
      <c r="IK13" s="56">
        <v>6.1295968040874851E-2</v>
      </c>
      <c r="IL13" s="10">
        <f t="shared" si="65"/>
        <v>-3.530742761728813</v>
      </c>
      <c r="IM13" s="10" t="str">
        <f t="shared" si="66"/>
        <v>*</v>
      </c>
      <c r="IN13" s="10"/>
      <c r="IO13" s="54">
        <v>333</v>
      </c>
      <c r="IP13" s="57">
        <v>3.8841687034952743</v>
      </c>
      <c r="IQ13" s="58">
        <v>6.0326507819281679E-2</v>
      </c>
      <c r="IR13" s="10">
        <f t="shared" si="67"/>
        <v>-2.2993028523637031</v>
      </c>
      <c r="IS13" s="10" t="str">
        <f t="shared" si="68"/>
        <v>*</v>
      </c>
      <c r="IT13" s="76"/>
      <c r="IU13" s="27">
        <v>40</v>
      </c>
      <c r="IV13" s="28">
        <v>4.2499999999999982</v>
      </c>
      <c r="IW13" s="29">
        <v>0.16705783857225823</v>
      </c>
      <c r="IX13" s="10"/>
      <c r="IY13" s="42">
        <v>29</v>
      </c>
      <c r="IZ13" s="43">
        <v>4.5169147497335098</v>
      </c>
      <c r="JA13" s="67">
        <v>0.14568952128474583</v>
      </c>
      <c r="JB13" s="10" t="str">
        <f t="shared" si="69"/>
        <v>NV</v>
      </c>
      <c r="JC13" s="10" t="str">
        <f t="shared" si="70"/>
        <v xml:space="preserve"> </v>
      </c>
      <c r="JD13" s="10"/>
      <c r="JE13" s="42">
        <v>32.673939870000005</v>
      </c>
      <c r="JF13" s="43">
        <v>4.5757575757575752</v>
      </c>
      <c r="JG13" s="67">
        <v>0.13144926014099054</v>
      </c>
      <c r="JH13" s="10">
        <f t="shared" si="71"/>
        <v>-1.5324512485613893</v>
      </c>
      <c r="JI13" s="10" t="str">
        <f t="shared" si="72"/>
        <v xml:space="preserve"> </v>
      </c>
      <c r="JJ13" s="10"/>
      <c r="JK13" s="53">
        <v>28</v>
      </c>
      <c r="JL13" s="55">
        <v>4.5357142857142847</v>
      </c>
      <c r="JM13" s="56">
        <v>0.17639337362458352</v>
      </c>
      <c r="JN13" s="10" t="str">
        <f t="shared" si="73"/>
        <v>NV</v>
      </c>
      <c r="JO13" s="10" t="str">
        <f t="shared" si="74"/>
        <v xml:space="preserve"> </v>
      </c>
      <c r="JP13" s="10"/>
      <c r="JQ13" s="54">
        <v>50</v>
      </c>
      <c r="JR13" s="57">
        <v>4.580000000000001</v>
      </c>
      <c r="JS13" s="58">
        <v>0.10279008132432663</v>
      </c>
      <c r="JT13" s="10">
        <f t="shared" si="75"/>
        <v>-1.6824012393002525</v>
      </c>
      <c r="JU13" s="10" t="str">
        <f t="shared" si="76"/>
        <v xml:space="preserve"> </v>
      </c>
      <c r="JV13" s="76"/>
      <c r="JW13" s="27">
        <v>446</v>
      </c>
      <c r="JX13" s="28">
        <v>3.8871432801321246</v>
      </c>
      <c r="JY13" s="29">
        <v>5.7869326479979125E-2</v>
      </c>
      <c r="JZ13" s="10"/>
      <c r="KA13" s="42">
        <v>261</v>
      </c>
      <c r="KB13" s="43">
        <v>4.0342388442104928</v>
      </c>
      <c r="KC13" s="67">
        <v>6.4997271723821137E-2</v>
      </c>
      <c r="KD13" s="10">
        <f t="shared" si="77"/>
        <v>-1.6902507544821663</v>
      </c>
      <c r="KE13" s="10" t="str">
        <f t="shared" si="78"/>
        <v xml:space="preserve"> </v>
      </c>
      <c r="KF13" s="10"/>
      <c r="KG13" s="42">
        <v>317.48724621000008</v>
      </c>
      <c r="KH13" s="43">
        <v>4.3459364178596118</v>
      </c>
      <c r="KI13" s="67">
        <v>5.1335500216166681E-2</v>
      </c>
      <c r="KJ13" s="10">
        <f t="shared" si="79"/>
        <v>-5.9308116858915252</v>
      </c>
      <c r="KK13" s="10" t="str">
        <f t="shared" si="80"/>
        <v>*</v>
      </c>
      <c r="KL13" s="10"/>
      <c r="KM13" s="53">
        <v>610</v>
      </c>
      <c r="KN13" s="55">
        <v>4.054259463136229</v>
      </c>
      <c r="KO13" s="56">
        <v>4.314539065166826E-2</v>
      </c>
      <c r="KP13" s="10">
        <f t="shared" si="81"/>
        <v>-2.3151740989842309</v>
      </c>
      <c r="KQ13" s="10" t="str">
        <f t="shared" si="82"/>
        <v>*</v>
      </c>
      <c r="KR13" s="10"/>
      <c r="KS13" s="54">
        <v>595</v>
      </c>
      <c r="KT13" s="57">
        <v>3.8950158557623653</v>
      </c>
      <c r="KU13" s="58">
        <v>4.5294292658925144E-2</v>
      </c>
      <c r="KV13" s="10">
        <f t="shared" si="83"/>
        <v>-0.1071279007670449</v>
      </c>
      <c r="KW13" s="10" t="str">
        <f t="shared" si="102"/>
        <v xml:space="preserve"> </v>
      </c>
      <c r="KX13" s="76"/>
      <c r="KY13" s="27">
        <v>143</v>
      </c>
      <c r="KZ13" s="28">
        <v>3.9790209790209787</v>
      </c>
      <c r="LA13" s="29">
        <v>9.3385273973348948E-2</v>
      </c>
      <c r="LB13" s="10"/>
      <c r="LC13" s="42">
        <v>150</v>
      </c>
      <c r="LD13" s="43">
        <v>4.2334248724789045</v>
      </c>
      <c r="LE13" s="67">
        <v>7.6484594770067776E-2</v>
      </c>
      <c r="LF13" s="10">
        <f t="shared" si="84"/>
        <v>-2.1075772699991977</v>
      </c>
      <c r="LG13" s="10" t="str">
        <f t="shared" si="85"/>
        <v>*</v>
      </c>
      <c r="LH13" s="10"/>
      <c r="LI13" s="42">
        <v>154.7765226999999</v>
      </c>
      <c r="LJ13" s="43">
        <v>4.1875695335672534</v>
      </c>
      <c r="LK13" s="67">
        <v>7.000969472377494E-2</v>
      </c>
      <c r="LL13" s="10">
        <f t="shared" si="86"/>
        <v>-1.7868335075708255</v>
      </c>
      <c r="LM13" s="10" t="str">
        <f t="shared" si="87"/>
        <v xml:space="preserve"> </v>
      </c>
      <c r="LN13" s="10"/>
      <c r="LO13" s="53">
        <v>369</v>
      </c>
      <c r="LP13" s="55">
        <v>3.9999999999999987</v>
      </c>
      <c r="LQ13" s="56">
        <v>5.6129746488929357E-2</v>
      </c>
      <c r="LR13" s="10">
        <f t="shared" si="88"/>
        <v>-0.19254622980327618</v>
      </c>
      <c r="LS13" s="10" t="str">
        <f t="shared" si="89"/>
        <v xml:space="preserve"> </v>
      </c>
      <c r="LT13" s="10"/>
      <c r="LU13" s="54">
        <v>366</v>
      </c>
      <c r="LV13" s="57">
        <v>3.9872106466350177</v>
      </c>
      <c r="LW13" s="58">
        <v>5.6481066342544774E-2</v>
      </c>
      <c r="LX13" s="10">
        <f t="shared" si="90"/>
        <v>-7.5040136855406905E-2</v>
      </c>
      <c r="LY13" s="10" t="str">
        <f t="shared" si="91"/>
        <v xml:space="preserve"> </v>
      </c>
      <c r="LZ13" s="76"/>
      <c r="MA13" s="27">
        <v>172</v>
      </c>
      <c r="MB13" s="28">
        <v>4.1512026716279786</v>
      </c>
      <c r="MC13" s="29">
        <v>7.9110894623032446E-2</v>
      </c>
      <c r="MD13" s="10"/>
      <c r="ME13" s="42">
        <v>122</v>
      </c>
      <c r="MF13" s="43">
        <v>4.1315619966881592</v>
      </c>
      <c r="MG13" s="67">
        <v>9.4560825882638394E-2</v>
      </c>
      <c r="MH13" s="10">
        <f t="shared" si="92"/>
        <v>0.15930542473045936</v>
      </c>
      <c r="MI13" s="10" t="str">
        <f t="shared" si="93"/>
        <v xml:space="preserve"> </v>
      </c>
      <c r="MJ13" s="10"/>
      <c r="MK13" s="42">
        <v>105.71097417999999</v>
      </c>
      <c r="ML13" s="43">
        <v>4.47583247189029</v>
      </c>
      <c r="MM13" s="67">
        <v>7.4031411069363548E-2</v>
      </c>
      <c r="MN13" s="10">
        <f t="shared" si="94"/>
        <v>-2.9961906153696383</v>
      </c>
      <c r="MO13" s="10" t="str">
        <f t="shared" si="95"/>
        <v>*</v>
      </c>
      <c r="MP13" s="10"/>
      <c r="MQ13" s="53">
        <v>172</v>
      </c>
      <c r="MR13" s="55">
        <v>4.0287362672475089</v>
      </c>
      <c r="MS13" s="56">
        <v>7.9389577641462469E-2</v>
      </c>
      <c r="MT13" s="10">
        <f t="shared" si="96"/>
        <v>1.0926994716660585</v>
      </c>
      <c r="MU13" s="10" t="str">
        <f t="shared" si="97"/>
        <v xml:space="preserve"> </v>
      </c>
      <c r="MV13" s="10"/>
      <c r="MW13" s="54">
        <v>187</v>
      </c>
      <c r="MX13" s="57">
        <v>4.008359618185195</v>
      </c>
      <c r="MY13" s="58">
        <v>8.3046882574070863E-2</v>
      </c>
      <c r="MZ13" s="10">
        <f t="shared" si="98"/>
        <v>1.2453988032047609</v>
      </c>
      <c r="NA13" s="10" t="str">
        <f t="shared" si="103"/>
        <v xml:space="preserve"> </v>
      </c>
      <c r="NB13" s="58"/>
    </row>
    <row r="14" spans="1:366" x14ac:dyDescent="0.2">
      <c r="B14" s="65" t="s">
        <v>16</v>
      </c>
      <c r="C14" s="27">
        <v>407</v>
      </c>
      <c r="D14" s="28">
        <v>4.0713909518322291</v>
      </c>
      <c r="E14" s="29">
        <v>4.9612059783599255E-2</v>
      </c>
      <c r="F14" s="10"/>
      <c r="G14" s="42">
        <v>128</v>
      </c>
      <c r="H14" s="43">
        <v>4.0624934490518907</v>
      </c>
      <c r="I14" s="67">
        <v>9.2893889120674672E-2</v>
      </c>
      <c r="J14" s="10">
        <f t="shared" si="1"/>
        <v>8.4487021969445283E-2</v>
      </c>
      <c r="K14" s="10" t="str">
        <f t="shared" si="2"/>
        <v xml:space="preserve"> </v>
      </c>
      <c r="L14" s="10"/>
      <c r="M14" s="42">
        <v>92.536782570000071</v>
      </c>
      <c r="N14" s="43">
        <v>4.0000000000000009</v>
      </c>
      <c r="O14" s="67">
        <v>9.5306612777753943E-2</v>
      </c>
      <c r="P14" s="10">
        <f t="shared" si="3"/>
        <v>0.66443379884606124</v>
      </c>
      <c r="Q14" s="10" t="str">
        <f t="shared" si="4"/>
        <v xml:space="preserve"> </v>
      </c>
      <c r="R14" s="10"/>
      <c r="S14" s="53">
        <v>122</v>
      </c>
      <c r="T14" s="55">
        <v>3.9262295081967209</v>
      </c>
      <c r="U14" s="56">
        <v>8.6471054066309186E-2</v>
      </c>
      <c r="V14" s="10">
        <f t="shared" si="5"/>
        <v>1.456091544598445</v>
      </c>
      <c r="W14" s="10" t="str">
        <f t="shared" si="6"/>
        <v xml:space="preserve"> </v>
      </c>
      <c r="X14" s="10"/>
      <c r="Y14" s="54">
        <v>209</v>
      </c>
      <c r="Z14" s="57">
        <v>3.3636363636363633</v>
      </c>
      <c r="AA14" s="58">
        <v>7.4314797279584316E-2</v>
      </c>
      <c r="AB14" s="10">
        <f t="shared" si="7"/>
        <v>7.9208390739889794</v>
      </c>
      <c r="AC14" s="10" t="str">
        <f t="shared" si="8"/>
        <v>*</v>
      </c>
      <c r="AD14" s="76"/>
      <c r="AE14" s="27">
        <v>92</v>
      </c>
      <c r="AF14" s="28">
        <v>4.1097228804009154</v>
      </c>
      <c r="AG14" s="29">
        <v>0.10244050317160777</v>
      </c>
      <c r="AH14" s="67"/>
      <c r="AI14" s="42">
        <v>39</v>
      </c>
      <c r="AJ14" s="43">
        <v>4.101954348179536</v>
      </c>
      <c r="AK14" s="67">
        <v>0.19984249950883987</v>
      </c>
      <c r="AL14" s="10">
        <f t="shared" si="9"/>
        <v>3.4593127805502062E-2</v>
      </c>
      <c r="AM14" s="10" t="str">
        <f t="shared" si="10"/>
        <v xml:space="preserve"> </v>
      </c>
      <c r="AN14" s="67"/>
      <c r="AO14" s="42">
        <v>66.004973250000006</v>
      </c>
      <c r="AP14" s="43">
        <v>3.6236700491352747</v>
      </c>
      <c r="AQ14" s="67">
        <v>0.13855330931441381</v>
      </c>
      <c r="AR14" s="10">
        <f t="shared" si="11"/>
        <v>2.8207883894372934</v>
      </c>
      <c r="AS14" s="10" t="str">
        <f t="shared" si="12"/>
        <v>*</v>
      </c>
      <c r="AT14" s="10"/>
      <c r="AU14" s="53">
        <v>86</v>
      </c>
      <c r="AV14" s="55">
        <v>3.6278945767303683</v>
      </c>
      <c r="AW14" s="56">
        <v>0.14428720829768227</v>
      </c>
      <c r="AX14" s="10">
        <f t="shared" si="13"/>
        <v>2.7228954938500527</v>
      </c>
      <c r="AY14" s="10" t="str">
        <f t="shared" si="14"/>
        <v>*</v>
      </c>
      <c r="AZ14" s="10"/>
      <c r="BA14" s="54">
        <v>80</v>
      </c>
      <c r="BB14" s="57">
        <v>3.4401062148364958</v>
      </c>
      <c r="BC14" s="58">
        <v>0.10911934686796111</v>
      </c>
      <c r="BD14" s="10">
        <f t="shared" si="15"/>
        <v>4.4739558341877022</v>
      </c>
      <c r="BE14" s="10" t="str">
        <f t="shared" si="16"/>
        <v>*</v>
      </c>
      <c r="BF14" s="76"/>
      <c r="BG14" s="27">
        <v>975</v>
      </c>
      <c r="BH14" s="28">
        <v>3.9840246203756586</v>
      </c>
      <c r="BI14" s="29">
        <v>3.5118093376465653E-2</v>
      </c>
      <c r="BJ14" s="10"/>
      <c r="BK14" s="42">
        <v>287</v>
      </c>
      <c r="BL14" s="43">
        <v>4.0207737054125143</v>
      </c>
      <c r="BM14" s="67">
        <v>6.3246138313409986E-2</v>
      </c>
      <c r="BN14" s="10">
        <f t="shared" si="17"/>
        <v>-0.50799150974022977</v>
      </c>
      <c r="BO14" s="10" t="str">
        <f t="shared" si="18"/>
        <v xml:space="preserve"> </v>
      </c>
      <c r="BP14" s="10"/>
      <c r="BQ14" s="42">
        <v>171.21708419999976</v>
      </c>
      <c r="BR14" s="43">
        <v>3.8099508433866895</v>
      </c>
      <c r="BS14" s="67">
        <v>6.0386303598455281E-2</v>
      </c>
      <c r="BT14" s="10">
        <f t="shared" si="19"/>
        <v>2.4919134707147563</v>
      </c>
      <c r="BU14" s="10" t="str">
        <f t="shared" si="20"/>
        <v>*</v>
      </c>
      <c r="BV14" s="10"/>
      <c r="BW14" s="53">
        <v>149</v>
      </c>
      <c r="BX14" s="55">
        <v>3.7632160260702268</v>
      </c>
      <c r="BY14" s="56">
        <v>5.1501881109069655E-2</v>
      </c>
      <c r="BZ14" s="10">
        <f t="shared" si="21"/>
        <v>3.5422563269986624</v>
      </c>
      <c r="CA14" s="10" t="str">
        <f t="shared" si="22"/>
        <v>*</v>
      </c>
      <c r="CB14" s="10"/>
      <c r="CC14" s="54">
        <v>371</v>
      </c>
      <c r="CD14" s="57">
        <v>3.7677454516260109</v>
      </c>
      <c r="CE14" s="58">
        <v>5.325423255057548E-2</v>
      </c>
      <c r="CF14" s="10">
        <f t="shared" si="23"/>
        <v>3.390433028429094</v>
      </c>
      <c r="CG14" s="10" t="str">
        <f t="shared" si="24"/>
        <v>*</v>
      </c>
      <c r="CH14" s="76"/>
      <c r="CI14" s="27">
        <v>560</v>
      </c>
      <c r="CJ14" s="28">
        <v>3.9846568739049508</v>
      </c>
      <c r="CK14" s="29">
        <v>4.6711671300458342E-2</v>
      </c>
      <c r="CL14" s="67"/>
      <c r="CM14" s="42">
        <v>184</v>
      </c>
      <c r="CN14" s="43">
        <v>4.103506777014359</v>
      </c>
      <c r="CO14" s="67">
        <v>7.5560210537426203E-2</v>
      </c>
      <c r="CP14" s="10">
        <f t="shared" si="25"/>
        <v>-1.3379006018367863</v>
      </c>
      <c r="CQ14" s="10" t="str">
        <f t="shared" si="26"/>
        <v xml:space="preserve"> </v>
      </c>
      <c r="CR14" s="10"/>
      <c r="CS14" s="42">
        <v>178.18030841999968</v>
      </c>
      <c r="CT14" s="43">
        <v>3.9757117234874304</v>
      </c>
      <c r="CU14" s="67">
        <v>7.714450921616775E-2</v>
      </c>
      <c r="CV14" s="10">
        <f t="shared" si="27"/>
        <v>9.918715627219675E-2</v>
      </c>
      <c r="CW14" s="10" t="str">
        <f t="shared" si="28"/>
        <v xml:space="preserve"> </v>
      </c>
      <c r="CX14" s="10"/>
      <c r="CY14" s="53">
        <v>174</v>
      </c>
      <c r="CZ14" s="55">
        <v>4.1807211491143246</v>
      </c>
      <c r="DA14" s="56">
        <v>7.7594799977177414E-2</v>
      </c>
      <c r="DB14" s="10">
        <f t="shared" si="29"/>
        <v>-2.1647805651756507</v>
      </c>
      <c r="DC14" s="10" t="str">
        <f t="shared" si="0"/>
        <v>*</v>
      </c>
      <c r="DD14" s="10"/>
      <c r="DE14" s="54">
        <v>226</v>
      </c>
      <c r="DF14" s="57">
        <v>3.9210469437572399</v>
      </c>
      <c r="DG14" s="58">
        <v>6.3123243138618002E-2</v>
      </c>
      <c r="DH14" s="10">
        <f t="shared" si="30"/>
        <v>0.81003671449327186</v>
      </c>
      <c r="DI14" s="10" t="str">
        <f t="shared" si="31"/>
        <v xml:space="preserve"> </v>
      </c>
      <c r="DJ14" s="76"/>
      <c r="DK14" s="27">
        <v>203</v>
      </c>
      <c r="DL14" s="28">
        <v>4.1122254423375741</v>
      </c>
      <c r="DM14" s="29">
        <v>7.094370514706265E-2</v>
      </c>
      <c r="DN14" s="10"/>
      <c r="DO14" s="42">
        <v>71</v>
      </c>
      <c r="DP14" s="43">
        <v>4.1557814149886063</v>
      </c>
      <c r="DQ14" s="67">
        <v>0.11825990793928293</v>
      </c>
      <c r="DR14" s="10">
        <f t="shared" si="32"/>
        <v>-0.31583521770154582</v>
      </c>
      <c r="DS14" s="10" t="str">
        <f t="shared" si="33"/>
        <v xml:space="preserve"> </v>
      </c>
      <c r="DT14" s="10"/>
      <c r="DU14" s="42">
        <v>76.377441990000037</v>
      </c>
      <c r="DV14" s="43">
        <v>3.6718215593907719</v>
      </c>
      <c r="DW14" s="67">
        <v>0.12823969378966776</v>
      </c>
      <c r="DX14" s="10">
        <f t="shared" si="34"/>
        <v>3.0050374558643838</v>
      </c>
      <c r="DY14" s="10" t="str">
        <f t="shared" si="35"/>
        <v>*</v>
      </c>
      <c r="DZ14" s="10"/>
      <c r="EA14" s="53">
        <v>75</v>
      </c>
      <c r="EB14" s="55">
        <v>3.8723843134827916</v>
      </c>
      <c r="EC14" s="56">
        <v>0.10627145553231299</v>
      </c>
      <c r="ED14" s="10">
        <f t="shared" si="36"/>
        <v>1.8770479347322888</v>
      </c>
      <c r="EE14" s="10" t="str">
        <f t="shared" si="37"/>
        <v xml:space="preserve"> </v>
      </c>
      <c r="EF14" s="10"/>
      <c r="EG14" s="54">
        <v>59</v>
      </c>
      <c r="EH14" s="57">
        <v>4.2542372881355943</v>
      </c>
      <c r="EI14" s="58">
        <v>0.10254594257216576</v>
      </c>
      <c r="EJ14" s="10">
        <f t="shared" si="38"/>
        <v>-1.1388796016921094</v>
      </c>
      <c r="EK14" s="10" t="str">
        <f t="shared" si="39"/>
        <v xml:space="preserve"> </v>
      </c>
      <c r="EL14" s="76"/>
      <c r="EM14" s="27">
        <v>394</v>
      </c>
      <c r="EN14" s="28">
        <v>4.1406035035490154</v>
      </c>
      <c r="EO14" s="29">
        <v>5.3507360390438775E-2</v>
      </c>
      <c r="EP14" s="10"/>
      <c r="EQ14" s="42">
        <v>128</v>
      </c>
      <c r="ER14" s="43">
        <v>4.179881152545061</v>
      </c>
      <c r="ES14" s="67">
        <v>9.3018705936866244E-2</v>
      </c>
      <c r="ET14" s="10">
        <f t="shared" si="40"/>
        <v>-0.36601910881030919</v>
      </c>
      <c r="EU14" s="10" t="str">
        <f t="shared" si="41"/>
        <v xml:space="preserve"> </v>
      </c>
      <c r="EV14" s="10"/>
      <c r="EW14" s="42">
        <v>113.18775165000004</v>
      </c>
      <c r="EX14" s="43">
        <v>3.6375375341241694</v>
      </c>
      <c r="EY14" s="67">
        <v>0.1064519178763887</v>
      </c>
      <c r="EZ14" s="10">
        <f t="shared" si="42"/>
        <v>4.2223720737468851</v>
      </c>
      <c r="FA14" s="10" t="str">
        <f t="shared" si="43"/>
        <v>*</v>
      </c>
      <c r="FB14" s="10"/>
      <c r="FC14" s="53">
        <v>121</v>
      </c>
      <c r="FD14" s="55">
        <v>4.1426581717297069</v>
      </c>
      <c r="FE14" s="56">
        <v>9.1218926281746077E-2</v>
      </c>
      <c r="FF14" s="10">
        <f t="shared" si="44"/>
        <v>-1.9428732676390812E-2</v>
      </c>
      <c r="FG14" s="10" t="str">
        <f t="shared" si="45"/>
        <v xml:space="preserve"> </v>
      </c>
      <c r="FH14" s="10"/>
      <c r="FI14" s="54">
        <v>188</v>
      </c>
      <c r="FJ14" s="57">
        <v>3.6133443658967828</v>
      </c>
      <c r="FK14" s="58">
        <v>7.7969814577343963E-2</v>
      </c>
      <c r="FL14" s="10">
        <f t="shared" si="46"/>
        <v>5.5756920377888139</v>
      </c>
      <c r="FM14" s="10" t="str">
        <f t="shared" si="99"/>
        <v>*</v>
      </c>
      <c r="FN14" s="76"/>
      <c r="FO14" s="27">
        <v>180</v>
      </c>
      <c r="FP14" s="28">
        <v>4.1321742553500478</v>
      </c>
      <c r="FQ14" s="29">
        <v>7.9845087577553597E-2</v>
      </c>
      <c r="FR14" s="67"/>
      <c r="FS14" s="42">
        <v>135</v>
      </c>
      <c r="FT14" s="43">
        <v>4.0836655785786435</v>
      </c>
      <c r="FU14" s="67">
        <v>9.0714336075619836E-2</v>
      </c>
      <c r="FV14" s="10">
        <f t="shared" si="47"/>
        <v>0.40140116378167395</v>
      </c>
      <c r="FW14" s="10" t="str">
        <f t="shared" si="48"/>
        <v xml:space="preserve"> </v>
      </c>
      <c r="FX14" s="67"/>
      <c r="FY14" s="42">
        <v>156.08803361000005</v>
      </c>
      <c r="FZ14" s="43">
        <v>4.2289269902603879</v>
      </c>
      <c r="GA14" s="67">
        <v>7.4672647589835911E-2</v>
      </c>
      <c r="GB14" s="10">
        <f t="shared" si="49"/>
        <v>-0.88502741585283984</v>
      </c>
      <c r="GC14" s="10" t="str">
        <f t="shared" si="50"/>
        <v xml:space="preserve"> </v>
      </c>
      <c r="GD14" s="10"/>
      <c r="GE14" s="53">
        <v>166</v>
      </c>
      <c r="GF14" s="55">
        <v>3.9718797235437564</v>
      </c>
      <c r="GG14" s="56">
        <v>8.8255914331143548E-2</v>
      </c>
      <c r="GH14" s="10">
        <f t="shared" si="51"/>
        <v>1.3468538374616681</v>
      </c>
      <c r="GI14" s="10" t="str">
        <f t="shared" si="52"/>
        <v xml:space="preserve"> </v>
      </c>
      <c r="GJ14" s="10"/>
      <c r="GK14" s="54">
        <v>167</v>
      </c>
      <c r="GL14" s="57">
        <v>3.8456214266031465</v>
      </c>
      <c r="GM14" s="58">
        <v>8.8554482692108138E-2</v>
      </c>
      <c r="GN14" s="10">
        <f t="shared" si="53"/>
        <v>2.4032484190494148</v>
      </c>
      <c r="GO14" s="10" t="str">
        <f t="shared" si="100"/>
        <v>*</v>
      </c>
      <c r="GP14" s="76"/>
      <c r="GQ14" s="27">
        <v>200</v>
      </c>
      <c r="GR14" s="28">
        <v>4.0057491254317927</v>
      </c>
      <c r="GS14" s="29">
        <v>7.6088324591260484E-2</v>
      </c>
      <c r="GT14" s="10"/>
      <c r="GU14" s="42">
        <v>112</v>
      </c>
      <c r="GV14" s="43">
        <v>4.2510551570185227</v>
      </c>
      <c r="GW14" s="67">
        <v>8.3915220637768628E-2</v>
      </c>
      <c r="GX14" s="10">
        <f t="shared" si="54"/>
        <v>-2.1655820035121049</v>
      </c>
      <c r="GY14" s="10" t="str">
        <f t="shared" si="55"/>
        <v>*</v>
      </c>
      <c r="GZ14" s="10"/>
      <c r="HA14" s="42">
        <v>112.4266741399999</v>
      </c>
      <c r="HB14" s="43">
        <v>4.1624695978042938</v>
      </c>
      <c r="HC14" s="67">
        <v>0.10091476048098165</v>
      </c>
      <c r="HD14" s="10">
        <f t="shared" si="56"/>
        <v>-1.2400222214566194</v>
      </c>
      <c r="HE14" s="10" t="str">
        <f t="shared" si="57"/>
        <v xml:space="preserve"> </v>
      </c>
      <c r="HF14" s="10"/>
      <c r="HG14" s="53">
        <v>74</v>
      </c>
      <c r="HH14" s="55">
        <v>4.3618512099218858</v>
      </c>
      <c r="HI14" s="56">
        <v>8.6409207473282929E-2</v>
      </c>
      <c r="HJ14" s="10">
        <f t="shared" si="58"/>
        <v>-3.0929188524774727</v>
      </c>
      <c r="HK14" s="10" t="str">
        <f t="shared" si="59"/>
        <v>*</v>
      </c>
      <c r="HL14" s="10"/>
      <c r="HM14" s="54">
        <v>141</v>
      </c>
      <c r="HN14" s="57">
        <v>4.3048245613836498</v>
      </c>
      <c r="HO14" s="58">
        <v>8.1129688481630075E-2</v>
      </c>
      <c r="HP14" s="10">
        <f t="shared" si="60"/>
        <v>-2.6888729101193487</v>
      </c>
      <c r="HQ14" s="10" t="str">
        <f t="shared" si="101"/>
        <v>*</v>
      </c>
      <c r="HR14" s="76"/>
      <c r="HS14" s="27">
        <v>406</v>
      </c>
      <c r="HT14" s="28">
        <v>3.8342244025786525</v>
      </c>
      <c r="HU14" s="29">
        <v>5.7798347428623983E-2</v>
      </c>
      <c r="HV14" s="10"/>
      <c r="HW14" s="42">
        <v>257</v>
      </c>
      <c r="HX14" s="43">
        <v>3.9748266351299648</v>
      </c>
      <c r="HY14" s="67">
        <v>7.0052023253076981E-2</v>
      </c>
      <c r="HZ14" s="10">
        <f t="shared" si="61"/>
        <v>-1.5481734085418331</v>
      </c>
      <c r="IA14" s="10" t="str">
        <f t="shared" si="62"/>
        <v xml:space="preserve"> </v>
      </c>
      <c r="IB14" s="10"/>
      <c r="IC14" s="42">
        <v>307.71695195000109</v>
      </c>
      <c r="ID14" s="43">
        <v>4.0624412544653117</v>
      </c>
      <c r="IE14" s="67">
        <v>5.8696807183104528E-2</v>
      </c>
      <c r="IF14" s="10">
        <f t="shared" si="63"/>
        <v>-2.7703965015858345</v>
      </c>
      <c r="IG14" s="10" t="str">
        <f t="shared" si="64"/>
        <v>*</v>
      </c>
      <c r="IH14" s="10"/>
      <c r="II14" s="53">
        <v>300</v>
      </c>
      <c r="IJ14" s="55">
        <v>4.0025629001347003</v>
      </c>
      <c r="IK14" s="56">
        <v>6.3082354011147035E-2</v>
      </c>
      <c r="IL14" s="10">
        <f t="shared" si="65"/>
        <v>-1.9675552953896223</v>
      </c>
      <c r="IM14" s="10" t="str">
        <f t="shared" si="66"/>
        <v>*</v>
      </c>
      <c r="IN14" s="10"/>
      <c r="IO14" s="54">
        <v>327</v>
      </c>
      <c r="IP14" s="57">
        <v>3.9106197441017367</v>
      </c>
      <c r="IQ14" s="58">
        <v>6.1062544236069702E-2</v>
      </c>
      <c r="IR14" s="10">
        <f t="shared" si="67"/>
        <v>-0.90861349835018046</v>
      </c>
      <c r="IS14" s="10" t="str">
        <f t="shared" si="68"/>
        <v xml:space="preserve"> </v>
      </c>
      <c r="IT14" s="76"/>
      <c r="IU14" s="27">
        <v>41</v>
      </c>
      <c r="IV14" s="28">
        <v>4.3170731707317058</v>
      </c>
      <c r="IW14" s="29">
        <v>0.14164965045257566</v>
      </c>
      <c r="IX14" s="10"/>
      <c r="IY14" s="42">
        <v>29</v>
      </c>
      <c r="IZ14" s="43">
        <v>4.4824086604287583</v>
      </c>
      <c r="JA14" s="67">
        <v>0.15390713855413488</v>
      </c>
      <c r="JB14" s="10" t="str">
        <f t="shared" si="69"/>
        <v>NV</v>
      </c>
      <c r="JC14" s="10" t="str">
        <f t="shared" si="70"/>
        <v xml:space="preserve"> </v>
      </c>
      <c r="JD14" s="10"/>
      <c r="JE14" s="42">
        <v>32.673939870000005</v>
      </c>
      <c r="JF14" s="43">
        <v>4.4848484848484853</v>
      </c>
      <c r="JG14" s="67">
        <v>0.13916282854865056</v>
      </c>
      <c r="JH14" s="10">
        <f t="shared" si="71"/>
        <v>-0.84490839598052703</v>
      </c>
      <c r="JI14" s="10" t="str">
        <f t="shared" si="72"/>
        <v xml:space="preserve"> </v>
      </c>
      <c r="JJ14" s="10"/>
      <c r="JK14" s="53">
        <v>27</v>
      </c>
      <c r="JL14" s="55">
        <v>4.4814814814814801</v>
      </c>
      <c r="JM14" s="56">
        <v>0.18216196126309361</v>
      </c>
      <c r="JN14" s="10" t="str">
        <f t="shared" si="73"/>
        <v>NV</v>
      </c>
      <c r="JO14" s="10" t="str">
        <f t="shared" si="74"/>
        <v xml:space="preserve"> </v>
      </c>
      <c r="JP14" s="10"/>
      <c r="JQ14" s="54">
        <v>52</v>
      </c>
      <c r="JR14" s="57">
        <v>4.4038461538461524</v>
      </c>
      <c r="JS14" s="58">
        <v>0.13100866641831879</v>
      </c>
      <c r="JT14" s="10">
        <f t="shared" si="75"/>
        <v>-0.44972837830270473</v>
      </c>
      <c r="JU14" s="10" t="str">
        <f t="shared" si="76"/>
        <v xml:space="preserve"> </v>
      </c>
      <c r="JV14" s="76"/>
      <c r="JW14" s="27">
        <v>422</v>
      </c>
      <c r="JX14" s="28">
        <v>4.0185532356699509</v>
      </c>
      <c r="JY14" s="29">
        <v>5.6542770787259715E-2</v>
      </c>
      <c r="JZ14" s="10"/>
      <c r="KA14" s="42">
        <v>255</v>
      </c>
      <c r="KB14" s="43">
        <v>4.1367837339299216</v>
      </c>
      <c r="KC14" s="67">
        <v>6.1168247337504443E-2</v>
      </c>
      <c r="KD14" s="10">
        <f t="shared" si="77"/>
        <v>-1.4193593420322024</v>
      </c>
      <c r="KE14" s="10" t="str">
        <f t="shared" si="78"/>
        <v xml:space="preserve"> </v>
      </c>
      <c r="KF14" s="10"/>
      <c r="KG14" s="42">
        <v>309.56629108999994</v>
      </c>
      <c r="KH14" s="43">
        <v>4.2748277779871868</v>
      </c>
      <c r="KI14" s="67">
        <v>5.5443191913421973E-2</v>
      </c>
      <c r="KJ14" s="10">
        <f t="shared" si="79"/>
        <v>-3.2362043869379749</v>
      </c>
      <c r="KK14" s="10" t="str">
        <f t="shared" si="80"/>
        <v>*</v>
      </c>
      <c r="KL14" s="10"/>
      <c r="KM14" s="53">
        <v>593</v>
      </c>
      <c r="KN14" s="55">
        <v>4.0831083575342442</v>
      </c>
      <c r="KO14" s="56">
        <v>4.2837528392304737E-2</v>
      </c>
      <c r="KP14" s="10">
        <f t="shared" si="81"/>
        <v>-0.91002725799788808</v>
      </c>
      <c r="KQ14" s="10" t="str">
        <f t="shared" si="82"/>
        <v xml:space="preserve"> </v>
      </c>
      <c r="KR14" s="10"/>
      <c r="KS14" s="54">
        <v>566</v>
      </c>
      <c r="KT14" s="57">
        <v>3.9498473275126411</v>
      </c>
      <c r="KU14" s="58">
        <v>4.4832981024938379E-2</v>
      </c>
      <c r="KV14" s="10">
        <f t="shared" si="83"/>
        <v>0.95213145500928864</v>
      </c>
      <c r="KW14" s="10" t="str">
        <f t="shared" si="102"/>
        <v xml:space="preserve"> </v>
      </c>
      <c r="KX14" s="76"/>
      <c r="KY14" s="27">
        <v>140</v>
      </c>
      <c r="KZ14" s="28">
        <v>4.1000000000000014</v>
      </c>
      <c r="LA14" s="29">
        <v>8.0691287197729014E-2</v>
      </c>
      <c r="LB14" s="10"/>
      <c r="LC14" s="42">
        <v>143</v>
      </c>
      <c r="LD14" s="43">
        <v>4.3076817558322222</v>
      </c>
      <c r="LE14" s="67">
        <v>7.3728385155122075E-2</v>
      </c>
      <c r="LF14" s="10">
        <f t="shared" si="84"/>
        <v>-1.9000702903957645</v>
      </c>
      <c r="LG14" s="10" t="str">
        <f t="shared" si="85"/>
        <v xml:space="preserve"> </v>
      </c>
      <c r="LH14" s="10"/>
      <c r="LI14" s="42">
        <v>145.86544819</v>
      </c>
      <c r="LJ14" s="43">
        <v>4.2736952030476587</v>
      </c>
      <c r="LK14" s="67">
        <v>7.0901503667834889E-2</v>
      </c>
      <c r="LL14" s="10">
        <f t="shared" si="86"/>
        <v>-1.6170391795323857</v>
      </c>
      <c r="LM14" s="10" t="str">
        <f t="shared" si="87"/>
        <v xml:space="preserve"> </v>
      </c>
      <c r="LN14" s="10"/>
      <c r="LO14" s="53">
        <v>353</v>
      </c>
      <c r="LP14" s="55">
        <v>4.0991501416430642</v>
      </c>
      <c r="LQ14" s="56">
        <v>5.4267531346136912E-2</v>
      </c>
      <c r="LR14" s="10">
        <f t="shared" si="88"/>
        <v>8.7396028413822685E-3</v>
      </c>
      <c r="LS14" s="10" t="str">
        <f t="shared" si="89"/>
        <v xml:space="preserve"> </v>
      </c>
      <c r="LT14" s="10"/>
      <c r="LU14" s="54">
        <v>350</v>
      </c>
      <c r="LV14" s="57">
        <v>4.057336990340068</v>
      </c>
      <c r="LW14" s="58">
        <v>5.6418473923953764E-2</v>
      </c>
      <c r="LX14" s="10">
        <f t="shared" si="90"/>
        <v>0.43330840567465012</v>
      </c>
      <c r="LY14" s="10" t="str">
        <f t="shared" si="91"/>
        <v xml:space="preserve"> </v>
      </c>
      <c r="LZ14" s="76"/>
      <c r="MA14" s="27">
        <v>170</v>
      </c>
      <c r="MB14" s="28">
        <v>4.1879509888213633</v>
      </c>
      <c r="MC14" s="29">
        <v>7.3238329064255897E-2</v>
      </c>
      <c r="MD14" s="10"/>
      <c r="ME14" s="42">
        <v>114</v>
      </c>
      <c r="MF14" s="43">
        <v>4.0970355048784581</v>
      </c>
      <c r="MG14" s="67">
        <v>9.6491678110449147E-2</v>
      </c>
      <c r="MH14" s="10">
        <f t="shared" si="92"/>
        <v>0.75050959004548168</v>
      </c>
      <c r="MI14" s="10" t="str">
        <f t="shared" si="93"/>
        <v xml:space="preserve"> </v>
      </c>
      <c r="MJ14" s="10"/>
      <c r="MK14" s="42">
        <v>100.76037722999997</v>
      </c>
      <c r="ML14" s="43">
        <v>4.4681543315615491</v>
      </c>
      <c r="MM14" s="67">
        <v>7.5571923626395851E-2</v>
      </c>
      <c r="MN14" s="10">
        <f t="shared" si="94"/>
        <v>-2.6625763029913969</v>
      </c>
      <c r="MO14" s="10" t="str">
        <f t="shared" si="95"/>
        <v>*</v>
      </c>
      <c r="MP14" s="10"/>
      <c r="MQ14" s="53">
        <v>163</v>
      </c>
      <c r="MR14" s="55">
        <v>3.9854539325301093</v>
      </c>
      <c r="MS14" s="56">
        <v>7.8825441656038081E-2</v>
      </c>
      <c r="MT14" s="10">
        <f t="shared" si="96"/>
        <v>1.8819800378409945</v>
      </c>
      <c r="MU14" s="10" t="str">
        <f t="shared" si="97"/>
        <v xml:space="preserve"> </v>
      </c>
      <c r="MV14" s="10"/>
      <c r="MW14" s="54">
        <v>178</v>
      </c>
      <c r="MX14" s="57">
        <v>4.1145473583439491</v>
      </c>
      <c r="MY14" s="58">
        <v>7.9151215241386949E-2</v>
      </c>
      <c r="MZ14" s="10">
        <f t="shared" si="98"/>
        <v>0.68069207199974469</v>
      </c>
      <c r="NA14" s="10" t="str">
        <f t="shared" si="103"/>
        <v xml:space="preserve"> </v>
      </c>
      <c r="NB14" s="58"/>
    </row>
    <row r="15" spans="1:366" x14ac:dyDescent="0.2">
      <c r="B15" s="65" t="s">
        <v>17</v>
      </c>
      <c r="C15" s="27">
        <v>398</v>
      </c>
      <c r="D15" s="28">
        <v>4.0177370848957539</v>
      </c>
      <c r="E15" s="29">
        <v>5.2860107103267384E-2</v>
      </c>
      <c r="F15" s="10"/>
      <c r="G15" s="42">
        <v>126</v>
      </c>
      <c r="H15" s="43">
        <v>4.0634853029380658</v>
      </c>
      <c r="I15" s="67">
        <v>9.3692506055971417E-2</v>
      </c>
      <c r="J15" s="10">
        <f t="shared" si="1"/>
        <v>-0.42526635659239986</v>
      </c>
      <c r="K15" s="10" t="str">
        <f t="shared" si="2"/>
        <v xml:space="preserve"> </v>
      </c>
      <c r="L15" s="10"/>
      <c r="M15" s="42">
        <v>93.576521700000072</v>
      </c>
      <c r="N15" s="43">
        <v>3.8222222222222224</v>
      </c>
      <c r="O15" s="67">
        <v>0.10459715853182763</v>
      </c>
      <c r="P15" s="10">
        <f t="shared" si="3"/>
        <v>1.6682813514137389</v>
      </c>
      <c r="Q15" s="10" t="str">
        <f t="shared" si="4"/>
        <v xml:space="preserve"> </v>
      </c>
      <c r="R15" s="10"/>
      <c r="S15" s="53">
        <v>124</v>
      </c>
      <c r="T15" s="55">
        <v>3.9758064516129039</v>
      </c>
      <c r="U15" s="56">
        <v>9.111611967006758E-2</v>
      </c>
      <c r="V15" s="10">
        <f t="shared" si="5"/>
        <v>0.3980536214593377</v>
      </c>
      <c r="W15" s="10" t="str">
        <f t="shared" si="6"/>
        <v xml:space="preserve"> </v>
      </c>
      <c r="X15" s="10"/>
      <c r="Y15" s="54">
        <v>211</v>
      </c>
      <c r="Z15" s="57">
        <v>3.4928909952606642</v>
      </c>
      <c r="AA15" s="58">
        <v>7.472403435546239E-2</v>
      </c>
      <c r="AB15" s="10">
        <f t="shared" si="7"/>
        <v>5.73409784572197</v>
      </c>
      <c r="AC15" s="10" t="str">
        <f t="shared" si="8"/>
        <v>*</v>
      </c>
      <c r="AD15" s="76"/>
      <c r="AE15" s="27">
        <v>90</v>
      </c>
      <c r="AF15" s="28">
        <v>4.1351130486477592</v>
      </c>
      <c r="AG15" s="29">
        <v>0.1032915059741568</v>
      </c>
      <c r="AH15" s="67"/>
      <c r="AI15" s="42">
        <v>39</v>
      </c>
      <c r="AJ15" s="43">
        <v>4.1019543481795342</v>
      </c>
      <c r="AK15" s="67">
        <v>0.1822981818888163</v>
      </c>
      <c r="AL15" s="10">
        <f t="shared" si="9"/>
        <v>0.1582546663127932</v>
      </c>
      <c r="AM15" s="10" t="str">
        <f t="shared" si="10"/>
        <v xml:space="preserve"> </v>
      </c>
      <c r="AN15" s="67"/>
      <c r="AO15" s="42">
        <v>67.044712380000007</v>
      </c>
      <c r="AP15" s="43">
        <v>3.3109779602279201</v>
      </c>
      <c r="AQ15" s="67">
        <v>0.15641276220294009</v>
      </c>
      <c r="AR15" s="10">
        <f t="shared" si="11"/>
        <v>4.3967732267492723</v>
      </c>
      <c r="AS15" s="10" t="str">
        <f t="shared" si="12"/>
        <v>*</v>
      </c>
      <c r="AT15" s="10"/>
      <c r="AU15" s="53">
        <v>87</v>
      </c>
      <c r="AV15" s="55">
        <v>3.6319716289458763</v>
      </c>
      <c r="AW15" s="56">
        <v>0.13426838824953605</v>
      </c>
      <c r="AX15" s="10">
        <f t="shared" si="13"/>
        <v>2.970098129598068</v>
      </c>
      <c r="AY15" s="10" t="str">
        <f t="shared" si="14"/>
        <v>*</v>
      </c>
      <c r="AZ15" s="10"/>
      <c r="BA15" s="54">
        <v>79</v>
      </c>
      <c r="BB15" s="57">
        <v>3.4812692353377521</v>
      </c>
      <c r="BC15" s="58">
        <v>0.11502714433766367</v>
      </c>
      <c r="BD15" s="10">
        <f t="shared" si="15"/>
        <v>4.2293304930322551</v>
      </c>
      <c r="BE15" s="10" t="str">
        <f t="shared" si="16"/>
        <v>*</v>
      </c>
      <c r="BF15" s="76"/>
      <c r="BG15" s="27">
        <v>957</v>
      </c>
      <c r="BH15" s="28">
        <v>4.0097187018339016</v>
      </c>
      <c r="BI15" s="29">
        <v>3.5487956261008133E-2</v>
      </c>
      <c r="BJ15" s="10"/>
      <c r="BK15" s="42">
        <v>284</v>
      </c>
      <c r="BL15" s="43">
        <v>3.999905900047219</v>
      </c>
      <c r="BM15" s="67">
        <v>6.987218010343603E-2</v>
      </c>
      <c r="BN15" s="10">
        <f t="shared" si="17"/>
        <v>0.1252146695399137</v>
      </c>
      <c r="BO15" s="10" t="str">
        <f t="shared" si="18"/>
        <v xml:space="preserve"> </v>
      </c>
      <c r="BP15" s="10"/>
      <c r="BQ15" s="42">
        <v>174.16756550999975</v>
      </c>
      <c r="BR15" s="43">
        <v>3.5085555655591598</v>
      </c>
      <c r="BS15" s="67">
        <v>6.8028425287289224E-2</v>
      </c>
      <c r="BT15" s="10">
        <f t="shared" si="19"/>
        <v>6.5316431303576241</v>
      </c>
      <c r="BU15" s="10" t="str">
        <f t="shared" si="20"/>
        <v>*</v>
      </c>
      <c r="BV15" s="10"/>
      <c r="BW15" s="53">
        <v>153</v>
      </c>
      <c r="BX15" s="55">
        <v>3.656050435826411</v>
      </c>
      <c r="BY15" s="56">
        <v>5.5375878278259127E-2</v>
      </c>
      <c r="BZ15" s="10">
        <f t="shared" si="21"/>
        <v>5.3772312247914167</v>
      </c>
      <c r="CA15" s="10" t="str">
        <f t="shared" si="22"/>
        <v>*</v>
      </c>
      <c r="CB15" s="10"/>
      <c r="CC15" s="54">
        <v>364</v>
      </c>
      <c r="CD15" s="57">
        <v>3.7663339317781981</v>
      </c>
      <c r="CE15" s="58">
        <v>5.2642315095853605E-2</v>
      </c>
      <c r="CF15" s="10">
        <f t="shared" si="23"/>
        <v>3.8336114796691274</v>
      </c>
      <c r="CG15" s="10" t="str">
        <f t="shared" si="24"/>
        <v>*</v>
      </c>
      <c r="CH15" s="76"/>
      <c r="CI15" s="27">
        <v>562</v>
      </c>
      <c r="CJ15" s="28">
        <v>3.991784164855158</v>
      </c>
      <c r="CK15" s="29">
        <v>4.6089187383706071E-2</v>
      </c>
      <c r="CL15" s="67"/>
      <c r="CM15" s="42">
        <v>184</v>
      </c>
      <c r="CN15" s="43">
        <v>3.9846356106332146</v>
      </c>
      <c r="CO15" s="67">
        <v>8.1533659162089087E-2</v>
      </c>
      <c r="CP15" s="10">
        <f t="shared" si="25"/>
        <v>7.6325581692066075E-2</v>
      </c>
      <c r="CQ15" s="10" t="str">
        <f t="shared" si="26"/>
        <v xml:space="preserve"> </v>
      </c>
      <c r="CR15" s="10"/>
      <c r="CS15" s="42">
        <v>174.52756013999971</v>
      </c>
      <c r="CT15" s="43">
        <v>3.9851846522238308</v>
      </c>
      <c r="CU15" s="67">
        <v>7.9282655210717437E-2</v>
      </c>
      <c r="CV15" s="10">
        <f t="shared" si="27"/>
        <v>7.1963966070586555E-2</v>
      </c>
      <c r="CW15" s="10" t="str">
        <f t="shared" si="28"/>
        <v xml:space="preserve"> </v>
      </c>
      <c r="CX15" s="10"/>
      <c r="CY15" s="53">
        <v>172</v>
      </c>
      <c r="CZ15" s="55">
        <v>4.1811666023900242</v>
      </c>
      <c r="DA15" s="56">
        <v>7.8786337258379704E-2</v>
      </c>
      <c r="DB15" s="10">
        <f t="shared" si="29"/>
        <v>-2.0748088857252469</v>
      </c>
      <c r="DC15" s="10" t="str">
        <f t="shared" si="0"/>
        <v>*</v>
      </c>
      <c r="DD15" s="10"/>
      <c r="DE15" s="54">
        <v>226</v>
      </c>
      <c r="DF15" s="57">
        <v>3.8267706487421607</v>
      </c>
      <c r="DG15" s="58">
        <v>6.3350610866712814E-2</v>
      </c>
      <c r="DH15" s="10">
        <f t="shared" si="30"/>
        <v>2.1063149129855918</v>
      </c>
      <c r="DI15" s="10" t="str">
        <f t="shared" si="31"/>
        <v>*</v>
      </c>
      <c r="DJ15" s="76"/>
      <c r="DK15" s="27">
        <v>197</v>
      </c>
      <c r="DL15" s="28">
        <v>4.0606527514118342</v>
      </c>
      <c r="DM15" s="29">
        <v>7.5397616779023152E-2</v>
      </c>
      <c r="DN15" s="10"/>
      <c r="DO15" s="42">
        <v>71</v>
      </c>
      <c r="DP15" s="43">
        <v>4.1138436840965316</v>
      </c>
      <c r="DQ15" s="67">
        <v>0.12141969483297879</v>
      </c>
      <c r="DR15" s="10">
        <f t="shared" si="32"/>
        <v>-0.372159868740986</v>
      </c>
      <c r="DS15" s="10" t="str">
        <f t="shared" si="33"/>
        <v xml:space="preserve"> </v>
      </c>
      <c r="DT15" s="10"/>
      <c r="DU15" s="42">
        <v>77.417181120000038</v>
      </c>
      <c r="DV15" s="43">
        <v>3.6649783357547303</v>
      </c>
      <c r="DW15" s="67">
        <v>0.12134146096837324</v>
      </c>
      <c r="DX15" s="10">
        <f t="shared" si="34"/>
        <v>2.7696946148962884</v>
      </c>
      <c r="DY15" s="10" t="str">
        <f t="shared" si="35"/>
        <v>*</v>
      </c>
      <c r="DZ15" s="10"/>
      <c r="EA15" s="53">
        <v>74</v>
      </c>
      <c r="EB15" s="55">
        <v>3.9579798833269959</v>
      </c>
      <c r="EC15" s="56">
        <v>0.10351024044593396</v>
      </c>
      <c r="ED15" s="10">
        <f t="shared" si="36"/>
        <v>0.80176067929363548</v>
      </c>
      <c r="EE15" s="10" t="str">
        <f t="shared" si="37"/>
        <v xml:space="preserve"> </v>
      </c>
      <c r="EF15" s="10"/>
      <c r="EG15" s="54">
        <v>55</v>
      </c>
      <c r="EH15" s="57">
        <v>4.2545454545454549</v>
      </c>
      <c r="EI15" s="58">
        <v>0.12418952950673538</v>
      </c>
      <c r="EJ15" s="10">
        <f t="shared" si="38"/>
        <v>-1.3345645056625304</v>
      </c>
      <c r="EK15" s="10" t="str">
        <f t="shared" si="39"/>
        <v xml:space="preserve"> </v>
      </c>
      <c r="EL15" s="76"/>
      <c r="EM15" s="27">
        <v>390</v>
      </c>
      <c r="EN15" s="28">
        <v>4.0739940829613293</v>
      </c>
      <c r="EO15" s="29">
        <v>5.5974118748141483E-2</v>
      </c>
      <c r="EP15" s="10"/>
      <c r="EQ15" s="42">
        <v>121</v>
      </c>
      <c r="ER15" s="43">
        <v>4.1657018460336692</v>
      </c>
      <c r="ES15" s="67">
        <v>0.10513119007099224</v>
      </c>
      <c r="ET15" s="10">
        <f t="shared" si="40"/>
        <v>-0.76998309053612668</v>
      </c>
      <c r="EU15" s="10" t="str">
        <f t="shared" si="41"/>
        <v xml:space="preserve"> </v>
      </c>
      <c r="EV15" s="10"/>
      <c r="EW15" s="42">
        <v>113.01901557000004</v>
      </c>
      <c r="EX15" s="43">
        <v>3.4664396150871553</v>
      </c>
      <c r="EY15" s="67">
        <v>0.10404213906300823</v>
      </c>
      <c r="EZ15" s="10">
        <f t="shared" si="42"/>
        <v>5.1425161597721569</v>
      </c>
      <c r="FA15" s="10" t="str">
        <f t="shared" si="43"/>
        <v>*</v>
      </c>
      <c r="FB15" s="10"/>
      <c r="FC15" s="53">
        <v>120</v>
      </c>
      <c r="FD15" s="55">
        <v>4.0400099734487762</v>
      </c>
      <c r="FE15" s="56">
        <v>9.6884294246974173E-2</v>
      </c>
      <c r="FF15" s="10">
        <f t="shared" si="44"/>
        <v>0.3037242587106358</v>
      </c>
      <c r="FG15" s="10" t="str">
        <f t="shared" si="45"/>
        <v xml:space="preserve"> </v>
      </c>
      <c r="FH15" s="10"/>
      <c r="FI15" s="54">
        <v>190</v>
      </c>
      <c r="FJ15" s="57">
        <v>3.5504794293917543</v>
      </c>
      <c r="FK15" s="58">
        <v>7.7265345514924366E-2</v>
      </c>
      <c r="FL15" s="10">
        <f t="shared" si="46"/>
        <v>5.4870096265954285</v>
      </c>
      <c r="FM15" s="10" t="str">
        <f t="shared" si="99"/>
        <v>*</v>
      </c>
      <c r="FN15" s="76"/>
      <c r="FO15" s="27">
        <v>177</v>
      </c>
      <c r="FP15" s="28">
        <v>4.0291997919638405</v>
      </c>
      <c r="FQ15" s="29">
        <v>8.8365578584008814E-2</v>
      </c>
      <c r="FR15" s="67"/>
      <c r="FS15" s="42">
        <v>135</v>
      </c>
      <c r="FT15" s="43">
        <v>3.9645687077383651</v>
      </c>
      <c r="FU15" s="67">
        <v>0.10234226426916958</v>
      </c>
      <c r="FV15" s="10">
        <f t="shared" si="47"/>
        <v>0.47799644384078827</v>
      </c>
      <c r="FW15" s="10" t="str">
        <f t="shared" si="48"/>
        <v xml:space="preserve"> </v>
      </c>
      <c r="FX15" s="67"/>
      <c r="FY15" s="42">
        <v>159.10977408000005</v>
      </c>
      <c r="FZ15" s="43">
        <v>4.1934943696452001</v>
      </c>
      <c r="GA15" s="67">
        <v>7.8787628744514213E-2</v>
      </c>
      <c r="GB15" s="10">
        <f t="shared" si="49"/>
        <v>-1.3877515271776779</v>
      </c>
      <c r="GC15" s="10" t="str">
        <f t="shared" si="50"/>
        <v xml:space="preserve"> </v>
      </c>
      <c r="GD15" s="10"/>
      <c r="GE15" s="53">
        <v>163</v>
      </c>
      <c r="GF15" s="55">
        <v>3.9202709949118177</v>
      </c>
      <c r="GG15" s="56">
        <v>9.4922251512264882E-2</v>
      </c>
      <c r="GH15" s="10">
        <f t="shared" si="51"/>
        <v>0.83993634744086876</v>
      </c>
      <c r="GI15" s="10" t="str">
        <f t="shared" si="52"/>
        <v xml:space="preserve"> </v>
      </c>
      <c r="GJ15" s="10"/>
      <c r="GK15" s="54">
        <v>165</v>
      </c>
      <c r="GL15" s="57">
        <v>3.8555758685155448</v>
      </c>
      <c r="GM15" s="58">
        <v>9.1325493879298947E-2</v>
      </c>
      <c r="GN15" s="10">
        <f t="shared" si="53"/>
        <v>1.3662782393641768</v>
      </c>
      <c r="GO15" s="10" t="str">
        <f t="shared" si="100"/>
        <v xml:space="preserve"> </v>
      </c>
      <c r="GP15" s="76"/>
      <c r="GQ15" s="27">
        <v>193</v>
      </c>
      <c r="GR15" s="28">
        <v>4.0393242620890204</v>
      </c>
      <c r="GS15" s="29">
        <v>7.8328774039245014E-2</v>
      </c>
      <c r="GT15" s="10"/>
      <c r="GU15" s="42">
        <v>111</v>
      </c>
      <c r="GV15" s="43">
        <v>4.2354405422514523</v>
      </c>
      <c r="GW15" s="67">
        <v>8.8020840311237677E-2</v>
      </c>
      <c r="GX15" s="10">
        <f t="shared" si="54"/>
        <v>-1.6644508143113126</v>
      </c>
      <c r="GY15" s="10" t="str">
        <f t="shared" si="55"/>
        <v xml:space="preserve"> </v>
      </c>
      <c r="GZ15" s="10"/>
      <c r="HA15" s="42">
        <v>109.26945995999991</v>
      </c>
      <c r="HB15" s="43">
        <v>4.1107421491277583</v>
      </c>
      <c r="HC15" s="67">
        <v>0.10532849644366103</v>
      </c>
      <c r="HD15" s="10">
        <f t="shared" si="56"/>
        <v>-0.54409006824987083</v>
      </c>
      <c r="HE15" s="10" t="str">
        <f t="shared" si="57"/>
        <v xml:space="preserve"> </v>
      </c>
      <c r="HF15" s="10"/>
      <c r="HG15" s="53">
        <v>75</v>
      </c>
      <c r="HH15" s="55">
        <v>4.2271682724856845</v>
      </c>
      <c r="HI15" s="56">
        <v>9.5921655646151641E-2</v>
      </c>
      <c r="HJ15" s="10">
        <f t="shared" si="58"/>
        <v>-1.5168274944718607</v>
      </c>
      <c r="HK15" s="10" t="str">
        <f t="shared" si="59"/>
        <v xml:space="preserve"> </v>
      </c>
      <c r="HL15" s="10"/>
      <c r="HM15" s="54">
        <v>139</v>
      </c>
      <c r="HN15" s="57">
        <v>4.280311457137171</v>
      </c>
      <c r="HO15" s="58">
        <v>8.5365411109047606E-2</v>
      </c>
      <c r="HP15" s="10">
        <f t="shared" si="60"/>
        <v>-2.0800550531038486</v>
      </c>
      <c r="HQ15" s="10" t="str">
        <f t="shared" si="101"/>
        <v>*</v>
      </c>
      <c r="HR15" s="76"/>
      <c r="HS15" s="27">
        <v>411</v>
      </c>
      <c r="HT15" s="28">
        <v>3.781176522580135</v>
      </c>
      <c r="HU15" s="29">
        <v>5.9783013126752264E-2</v>
      </c>
      <c r="HV15" s="10"/>
      <c r="HW15" s="42">
        <v>262</v>
      </c>
      <c r="HX15" s="43">
        <v>3.8144958395928765</v>
      </c>
      <c r="HY15" s="67">
        <v>7.5477996584334073E-2</v>
      </c>
      <c r="HZ15" s="10">
        <f t="shared" si="61"/>
        <v>-0.34604635922289517</v>
      </c>
      <c r="IA15" s="10" t="str">
        <f t="shared" si="62"/>
        <v xml:space="preserve"> </v>
      </c>
      <c r="IB15" s="10"/>
      <c r="IC15" s="42">
        <v>301.53799730000117</v>
      </c>
      <c r="ID15" s="43">
        <v>3.9885854035616757</v>
      </c>
      <c r="IE15" s="67">
        <v>6.4805095948390817E-2</v>
      </c>
      <c r="IF15" s="10">
        <f t="shared" si="63"/>
        <v>-2.3524110210690763</v>
      </c>
      <c r="IG15" s="10" t="str">
        <f t="shared" si="64"/>
        <v>*</v>
      </c>
      <c r="IH15" s="10"/>
      <c r="II15" s="53">
        <v>292</v>
      </c>
      <c r="IJ15" s="55">
        <v>3.9514050247864829</v>
      </c>
      <c r="IK15" s="56">
        <v>6.7012127282017483E-2</v>
      </c>
      <c r="IL15" s="10">
        <f t="shared" si="65"/>
        <v>-1.8955705397578502</v>
      </c>
      <c r="IM15" s="10" t="str">
        <f t="shared" si="66"/>
        <v xml:space="preserve"> </v>
      </c>
      <c r="IN15" s="10"/>
      <c r="IO15" s="54">
        <v>331</v>
      </c>
      <c r="IP15" s="57">
        <v>3.9758647190281451</v>
      </c>
      <c r="IQ15" s="58">
        <v>6.2396583872580284E-2</v>
      </c>
      <c r="IR15" s="10">
        <f t="shared" si="67"/>
        <v>-2.2529761328185658</v>
      </c>
      <c r="IS15" s="10" t="str">
        <f t="shared" si="68"/>
        <v>*</v>
      </c>
      <c r="IT15" s="76"/>
      <c r="IU15" s="27">
        <v>44</v>
      </c>
      <c r="IV15" s="28">
        <v>4.2499999999999982</v>
      </c>
      <c r="IW15" s="29">
        <v>0.1346027154586219</v>
      </c>
      <c r="IX15" s="10"/>
      <c r="IY15" s="42">
        <v>28</v>
      </c>
      <c r="IZ15" s="43">
        <v>4.2866152766064101</v>
      </c>
      <c r="JA15" s="67">
        <v>0.1843065016711925</v>
      </c>
      <c r="JB15" s="10" t="str">
        <f t="shared" si="69"/>
        <v>NV</v>
      </c>
      <c r="JC15" s="10" t="str">
        <f t="shared" si="70"/>
        <v xml:space="preserve"> </v>
      </c>
      <c r="JD15" s="10"/>
      <c r="JE15" s="42">
        <v>32.673939870000005</v>
      </c>
      <c r="JF15" s="43">
        <v>4.454545454545455</v>
      </c>
      <c r="JG15" s="67">
        <v>0.1389543447933082</v>
      </c>
      <c r="JH15" s="10">
        <f t="shared" si="71"/>
        <v>-1.0573090764916859</v>
      </c>
      <c r="JI15" s="10" t="str">
        <f t="shared" si="72"/>
        <v xml:space="preserve"> </v>
      </c>
      <c r="JJ15" s="10"/>
      <c r="JK15" s="53">
        <v>27</v>
      </c>
      <c r="JL15" s="55">
        <v>4.4074074074074057</v>
      </c>
      <c r="JM15" s="56">
        <v>0.18914832626048414</v>
      </c>
      <c r="JN15" s="10" t="str">
        <f t="shared" si="73"/>
        <v>NV</v>
      </c>
      <c r="JO15" s="10" t="str">
        <f t="shared" si="74"/>
        <v xml:space="preserve"> </v>
      </c>
      <c r="JP15" s="10"/>
      <c r="JQ15" s="54">
        <v>51</v>
      </c>
      <c r="JR15" s="57">
        <v>4.3529411764705861</v>
      </c>
      <c r="JS15" s="58">
        <v>0.12901356376923551</v>
      </c>
      <c r="JT15" s="10">
        <f t="shared" si="75"/>
        <v>-0.55212105538003553</v>
      </c>
      <c r="JU15" s="10" t="str">
        <f t="shared" si="76"/>
        <v xml:space="preserve"> </v>
      </c>
      <c r="JV15" s="76"/>
      <c r="JW15" s="27">
        <v>424</v>
      </c>
      <c r="JX15" s="28">
        <v>3.9834098980750463</v>
      </c>
      <c r="JY15" s="29">
        <v>5.719495992606282E-2</v>
      </c>
      <c r="JZ15" s="10"/>
      <c r="KA15" s="42">
        <v>256</v>
      </c>
      <c r="KB15" s="43">
        <v>4.0267761241083395</v>
      </c>
      <c r="KC15" s="67">
        <v>6.6774081936749302E-2</v>
      </c>
      <c r="KD15" s="10">
        <f t="shared" si="77"/>
        <v>-0.49324275802096385</v>
      </c>
      <c r="KE15" s="10" t="str">
        <f t="shared" si="78"/>
        <v xml:space="preserve"> </v>
      </c>
      <c r="KF15" s="10"/>
      <c r="KG15" s="42">
        <v>303.62557474999983</v>
      </c>
      <c r="KH15" s="43">
        <v>4.1498854836832217</v>
      </c>
      <c r="KI15" s="67">
        <v>5.9236906519273387E-2</v>
      </c>
      <c r="KJ15" s="10">
        <f t="shared" si="79"/>
        <v>-2.0217474863515701</v>
      </c>
      <c r="KK15" s="10" t="str">
        <f t="shared" si="80"/>
        <v>*</v>
      </c>
      <c r="KL15" s="10"/>
      <c r="KM15" s="53">
        <v>582</v>
      </c>
      <c r="KN15" s="55">
        <v>3.9955473241440553</v>
      </c>
      <c r="KO15" s="56">
        <v>4.6364008445611116E-2</v>
      </c>
      <c r="KP15" s="10">
        <f t="shared" si="81"/>
        <v>-0.16485097181682223</v>
      </c>
      <c r="KQ15" s="10" t="str">
        <f t="shared" si="82"/>
        <v xml:space="preserve"> </v>
      </c>
      <c r="KR15" s="10"/>
      <c r="KS15" s="54">
        <v>562</v>
      </c>
      <c r="KT15" s="57">
        <v>3.8714351865338528</v>
      </c>
      <c r="KU15" s="58">
        <v>4.8765717386640317E-2</v>
      </c>
      <c r="KV15" s="10">
        <f t="shared" si="83"/>
        <v>1.489773962258895</v>
      </c>
      <c r="KW15" s="10" t="str">
        <f t="shared" si="102"/>
        <v xml:space="preserve"> </v>
      </c>
      <c r="KX15" s="76"/>
      <c r="KY15" s="27">
        <v>140</v>
      </c>
      <c r="KZ15" s="28">
        <v>4.142857142857145</v>
      </c>
      <c r="LA15" s="29">
        <v>8.4594134034459256E-2</v>
      </c>
      <c r="LB15" s="10"/>
      <c r="LC15" s="42">
        <v>138</v>
      </c>
      <c r="LD15" s="43">
        <v>4.2100923951785649</v>
      </c>
      <c r="LE15" s="67">
        <v>7.9277467630188392E-2</v>
      </c>
      <c r="LF15" s="10">
        <f t="shared" si="84"/>
        <v>-0.57993575484332061</v>
      </c>
      <c r="LG15" s="10" t="str">
        <f t="shared" si="85"/>
        <v xml:space="preserve"> </v>
      </c>
      <c r="LH15" s="10"/>
      <c r="LI15" s="42">
        <v>145.86544819</v>
      </c>
      <c r="LJ15" s="43">
        <v>4.226179935957318</v>
      </c>
      <c r="LK15" s="67">
        <v>7.301746264865247E-2</v>
      </c>
      <c r="LL15" s="10">
        <f t="shared" si="86"/>
        <v>-0.7456281389634124</v>
      </c>
      <c r="LM15" s="10" t="str">
        <f t="shared" si="87"/>
        <v xml:space="preserve"> </v>
      </c>
      <c r="LN15" s="10"/>
      <c r="LO15" s="53">
        <v>338</v>
      </c>
      <c r="LP15" s="55">
        <v>3.9497041420118331</v>
      </c>
      <c r="LQ15" s="56">
        <v>6.1002298496568672E-2</v>
      </c>
      <c r="LR15" s="10">
        <f t="shared" si="88"/>
        <v>1.8519870824740807</v>
      </c>
      <c r="LS15" s="10" t="str">
        <f t="shared" si="89"/>
        <v xml:space="preserve"> </v>
      </c>
      <c r="LT15" s="10"/>
      <c r="LU15" s="54">
        <v>347</v>
      </c>
      <c r="LV15" s="57">
        <v>3.9599662683203571</v>
      </c>
      <c r="LW15" s="58">
        <v>6.0562924271475652E-2</v>
      </c>
      <c r="LX15" s="10">
        <f t="shared" si="90"/>
        <v>1.7579132373090929</v>
      </c>
      <c r="LY15" s="10" t="str">
        <f t="shared" si="91"/>
        <v xml:space="preserve"> </v>
      </c>
      <c r="LZ15" s="76"/>
      <c r="MA15" s="27">
        <v>164</v>
      </c>
      <c r="MB15" s="28">
        <v>4.1095678625924705</v>
      </c>
      <c r="MC15" s="29">
        <v>7.8836469483553245E-2</v>
      </c>
      <c r="MD15" s="10"/>
      <c r="ME15" s="42">
        <v>116</v>
      </c>
      <c r="MF15" s="43">
        <v>4.0779132790607919</v>
      </c>
      <c r="MG15" s="67">
        <v>9.9621178620160761E-2</v>
      </c>
      <c r="MH15" s="10">
        <f t="shared" si="92"/>
        <v>0.24916707214266326</v>
      </c>
      <c r="MI15" s="10" t="str">
        <f t="shared" si="93"/>
        <v xml:space="preserve"> </v>
      </c>
      <c r="MJ15" s="10"/>
      <c r="MK15" s="42">
        <v>99.770257839999971</v>
      </c>
      <c r="ML15" s="43">
        <v>4.3553055195752721</v>
      </c>
      <c r="MM15" s="67">
        <v>8.2489982361096906E-2</v>
      </c>
      <c r="MN15" s="10">
        <f t="shared" si="94"/>
        <v>-2.1536235334947196</v>
      </c>
      <c r="MO15" s="10" t="str">
        <f t="shared" si="95"/>
        <v>*</v>
      </c>
      <c r="MP15" s="10"/>
      <c r="MQ15" s="53">
        <v>166</v>
      </c>
      <c r="MR15" s="55">
        <v>4.0043262109134288</v>
      </c>
      <c r="MS15" s="56">
        <v>7.2677509479574992E-2</v>
      </c>
      <c r="MT15" s="10">
        <f t="shared" si="96"/>
        <v>0.98150255959984967</v>
      </c>
      <c r="MU15" s="10" t="str">
        <f t="shared" si="97"/>
        <v xml:space="preserve"> </v>
      </c>
      <c r="MV15" s="10"/>
      <c r="MW15" s="54">
        <v>179</v>
      </c>
      <c r="MX15" s="57">
        <v>4.1606139303437093</v>
      </c>
      <c r="MY15" s="58">
        <v>7.5543404490178809E-2</v>
      </c>
      <c r="MZ15" s="10">
        <f t="shared" si="98"/>
        <v>-0.46750668680677288</v>
      </c>
      <c r="NA15" s="10" t="str">
        <f t="shared" si="103"/>
        <v xml:space="preserve"> </v>
      </c>
      <c r="NB15" s="58"/>
    </row>
    <row r="16" spans="1:366" x14ac:dyDescent="0.2">
      <c r="A16" s="73"/>
      <c r="B16" s="65" t="s">
        <v>18</v>
      </c>
      <c r="C16" s="27">
        <v>421</v>
      </c>
      <c r="D16" s="28">
        <v>3.952644402489367</v>
      </c>
      <c r="E16" s="29">
        <v>5.0898644092719214E-2</v>
      </c>
      <c r="F16" s="10"/>
      <c r="G16" s="42">
        <v>128</v>
      </c>
      <c r="H16" s="43">
        <v>3.6486159946270318</v>
      </c>
      <c r="I16" s="67">
        <v>0.11320230511299428</v>
      </c>
      <c r="J16" s="10">
        <f t="shared" si="1"/>
        <v>2.4494986159490981</v>
      </c>
      <c r="K16" s="10" t="str">
        <f t="shared" si="2"/>
        <v>*</v>
      </c>
      <c r="L16" s="10"/>
      <c r="M16" s="42">
        <v>72.781739100000053</v>
      </c>
      <c r="N16" s="43">
        <v>3.785714285714286</v>
      </c>
      <c r="O16" s="67">
        <v>0.11784936749809126</v>
      </c>
      <c r="P16" s="10">
        <f t="shared" si="3"/>
        <v>1.3003712362520554</v>
      </c>
      <c r="Q16" s="10" t="str">
        <f t="shared" si="4"/>
        <v xml:space="preserve"> </v>
      </c>
      <c r="R16" s="10"/>
      <c r="S16" s="53">
        <v>131</v>
      </c>
      <c r="T16" s="55">
        <v>3.5267175572519087</v>
      </c>
      <c r="U16" s="56">
        <v>9.4663004043004442E-2</v>
      </c>
      <c r="V16" s="10">
        <f t="shared" si="5"/>
        <v>3.9628807543667879</v>
      </c>
      <c r="W16" s="10" t="str">
        <f t="shared" si="6"/>
        <v>*</v>
      </c>
      <c r="X16" s="10"/>
      <c r="Y16" s="54">
        <v>211</v>
      </c>
      <c r="Z16" s="57">
        <v>3.0473933649289084</v>
      </c>
      <c r="AA16" s="58">
        <v>7.4827922961672969E-2</v>
      </c>
      <c r="AB16" s="10">
        <f t="shared" si="7"/>
        <v>10.00299372200605</v>
      </c>
      <c r="AC16" s="10" t="str">
        <f t="shared" si="8"/>
        <v>*</v>
      </c>
      <c r="AD16" s="76"/>
      <c r="AE16" s="27">
        <v>92</v>
      </c>
      <c r="AF16" s="28">
        <v>3.9043554166903691</v>
      </c>
      <c r="AG16" s="29">
        <v>0.10199101982989991</v>
      </c>
      <c r="AH16" s="67"/>
      <c r="AI16" s="42">
        <v>46</v>
      </c>
      <c r="AJ16" s="43">
        <v>4.0437912977782489</v>
      </c>
      <c r="AK16" s="67">
        <v>0.17504316516057311</v>
      </c>
      <c r="AL16" s="10">
        <f t="shared" si="9"/>
        <v>-0.68826996415609831</v>
      </c>
      <c r="AM16" s="10" t="str">
        <f t="shared" si="10"/>
        <v xml:space="preserve"> </v>
      </c>
      <c r="AN16" s="67"/>
      <c r="AO16" s="42">
        <v>36.304101420000002</v>
      </c>
      <c r="AP16" s="43">
        <v>4.1578947368421053</v>
      </c>
      <c r="AQ16" s="67">
        <v>0.16619010023131434</v>
      </c>
      <c r="AR16" s="10">
        <f t="shared" si="11"/>
        <v>-1.3002646041605987</v>
      </c>
      <c r="AS16" s="10" t="str">
        <f t="shared" si="12"/>
        <v xml:space="preserve"> </v>
      </c>
      <c r="AT16" s="10"/>
      <c r="AU16" s="53">
        <v>67</v>
      </c>
      <c r="AV16" s="55">
        <v>3.5652298729249265</v>
      </c>
      <c r="AW16" s="56">
        <v>0.16260699336941895</v>
      </c>
      <c r="AX16" s="10">
        <f t="shared" si="13"/>
        <v>1.7667773259174007</v>
      </c>
      <c r="AY16" s="10" t="str">
        <f t="shared" si="14"/>
        <v xml:space="preserve"> </v>
      </c>
      <c r="AZ16" s="10"/>
      <c r="BA16" s="54">
        <v>25</v>
      </c>
      <c r="BB16" s="57">
        <v>2.9204757745444039</v>
      </c>
      <c r="BC16" s="58">
        <v>0.22463107361439036</v>
      </c>
      <c r="BD16" s="10" t="str">
        <f t="shared" si="15"/>
        <v>NV</v>
      </c>
      <c r="BE16" s="10" t="str">
        <f t="shared" si="16"/>
        <v xml:space="preserve"> </v>
      </c>
      <c r="BF16" s="76"/>
      <c r="BG16" s="27">
        <v>1018</v>
      </c>
      <c r="BH16" s="28">
        <v>3.882201630426231</v>
      </c>
      <c r="BI16" s="29">
        <v>3.4891803944564988E-2</v>
      </c>
      <c r="BJ16" s="10"/>
      <c r="BK16" s="42">
        <v>296</v>
      </c>
      <c r="BL16" s="43">
        <v>3.8474719717906236</v>
      </c>
      <c r="BM16" s="67">
        <v>6.5866143494315368E-2</v>
      </c>
      <c r="BN16" s="10">
        <f t="shared" si="17"/>
        <v>0.46593756654307528</v>
      </c>
      <c r="BO16" s="10" t="str">
        <f t="shared" si="18"/>
        <v xml:space="preserve"> </v>
      </c>
      <c r="BP16" s="10"/>
      <c r="BQ16" s="42">
        <v>79.581027420000055</v>
      </c>
      <c r="BR16" s="43">
        <v>3.6546616559125602</v>
      </c>
      <c r="BS16" s="67">
        <v>0.1303334915158412</v>
      </c>
      <c r="BT16" s="10">
        <f t="shared" si="19"/>
        <v>1.6864412878242252</v>
      </c>
      <c r="BU16" s="10" t="str">
        <f t="shared" si="20"/>
        <v xml:space="preserve"> </v>
      </c>
      <c r="BV16" s="10"/>
      <c r="BW16" s="53">
        <v>181</v>
      </c>
      <c r="BX16" s="55">
        <v>2.5918618069661497</v>
      </c>
      <c r="BY16" s="56">
        <v>5.5920034149423155E-2</v>
      </c>
      <c r="BZ16" s="10">
        <f t="shared" si="21"/>
        <v>19.576488334485852</v>
      </c>
      <c r="CA16" s="10" t="str">
        <f t="shared" si="22"/>
        <v>*</v>
      </c>
      <c r="CB16" s="10"/>
      <c r="CC16" s="54">
        <v>295</v>
      </c>
      <c r="CD16" s="57">
        <v>3.3019524103038362</v>
      </c>
      <c r="CE16" s="58">
        <v>7.0946492583546683E-2</v>
      </c>
      <c r="CF16" s="10">
        <f t="shared" si="23"/>
        <v>7.339141771332776</v>
      </c>
      <c r="CG16" s="10" t="str">
        <f t="shared" si="24"/>
        <v>*</v>
      </c>
      <c r="CH16" s="76"/>
      <c r="CI16" s="27">
        <v>567</v>
      </c>
      <c r="CJ16" s="28">
        <v>3.9493353911584701</v>
      </c>
      <c r="CK16" s="29">
        <v>4.6285511077764414E-2</v>
      </c>
      <c r="CL16" s="67"/>
      <c r="CM16" s="42">
        <v>175</v>
      </c>
      <c r="CN16" s="43">
        <v>3.9485336213834938</v>
      </c>
      <c r="CO16" s="67">
        <v>8.228678392582929E-2</v>
      </c>
      <c r="CP16" s="10">
        <f t="shared" si="25"/>
        <v>8.4923217270132054E-3</v>
      </c>
      <c r="CQ16" s="10" t="str">
        <f t="shared" si="26"/>
        <v xml:space="preserve"> </v>
      </c>
      <c r="CR16" s="10"/>
      <c r="CS16" s="42">
        <v>166.82754602999978</v>
      </c>
      <c r="CT16" s="43">
        <v>3.9907332607426707</v>
      </c>
      <c r="CU16" s="67">
        <v>8.1432076869933118E-2</v>
      </c>
      <c r="CV16" s="10">
        <f t="shared" si="27"/>
        <v>-0.44196794066445716</v>
      </c>
      <c r="CW16" s="10" t="str">
        <f t="shared" si="28"/>
        <v xml:space="preserve"> </v>
      </c>
      <c r="CX16" s="10"/>
      <c r="CY16" s="53">
        <v>170</v>
      </c>
      <c r="CZ16" s="55">
        <v>4.0177889181244852</v>
      </c>
      <c r="DA16" s="56">
        <v>8.4954269356128514E-2</v>
      </c>
      <c r="DB16" s="10">
        <f t="shared" si="29"/>
        <v>-0.7075672645715656</v>
      </c>
      <c r="DC16" s="10" t="str">
        <f t="shared" si="0"/>
        <v xml:space="preserve"> </v>
      </c>
      <c r="DD16" s="10"/>
      <c r="DE16" s="54">
        <v>167</v>
      </c>
      <c r="DF16" s="57">
        <v>3.5841463051216209</v>
      </c>
      <c r="DG16" s="58">
        <v>9.1177690398928993E-2</v>
      </c>
      <c r="DH16" s="10">
        <f t="shared" si="30"/>
        <v>3.5714191461110647</v>
      </c>
      <c r="DI16" s="10" t="str">
        <f t="shared" si="31"/>
        <v>*</v>
      </c>
      <c r="DJ16" s="76"/>
      <c r="DK16" s="27">
        <v>199</v>
      </c>
      <c r="DL16" s="28">
        <v>4.0653055696095137</v>
      </c>
      <c r="DM16" s="29">
        <v>6.9055620724688099E-2</v>
      </c>
      <c r="DN16" s="10"/>
      <c r="DO16" s="42">
        <v>77</v>
      </c>
      <c r="DP16" s="43">
        <v>3.7030307035943353</v>
      </c>
      <c r="DQ16" s="67">
        <v>0.13858903435855441</v>
      </c>
      <c r="DR16" s="10">
        <f t="shared" si="32"/>
        <v>2.3396638753952357</v>
      </c>
      <c r="DS16" s="10" t="str">
        <f t="shared" si="33"/>
        <v>*</v>
      </c>
      <c r="DT16" s="10"/>
      <c r="DU16" s="42">
        <v>70.111684560000043</v>
      </c>
      <c r="DV16" s="43">
        <v>3.5907835388629552</v>
      </c>
      <c r="DW16" s="67">
        <v>0.13358718120477028</v>
      </c>
      <c r="DX16" s="10">
        <f t="shared" si="34"/>
        <v>3.1554814689192812</v>
      </c>
      <c r="DY16" s="10" t="str">
        <f t="shared" si="35"/>
        <v>*</v>
      </c>
      <c r="DZ16" s="10"/>
      <c r="EA16" s="53">
        <v>66</v>
      </c>
      <c r="EB16" s="55">
        <v>3.5075954428367884</v>
      </c>
      <c r="EC16" s="56">
        <v>0.13242397649850352</v>
      </c>
      <c r="ED16" s="10">
        <f t="shared" si="36"/>
        <v>3.7343023464008254</v>
      </c>
      <c r="EE16" s="10" t="str">
        <f t="shared" si="37"/>
        <v>*</v>
      </c>
      <c r="EF16" s="10"/>
      <c r="EG16" s="54">
        <v>57</v>
      </c>
      <c r="EH16" s="57">
        <v>4</v>
      </c>
      <c r="EI16" s="58">
        <v>0.10973865906478568</v>
      </c>
      <c r="EJ16" s="10">
        <f t="shared" si="38"/>
        <v>0.50367476454015325</v>
      </c>
      <c r="EK16" s="10" t="str">
        <f t="shared" si="39"/>
        <v xml:space="preserve"> </v>
      </c>
      <c r="EL16" s="76"/>
      <c r="EM16" s="27">
        <v>416</v>
      </c>
      <c r="EN16" s="28">
        <v>3.9765123217624971</v>
      </c>
      <c r="EO16" s="29">
        <v>5.0570507197901973E-2</v>
      </c>
      <c r="EP16" s="10"/>
      <c r="EQ16" s="42">
        <v>135</v>
      </c>
      <c r="ER16" s="43">
        <v>4.0214828199250281</v>
      </c>
      <c r="ES16" s="67">
        <v>9.0088195382114378E-2</v>
      </c>
      <c r="ET16" s="10">
        <f t="shared" si="40"/>
        <v>-0.43529048238446549</v>
      </c>
      <c r="EU16" s="10" t="str">
        <f t="shared" si="41"/>
        <v xml:space="preserve"> </v>
      </c>
      <c r="EV16" s="10"/>
      <c r="EW16" s="42">
        <v>86.829478590000036</v>
      </c>
      <c r="EX16" s="43">
        <v>3.5812349976015216</v>
      </c>
      <c r="EY16" s="67">
        <v>0.13661869613327204</v>
      </c>
      <c r="EZ16" s="10">
        <f t="shared" si="42"/>
        <v>2.7133654594090943</v>
      </c>
      <c r="FA16" s="10" t="str">
        <f t="shared" si="43"/>
        <v>*</v>
      </c>
      <c r="FB16" s="10"/>
      <c r="FC16" s="53">
        <v>127</v>
      </c>
      <c r="FD16" s="55">
        <v>3.8467756285899135</v>
      </c>
      <c r="FE16" s="56">
        <v>9.5152466267217378E-2</v>
      </c>
      <c r="FF16" s="10">
        <f t="shared" si="44"/>
        <v>1.2039851455642834</v>
      </c>
      <c r="FG16" s="10" t="str">
        <f t="shared" si="45"/>
        <v xml:space="preserve"> </v>
      </c>
      <c r="FH16" s="10"/>
      <c r="FI16" s="54">
        <v>152</v>
      </c>
      <c r="FJ16" s="57">
        <v>2.9548463506103615</v>
      </c>
      <c r="FK16" s="58">
        <v>8.8668664733650954E-2</v>
      </c>
      <c r="FL16" s="10">
        <f t="shared" si="46"/>
        <v>10.008876164074794</v>
      </c>
      <c r="FM16" s="10" t="str">
        <f t="shared" si="99"/>
        <v>*</v>
      </c>
      <c r="FN16" s="76"/>
      <c r="FO16" s="27">
        <v>190</v>
      </c>
      <c r="FP16" s="28">
        <v>4.1130615695820971</v>
      </c>
      <c r="FQ16" s="29">
        <v>7.435971724021978E-2</v>
      </c>
      <c r="FR16" s="67"/>
      <c r="FS16" s="42">
        <v>134</v>
      </c>
      <c r="FT16" s="43">
        <v>4.053601161515398</v>
      </c>
      <c r="FU16" s="67">
        <v>9.166766219140654E-2</v>
      </c>
      <c r="FV16" s="10">
        <f t="shared" si="47"/>
        <v>0.5037511409108355</v>
      </c>
      <c r="FW16" s="10" t="str">
        <f t="shared" si="48"/>
        <v xml:space="preserve"> </v>
      </c>
      <c r="FX16" s="67"/>
      <c r="FY16" s="42">
        <v>159.10977408000008</v>
      </c>
      <c r="FZ16" s="43">
        <v>4.0579992088692141</v>
      </c>
      <c r="GA16" s="67">
        <v>8.7035398559918639E-2</v>
      </c>
      <c r="GB16" s="10">
        <f t="shared" si="49"/>
        <v>0.48099895529173986</v>
      </c>
      <c r="GC16" s="10" t="str">
        <f t="shared" si="50"/>
        <v xml:space="preserve"> </v>
      </c>
      <c r="GD16" s="10"/>
      <c r="GE16" s="53">
        <v>160</v>
      </c>
      <c r="GF16" s="55">
        <v>3.8668570833211171</v>
      </c>
      <c r="GG16" s="56">
        <v>9.1455976994954918E-2</v>
      </c>
      <c r="GH16" s="10">
        <f t="shared" si="51"/>
        <v>2.0887628783764969</v>
      </c>
      <c r="GI16" s="10" t="str">
        <f t="shared" si="52"/>
        <v>*</v>
      </c>
      <c r="GJ16" s="10"/>
      <c r="GK16" s="54">
        <v>155</v>
      </c>
      <c r="GL16" s="57">
        <v>3.9033095392718131</v>
      </c>
      <c r="GM16" s="58">
        <v>8.340681324870447E-2</v>
      </c>
      <c r="GN16" s="10">
        <f t="shared" si="53"/>
        <v>1.8771258662917432</v>
      </c>
      <c r="GO16" s="10" t="str">
        <f t="shared" si="100"/>
        <v xml:space="preserve"> </v>
      </c>
      <c r="GP16" s="76"/>
      <c r="GQ16" s="27">
        <v>206</v>
      </c>
      <c r="GR16" s="28">
        <v>3.931637247522072</v>
      </c>
      <c r="GS16" s="29">
        <v>7.9204151618917584E-2</v>
      </c>
      <c r="GT16" s="10"/>
      <c r="GU16" s="42">
        <v>121</v>
      </c>
      <c r="GV16" s="43">
        <v>3.8403053855870244</v>
      </c>
      <c r="GW16" s="67">
        <v>0.11611414155455102</v>
      </c>
      <c r="GX16" s="10">
        <f t="shared" si="54"/>
        <v>0.64979309860587375</v>
      </c>
      <c r="GY16" s="10" t="str">
        <f t="shared" si="55"/>
        <v xml:space="preserve"> </v>
      </c>
      <c r="GZ16" s="10"/>
      <c r="HA16" s="42">
        <v>115.7193620299999</v>
      </c>
      <c r="HB16" s="43">
        <v>4.0012897293709688</v>
      </c>
      <c r="HC16" s="67">
        <v>0.112079995783368</v>
      </c>
      <c r="HD16" s="10">
        <f t="shared" si="56"/>
        <v>-0.50751772149912555</v>
      </c>
      <c r="HE16" s="10" t="str">
        <f t="shared" si="57"/>
        <v xml:space="preserve"> </v>
      </c>
      <c r="HF16" s="10"/>
      <c r="HG16" s="53">
        <v>81</v>
      </c>
      <c r="HH16" s="55">
        <v>4.2347087228346316</v>
      </c>
      <c r="HI16" s="56">
        <v>9.0322995924481342E-2</v>
      </c>
      <c r="HJ16" s="10">
        <f t="shared" si="58"/>
        <v>-2.5228341776690053</v>
      </c>
      <c r="HK16" s="10" t="str">
        <f t="shared" si="59"/>
        <v>*</v>
      </c>
      <c r="HL16" s="10"/>
      <c r="HM16" s="54">
        <v>136</v>
      </c>
      <c r="HN16" s="57">
        <v>4.1259484068114833</v>
      </c>
      <c r="HO16" s="58">
        <v>8.7578107098202254E-2</v>
      </c>
      <c r="HP16" s="10">
        <f t="shared" si="60"/>
        <v>-1.6455692540046212</v>
      </c>
      <c r="HQ16" s="10" t="str">
        <f t="shared" si="101"/>
        <v xml:space="preserve"> </v>
      </c>
      <c r="HR16" s="76"/>
      <c r="HS16" s="27">
        <v>427</v>
      </c>
      <c r="HT16" s="28">
        <v>3.7748502721237736</v>
      </c>
      <c r="HU16" s="29">
        <v>5.8551583894866428E-2</v>
      </c>
      <c r="HV16" s="10"/>
      <c r="HW16" s="42">
        <v>284</v>
      </c>
      <c r="HX16" s="43">
        <v>3.7620514755163419</v>
      </c>
      <c r="HY16" s="67">
        <v>7.2781883298095415E-2</v>
      </c>
      <c r="HZ16" s="10">
        <f t="shared" si="61"/>
        <v>0.13701692359234191</v>
      </c>
      <c r="IA16" s="10" t="str">
        <f t="shared" si="62"/>
        <v xml:space="preserve"> </v>
      </c>
      <c r="IB16" s="10"/>
      <c r="IC16" s="42">
        <v>319.26201899000085</v>
      </c>
      <c r="ID16" s="43">
        <v>3.7469973074607101</v>
      </c>
      <c r="IE16" s="67">
        <v>6.5827051073528695E-2</v>
      </c>
      <c r="IF16" s="10">
        <f t="shared" si="63"/>
        <v>0.31615417068939444</v>
      </c>
      <c r="IG16" s="10" t="str">
        <f t="shared" si="64"/>
        <v xml:space="preserve"> </v>
      </c>
      <c r="IH16" s="10"/>
      <c r="II16" s="53">
        <v>298</v>
      </c>
      <c r="IJ16" s="55">
        <v>3.8599602438042435</v>
      </c>
      <c r="IK16" s="56">
        <v>6.5810906811700279E-2</v>
      </c>
      <c r="IL16" s="10">
        <f t="shared" si="65"/>
        <v>-0.96620081420260429</v>
      </c>
      <c r="IM16" s="10" t="str">
        <f t="shared" si="66"/>
        <v xml:space="preserve"> </v>
      </c>
      <c r="IN16" s="10"/>
      <c r="IO16" s="54">
        <v>337</v>
      </c>
      <c r="IP16" s="57">
        <v>3.8975056687092775</v>
      </c>
      <c r="IQ16" s="58">
        <v>6.0003068253392224E-2</v>
      </c>
      <c r="IR16" s="10">
        <f t="shared" si="67"/>
        <v>-1.4630208363317154</v>
      </c>
      <c r="IS16" s="10" t="str">
        <f t="shared" si="68"/>
        <v xml:space="preserve"> </v>
      </c>
      <c r="IT16" s="76"/>
      <c r="IU16" s="27">
        <v>39</v>
      </c>
      <c r="IV16" s="28">
        <v>4.4871794871794881</v>
      </c>
      <c r="IW16" s="29">
        <v>0.12662916358723955</v>
      </c>
      <c r="IX16" s="10"/>
      <c r="IY16" s="42">
        <v>26</v>
      </c>
      <c r="IZ16" s="43">
        <v>4.4607250757076615</v>
      </c>
      <c r="JA16" s="67">
        <v>0.17751613896626822</v>
      </c>
      <c r="JB16" s="10" t="str">
        <f t="shared" si="69"/>
        <v>NV</v>
      </c>
      <c r="JC16" s="10" t="str">
        <f t="shared" si="70"/>
        <v xml:space="preserve"> </v>
      </c>
      <c r="JD16" s="10"/>
      <c r="JE16" s="42">
        <v>28.713462310000004</v>
      </c>
      <c r="JF16" s="43">
        <v>4.4137931034482749</v>
      </c>
      <c r="JG16" s="67">
        <v>0.1538955803229429</v>
      </c>
      <c r="JH16" s="10" t="str">
        <f t="shared" si="71"/>
        <v>NV</v>
      </c>
      <c r="JI16" s="10" t="str">
        <f t="shared" si="72"/>
        <v xml:space="preserve"> </v>
      </c>
      <c r="JJ16" s="10"/>
      <c r="JK16" s="53">
        <v>24</v>
      </c>
      <c r="JL16" s="55">
        <v>4.708333333333333</v>
      </c>
      <c r="JM16" s="56">
        <v>0.1289417500326708</v>
      </c>
      <c r="JN16" s="10" t="str">
        <f t="shared" si="73"/>
        <v>NV</v>
      </c>
      <c r="JO16" s="10" t="str">
        <f t="shared" si="74"/>
        <v xml:space="preserve"> </v>
      </c>
      <c r="JP16" s="10"/>
      <c r="JQ16" s="54">
        <v>37</v>
      </c>
      <c r="JR16" s="57">
        <v>4.2162162162162167</v>
      </c>
      <c r="JS16" s="58">
        <v>0.18867778488583603</v>
      </c>
      <c r="JT16" s="10">
        <f t="shared" si="75"/>
        <v>1.1924535835883969</v>
      </c>
      <c r="JU16" s="10" t="str">
        <f t="shared" si="76"/>
        <v xml:space="preserve"> </v>
      </c>
      <c r="JV16" s="76"/>
      <c r="JW16" s="27">
        <v>446</v>
      </c>
      <c r="JX16" s="28">
        <v>3.9774398954609183</v>
      </c>
      <c r="JY16" s="29">
        <v>5.2238269977748428E-2</v>
      </c>
      <c r="JZ16" s="10"/>
      <c r="KA16" s="42">
        <v>258</v>
      </c>
      <c r="KB16" s="43">
        <v>3.9341864716464565</v>
      </c>
      <c r="KC16" s="67">
        <v>7.1433038547692354E-2</v>
      </c>
      <c r="KD16" s="10">
        <f t="shared" si="77"/>
        <v>0.48876215966395098</v>
      </c>
      <c r="KE16" s="10" t="str">
        <f t="shared" si="78"/>
        <v xml:space="preserve"> </v>
      </c>
      <c r="KF16" s="10"/>
      <c r="KG16" s="42">
        <v>297.01263687999972</v>
      </c>
      <c r="KH16" s="43">
        <v>4.3315085904233088</v>
      </c>
      <c r="KI16" s="67">
        <v>4.9129634631746431E-2</v>
      </c>
      <c r="KJ16" s="10">
        <f t="shared" si="79"/>
        <v>-4.9373957323830222</v>
      </c>
      <c r="KK16" s="10" t="str">
        <f t="shared" si="80"/>
        <v>*</v>
      </c>
      <c r="KL16" s="10"/>
      <c r="KM16" s="53">
        <v>572</v>
      </c>
      <c r="KN16" s="55">
        <v>4.0071452347579468</v>
      </c>
      <c r="KO16" s="56">
        <v>4.4081039661917072E-2</v>
      </c>
      <c r="KP16" s="10">
        <f t="shared" si="81"/>
        <v>-0.43459454069362075</v>
      </c>
      <c r="KQ16" s="10" t="str">
        <f t="shared" si="82"/>
        <v xml:space="preserve"> </v>
      </c>
      <c r="KR16" s="10"/>
      <c r="KS16" s="54">
        <v>562</v>
      </c>
      <c r="KT16" s="57">
        <v>4.0069039311898864</v>
      </c>
      <c r="KU16" s="58">
        <v>4.4184971326417043E-2</v>
      </c>
      <c r="KV16" s="10">
        <f t="shared" si="83"/>
        <v>-0.43064164060745913</v>
      </c>
      <c r="KW16" s="10" t="str">
        <f t="shared" si="102"/>
        <v xml:space="preserve"> </v>
      </c>
      <c r="KX16" s="76"/>
      <c r="KY16" s="27">
        <v>126</v>
      </c>
      <c r="KZ16" s="28">
        <v>4.190476190476188</v>
      </c>
      <c r="LA16" s="29">
        <v>8.2623002830560857E-2</v>
      </c>
      <c r="LB16" s="10"/>
      <c r="LC16" s="42">
        <v>133</v>
      </c>
      <c r="LD16" s="43">
        <v>4.1503171559356273</v>
      </c>
      <c r="LE16" s="67">
        <v>9.0861851018181103E-2</v>
      </c>
      <c r="LF16" s="10">
        <f t="shared" si="84"/>
        <v>0.32699981706413905</v>
      </c>
      <c r="LG16" s="10" t="str">
        <f t="shared" si="85"/>
        <v xml:space="preserve"> </v>
      </c>
      <c r="LH16" s="10"/>
      <c r="LI16" s="42">
        <v>160.71723903999984</v>
      </c>
      <c r="LJ16" s="43">
        <v>4.1806362549743339</v>
      </c>
      <c r="LK16" s="67">
        <v>6.8041178552055687E-2</v>
      </c>
      <c r="LL16" s="10">
        <f t="shared" si="86"/>
        <v>9.1933261482500486E-2</v>
      </c>
      <c r="LM16" s="10" t="str">
        <f t="shared" si="87"/>
        <v xml:space="preserve"> </v>
      </c>
      <c r="LN16" s="10"/>
      <c r="LO16" s="53">
        <v>330</v>
      </c>
      <c r="LP16" s="55">
        <v>3.8484848484848468</v>
      </c>
      <c r="LQ16" s="56">
        <v>6.1286049808988489E-2</v>
      </c>
      <c r="LR16" s="10">
        <f t="shared" si="88"/>
        <v>3.324452574465699</v>
      </c>
      <c r="LS16" s="10" t="str">
        <f t="shared" si="89"/>
        <v>*</v>
      </c>
      <c r="LT16" s="10"/>
      <c r="LU16" s="54">
        <v>325</v>
      </c>
      <c r="LV16" s="57">
        <v>4.0525540694523583</v>
      </c>
      <c r="LW16" s="58">
        <v>5.8548819546661343E-2</v>
      </c>
      <c r="LX16" s="10">
        <f t="shared" si="90"/>
        <v>1.3619970157565426</v>
      </c>
      <c r="LY16" s="10" t="str">
        <f t="shared" si="91"/>
        <v xml:space="preserve"> </v>
      </c>
      <c r="LZ16" s="76"/>
      <c r="MA16" s="27">
        <v>152</v>
      </c>
      <c r="MB16" s="28">
        <v>4.230420954348812</v>
      </c>
      <c r="MC16" s="29">
        <v>7.666551363060449E-2</v>
      </c>
      <c r="MD16" s="10"/>
      <c r="ME16" s="42">
        <v>101</v>
      </c>
      <c r="MF16" s="43">
        <v>4.0603230198408689</v>
      </c>
      <c r="MG16" s="67">
        <v>0.10890374502599669</v>
      </c>
      <c r="MH16" s="10">
        <f t="shared" si="92"/>
        <v>1.2771775770475511</v>
      </c>
      <c r="MI16" s="10" t="str">
        <f t="shared" si="93"/>
        <v xml:space="preserve"> </v>
      </c>
      <c r="MJ16" s="10"/>
      <c r="MK16" s="42">
        <v>93.670592569999954</v>
      </c>
      <c r="ML16" s="43">
        <v>4.3767455014617074</v>
      </c>
      <c r="MM16" s="67">
        <v>8.9900127240412367E-2</v>
      </c>
      <c r="MN16" s="10">
        <f t="shared" si="94"/>
        <v>-1.238454840317442</v>
      </c>
      <c r="MO16" s="10" t="str">
        <f t="shared" si="95"/>
        <v xml:space="preserve"> </v>
      </c>
      <c r="MP16" s="10"/>
      <c r="MQ16" s="53">
        <v>169</v>
      </c>
      <c r="MR16" s="55">
        <v>4.0303290052744245</v>
      </c>
      <c r="MS16" s="56">
        <v>8.0336641304309328E-2</v>
      </c>
      <c r="MT16" s="10">
        <f t="shared" si="96"/>
        <v>1.8018569390801757</v>
      </c>
      <c r="MU16" s="10" t="str">
        <f t="shared" si="97"/>
        <v xml:space="preserve"> </v>
      </c>
      <c r="MV16" s="10"/>
      <c r="MW16" s="54">
        <v>183</v>
      </c>
      <c r="MX16" s="57">
        <v>4.1231813785595008</v>
      </c>
      <c r="MY16" s="58">
        <v>7.6349979090674661E-2</v>
      </c>
      <c r="MZ16" s="10">
        <f t="shared" si="98"/>
        <v>0.99113715453070372</v>
      </c>
      <c r="NA16" s="10" t="str">
        <f t="shared" si="103"/>
        <v xml:space="preserve"> </v>
      </c>
      <c r="NB16" s="58"/>
    </row>
    <row r="17" spans="1:366" x14ac:dyDescent="0.2">
      <c r="B17" s="65" t="s">
        <v>19</v>
      </c>
      <c r="C17" s="27">
        <v>406</v>
      </c>
      <c r="D17" s="28">
        <v>3.8179099400901833</v>
      </c>
      <c r="E17" s="29">
        <v>5.4835468162202229E-2</v>
      </c>
      <c r="F17" s="10"/>
      <c r="G17" s="42">
        <v>122</v>
      </c>
      <c r="H17" s="43">
        <v>3.631008742354739</v>
      </c>
      <c r="I17" s="67">
        <v>0.11448041855462449</v>
      </c>
      <c r="J17" s="10">
        <f t="shared" si="1"/>
        <v>1.4724074087422463</v>
      </c>
      <c r="K17" s="10" t="str">
        <f t="shared" si="2"/>
        <v xml:space="preserve"> </v>
      </c>
      <c r="L17" s="10"/>
      <c r="M17" s="42">
        <v>72.781739100000053</v>
      </c>
      <c r="N17" s="43">
        <v>3.7571428571428562</v>
      </c>
      <c r="O17" s="67">
        <v>0.12042665785016292</v>
      </c>
      <c r="P17" s="10">
        <f t="shared" si="3"/>
        <v>0.45923122672610495</v>
      </c>
      <c r="Q17" s="10" t="str">
        <f t="shared" si="4"/>
        <v xml:space="preserve"> </v>
      </c>
      <c r="R17" s="10"/>
      <c r="S17" s="53">
        <v>126</v>
      </c>
      <c r="T17" s="55">
        <v>3.6984126984126977</v>
      </c>
      <c r="U17" s="56">
        <v>8.8923078245410833E-2</v>
      </c>
      <c r="V17" s="10">
        <f t="shared" si="5"/>
        <v>1.1438289465720612</v>
      </c>
      <c r="W17" s="10" t="str">
        <f t="shared" si="6"/>
        <v xml:space="preserve"> </v>
      </c>
      <c r="X17" s="10"/>
      <c r="Y17" s="54">
        <v>210</v>
      </c>
      <c r="Z17" s="57">
        <v>3.3238095238095235</v>
      </c>
      <c r="AA17" s="58">
        <v>6.9170840016267901E-2</v>
      </c>
      <c r="AB17" s="10">
        <f t="shared" si="7"/>
        <v>5.5976242674476326</v>
      </c>
      <c r="AC17" s="10" t="str">
        <f t="shared" si="8"/>
        <v>*</v>
      </c>
      <c r="AD17" s="76"/>
      <c r="AE17" s="27">
        <v>88</v>
      </c>
      <c r="AF17" s="28">
        <v>3.8409386415773552</v>
      </c>
      <c r="AG17" s="29">
        <v>0.10283247787043757</v>
      </c>
      <c r="AH17" s="67"/>
      <c r="AI17" s="42">
        <v>47</v>
      </c>
      <c r="AJ17" s="43">
        <v>4.0854362226253587</v>
      </c>
      <c r="AK17" s="67">
        <v>0.16547115023610792</v>
      </c>
      <c r="AL17" s="10">
        <f t="shared" si="9"/>
        <v>-1.2549857941959057</v>
      </c>
      <c r="AM17" s="10" t="str">
        <f t="shared" si="10"/>
        <v xml:space="preserve"> </v>
      </c>
      <c r="AN17" s="67"/>
      <c r="AO17" s="42">
        <v>37.259472510000002</v>
      </c>
      <c r="AP17" s="43">
        <v>4.1025641025641022</v>
      </c>
      <c r="AQ17" s="67">
        <v>0.18344827738166231</v>
      </c>
      <c r="AR17" s="10">
        <f t="shared" si="11"/>
        <v>-1.244034407322135</v>
      </c>
      <c r="AS17" s="10" t="str">
        <f t="shared" si="12"/>
        <v xml:space="preserve"> </v>
      </c>
      <c r="AT17" s="10"/>
      <c r="AU17" s="53">
        <v>68</v>
      </c>
      <c r="AV17" s="55">
        <v>3.671460911473801</v>
      </c>
      <c r="AW17" s="56">
        <v>0.14256382888540772</v>
      </c>
      <c r="AX17" s="10">
        <f t="shared" si="13"/>
        <v>0.96414128685073675</v>
      </c>
      <c r="AY17" s="10" t="str">
        <f t="shared" si="14"/>
        <v xml:space="preserve"> </v>
      </c>
      <c r="AZ17" s="10"/>
      <c r="BA17" s="54">
        <v>24</v>
      </c>
      <c r="BB17" s="57">
        <v>3.6480824636839015</v>
      </c>
      <c r="BC17" s="58">
        <v>0.17358550851135515</v>
      </c>
      <c r="BD17" s="10" t="str">
        <f t="shared" si="15"/>
        <v>NV</v>
      </c>
      <c r="BE17" s="10" t="str">
        <f t="shared" si="16"/>
        <v xml:space="preserve"> </v>
      </c>
      <c r="BF17" s="76"/>
      <c r="BG17" s="27">
        <v>998</v>
      </c>
      <c r="BH17" s="28">
        <v>3.8211655306908061</v>
      </c>
      <c r="BI17" s="29">
        <v>3.5205461189562803E-2</v>
      </c>
      <c r="BJ17" s="10"/>
      <c r="BK17" s="42">
        <v>295</v>
      </c>
      <c r="BL17" s="43">
        <v>3.8169668072655578</v>
      </c>
      <c r="BM17" s="67">
        <v>6.5900655515344811E-2</v>
      </c>
      <c r="BN17" s="10">
        <f t="shared" si="17"/>
        <v>5.6196577797133107E-2</v>
      </c>
      <c r="BO17" s="10" t="str">
        <f t="shared" si="18"/>
        <v xml:space="preserve"> </v>
      </c>
      <c r="BP17" s="10"/>
      <c r="BQ17" s="42">
        <v>77.501549160000053</v>
      </c>
      <c r="BR17" s="43">
        <v>3.6845542941402547</v>
      </c>
      <c r="BS17" s="67">
        <v>0.11617279832114887</v>
      </c>
      <c r="BT17" s="10">
        <f t="shared" si="19"/>
        <v>1.1253907520757711</v>
      </c>
      <c r="BU17" s="10" t="str">
        <f t="shared" si="20"/>
        <v xml:space="preserve"> </v>
      </c>
      <c r="BV17" s="10"/>
      <c r="BW17" s="53">
        <v>177</v>
      </c>
      <c r="BX17" s="55">
        <v>3.4763752143078839</v>
      </c>
      <c r="BY17" s="56">
        <v>5.3388820084760091E-2</v>
      </c>
      <c r="BZ17" s="10">
        <f t="shared" si="21"/>
        <v>5.3914368580713168</v>
      </c>
      <c r="CA17" s="10" t="str">
        <f t="shared" si="22"/>
        <v>*</v>
      </c>
      <c r="CB17" s="10"/>
      <c r="CC17" s="54">
        <v>295</v>
      </c>
      <c r="CD17" s="57">
        <v>3.7091110771457432</v>
      </c>
      <c r="CE17" s="58">
        <v>5.8927607703651227E-2</v>
      </c>
      <c r="CF17" s="10">
        <f t="shared" si="23"/>
        <v>1.6324191018688341</v>
      </c>
      <c r="CG17" s="10" t="str">
        <f t="shared" si="24"/>
        <v xml:space="preserve"> </v>
      </c>
      <c r="CH17" s="76"/>
      <c r="CI17" s="27">
        <v>567</v>
      </c>
      <c r="CJ17" s="28">
        <v>3.9395737292033077</v>
      </c>
      <c r="CK17" s="29">
        <v>4.4437235084457384E-2</v>
      </c>
      <c r="CL17" s="67"/>
      <c r="CM17" s="42">
        <v>173</v>
      </c>
      <c r="CN17" s="43">
        <v>4.0060399904097928</v>
      </c>
      <c r="CO17" s="67">
        <v>8.0433137319696132E-2</v>
      </c>
      <c r="CP17" s="10">
        <f t="shared" si="25"/>
        <v>-0.72330770080623652</v>
      </c>
      <c r="CQ17" s="10" t="str">
        <f t="shared" si="26"/>
        <v xml:space="preserve"> </v>
      </c>
      <c r="CR17" s="10"/>
      <c r="CS17" s="42">
        <v>165.78780689999977</v>
      </c>
      <c r="CT17" s="43">
        <v>4.0399942092484524</v>
      </c>
      <c r="CU17" s="67">
        <v>7.8154424842423867E-2</v>
      </c>
      <c r="CV17" s="10">
        <f t="shared" si="27"/>
        <v>-1.1169709050466163</v>
      </c>
      <c r="CW17" s="10" t="str">
        <f t="shared" si="28"/>
        <v xml:space="preserve"> </v>
      </c>
      <c r="CX17" s="10"/>
      <c r="CY17" s="53">
        <v>173</v>
      </c>
      <c r="CZ17" s="55">
        <v>4.0105693995208318</v>
      </c>
      <c r="DA17" s="56">
        <v>8.1535985043610093E-2</v>
      </c>
      <c r="DB17" s="10">
        <f t="shared" si="29"/>
        <v>-0.76455387237889993</v>
      </c>
      <c r="DC17" s="10" t="str">
        <f t="shared" si="0"/>
        <v xml:space="preserve"> </v>
      </c>
      <c r="DD17" s="10"/>
      <c r="DE17" s="54">
        <v>162</v>
      </c>
      <c r="DF17" s="57">
        <v>3.8224891975232915</v>
      </c>
      <c r="DG17" s="58">
        <v>8.2621958153626801E-2</v>
      </c>
      <c r="DH17" s="10">
        <f t="shared" si="30"/>
        <v>1.24805043261438</v>
      </c>
      <c r="DI17" s="10" t="str">
        <f t="shared" si="31"/>
        <v xml:space="preserve"> </v>
      </c>
      <c r="DJ17" s="76"/>
      <c r="DK17" s="27">
        <v>200</v>
      </c>
      <c r="DL17" s="28">
        <v>3.854392409218407</v>
      </c>
      <c r="DM17" s="29">
        <v>7.7187317108918574E-2</v>
      </c>
      <c r="DN17" s="10"/>
      <c r="DO17" s="42">
        <v>75</v>
      </c>
      <c r="DP17" s="43">
        <v>3.8412552126172708</v>
      </c>
      <c r="DQ17" s="67">
        <v>0.12172433800165607</v>
      </c>
      <c r="DR17" s="10">
        <f t="shared" si="32"/>
        <v>9.1145526204391938E-2</v>
      </c>
      <c r="DS17" s="10" t="str">
        <f t="shared" si="33"/>
        <v xml:space="preserve"> </v>
      </c>
      <c r="DT17" s="10"/>
      <c r="DU17" s="42">
        <v>68.032206300000041</v>
      </c>
      <c r="DV17" s="43">
        <v>3.5299460263131288</v>
      </c>
      <c r="DW17" s="67">
        <v>0.13644000201048645</v>
      </c>
      <c r="DX17" s="10">
        <f t="shared" si="34"/>
        <v>2.0696988830646355</v>
      </c>
      <c r="DY17" s="10" t="str">
        <f t="shared" si="35"/>
        <v>*</v>
      </c>
      <c r="DZ17" s="10"/>
      <c r="EA17" s="53">
        <v>67</v>
      </c>
      <c r="EB17" s="55">
        <v>3.4999627132689399</v>
      </c>
      <c r="EC17" s="56">
        <v>0.13364752023101101</v>
      </c>
      <c r="ED17" s="10">
        <f t="shared" si="36"/>
        <v>2.2964838871455928</v>
      </c>
      <c r="EE17" s="10" t="str">
        <f t="shared" si="37"/>
        <v>*</v>
      </c>
      <c r="EF17" s="10"/>
      <c r="EG17" s="54">
        <v>58</v>
      </c>
      <c r="EH17" s="57">
        <v>4</v>
      </c>
      <c r="EI17" s="58">
        <v>0.12592077809023725</v>
      </c>
      <c r="EJ17" s="10">
        <f t="shared" si="38"/>
        <v>-0.98586424372789849</v>
      </c>
      <c r="EK17" s="10" t="str">
        <f t="shared" si="39"/>
        <v xml:space="preserve"> </v>
      </c>
      <c r="EL17" s="76"/>
      <c r="EM17" s="27">
        <v>412</v>
      </c>
      <c r="EN17" s="28">
        <v>3.9308317010567788</v>
      </c>
      <c r="EO17" s="29">
        <v>5.1366220417208258E-2</v>
      </c>
      <c r="EP17" s="10"/>
      <c r="EQ17" s="42">
        <v>133</v>
      </c>
      <c r="ER17" s="43">
        <v>3.8047214889343492</v>
      </c>
      <c r="ES17" s="67">
        <v>0.10418187100585555</v>
      </c>
      <c r="ET17" s="10">
        <f t="shared" si="40"/>
        <v>1.0856915140088896</v>
      </c>
      <c r="EU17" s="10" t="str">
        <f t="shared" si="41"/>
        <v xml:space="preserve"> </v>
      </c>
      <c r="EV17" s="10"/>
      <c r="EW17" s="42">
        <v>82.754890110000034</v>
      </c>
      <c r="EX17" s="43">
        <v>3.5911721270485764</v>
      </c>
      <c r="EY17" s="67">
        <v>0.1333249740689596</v>
      </c>
      <c r="EZ17" s="10">
        <f t="shared" si="42"/>
        <v>2.377274919277983</v>
      </c>
      <c r="FA17" s="10" t="str">
        <f t="shared" si="43"/>
        <v>*</v>
      </c>
      <c r="FB17" s="10"/>
      <c r="FC17" s="53">
        <v>127</v>
      </c>
      <c r="FD17" s="55">
        <v>3.7839836388454562</v>
      </c>
      <c r="FE17" s="56">
        <v>9.6975480769059264E-2</v>
      </c>
      <c r="FF17" s="10">
        <f t="shared" si="44"/>
        <v>1.3381527801060993</v>
      </c>
      <c r="FG17" s="10" t="str">
        <f t="shared" si="45"/>
        <v xml:space="preserve"> </v>
      </c>
      <c r="FH17" s="10"/>
      <c r="FI17" s="54">
        <v>154</v>
      </c>
      <c r="FJ17" s="57">
        <v>3.4216033664511727</v>
      </c>
      <c r="FK17" s="58">
        <v>7.8094945797660256E-2</v>
      </c>
      <c r="FL17" s="10">
        <f t="shared" si="46"/>
        <v>5.4478320367678705</v>
      </c>
      <c r="FM17" s="10" t="str">
        <f t="shared" si="99"/>
        <v>*</v>
      </c>
      <c r="FN17" s="76"/>
      <c r="FO17" s="27">
        <v>188</v>
      </c>
      <c r="FP17" s="28">
        <v>3.9582243991615464</v>
      </c>
      <c r="FQ17" s="29">
        <v>7.7971745193484779E-2</v>
      </c>
      <c r="FR17" s="67"/>
      <c r="FS17" s="42">
        <v>139</v>
      </c>
      <c r="FT17" s="43">
        <v>3.9076173765325173</v>
      </c>
      <c r="FU17" s="67">
        <v>9.6527181371793058E-2</v>
      </c>
      <c r="FV17" s="10">
        <f t="shared" si="47"/>
        <v>0.40784154740916811</v>
      </c>
      <c r="FW17" s="10" t="str">
        <f t="shared" si="48"/>
        <v xml:space="preserve"> </v>
      </c>
      <c r="FX17" s="67"/>
      <c r="FY17" s="42">
        <v>160.20733671000008</v>
      </c>
      <c r="FZ17" s="43">
        <v>4.0626755521076792</v>
      </c>
      <c r="GA17" s="67">
        <v>8.3565564323473993E-2</v>
      </c>
      <c r="GB17" s="10">
        <f t="shared" si="49"/>
        <v>-0.91389259011274482</v>
      </c>
      <c r="GC17" s="10" t="str">
        <f t="shared" si="50"/>
        <v xml:space="preserve"> </v>
      </c>
      <c r="GD17" s="10"/>
      <c r="GE17" s="53">
        <v>163</v>
      </c>
      <c r="GF17" s="55">
        <v>3.8055503983662287</v>
      </c>
      <c r="GG17" s="56">
        <v>9.2446463487215816E-2</v>
      </c>
      <c r="GH17" s="10">
        <f t="shared" si="51"/>
        <v>1.2624179701586802</v>
      </c>
      <c r="GI17" s="10" t="str">
        <f t="shared" si="52"/>
        <v xml:space="preserve"> </v>
      </c>
      <c r="GJ17" s="10"/>
      <c r="GK17" s="54">
        <v>153</v>
      </c>
      <c r="GL17" s="57">
        <v>3.8837056506470877</v>
      </c>
      <c r="GM17" s="58">
        <v>8.5926223301757129E-2</v>
      </c>
      <c r="GN17" s="10">
        <f t="shared" si="53"/>
        <v>0.64223814900379939</v>
      </c>
      <c r="GO17" s="10" t="str">
        <f t="shared" si="100"/>
        <v xml:space="preserve"> </v>
      </c>
      <c r="GP17" s="76"/>
      <c r="GQ17" s="27">
        <v>201</v>
      </c>
      <c r="GR17" s="28">
        <v>3.9044847849519204</v>
      </c>
      <c r="GS17" s="29">
        <v>7.5372401404213557E-2</v>
      </c>
      <c r="GT17" s="10"/>
      <c r="GU17" s="42">
        <v>121</v>
      </c>
      <c r="GV17" s="43">
        <v>4.0455223459951268</v>
      </c>
      <c r="GW17" s="67">
        <v>9.882485768277087E-2</v>
      </c>
      <c r="GX17" s="10">
        <f t="shared" si="54"/>
        <v>-1.1347698181983099</v>
      </c>
      <c r="GY17" s="10" t="str">
        <f t="shared" si="55"/>
        <v xml:space="preserve"> </v>
      </c>
      <c r="GZ17" s="10"/>
      <c r="HA17" s="42">
        <v>115.7193620299999</v>
      </c>
      <c r="HB17" s="43">
        <v>4.1827886268895655</v>
      </c>
      <c r="HC17" s="67">
        <v>9.0712017393970043E-2</v>
      </c>
      <c r="HD17" s="10">
        <f t="shared" si="56"/>
        <v>-2.359721796627571</v>
      </c>
      <c r="HE17" s="10" t="str">
        <f t="shared" si="57"/>
        <v>*</v>
      </c>
      <c r="HF17" s="10"/>
      <c r="HG17" s="53">
        <v>82</v>
      </c>
      <c r="HH17" s="55">
        <v>4.1140727994409785</v>
      </c>
      <c r="HI17" s="56">
        <v>9.4765795900283209E-2</v>
      </c>
      <c r="HJ17" s="10">
        <f t="shared" si="58"/>
        <v>-1.7309177320531268</v>
      </c>
      <c r="HK17" s="10" t="str">
        <f t="shared" si="59"/>
        <v xml:space="preserve"> </v>
      </c>
      <c r="HL17" s="10"/>
      <c r="HM17" s="54">
        <v>134</v>
      </c>
      <c r="HN17" s="57">
        <v>3.9999999999999987</v>
      </c>
      <c r="HO17" s="58">
        <v>9.2988784427934068E-2</v>
      </c>
      <c r="HP17" s="10">
        <f t="shared" si="60"/>
        <v>-0.79795994383902435</v>
      </c>
      <c r="HQ17" s="10" t="str">
        <f t="shared" si="101"/>
        <v xml:space="preserve"> </v>
      </c>
      <c r="HR17" s="76"/>
      <c r="HS17" s="27">
        <v>430</v>
      </c>
      <c r="HT17" s="28">
        <v>3.8765946207079867</v>
      </c>
      <c r="HU17" s="29">
        <v>5.3264568006499216E-2</v>
      </c>
      <c r="HV17" s="10"/>
      <c r="HW17" s="42">
        <v>285</v>
      </c>
      <c r="HX17" s="43">
        <v>3.7342597250520155</v>
      </c>
      <c r="HY17" s="67">
        <v>7.1531650408550862E-2</v>
      </c>
      <c r="HZ17" s="10">
        <f t="shared" si="61"/>
        <v>1.5959583888624485</v>
      </c>
      <c r="IA17" s="10" t="str">
        <f t="shared" si="62"/>
        <v xml:space="preserve"> </v>
      </c>
      <c r="IB17" s="10"/>
      <c r="IC17" s="42">
        <v>320.22410791000084</v>
      </c>
      <c r="ID17" s="43">
        <v>3.8975125536169077</v>
      </c>
      <c r="IE17" s="67">
        <v>6.3411000542094226E-2</v>
      </c>
      <c r="IF17" s="10">
        <f t="shared" si="63"/>
        <v>-0.25259097798517449</v>
      </c>
      <c r="IG17" s="10" t="str">
        <f t="shared" si="64"/>
        <v xml:space="preserve"> </v>
      </c>
      <c r="IH17" s="10"/>
      <c r="II17" s="53">
        <v>294</v>
      </c>
      <c r="IJ17" s="55">
        <v>3.8903570584584171</v>
      </c>
      <c r="IK17" s="56">
        <v>6.154269763085074E-2</v>
      </c>
      <c r="IL17" s="10">
        <f t="shared" si="65"/>
        <v>-0.16908884313519715</v>
      </c>
      <c r="IM17" s="10" t="str">
        <f t="shared" si="66"/>
        <v xml:space="preserve"> </v>
      </c>
      <c r="IN17" s="10"/>
      <c r="IO17" s="54">
        <v>331</v>
      </c>
      <c r="IP17" s="57">
        <v>3.9120405961758906</v>
      </c>
      <c r="IQ17" s="58">
        <v>5.9690557109170927E-2</v>
      </c>
      <c r="IR17" s="10">
        <f t="shared" si="67"/>
        <v>-0.44307203447726939</v>
      </c>
      <c r="IS17" s="10" t="str">
        <f t="shared" si="68"/>
        <v xml:space="preserve"> </v>
      </c>
      <c r="IT17" s="76"/>
      <c r="IU17" s="27">
        <v>36</v>
      </c>
      <c r="IV17" s="28">
        <v>4.2222222222222223</v>
      </c>
      <c r="IW17" s="29">
        <v>0.15998435986842038</v>
      </c>
      <c r="IX17" s="10"/>
      <c r="IY17" s="42">
        <v>28</v>
      </c>
      <c r="IZ17" s="43">
        <v>4.4291725103867003</v>
      </c>
      <c r="JA17" s="67">
        <v>0.19535053202509309</v>
      </c>
      <c r="JB17" s="10" t="str">
        <f t="shared" si="69"/>
        <v>NV</v>
      </c>
      <c r="JC17" s="10" t="str">
        <f t="shared" si="70"/>
        <v xml:space="preserve"> </v>
      </c>
      <c r="JD17" s="10"/>
      <c r="JE17" s="42">
        <v>28.713462310000004</v>
      </c>
      <c r="JF17" s="43">
        <v>4.3103448275862055</v>
      </c>
      <c r="JG17" s="67">
        <v>0.18057740385704846</v>
      </c>
      <c r="JH17" s="10" t="str">
        <f t="shared" si="71"/>
        <v>NV</v>
      </c>
      <c r="JI17" s="10" t="str">
        <f t="shared" si="72"/>
        <v xml:space="preserve"> </v>
      </c>
      <c r="JJ17" s="10"/>
      <c r="JK17" s="53">
        <v>24</v>
      </c>
      <c r="JL17" s="55">
        <v>4.6249999999999991</v>
      </c>
      <c r="JM17" s="56">
        <v>0.17029032101921557</v>
      </c>
      <c r="JN17" s="10" t="str">
        <f t="shared" si="73"/>
        <v>NV</v>
      </c>
      <c r="JO17" s="10" t="str">
        <f t="shared" si="74"/>
        <v xml:space="preserve"> </v>
      </c>
      <c r="JP17" s="10"/>
      <c r="JQ17" s="54">
        <v>39</v>
      </c>
      <c r="JR17" s="57">
        <v>4.0256410256410247</v>
      </c>
      <c r="JS17" s="58">
        <v>0.18028235409557067</v>
      </c>
      <c r="JT17" s="10">
        <f t="shared" si="75"/>
        <v>0.81557923067095317</v>
      </c>
      <c r="JU17" s="10" t="str">
        <f t="shared" si="76"/>
        <v xml:space="preserve"> </v>
      </c>
      <c r="JV17" s="76"/>
      <c r="JW17" s="27">
        <v>439</v>
      </c>
      <c r="JX17" s="28">
        <v>3.8837818877730079</v>
      </c>
      <c r="JY17" s="29">
        <v>5.5430472473675246E-2</v>
      </c>
      <c r="JZ17" s="10"/>
      <c r="KA17" s="42">
        <v>254</v>
      </c>
      <c r="KB17" s="43">
        <v>3.8385049911182456</v>
      </c>
      <c r="KC17" s="67">
        <v>7.4510162394937532E-2</v>
      </c>
      <c r="KD17" s="10">
        <f t="shared" si="77"/>
        <v>0.48754497501737215</v>
      </c>
      <c r="KE17" s="10" t="str">
        <f t="shared" si="78"/>
        <v xml:space="preserve"> </v>
      </c>
      <c r="KF17" s="10"/>
      <c r="KG17" s="42">
        <v>303.78452367999984</v>
      </c>
      <c r="KH17" s="43">
        <v>4.1465477773545016</v>
      </c>
      <c r="KI17" s="67">
        <v>5.6407267950958954E-2</v>
      </c>
      <c r="KJ17" s="10">
        <f t="shared" si="79"/>
        <v>-3.3226074707325739</v>
      </c>
      <c r="KK17" s="10" t="str">
        <f t="shared" si="80"/>
        <v>*</v>
      </c>
      <c r="KL17" s="10"/>
      <c r="KM17" s="53">
        <v>570</v>
      </c>
      <c r="KN17" s="55">
        <v>3.9513560828657108</v>
      </c>
      <c r="KO17" s="56">
        <v>4.4651628253217071E-2</v>
      </c>
      <c r="KP17" s="10">
        <f t="shared" si="81"/>
        <v>-0.94936935237056996</v>
      </c>
      <c r="KQ17" s="10" t="str">
        <f t="shared" si="82"/>
        <v xml:space="preserve"> </v>
      </c>
      <c r="KR17" s="10"/>
      <c r="KS17" s="54">
        <v>558</v>
      </c>
      <c r="KT17" s="57">
        <v>3.9014340113328498</v>
      </c>
      <c r="KU17" s="58">
        <v>4.4553002971812798E-2</v>
      </c>
      <c r="KV17" s="10">
        <f t="shared" si="83"/>
        <v>-0.24821538539000348</v>
      </c>
      <c r="KW17" s="10" t="str">
        <f t="shared" si="102"/>
        <v xml:space="preserve"> </v>
      </c>
      <c r="KX17" s="76"/>
      <c r="KY17" s="27">
        <v>128</v>
      </c>
      <c r="KZ17" s="28">
        <v>4.1328125000000009</v>
      </c>
      <c r="LA17" s="29">
        <v>8.4049676889623157E-2</v>
      </c>
      <c r="LB17" s="10"/>
      <c r="LC17" s="42">
        <v>132</v>
      </c>
      <c r="LD17" s="43">
        <v>4.1896551723563684</v>
      </c>
      <c r="LE17" s="67">
        <v>8.6747641869393766E-2</v>
      </c>
      <c r="LF17" s="10">
        <f t="shared" si="84"/>
        <v>-0.47060253253742523</v>
      </c>
      <c r="LG17" s="10" t="str">
        <f t="shared" si="85"/>
        <v xml:space="preserve"> </v>
      </c>
      <c r="LH17" s="10"/>
      <c r="LI17" s="42">
        <v>159.56817071999984</v>
      </c>
      <c r="LJ17" s="43">
        <v>4.0754560358477008</v>
      </c>
      <c r="LK17" s="67">
        <v>7.6930793236169526E-2</v>
      </c>
      <c r="LL17" s="10">
        <f t="shared" si="86"/>
        <v>0.50338461861588013</v>
      </c>
      <c r="LM17" s="10" t="str">
        <f t="shared" si="87"/>
        <v xml:space="preserve"> </v>
      </c>
      <c r="LN17" s="10"/>
      <c r="LO17" s="53">
        <v>325</v>
      </c>
      <c r="LP17" s="55">
        <v>3.8246153846153845</v>
      </c>
      <c r="LQ17" s="56">
        <v>5.9563195173507291E-2</v>
      </c>
      <c r="LR17" s="10">
        <f t="shared" si="88"/>
        <v>2.9917647731452961</v>
      </c>
      <c r="LS17" s="10" t="str">
        <f t="shared" si="89"/>
        <v>*</v>
      </c>
      <c r="LT17" s="10"/>
      <c r="LU17" s="54">
        <v>330</v>
      </c>
      <c r="LV17" s="57">
        <v>3.9949420497257497</v>
      </c>
      <c r="LW17" s="58">
        <v>5.8952561409387691E-2</v>
      </c>
      <c r="LX17" s="10">
        <f t="shared" si="90"/>
        <v>1.3429380649737432</v>
      </c>
      <c r="LY17" s="10" t="str">
        <f t="shared" si="91"/>
        <v xml:space="preserve"> </v>
      </c>
      <c r="LZ17" s="76"/>
      <c r="MA17" s="27">
        <v>154</v>
      </c>
      <c r="MB17" s="28">
        <v>4.1624918513586833</v>
      </c>
      <c r="MC17" s="29">
        <v>7.8435784570731873E-2</v>
      </c>
      <c r="MD17" s="10"/>
      <c r="ME17" s="42">
        <v>100</v>
      </c>
      <c r="MF17" s="43">
        <v>4.2709766160160729</v>
      </c>
      <c r="MG17" s="67">
        <v>9.200234480686699E-2</v>
      </c>
      <c r="MH17" s="10">
        <f t="shared" si="92"/>
        <v>-0.89731621212879209</v>
      </c>
      <c r="MI17" s="10" t="str">
        <f t="shared" si="93"/>
        <v xml:space="preserve"> </v>
      </c>
      <c r="MJ17" s="10"/>
      <c r="MK17" s="42">
        <v>91.531404859999952</v>
      </c>
      <c r="ML17" s="43">
        <v>4.1730762273804336</v>
      </c>
      <c r="MM17" s="67">
        <v>9.9487608948772926E-2</v>
      </c>
      <c r="MN17" s="10">
        <f t="shared" si="94"/>
        <v>-8.3546513041506495E-2</v>
      </c>
      <c r="MO17" s="10" t="str">
        <f t="shared" si="95"/>
        <v xml:space="preserve"> </v>
      </c>
      <c r="MP17" s="10"/>
      <c r="MQ17" s="53">
        <v>167</v>
      </c>
      <c r="MR17" s="55">
        <v>3.8519529232319001</v>
      </c>
      <c r="MS17" s="56">
        <v>8.430173567398036E-2</v>
      </c>
      <c r="MT17" s="10">
        <f t="shared" si="96"/>
        <v>2.6968786322228708</v>
      </c>
      <c r="MU17" s="10" t="str">
        <f t="shared" si="97"/>
        <v>*</v>
      </c>
      <c r="MV17" s="10"/>
      <c r="MW17" s="54">
        <v>183</v>
      </c>
      <c r="MX17" s="57">
        <v>4.0979364436523475</v>
      </c>
      <c r="MY17" s="58">
        <v>7.7338169442708757E-2</v>
      </c>
      <c r="MZ17" s="10">
        <f t="shared" si="98"/>
        <v>0.58605989306424033</v>
      </c>
      <c r="NA17" s="10" t="str">
        <f t="shared" si="103"/>
        <v xml:space="preserve"> </v>
      </c>
      <c r="NB17" s="58"/>
    </row>
    <row r="18" spans="1:366" x14ac:dyDescent="0.2">
      <c r="A18" s="73"/>
      <c r="B18" s="65" t="s">
        <v>20</v>
      </c>
      <c r="C18" s="27">
        <v>419</v>
      </c>
      <c r="D18" s="28">
        <v>3.6708360944981941</v>
      </c>
      <c r="E18" s="29">
        <v>5.7675454188431036E-2</v>
      </c>
      <c r="F18" s="10"/>
      <c r="G18" s="42">
        <v>124</v>
      </c>
      <c r="H18" s="43">
        <v>3.4676407308784918</v>
      </c>
      <c r="I18" s="67">
        <v>0.11846406872111793</v>
      </c>
      <c r="J18" s="10">
        <f t="shared" si="1"/>
        <v>1.5421851336656196</v>
      </c>
      <c r="K18" s="10" t="str">
        <f t="shared" si="2"/>
        <v xml:space="preserve"> </v>
      </c>
      <c r="L18" s="10"/>
      <c r="M18" s="42">
        <v>124.7686956000001</v>
      </c>
      <c r="N18" s="43">
        <v>3.3166666666666664</v>
      </c>
      <c r="O18" s="67">
        <v>9.062010214998914E-2</v>
      </c>
      <c r="P18" s="10">
        <f t="shared" si="3"/>
        <v>3.2971380246061557</v>
      </c>
      <c r="Q18" s="10" t="str">
        <f t="shared" si="4"/>
        <v>*</v>
      </c>
      <c r="R18" s="10"/>
      <c r="S18" s="53">
        <v>131</v>
      </c>
      <c r="T18" s="55">
        <v>3.4809160305343507</v>
      </c>
      <c r="U18" s="56">
        <v>9.9433186650448438E-2</v>
      </c>
      <c r="V18" s="10">
        <f t="shared" si="5"/>
        <v>1.6522025326446022</v>
      </c>
      <c r="W18" s="10" t="str">
        <f t="shared" si="6"/>
        <v xml:space="preserve"> </v>
      </c>
      <c r="X18" s="10"/>
      <c r="Y18" s="54">
        <v>209</v>
      </c>
      <c r="Z18" s="57">
        <v>3.2296650717703361</v>
      </c>
      <c r="AA18" s="58">
        <v>6.9356830072094533E-2</v>
      </c>
      <c r="AB18" s="10">
        <f t="shared" si="7"/>
        <v>4.8907944877513332</v>
      </c>
      <c r="AC18" s="10" t="str">
        <f t="shared" si="8"/>
        <v>*</v>
      </c>
      <c r="AD18" s="76"/>
      <c r="AE18" s="27">
        <v>97</v>
      </c>
      <c r="AF18" s="28">
        <v>3.7448938058227177</v>
      </c>
      <c r="AG18" s="29">
        <v>0.11088481540840227</v>
      </c>
      <c r="AH18" s="67"/>
      <c r="AI18" s="42">
        <v>52</v>
      </c>
      <c r="AJ18" s="43">
        <v>3.9620283595261991</v>
      </c>
      <c r="AK18" s="67">
        <v>0.16407143020177439</v>
      </c>
      <c r="AL18" s="10">
        <f t="shared" si="9"/>
        <v>-1.096487069632309</v>
      </c>
      <c r="AM18" s="10" t="str">
        <f t="shared" si="10"/>
        <v xml:space="preserve"> </v>
      </c>
      <c r="AN18" s="67"/>
      <c r="AO18" s="42">
        <v>91.097725710000006</v>
      </c>
      <c r="AP18" s="43">
        <v>3.1773583299042376</v>
      </c>
      <c r="AQ18" s="67">
        <v>0.11831665787383316</v>
      </c>
      <c r="AR18" s="10">
        <f t="shared" si="11"/>
        <v>3.499954700046553</v>
      </c>
      <c r="AS18" s="10" t="str">
        <f t="shared" si="12"/>
        <v>*</v>
      </c>
      <c r="AT18" s="10"/>
      <c r="AU18" s="53">
        <v>113</v>
      </c>
      <c r="AV18" s="55">
        <v>3.4393268743625089</v>
      </c>
      <c r="AW18" s="56">
        <v>0.11481370051215629</v>
      </c>
      <c r="AX18" s="10">
        <f t="shared" si="13"/>
        <v>1.9143743025318227</v>
      </c>
      <c r="AY18" s="10" t="str">
        <f t="shared" si="14"/>
        <v xml:space="preserve"> </v>
      </c>
      <c r="AZ18" s="10"/>
      <c r="BA18" s="54">
        <v>82</v>
      </c>
      <c r="BB18" s="57">
        <v>3.4437499474118778</v>
      </c>
      <c r="BC18" s="58">
        <v>0.10304400844966778</v>
      </c>
      <c r="BD18" s="10">
        <f t="shared" si="15"/>
        <v>1.9894278807428993</v>
      </c>
      <c r="BE18" s="10" t="str">
        <f t="shared" si="16"/>
        <v>*</v>
      </c>
      <c r="BF18" s="76"/>
      <c r="BG18" s="27">
        <v>1050</v>
      </c>
      <c r="BH18" s="28">
        <v>3.7709970371195176</v>
      </c>
      <c r="BI18" s="29">
        <v>3.4950552150822559E-2</v>
      </c>
      <c r="BJ18" s="10"/>
      <c r="BK18" s="42">
        <v>317</v>
      </c>
      <c r="BL18" s="43">
        <v>3.7287078209085127</v>
      </c>
      <c r="BM18" s="67">
        <v>6.3606312020270131E-2</v>
      </c>
      <c r="BN18" s="10">
        <f t="shared" si="17"/>
        <v>0.5826871529521801</v>
      </c>
      <c r="BO18" s="10" t="str">
        <f t="shared" si="18"/>
        <v xml:space="preserve"> </v>
      </c>
      <c r="BP18" s="10"/>
      <c r="BQ18" s="42">
        <v>329.14094108999927</v>
      </c>
      <c r="BR18" s="43">
        <v>3.1105631813213086</v>
      </c>
      <c r="BS18" s="67">
        <v>4.2553445401289761E-2</v>
      </c>
      <c r="BT18" s="10">
        <f t="shared" si="19"/>
        <v>11.993352803763267</v>
      </c>
      <c r="BU18" s="10" t="str">
        <f t="shared" si="20"/>
        <v>*</v>
      </c>
      <c r="BV18" s="10"/>
      <c r="BW18" s="53">
        <v>356</v>
      </c>
      <c r="BX18" s="55">
        <v>3.6005096752045311</v>
      </c>
      <c r="BY18" s="56">
        <v>3.8373091507153102E-2</v>
      </c>
      <c r="BZ18" s="10">
        <f t="shared" si="21"/>
        <v>3.2846609992057263</v>
      </c>
      <c r="CA18" s="10" t="str">
        <f t="shared" si="22"/>
        <v>*</v>
      </c>
      <c r="CB18" s="10"/>
      <c r="CC18" s="54">
        <v>391</v>
      </c>
      <c r="CD18" s="57">
        <v>3.6751605784591752</v>
      </c>
      <c r="CE18" s="58">
        <v>5.1631284866701661E-2</v>
      </c>
      <c r="CF18" s="10">
        <f t="shared" si="23"/>
        <v>1.5371102364539788</v>
      </c>
      <c r="CG18" s="10" t="str">
        <f t="shared" si="24"/>
        <v xml:space="preserve"> </v>
      </c>
      <c r="CH18" s="76"/>
      <c r="CI18" s="27">
        <v>618</v>
      </c>
      <c r="CJ18" s="28">
        <v>3.9082522286878874</v>
      </c>
      <c r="CK18" s="29">
        <v>4.2432200423097775E-2</v>
      </c>
      <c r="CL18" s="67"/>
      <c r="CM18" s="42">
        <v>199</v>
      </c>
      <c r="CN18" s="43">
        <v>3.8950303695257964</v>
      </c>
      <c r="CO18" s="67">
        <v>7.8354490052611137E-2</v>
      </c>
      <c r="CP18" s="10">
        <f t="shared" si="25"/>
        <v>0.14838312907569196</v>
      </c>
      <c r="CQ18" s="10" t="str">
        <f t="shared" si="26"/>
        <v xml:space="preserve"> </v>
      </c>
      <c r="CR18" s="10"/>
      <c r="CS18" s="42">
        <v>205.94311541999954</v>
      </c>
      <c r="CT18" s="43">
        <v>3.7827744561950256</v>
      </c>
      <c r="CU18" s="67">
        <v>7.0096319803761076E-2</v>
      </c>
      <c r="CV18" s="10">
        <f t="shared" si="27"/>
        <v>1.531357518069119</v>
      </c>
      <c r="CW18" s="10" t="str">
        <f t="shared" si="28"/>
        <v xml:space="preserve"> </v>
      </c>
      <c r="CX18" s="10"/>
      <c r="CY18" s="53">
        <v>184</v>
      </c>
      <c r="CZ18" s="55">
        <v>3.9933298925780005</v>
      </c>
      <c r="DA18" s="56">
        <v>7.3569192727591312E-2</v>
      </c>
      <c r="DB18" s="10">
        <f t="shared" si="29"/>
        <v>-1.0017516497004071</v>
      </c>
      <c r="DC18" s="10" t="str">
        <f t="shared" si="0"/>
        <v xml:space="preserve"> </v>
      </c>
      <c r="DD18" s="10"/>
      <c r="DE18" s="54">
        <v>240</v>
      </c>
      <c r="DF18" s="57">
        <v>3.8237175984933036</v>
      </c>
      <c r="DG18" s="58">
        <v>6.4308198235603159E-2</v>
      </c>
      <c r="DH18" s="10">
        <f t="shared" si="30"/>
        <v>1.0972015041964656</v>
      </c>
      <c r="DI18" s="10" t="str">
        <f t="shared" si="31"/>
        <v xml:space="preserve"> </v>
      </c>
      <c r="DJ18" s="76"/>
      <c r="DK18" s="27">
        <v>203</v>
      </c>
      <c r="DL18" s="28">
        <v>3.7462070704933614</v>
      </c>
      <c r="DM18" s="29">
        <v>7.5997247253766179E-2</v>
      </c>
      <c r="DN18" s="10"/>
      <c r="DO18" s="42">
        <v>73</v>
      </c>
      <c r="DP18" s="43">
        <v>3.7131992691941114</v>
      </c>
      <c r="DQ18" s="67">
        <v>0.12577753086268986</v>
      </c>
      <c r="DR18" s="10">
        <f t="shared" si="32"/>
        <v>0.22461268118037317</v>
      </c>
      <c r="DS18" s="10" t="str">
        <f t="shared" si="33"/>
        <v xml:space="preserve"> </v>
      </c>
      <c r="DT18" s="10"/>
      <c r="DU18" s="42">
        <v>90.792376380000036</v>
      </c>
      <c r="DV18" s="43">
        <v>3.4094782628488352</v>
      </c>
      <c r="DW18" s="67">
        <v>0.11479704857541806</v>
      </c>
      <c r="DX18" s="10">
        <f t="shared" si="34"/>
        <v>2.445853703127093</v>
      </c>
      <c r="DY18" s="10" t="str">
        <f t="shared" si="35"/>
        <v>*</v>
      </c>
      <c r="DZ18" s="10"/>
      <c r="EA18" s="53">
        <v>87</v>
      </c>
      <c r="EB18" s="55">
        <v>3.265118371652175</v>
      </c>
      <c r="EC18" s="56">
        <v>0.12184800584453997</v>
      </c>
      <c r="ED18" s="10">
        <f t="shared" si="36"/>
        <v>3.3500732893816747</v>
      </c>
      <c r="EE18" s="10" t="str">
        <f t="shared" si="37"/>
        <v>*</v>
      </c>
      <c r="EF18" s="10"/>
      <c r="EG18" s="54">
        <v>59</v>
      </c>
      <c r="EH18" s="57">
        <v>3.6440677966101704</v>
      </c>
      <c r="EI18" s="58">
        <v>0.13130310899106357</v>
      </c>
      <c r="EJ18" s="10">
        <f t="shared" si="38"/>
        <v>0.6732510062879502</v>
      </c>
      <c r="EK18" s="10" t="str">
        <f t="shared" si="39"/>
        <v xml:space="preserve"> </v>
      </c>
      <c r="EL18" s="76"/>
      <c r="EM18" s="27">
        <v>431</v>
      </c>
      <c r="EN18" s="28">
        <v>3.8136588654815911</v>
      </c>
      <c r="EO18" s="29">
        <v>5.2734013557632749E-2</v>
      </c>
      <c r="EP18" s="10"/>
      <c r="EQ18" s="42">
        <v>134</v>
      </c>
      <c r="ER18" s="43">
        <v>3.7918611998717067</v>
      </c>
      <c r="ES18" s="67">
        <v>9.8730656457297963E-2</v>
      </c>
      <c r="ET18" s="10">
        <f t="shared" si="40"/>
        <v>0.19474144571014917</v>
      </c>
      <c r="EU18" s="10" t="str">
        <f t="shared" si="41"/>
        <v xml:space="preserve"> </v>
      </c>
      <c r="EV18" s="10"/>
      <c r="EW18" s="42">
        <v>159.6361402499999</v>
      </c>
      <c r="EX18" s="43">
        <v>3.210349620877909</v>
      </c>
      <c r="EY18" s="67">
        <v>8.0525030102996414E-2</v>
      </c>
      <c r="EZ18" s="10">
        <f t="shared" si="42"/>
        <v>6.2677778697638642</v>
      </c>
      <c r="FA18" s="10" t="str">
        <f t="shared" si="43"/>
        <v>*</v>
      </c>
      <c r="FB18" s="10"/>
      <c r="FC18" s="53">
        <v>145</v>
      </c>
      <c r="FD18" s="55">
        <v>3.5198260083745811</v>
      </c>
      <c r="FE18" s="56">
        <v>9.6405932232953739E-2</v>
      </c>
      <c r="FF18" s="10">
        <f t="shared" si="44"/>
        <v>2.6739738069309102</v>
      </c>
      <c r="FG18" s="10" t="str">
        <f t="shared" si="45"/>
        <v>*</v>
      </c>
      <c r="FH18" s="10"/>
      <c r="FI18" s="54">
        <v>189</v>
      </c>
      <c r="FJ18" s="57">
        <v>3.6359132151052034</v>
      </c>
      <c r="FK18" s="58">
        <v>6.7013269483698318E-2</v>
      </c>
      <c r="FL18" s="10">
        <f t="shared" si="46"/>
        <v>2.0844062404565595</v>
      </c>
      <c r="FM18" s="10" t="str">
        <f t="shared" si="99"/>
        <v>*</v>
      </c>
      <c r="FN18" s="76"/>
      <c r="FO18" s="27">
        <v>202</v>
      </c>
      <c r="FP18" s="28">
        <v>3.8305105169449027</v>
      </c>
      <c r="FQ18" s="29">
        <v>8.2504928568281732E-2</v>
      </c>
      <c r="FR18" s="67"/>
      <c r="FS18" s="42">
        <v>153</v>
      </c>
      <c r="FT18" s="43">
        <v>3.6540040930376074</v>
      </c>
      <c r="FU18" s="67">
        <v>9.5347464131844945E-2</v>
      </c>
      <c r="FV18" s="10">
        <f t="shared" si="47"/>
        <v>1.3998661387944198</v>
      </c>
      <c r="FW18" s="10" t="str">
        <f t="shared" si="48"/>
        <v xml:space="preserve"> </v>
      </c>
      <c r="FX18" s="67"/>
      <c r="FY18" s="42">
        <v>178.62249990000026</v>
      </c>
      <c r="FZ18" s="43">
        <v>3.9131401503803493</v>
      </c>
      <c r="GA18" s="67">
        <v>8.2797714926760552E-2</v>
      </c>
      <c r="GB18" s="10">
        <f t="shared" si="49"/>
        <v>-0.70692012231537815</v>
      </c>
      <c r="GC18" s="10" t="str">
        <f t="shared" si="50"/>
        <v xml:space="preserve"> </v>
      </c>
      <c r="GD18" s="10"/>
      <c r="GE18" s="53">
        <v>181</v>
      </c>
      <c r="GF18" s="55">
        <v>3.615292253025661</v>
      </c>
      <c r="GG18" s="56">
        <v>9.5597256560441213E-2</v>
      </c>
      <c r="GH18" s="10">
        <f t="shared" si="51"/>
        <v>1.7043336683981083</v>
      </c>
      <c r="GI18" s="10" t="str">
        <f t="shared" si="52"/>
        <v xml:space="preserve"> </v>
      </c>
      <c r="GJ18" s="10"/>
      <c r="GK18" s="54">
        <v>178</v>
      </c>
      <c r="GL18" s="57">
        <v>3.7594579335136009</v>
      </c>
      <c r="GM18" s="58">
        <v>7.932993579316866E-2</v>
      </c>
      <c r="GN18" s="10">
        <f t="shared" si="53"/>
        <v>0.62078214942335164</v>
      </c>
      <c r="GO18" s="10" t="str">
        <f t="shared" si="100"/>
        <v xml:space="preserve"> </v>
      </c>
      <c r="GP18" s="76"/>
      <c r="GQ18" s="27">
        <v>210</v>
      </c>
      <c r="GR18" s="28">
        <v>3.7432603374683335</v>
      </c>
      <c r="GS18" s="29">
        <v>7.8878717972653875E-2</v>
      </c>
      <c r="GT18" s="10"/>
      <c r="GU18" s="42">
        <v>126</v>
      </c>
      <c r="GV18" s="43">
        <v>3.9155825428723463</v>
      </c>
      <c r="GW18" s="67">
        <v>0.1029781412942396</v>
      </c>
      <c r="GX18" s="10">
        <f t="shared" si="54"/>
        <v>-1.3284532891903607</v>
      </c>
      <c r="GY18" s="10" t="str">
        <f t="shared" si="55"/>
        <v xml:space="preserve"> </v>
      </c>
      <c r="GZ18" s="10"/>
      <c r="HA18" s="42">
        <v>120.93622775999989</v>
      </c>
      <c r="HB18" s="43">
        <v>4.1136151883889402</v>
      </c>
      <c r="HC18" s="67">
        <v>9.0663374319477685E-2</v>
      </c>
      <c r="HD18" s="10">
        <f t="shared" si="56"/>
        <v>-3.081831458604781</v>
      </c>
      <c r="HE18" s="10" t="str">
        <f t="shared" si="57"/>
        <v>*</v>
      </c>
      <c r="HF18" s="10"/>
      <c r="HG18" s="53">
        <v>82</v>
      </c>
      <c r="HH18" s="55">
        <v>4.0041991233657299</v>
      </c>
      <c r="HI18" s="56">
        <v>0.10687341218807998</v>
      </c>
      <c r="HJ18" s="10">
        <f t="shared" si="58"/>
        <v>-1.9644584172920649</v>
      </c>
      <c r="HK18" s="10" t="str">
        <f t="shared" si="59"/>
        <v>*</v>
      </c>
      <c r="HL18" s="10"/>
      <c r="HM18" s="54">
        <v>142</v>
      </c>
      <c r="HN18" s="57">
        <v>3.8784029035446763</v>
      </c>
      <c r="HO18" s="58">
        <v>9.7003322659699021E-2</v>
      </c>
      <c r="HP18" s="10">
        <f t="shared" si="60"/>
        <v>-1.0809158336781537</v>
      </c>
      <c r="HQ18" s="10" t="str">
        <f t="shared" si="101"/>
        <v xml:space="preserve"> </v>
      </c>
      <c r="HR18" s="76"/>
      <c r="HS18" s="27">
        <v>479</v>
      </c>
      <c r="HT18" s="28">
        <v>3.8025691934636443</v>
      </c>
      <c r="HU18" s="29">
        <v>5.1224605339069175E-2</v>
      </c>
      <c r="HV18" s="10"/>
      <c r="HW18" s="42">
        <v>320</v>
      </c>
      <c r="HX18" s="43">
        <v>3.6827465281341252</v>
      </c>
      <c r="HY18" s="67">
        <v>6.9188880562126104E-2</v>
      </c>
      <c r="HZ18" s="10">
        <f t="shared" si="61"/>
        <v>1.3918703084817858</v>
      </c>
      <c r="IA18" s="10" t="str">
        <f t="shared" si="62"/>
        <v xml:space="preserve"> </v>
      </c>
      <c r="IB18" s="10"/>
      <c r="IC18" s="42">
        <v>350.31981185000069</v>
      </c>
      <c r="ID18" s="43">
        <v>3.7341906348708851</v>
      </c>
      <c r="IE18" s="67">
        <v>6.1611452684520396E-2</v>
      </c>
      <c r="IF18" s="10">
        <f t="shared" si="63"/>
        <v>0.85340415219917609</v>
      </c>
      <c r="IG18" s="10" t="str">
        <f t="shared" si="64"/>
        <v xml:space="preserve"> </v>
      </c>
      <c r="IH18" s="10"/>
      <c r="II18" s="53">
        <v>331</v>
      </c>
      <c r="IJ18" s="55">
        <v>3.8672201003175108</v>
      </c>
      <c r="IK18" s="56">
        <v>6.0299656187852727E-2</v>
      </c>
      <c r="IL18" s="10">
        <f t="shared" si="65"/>
        <v>-0.81712246698581481</v>
      </c>
      <c r="IM18" s="10" t="str">
        <f t="shared" si="66"/>
        <v xml:space="preserve"> </v>
      </c>
      <c r="IN18" s="10"/>
      <c r="IO18" s="54">
        <v>372</v>
      </c>
      <c r="IP18" s="57">
        <v>3.7507178993548949</v>
      </c>
      <c r="IQ18" s="58">
        <v>5.7443139065995248E-2</v>
      </c>
      <c r="IR18" s="10">
        <f t="shared" si="67"/>
        <v>0.67369606362597378</v>
      </c>
      <c r="IS18" s="10" t="str">
        <f t="shared" si="68"/>
        <v xml:space="preserve"> </v>
      </c>
      <c r="IT18" s="76"/>
      <c r="IU18" s="27">
        <v>41</v>
      </c>
      <c r="IV18" s="28">
        <v>4.2926829268292686</v>
      </c>
      <c r="IW18" s="29">
        <v>0.13640351679092103</v>
      </c>
      <c r="IX18" s="10"/>
      <c r="IY18" s="42">
        <v>31</v>
      </c>
      <c r="IZ18" s="43">
        <v>4.4196202531062125</v>
      </c>
      <c r="JA18" s="67">
        <v>0.15219142393875687</v>
      </c>
      <c r="JB18" s="10">
        <f t="shared" si="69"/>
        <v>-0.62110744083315295</v>
      </c>
      <c r="JC18" s="10" t="str">
        <f t="shared" si="70"/>
        <v xml:space="preserve"> </v>
      </c>
      <c r="JD18" s="10"/>
      <c r="JE18" s="42">
        <v>31.683820480000005</v>
      </c>
      <c r="JF18" s="43">
        <v>4.3125</v>
      </c>
      <c r="JG18" s="67">
        <v>0.15916656322667883</v>
      </c>
      <c r="JH18" s="10">
        <f t="shared" si="71"/>
        <v>-9.4538761912080424E-2</v>
      </c>
      <c r="JI18" s="10" t="str">
        <f t="shared" si="72"/>
        <v xml:space="preserve"> </v>
      </c>
      <c r="JJ18" s="10"/>
      <c r="JK18" s="53">
        <v>29</v>
      </c>
      <c r="JL18" s="55">
        <v>4.3103448275862055</v>
      </c>
      <c r="JM18" s="56">
        <v>0.20772500662661234</v>
      </c>
      <c r="JN18" s="10" t="str">
        <f t="shared" si="73"/>
        <v>NV</v>
      </c>
      <c r="JO18" s="10" t="str">
        <f t="shared" si="74"/>
        <v xml:space="preserve"> </v>
      </c>
      <c r="JP18" s="10"/>
      <c r="JQ18" s="54">
        <v>51</v>
      </c>
      <c r="JR18" s="57">
        <v>4.0784313725490193</v>
      </c>
      <c r="JS18" s="58">
        <v>0.15289876108454808</v>
      </c>
      <c r="JT18" s="10">
        <f t="shared" si="75"/>
        <v>1.0456403416918774</v>
      </c>
      <c r="JU18" s="10" t="str">
        <f t="shared" si="76"/>
        <v xml:space="preserve"> </v>
      </c>
      <c r="JV18" s="76"/>
      <c r="JW18" s="27">
        <v>485</v>
      </c>
      <c r="JX18" s="28">
        <v>3.7567100542234622</v>
      </c>
      <c r="JY18" s="29">
        <v>5.5040932157692582E-2</v>
      </c>
      <c r="JZ18" s="10"/>
      <c r="KA18" s="42">
        <v>294</v>
      </c>
      <c r="KB18" s="43">
        <v>3.8159828946366372</v>
      </c>
      <c r="KC18" s="67">
        <v>6.6630369264714509E-2</v>
      </c>
      <c r="KD18" s="10">
        <f t="shared" si="77"/>
        <v>-0.68583761818942601</v>
      </c>
      <c r="KE18" s="10" t="str">
        <f t="shared" si="78"/>
        <v xml:space="preserve"> </v>
      </c>
      <c r="KF18" s="10"/>
      <c r="KG18" s="42">
        <v>342.24023096000053</v>
      </c>
      <c r="KH18" s="43">
        <v>3.9518533928235753</v>
      </c>
      <c r="KI18" s="67">
        <v>5.9148360498829995E-2</v>
      </c>
      <c r="KJ18" s="10">
        <f t="shared" si="79"/>
        <v>-2.4152526547564199</v>
      </c>
      <c r="KK18" s="10" t="str">
        <f t="shared" si="80"/>
        <v>*</v>
      </c>
      <c r="KL18" s="10"/>
      <c r="KM18" s="53">
        <v>661</v>
      </c>
      <c r="KN18" s="55">
        <v>3.7740937335928004</v>
      </c>
      <c r="KO18" s="56">
        <v>4.4195870608881159E-2</v>
      </c>
      <c r="KP18" s="10">
        <f t="shared" si="81"/>
        <v>-0.24626680842133788</v>
      </c>
      <c r="KQ18" s="10" t="str">
        <f t="shared" si="82"/>
        <v xml:space="preserve"> </v>
      </c>
      <c r="KR18" s="10"/>
      <c r="KS18" s="54">
        <v>640</v>
      </c>
      <c r="KT18" s="57">
        <v>3.7997556264846923</v>
      </c>
      <c r="KU18" s="58">
        <v>4.3479471951196197E-2</v>
      </c>
      <c r="KV18" s="10">
        <f t="shared" si="83"/>
        <v>-0.61368755482616066</v>
      </c>
      <c r="KW18" s="10" t="str">
        <f t="shared" si="102"/>
        <v xml:space="preserve"> </v>
      </c>
      <c r="KX18" s="76"/>
      <c r="KY18" s="27">
        <v>154</v>
      </c>
      <c r="KZ18" s="28">
        <v>3.9610389610389594</v>
      </c>
      <c r="LA18" s="29">
        <v>8.2379189166635503E-2</v>
      </c>
      <c r="LB18" s="10"/>
      <c r="LC18" s="42">
        <v>155</v>
      </c>
      <c r="LD18" s="43">
        <v>3.974180483485974</v>
      </c>
      <c r="LE18" s="67">
        <v>7.9744446412951975E-2</v>
      </c>
      <c r="LF18" s="10">
        <f t="shared" si="84"/>
        <v>-0.11461910207579001</v>
      </c>
      <c r="LG18" s="10" t="str">
        <f t="shared" si="85"/>
        <v xml:space="preserve"> </v>
      </c>
      <c r="LH18" s="10"/>
      <c r="LI18" s="42">
        <v>173.5887911099997</v>
      </c>
      <c r="LJ18" s="43">
        <v>4.0417580740302901</v>
      </c>
      <c r="LK18" s="67">
        <v>7.3399129454727707E-2</v>
      </c>
      <c r="LL18" s="10">
        <f t="shared" si="86"/>
        <v>-0.73158359672815165</v>
      </c>
      <c r="LM18" s="10" t="str">
        <f t="shared" si="87"/>
        <v xml:space="preserve"> </v>
      </c>
      <c r="LN18" s="10"/>
      <c r="LO18" s="53">
        <v>414</v>
      </c>
      <c r="LP18" s="55">
        <v>3.7946859903381664</v>
      </c>
      <c r="LQ18" s="56">
        <v>5.4353831517099445E-2</v>
      </c>
      <c r="LR18" s="10">
        <f t="shared" si="88"/>
        <v>1.6855286928485402</v>
      </c>
      <c r="LS18" s="10" t="str">
        <f t="shared" si="89"/>
        <v xml:space="preserve"> </v>
      </c>
      <c r="LT18" s="10"/>
      <c r="LU18" s="54">
        <v>402</v>
      </c>
      <c r="LV18" s="57">
        <v>3.9579555067006571</v>
      </c>
      <c r="LW18" s="58">
        <v>5.3010177911963649E-2</v>
      </c>
      <c r="LX18" s="10">
        <f t="shared" si="90"/>
        <v>3.1476260390759514E-2</v>
      </c>
      <c r="LY18" s="10" t="str">
        <f t="shared" si="91"/>
        <v xml:space="preserve"> </v>
      </c>
      <c r="LZ18" s="76"/>
      <c r="MA18" s="27">
        <v>183</v>
      </c>
      <c r="MB18" s="28">
        <v>4.0983443248298608</v>
      </c>
      <c r="MC18" s="29">
        <v>7.3560047976830883E-2</v>
      </c>
      <c r="MD18" s="10"/>
      <c r="ME18" s="42">
        <v>132</v>
      </c>
      <c r="MF18" s="43">
        <v>4.0159273591623341</v>
      </c>
      <c r="MG18" s="67">
        <v>9.3795521369960541E-2</v>
      </c>
      <c r="MH18" s="10">
        <f t="shared" si="92"/>
        <v>0.69141651211833344</v>
      </c>
      <c r="MI18" s="10" t="str">
        <f t="shared" si="93"/>
        <v xml:space="preserve"> </v>
      </c>
      <c r="MJ18" s="10"/>
      <c r="MK18" s="42">
        <v>111.49274159000002</v>
      </c>
      <c r="ML18" s="43">
        <v>4.1122694466159118</v>
      </c>
      <c r="MM18" s="67">
        <v>9.3109456912534305E-2</v>
      </c>
      <c r="MN18" s="10">
        <f t="shared" si="94"/>
        <v>-0.11735205785611508</v>
      </c>
      <c r="MO18" s="10" t="str">
        <f t="shared" si="95"/>
        <v xml:space="preserve"> </v>
      </c>
      <c r="MP18" s="10"/>
      <c r="MQ18" s="53">
        <v>194</v>
      </c>
      <c r="MR18" s="55">
        <v>3.8933662949170009</v>
      </c>
      <c r="MS18" s="56">
        <v>7.5606011848625879E-2</v>
      </c>
      <c r="MT18" s="10">
        <f t="shared" si="96"/>
        <v>1.9431729067350347</v>
      </c>
      <c r="MU18" s="10" t="str">
        <f t="shared" si="97"/>
        <v xml:space="preserve"> </v>
      </c>
      <c r="MV18" s="10"/>
      <c r="MW18" s="54">
        <v>200</v>
      </c>
      <c r="MX18" s="57">
        <v>4.0026700961874688</v>
      </c>
      <c r="MY18" s="58">
        <v>7.7478001140374397E-2</v>
      </c>
      <c r="MZ18" s="10">
        <f t="shared" si="98"/>
        <v>0.89552462447566628</v>
      </c>
      <c r="NA18" s="10" t="str">
        <f t="shared" si="103"/>
        <v xml:space="preserve"> </v>
      </c>
      <c r="NB18" s="58"/>
    </row>
    <row r="19" spans="1:366" x14ac:dyDescent="0.2">
      <c r="B19" s="65" t="s">
        <v>21</v>
      </c>
      <c r="C19" s="27">
        <v>413</v>
      </c>
      <c r="D19" s="28">
        <v>3.9226757978228943</v>
      </c>
      <c r="E19" s="29">
        <v>4.9295549048866905E-2</v>
      </c>
      <c r="F19" s="10"/>
      <c r="G19" s="42">
        <v>128</v>
      </c>
      <c r="H19" s="43">
        <v>3.7264102064191365</v>
      </c>
      <c r="I19" s="67">
        <v>0.10176275669927808</v>
      </c>
      <c r="J19" s="10">
        <f t="shared" si="1"/>
        <v>1.7357283050619485</v>
      </c>
      <c r="K19" s="10" t="str">
        <f t="shared" si="2"/>
        <v xml:space="preserve"> </v>
      </c>
      <c r="L19" s="10"/>
      <c r="M19" s="42">
        <v>127.8879129900001</v>
      </c>
      <c r="N19" s="43">
        <v>3.8617886178861789</v>
      </c>
      <c r="O19" s="67">
        <v>6.7281342662203952E-2</v>
      </c>
      <c r="P19" s="10">
        <f t="shared" si="3"/>
        <v>0.72999545660098331</v>
      </c>
      <c r="Q19" s="10" t="str">
        <f t="shared" si="4"/>
        <v xml:space="preserve"> </v>
      </c>
      <c r="R19" s="10"/>
      <c r="S19" s="53">
        <v>132</v>
      </c>
      <c r="T19" s="55">
        <v>3.7727272727272734</v>
      </c>
      <c r="U19" s="56">
        <v>8.3862051219908668E-2</v>
      </c>
      <c r="V19" s="10">
        <f t="shared" si="5"/>
        <v>1.54145266369709</v>
      </c>
      <c r="W19" s="10" t="str">
        <f t="shared" si="6"/>
        <v xml:space="preserve"> </v>
      </c>
      <c r="X19" s="10"/>
      <c r="Y19" s="54">
        <v>210</v>
      </c>
      <c r="Z19" s="57">
        <v>3.3904761904761882</v>
      </c>
      <c r="AA19" s="58">
        <v>6.4703029294605821E-2</v>
      </c>
      <c r="AB19" s="10">
        <f t="shared" si="7"/>
        <v>6.5427345899874751</v>
      </c>
      <c r="AC19" s="10" t="str">
        <f t="shared" si="8"/>
        <v>*</v>
      </c>
      <c r="AD19" s="76"/>
      <c r="AE19" s="27">
        <v>97</v>
      </c>
      <c r="AF19" s="28">
        <v>3.8173140369443717</v>
      </c>
      <c r="AG19" s="29">
        <v>9.7906799027328725E-2</v>
      </c>
      <c r="AH19" s="67"/>
      <c r="AI19" s="42">
        <v>55</v>
      </c>
      <c r="AJ19" s="43">
        <v>4.0366308196823661</v>
      </c>
      <c r="AK19" s="67">
        <v>0.14617430159783737</v>
      </c>
      <c r="AL19" s="10">
        <f t="shared" si="9"/>
        <v>-1.2465876598996861</v>
      </c>
      <c r="AM19" s="10" t="str">
        <f t="shared" si="10"/>
        <v xml:space="preserve"> </v>
      </c>
      <c r="AN19" s="67"/>
      <c r="AO19" s="42">
        <v>92.053096800000006</v>
      </c>
      <c r="AP19" s="43">
        <v>3.812270871260901</v>
      </c>
      <c r="AQ19" s="67">
        <v>8.9764885904209377E-2</v>
      </c>
      <c r="AR19" s="10">
        <f t="shared" si="11"/>
        <v>3.7967426451646129E-2</v>
      </c>
      <c r="AS19" s="10" t="str">
        <f t="shared" si="12"/>
        <v xml:space="preserve"> </v>
      </c>
      <c r="AT19" s="10"/>
      <c r="AU19" s="53">
        <v>112</v>
      </c>
      <c r="AV19" s="55">
        <v>3.6676514475701207</v>
      </c>
      <c r="AW19" s="56">
        <v>9.9811280061028948E-2</v>
      </c>
      <c r="AX19" s="10">
        <f t="shared" si="13"/>
        <v>1.07043850781556</v>
      </c>
      <c r="AY19" s="10" t="str">
        <f t="shared" si="14"/>
        <v xml:space="preserve"> </v>
      </c>
      <c r="AZ19" s="10"/>
      <c r="BA19" s="54">
        <v>81</v>
      </c>
      <c r="BB19" s="57">
        <v>3.5461130736270552</v>
      </c>
      <c r="BC19" s="58">
        <v>9.7685178067201867E-2</v>
      </c>
      <c r="BD19" s="10">
        <f t="shared" si="15"/>
        <v>1.9608975784444544</v>
      </c>
      <c r="BE19" s="10" t="str">
        <f t="shared" si="16"/>
        <v>*</v>
      </c>
      <c r="BF19" s="76"/>
      <c r="BG19" s="27">
        <v>1063</v>
      </c>
      <c r="BH19" s="28">
        <v>3.9519000698291298</v>
      </c>
      <c r="BI19" s="29">
        <v>3.0337135891901443E-2</v>
      </c>
      <c r="BJ19" s="10"/>
      <c r="BK19" s="42">
        <v>315</v>
      </c>
      <c r="BL19" s="43">
        <v>3.9270609904062255</v>
      </c>
      <c r="BM19" s="67">
        <v>5.5033475275651993E-2</v>
      </c>
      <c r="BN19" s="10">
        <f t="shared" si="17"/>
        <v>0.39526698654323289</v>
      </c>
      <c r="BO19" s="10" t="str">
        <f t="shared" si="18"/>
        <v xml:space="preserve"> </v>
      </c>
      <c r="BP19" s="10"/>
      <c r="BQ19" s="42">
        <v>331.13605130999929</v>
      </c>
      <c r="BR19" s="43">
        <v>3.8753400134878251</v>
      </c>
      <c r="BS19" s="67">
        <v>3.0053815016070972E-2</v>
      </c>
      <c r="BT19" s="10">
        <f t="shared" si="19"/>
        <v>1.7928361267308246</v>
      </c>
      <c r="BU19" s="10" t="str">
        <f t="shared" si="20"/>
        <v xml:space="preserve"> </v>
      </c>
      <c r="BV19" s="10"/>
      <c r="BW19" s="53">
        <v>354</v>
      </c>
      <c r="BX19" s="55">
        <v>3.9697248645324912</v>
      </c>
      <c r="BY19" s="56">
        <v>2.0044370355240794E-2</v>
      </c>
      <c r="BZ19" s="10">
        <f t="shared" si="21"/>
        <v>-0.49021808548719464</v>
      </c>
      <c r="CA19" s="10" t="str">
        <f t="shared" si="22"/>
        <v xml:space="preserve"> </v>
      </c>
      <c r="CB19" s="10"/>
      <c r="CC19" s="54">
        <v>393</v>
      </c>
      <c r="CD19" s="57">
        <v>3.8006390152641818</v>
      </c>
      <c r="CE19" s="58">
        <v>4.7892608454318079E-2</v>
      </c>
      <c r="CF19" s="10">
        <f t="shared" si="23"/>
        <v>2.6680946452591026</v>
      </c>
      <c r="CG19" s="10" t="str">
        <f t="shared" si="24"/>
        <v>*</v>
      </c>
      <c r="CH19" s="76"/>
      <c r="CI19" s="27">
        <v>632</v>
      </c>
      <c r="CJ19" s="28">
        <v>3.9837395519178282</v>
      </c>
      <c r="CK19" s="29">
        <v>4.0222283780888712E-2</v>
      </c>
      <c r="CL19" s="67"/>
      <c r="CM19" s="42">
        <v>195</v>
      </c>
      <c r="CN19" s="43">
        <v>4.0568687942276451</v>
      </c>
      <c r="CO19" s="67">
        <v>7.0054952672667925E-2</v>
      </c>
      <c r="CP19" s="10">
        <f t="shared" si="25"/>
        <v>-0.90528063024899186</v>
      </c>
      <c r="CQ19" s="10" t="str">
        <f t="shared" si="26"/>
        <v xml:space="preserve"> </v>
      </c>
      <c r="CR19" s="10"/>
      <c r="CS19" s="42">
        <v>207.85385759999954</v>
      </c>
      <c r="CT19" s="43">
        <v>4.0847639780345331</v>
      </c>
      <c r="CU19" s="67">
        <v>6.0171360677494935E-2</v>
      </c>
      <c r="CV19" s="10">
        <f t="shared" si="27"/>
        <v>-1.3958091369369046</v>
      </c>
      <c r="CW19" s="10" t="str">
        <f t="shared" si="28"/>
        <v xml:space="preserve"> </v>
      </c>
      <c r="CX19" s="10"/>
      <c r="CY19" s="53">
        <v>198</v>
      </c>
      <c r="CZ19" s="55">
        <v>4.0309250903346081</v>
      </c>
      <c r="DA19" s="56">
        <v>7.3491459920097868E-2</v>
      </c>
      <c r="DB19" s="10">
        <f t="shared" si="29"/>
        <v>-0.56321816376377476</v>
      </c>
      <c r="DC19" s="10" t="str">
        <f t="shared" si="0"/>
        <v xml:space="preserve"> </v>
      </c>
      <c r="DD19" s="10"/>
      <c r="DE19" s="54">
        <v>247</v>
      </c>
      <c r="DF19" s="57">
        <v>3.9632447896265366</v>
      </c>
      <c r="DG19" s="58">
        <v>5.6969912127450534E-2</v>
      </c>
      <c r="DH19" s="10">
        <f t="shared" si="30"/>
        <v>0.29388184407145879</v>
      </c>
      <c r="DI19" s="10" t="str">
        <f t="shared" si="31"/>
        <v xml:space="preserve"> </v>
      </c>
      <c r="DJ19" s="76"/>
      <c r="DK19" s="27">
        <v>206</v>
      </c>
      <c r="DL19" s="28">
        <v>3.9626046028741695</v>
      </c>
      <c r="DM19" s="29">
        <v>6.9734043154691241E-2</v>
      </c>
      <c r="DN19" s="10"/>
      <c r="DO19" s="42">
        <v>76</v>
      </c>
      <c r="DP19" s="43">
        <v>3.9353330280068941</v>
      </c>
      <c r="DQ19" s="67">
        <v>0.11756214545532502</v>
      </c>
      <c r="DR19" s="10">
        <f t="shared" si="32"/>
        <v>0.19951650829459369</v>
      </c>
      <c r="DS19" s="10" t="str">
        <f t="shared" si="33"/>
        <v xml:space="preserve"> </v>
      </c>
      <c r="DT19" s="10"/>
      <c r="DU19" s="42">
        <v>94.95133290000004</v>
      </c>
      <c r="DV19" s="43">
        <v>3.8256848268003618</v>
      </c>
      <c r="DW19" s="67">
        <v>9.9142013963736758E-2</v>
      </c>
      <c r="DX19" s="10">
        <f t="shared" si="34"/>
        <v>1.1296036302102199</v>
      </c>
      <c r="DY19" s="10" t="str">
        <f t="shared" si="35"/>
        <v xml:space="preserve"> </v>
      </c>
      <c r="DZ19" s="10"/>
      <c r="EA19" s="53">
        <v>87</v>
      </c>
      <c r="EB19" s="55">
        <v>3.73785391063219</v>
      </c>
      <c r="EC19" s="56">
        <v>0.10434883490327825</v>
      </c>
      <c r="ED19" s="10">
        <f t="shared" si="36"/>
        <v>1.7907701930978306</v>
      </c>
      <c r="EE19" s="10" t="str">
        <f t="shared" si="37"/>
        <v xml:space="preserve"> </v>
      </c>
      <c r="EF19" s="10"/>
      <c r="EG19" s="54">
        <v>60</v>
      </c>
      <c r="EH19" s="57">
        <v>3.8166666666666655</v>
      </c>
      <c r="EI19" s="58">
        <v>0.12268548392286949</v>
      </c>
      <c r="EJ19" s="10">
        <f t="shared" si="38"/>
        <v>1.0341482252458256</v>
      </c>
      <c r="EK19" s="10" t="str">
        <f t="shared" si="39"/>
        <v xml:space="preserve"> </v>
      </c>
      <c r="EL19" s="76"/>
      <c r="EM19" s="27">
        <v>436</v>
      </c>
      <c r="EN19" s="28">
        <v>4.0377228118072264</v>
      </c>
      <c r="EO19" s="29">
        <v>4.6575094702556857E-2</v>
      </c>
      <c r="EP19" s="10"/>
      <c r="EQ19" s="42">
        <v>135</v>
      </c>
      <c r="ER19" s="43">
        <v>4.0073576800162556</v>
      </c>
      <c r="ES19" s="67">
        <v>8.3067817330137447E-2</v>
      </c>
      <c r="ET19" s="10">
        <f t="shared" si="40"/>
        <v>0.31884782335386952</v>
      </c>
      <c r="EU19" s="10" t="str">
        <f t="shared" si="41"/>
        <v xml:space="preserve"> </v>
      </c>
      <c r="EV19" s="10"/>
      <c r="EW19" s="42">
        <v>160.59151133999987</v>
      </c>
      <c r="EX19" s="43">
        <v>3.7266827837053453</v>
      </c>
      <c r="EY19" s="67">
        <v>7.5341225729028016E-2</v>
      </c>
      <c r="EZ19" s="10">
        <f t="shared" si="42"/>
        <v>3.511598615859072</v>
      </c>
      <c r="FA19" s="10" t="str">
        <f t="shared" si="43"/>
        <v>*</v>
      </c>
      <c r="FB19" s="10"/>
      <c r="FC19" s="53">
        <v>144</v>
      </c>
      <c r="FD19" s="55">
        <v>3.8922757470839255</v>
      </c>
      <c r="FE19" s="56">
        <v>8.3917817819861878E-2</v>
      </c>
      <c r="FF19" s="10">
        <f t="shared" si="44"/>
        <v>1.5154485862938509</v>
      </c>
      <c r="FG19" s="10" t="str">
        <f t="shared" si="45"/>
        <v xml:space="preserve"> </v>
      </c>
      <c r="FH19" s="10"/>
      <c r="FI19" s="54">
        <v>191</v>
      </c>
      <c r="FJ19" s="57">
        <v>3.7147349101499501</v>
      </c>
      <c r="FK19" s="58">
        <v>6.290366069570448E-2</v>
      </c>
      <c r="FL19" s="10">
        <f t="shared" si="46"/>
        <v>4.126614126378132</v>
      </c>
      <c r="FM19" s="10" t="str">
        <f t="shared" si="99"/>
        <v>*</v>
      </c>
      <c r="FN19" s="76"/>
      <c r="FO19" s="27">
        <v>207</v>
      </c>
      <c r="FP19" s="28">
        <v>4.0212891692323804</v>
      </c>
      <c r="FQ19" s="29">
        <v>6.8122204741264458E-2</v>
      </c>
      <c r="FR19" s="67"/>
      <c r="FS19" s="42">
        <v>159</v>
      </c>
      <c r="FT19" s="43">
        <v>3.8246573040026148</v>
      </c>
      <c r="FU19" s="67">
        <v>8.0771941202983713E-2</v>
      </c>
      <c r="FV19" s="10">
        <f t="shared" si="47"/>
        <v>1.8609279869311099</v>
      </c>
      <c r="FW19" s="10" t="str">
        <f t="shared" si="48"/>
        <v xml:space="preserve"> </v>
      </c>
      <c r="FX19" s="67"/>
      <c r="FY19" s="42">
        <v>182.6063292900003</v>
      </c>
      <c r="FZ19" s="43">
        <v>4.0286443449158496</v>
      </c>
      <c r="GA19" s="67">
        <v>7.5420300663540107E-2</v>
      </c>
      <c r="GB19" s="10">
        <f t="shared" si="49"/>
        <v>-7.2371392350106561E-2</v>
      </c>
      <c r="GC19" s="10" t="str">
        <f t="shared" si="50"/>
        <v xml:space="preserve"> </v>
      </c>
      <c r="GD19" s="10"/>
      <c r="GE19" s="53">
        <v>194</v>
      </c>
      <c r="GF19" s="55">
        <v>3.7911433362820368</v>
      </c>
      <c r="GG19" s="56">
        <v>8.0412630900949814E-2</v>
      </c>
      <c r="GH19" s="10">
        <f t="shared" si="51"/>
        <v>2.1837762177909985</v>
      </c>
      <c r="GI19" s="10" t="str">
        <f t="shared" si="52"/>
        <v>*</v>
      </c>
      <c r="GJ19" s="10"/>
      <c r="GK19" s="54">
        <v>181</v>
      </c>
      <c r="GL19" s="57">
        <v>3.874201610839906</v>
      </c>
      <c r="GM19" s="58">
        <v>7.4701821883744801E-2</v>
      </c>
      <c r="GN19" s="10">
        <f t="shared" si="53"/>
        <v>1.454887153326843</v>
      </c>
      <c r="GO19" s="10" t="str">
        <f t="shared" si="100"/>
        <v xml:space="preserve"> </v>
      </c>
      <c r="GP19" s="76"/>
      <c r="GQ19" s="27">
        <v>216</v>
      </c>
      <c r="GR19" s="28">
        <v>3.9736605070364495</v>
      </c>
      <c r="GS19" s="29">
        <v>6.8798346155253154E-2</v>
      </c>
      <c r="GT19" s="10"/>
      <c r="GU19" s="42">
        <v>130</v>
      </c>
      <c r="GV19" s="43">
        <v>4.0491481040303672</v>
      </c>
      <c r="GW19" s="67">
        <v>8.7455807840370076E-2</v>
      </c>
      <c r="GX19" s="10">
        <f t="shared" si="54"/>
        <v>-0.67839856817225519</v>
      </c>
      <c r="GY19" s="10" t="str">
        <f t="shared" si="55"/>
        <v xml:space="preserve"> </v>
      </c>
      <c r="GZ19" s="10"/>
      <c r="HA19" s="42">
        <v>118.8765762099999</v>
      </c>
      <c r="HB19" s="43">
        <v>4.04172135014419</v>
      </c>
      <c r="HC19" s="67">
        <v>9.2971433657102504E-2</v>
      </c>
      <c r="HD19" s="10">
        <f t="shared" si="56"/>
        <v>-0.58846357502613578</v>
      </c>
      <c r="HE19" s="10" t="str">
        <f t="shared" si="57"/>
        <v xml:space="preserve"> </v>
      </c>
      <c r="HF19" s="10"/>
      <c r="HG19" s="53">
        <v>79</v>
      </c>
      <c r="HH19" s="55">
        <v>4.2019027474288002</v>
      </c>
      <c r="HI19" s="56">
        <v>8.570118231515049E-2</v>
      </c>
      <c r="HJ19" s="10">
        <f t="shared" si="58"/>
        <v>-2.0768264942329759</v>
      </c>
      <c r="HK19" s="10" t="str">
        <f t="shared" si="59"/>
        <v>*</v>
      </c>
      <c r="HL19" s="10"/>
      <c r="HM19" s="54">
        <v>145</v>
      </c>
      <c r="HN19" s="57">
        <v>4.1296625220079468</v>
      </c>
      <c r="HO19" s="58">
        <v>8.0381210946022547E-2</v>
      </c>
      <c r="HP19" s="10">
        <f t="shared" si="60"/>
        <v>-1.4744523364029132</v>
      </c>
      <c r="HQ19" s="10" t="str">
        <f t="shared" si="101"/>
        <v xml:space="preserve"> </v>
      </c>
      <c r="HR19" s="76"/>
      <c r="HS19" s="27">
        <v>490</v>
      </c>
      <c r="HT19" s="28">
        <v>3.9223648567952658</v>
      </c>
      <c r="HU19" s="29">
        <v>4.5962689230339478E-2</v>
      </c>
      <c r="HV19" s="10"/>
      <c r="HW19" s="42">
        <v>326</v>
      </c>
      <c r="HX19" s="43">
        <v>3.8425572319904613</v>
      </c>
      <c r="HY19" s="67">
        <v>5.7547030290416537E-2</v>
      </c>
      <c r="HZ19" s="10">
        <f t="shared" si="61"/>
        <v>1.0836158722324309</v>
      </c>
      <c r="IA19" s="10" t="str">
        <f t="shared" si="62"/>
        <v xml:space="preserve"> </v>
      </c>
      <c r="IB19" s="10"/>
      <c r="IC19" s="42">
        <v>353.34155232000069</v>
      </c>
      <c r="ID19" s="43">
        <v>3.8822294609655374</v>
      </c>
      <c r="IE19" s="67">
        <v>5.3759687070029691E-2</v>
      </c>
      <c r="IF19" s="10">
        <f t="shared" si="63"/>
        <v>0.56744856629099272</v>
      </c>
      <c r="IG19" s="10" t="str">
        <f t="shared" si="64"/>
        <v xml:space="preserve"> </v>
      </c>
      <c r="IH19" s="10"/>
      <c r="II19" s="53">
        <v>339</v>
      </c>
      <c r="IJ19" s="55">
        <v>3.9446729835103347</v>
      </c>
      <c r="IK19" s="56">
        <v>5.7642554108149731E-2</v>
      </c>
      <c r="IL19" s="10">
        <f t="shared" si="65"/>
        <v>-0.30258961983393823</v>
      </c>
      <c r="IM19" s="10" t="str">
        <f t="shared" si="66"/>
        <v xml:space="preserve"> </v>
      </c>
      <c r="IN19" s="10"/>
      <c r="IO19" s="54">
        <v>372</v>
      </c>
      <c r="IP19" s="57">
        <v>3.9035699627410239</v>
      </c>
      <c r="IQ19" s="58">
        <v>5.3297406577555946E-2</v>
      </c>
      <c r="IR19" s="10">
        <f t="shared" si="67"/>
        <v>0.26705316145727381</v>
      </c>
      <c r="IS19" s="10" t="str">
        <f t="shared" si="68"/>
        <v xml:space="preserve"> </v>
      </c>
      <c r="IT19" s="76"/>
      <c r="IU19" s="27">
        <v>46</v>
      </c>
      <c r="IV19" s="28">
        <v>4.3478260869565215</v>
      </c>
      <c r="IW19" s="29">
        <v>0.13272625240589858</v>
      </c>
      <c r="IX19" s="10"/>
      <c r="IY19" s="42">
        <v>35</v>
      </c>
      <c r="IZ19" s="43">
        <v>4.3998878295255111</v>
      </c>
      <c r="JA19" s="67">
        <v>0.14322063709894017</v>
      </c>
      <c r="JB19" s="10">
        <f t="shared" si="69"/>
        <v>-0.26662100352759738</v>
      </c>
      <c r="JC19" s="10" t="str">
        <f t="shared" si="70"/>
        <v xml:space="preserve"> </v>
      </c>
      <c r="JD19" s="10"/>
      <c r="JE19" s="42">
        <v>30.693701090000005</v>
      </c>
      <c r="JF19" s="43">
        <v>4.4193548387096788</v>
      </c>
      <c r="JG19" s="67">
        <v>0.14572781458870607</v>
      </c>
      <c r="JH19" s="10">
        <f t="shared" si="71"/>
        <v>-0.36288513889608892</v>
      </c>
      <c r="JI19" s="10" t="str">
        <f t="shared" si="72"/>
        <v xml:space="preserve"> </v>
      </c>
      <c r="JJ19" s="10"/>
      <c r="JK19" s="53">
        <v>31</v>
      </c>
      <c r="JL19" s="55">
        <v>4.3225806451612918</v>
      </c>
      <c r="JM19" s="56">
        <v>0.18998633737993129</v>
      </c>
      <c r="JN19" s="10">
        <f t="shared" si="73"/>
        <v>0.10893089889108934</v>
      </c>
      <c r="JO19" s="10" t="str">
        <f t="shared" si="74"/>
        <v xml:space="preserve"> </v>
      </c>
      <c r="JP19" s="10"/>
      <c r="JQ19" s="54">
        <v>51</v>
      </c>
      <c r="JR19" s="57">
        <v>4.0588235294117654</v>
      </c>
      <c r="JS19" s="58">
        <v>0.14891676460259948</v>
      </c>
      <c r="JT19" s="10">
        <f t="shared" si="75"/>
        <v>1.448776147593458</v>
      </c>
      <c r="JU19" s="10" t="str">
        <f t="shared" si="76"/>
        <v xml:space="preserve"> </v>
      </c>
      <c r="JV19" s="76"/>
      <c r="JW19" s="27">
        <v>493</v>
      </c>
      <c r="JX19" s="28">
        <v>3.957303320895488</v>
      </c>
      <c r="JY19" s="29">
        <v>4.6656898561048557E-2</v>
      </c>
      <c r="JZ19" s="10"/>
      <c r="KA19" s="42">
        <v>303</v>
      </c>
      <c r="KB19" s="43">
        <v>3.9831431536051474</v>
      </c>
      <c r="KC19" s="67">
        <v>5.7181451789883715E-2</v>
      </c>
      <c r="KD19" s="10">
        <f t="shared" si="77"/>
        <v>-0.35012858632790467</v>
      </c>
      <c r="KE19" s="10" t="str">
        <f t="shared" si="78"/>
        <v xml:space="preserve"> </v>
      </c>
      <c r="KF19" s="10"/>
      <c r="KG19" s="42">
        <v>351.3102544000007</v>
      </c>
      <c r="KH19" s="43">
        <v>4.0919973607237852</v>
      </c>
      <c r="KI19" s="67">
        <v>5.3304566284867266E-2</v>
      </c>
      <c r="KJ19" s="10">
        <f t="shared" si="79"/>
        <v>-1.9013958264491615</v>
      </c>
      <c r="KK19" s="10" t="str">
        <f t="shared" si="80"/>
        <v xml:space="preserve"> </v>
      </c>
      <c r="KL19" s="10"/>
      <c r="KM19" s="53">
        <v>678</v>
      </c>
      <c r="KN19" s="55">
        <v>3.9501842551991917</v>
      </c>
      <c r="KO19" s="56">
        <v>4.0707233549779925E-2</v>
      </c>
      <c r="KP19" s="10">
        <f t="shared" si="81"/>
        <v>0.11497411064591082</v>
      </c>
      <c r="KQ19" s="10" t="str">
        <f t="shared" si="82"/>
        <v xml:space="preserve"> </v>
      </c>
      <c r="KR19" s="10"/>
      <c r="KS19" s="54">
        <v>666</v>
      </c>
      <c r="KT19" s="57">
        <v>3.9112976206946048</v>
      </c>
      <c r="KU19" s="58">
        <v>3.8162249139183112E-2</v>
      </c>
      <c r="KV19" s="10">
        <f t="shared" si="83"/>
        <v>0.76324785268186557</v>
      </c>
      <c r="KW19" s="10" t="str">
        <f t="shared" si="102"/>
        <v xml:space="preserve"> </v>
      </c>
      <c r="KX19" s="76"/>
      <c r="KY19" s="27">
        <v>158</v>
      </c>
      <c r="KZ19" s="28">
        <v>4.0569620253164533</v>
      </c>
      <c r="LA19" s="29">
        <v>7.14374959715708E-2</v>
      </c>
      <c r="LB19" s="10"/>
      <c r="LC19" s="42">
        <v>167</v>
      </c>
      <c r="LD19" s="43">
        <v>4.0778808880455264</v>
      </c>
      <c r="LE19" s="67">
        <v>7.5939957899731805E-2</v>
      </c>
      <c r="LF19" s="10">
        <f t="shared" si="84"/>
        <v>-0.20064088825509024</v>
      </c>
      <c r="LG19" s="10" t="str">
        <f t="shared" si="85"/>
        <v xml:space="preserve"> </v>
      </c>
      <c r="LH19" s="10"/>
      <c r="LI19" s="42">
        <v>176.55914927999967</v>
      </c>
      <c r="LJ19" s="43">
        <v>4.1532127986587692</v>
      </c>
      <c r="LK19" s="67">
        <v>6.7617647567973671E-2</v>
      </c>
      <c r="LL19" s="10">
        <f t="shared" si="86"/>
        <v>-0.97851698772626616</v>
      </c>
      <c r="LM19" s="10" t="str">
        <f t="shared" si="87"/>
        <v xml:space="preserve"> </v>
      </c>
      <c r="LN19" s="10"/>
      <c r="LO19" s="53">
        <v>414</v>
      </c>
      <c r="LP19" s="55">
        <v>3.9057971014492758</v>
      </c>
      <c r="LQ19" s="56">
        <v>4.9499412170946111E-2</v>
      </c>
      <c r="LR19" s="10">
        <f t="shared" si="88"/>
        <v>1.7393087964371661</v>
      </c>
      <c r="LS19" s="10" t="str">
        <f t="shared" si="89"/>
        <v xml:space="preserve"> </v>
      </c>
      <c r="LT19" s="10"/>
      <c r="LU19" s="54">
        <v>414</v>
      </c>
      <c r="LV19" s="57">
        <v>3.947484466084147</v>
      </c>
      <c r="LW19" s="58">
        <v>4.9194536433735746E-2</v>
      </c>
      <c r="LX19" s="10">
        <f t="shared" si="90"/>
        <v>1.2621689827829086</v>
      </c>
      <c r="LY19" s="10" t="str">
        <f t="shared" si="91"/>
        <v xml:space="preserve"> </v>
      </c>
      <c r="LZ19" s="76"/>
      <c r="MA19" s="27">
        <v>191</v>
      </c>
      <c r="MB19" s="28">
        <v>4.1518424559621581</v>
      </c>
      <c r="MC19" s="29">
        <v>6.8566414680661283E-2</v>
      </c>
      <c r="MD19" s="10"/>
      <c r="ME19" s="42">
        <v>133</v>
      </c>
      <c r="MF19" s="43">
        <v>4.173437730720476</v>
      </c>
      <c r="MG19" s="67">
        <v>8.5806073245120934E-2</v>
      </c>
      <c r="MH19" s="10">
        <f t="shared" si="92"/>
        <v>-0.19661309151576367</v>
      </c>
      <c r="MI19" s="10" t="str">
        <f t="shared" si="93"/>
        <v xml:space="preserve"> </v>
      </c>
      <c r="MJ19" s="10"/>
      <c r="MK19" s="42">
        <v>111.65169052000002</v>
      </c>
      <c r="ML19" s="43">
        <v>4.2348370258245511</v>
      </c>
      <c r="MM19" s="67">
        <v>8.4562478991331735E-2</v>
      </c>
      <c r="MN19" s="10">
        <f t="shared" si="94"/>
        <v>-0.76234369765065157</v>
      </c>
      <c r="MO19" s="10" t="str">
        <f t="shared" si="95"/>
        <v xml:space="preserve"> </v>
      </c>
      <c r="MP19" s="10"/>
      <c r="MQ19" s="53">
        <v>198</v>
      </c>
      <c r="MR19" s="55">
        <v>3.9497177250794815</v>
      </c>
      <c r="MS19" s="56">
        <v>6.5998058252745434E-2</v>
      </c>
      <c r="MT19" s="10">
        <f t="shared" si="96"/>
        <v>2.1238554106905818</v>
      </c>
      <c r="MU19" s="10" t="str">
        <f t="shared" si="97"/>
        <v>*</v>
      </c>
      <c r="MV19" s="10"/>
      <c r="MW19" s="54">
        <v>201</v>
      </c>
      <c r="MX19" s="57">
        <v>4.1298578982169563</v>
      </c>
      <c r="MY19" s="58">
        <v>6.6791120151057704E-2</v>
      </c>
      <c r="MZ19" s="10">
        <f t="shared" si="98"/>
        <v>0.22967458740423227</v>
      </c>
      <c r="NA19" s="10" t="str">
        <f t="shared" si="103"/>
        <v xml:space="preserve"> </v>
      </c>
      <c r="NB19" s="58"/>
    </row>
    <row r="20" spans="1:366" x14ac:dyDescent="0.2">
      <c r="B20" s="65" t="s">
        <v>22</v>
      </c>
      <c r="C20" s="27">
        <v>422</v>
      </c>
      <c r="D20" s="28">
        <v>3.7205623662395504</v>
      </c>
      <c r="E20" s="29">
        <v>5.5133121258261593E-2</v>
      </c>
      <c r="F20" s="10"/>
      <c r="G20" s="42">
        <v>132</v>
      </c>
      <c r="H20" s="43">
        <v>3.3182187741621152</v>
      </c>
      <c r="I20" s="67">
        <v>0.12215366380742296</v>
      </c>
      <c r="J20" s="10">
        <f t="shared" si="1"/>
        <v>3.0021312329276886</v>
      </c>
      <c r="K20" s="10" t="str">
        <f t="shared" si="2"/>
        <v>*</v>
      </c>
      <c r="L20" s="10"/>
      <c r="M20" s="42">
        <v>128.92765212000009</v>
      </c>
      <c r="N20" s="43">
        <v>2.7741935483870961</v>
      </c>
      <c r="O20" s="67">
        <v>0.11714226925251696</v>
      </c>
      <c r="P20" s="10">
        <f t="shared" si="3"/>
        <v>7.3096715469805051</v>
      </c>
      <c r="Q20" s="10" t="str">
        <f t="shared" si="4"/>
        <v>*</v>
      </c>
      <c r="R20" s="10"/>
      <c r="S20" s="53">
        <v>131</v>
      </c>
      <c r="T20" s="55">
        <v>3.1297709923664114</v>
      </c>
      <c r="U20" s="56">
        <v>0.10691522673311019</v>
      </c>
      <c r="V20" s="10">
        <f t="shared" si="5"/>
        <v>4.9112492455394197</v>
      </c>
      <c r="W20" s="10" t="str">
        <f t="shared" si="6"/>
        <v>*</v>
      </c>
      <c r="X20" s="10"/>
      <c r="Y20" s="54">
        <v>211</v>
      </c>
      <c r="Z20" s="57">
        <v>2.9526066350710907</v>
      </c>
      <c r="AA20" s="58">
        <v>7.2957103014605007E-2</v>
      </c>
      <c r="AB20" s="10">
        <f t="shared" si="7"/>
        <v>8.3979003834905335</v>
      </c>
      <c r="AC20" s="10" t="str">
        <f t="shared" si="8"/>
        <v>*</v>
      </c>
      <c r="AD20" s="76"/>
      <c r="AE20" s="27">
        <v>100</v>
      </c>
      <c r="AF20" s="28">
        <v>3.6722987697550513</v>
      </c>
      <c r="AG20" s="29">
        <v>0.11182529408525348</v>
      </c>
      <c r="AH20" s="67"/>
      <c r="AI20" s="42">
        <v>56</v>
      </c>
      <c r="AJ20" s="43">
        <v>3.9816569860451998</v>
      </c>
      <c r="AK20" s="67">
        <v>0.15756931703700949</v>
      </c>
      <c r="AL20" s="10">
        <f t="shared" si="9"/>
        <v>-1.6010883256732285</v>
      </c>
      <c r="AM20" s="10" t="str">
        <f t="shared" si="10"/>
        <v xml:space="preserve"> </v>
      </c>
      <c r="AN20" s="67"/>
      <c r="AO20" s="42">
        <v>93.008467890000006</v>
      </c>
      <c r="AP20" s="43">
        <v>2.7891199534305113</v>
      </c>
      <c r="AQ20" s="67">
        <v>0.12878127482872787</v>
      </c>
      <c r="AR20" s="10">
        <f t="shared" si="11"/>
        <v>5.1782190402178223</v>
      </c>
      <c r="AS20" s="10" t="str">
        <f t="shared" si="12"/>
        <v>*</v>
      </c>
      <c r="AT20" s="10"/>
      <c r="AU20" s="53">
        <v>114</v>
      </c>
      <c r="AV20" s="55">
        <v>3.0601798881047455</v>
      </c>
      <c r="AW20" s="56">
        <v>0.12481180798530649</v>
      </c>
      <c r="AX20" s="10">
        <f t="shared" si="13"/>
        <v>3.6527077372602372</v>
      </c>
      <c r="AY20" s="10" t="str">
        <f t="shared" si="14"/>
        <v>*</v>
      </c>
      <c r="AZ20" s="10"/>
      <c r="BA20" s="54">
        <v>82</v>
      </c>
      <c r="BB20" s="57">
        <v>2.5053177429524598</v>
      </c>
      <c r="BC20" s="58">
        <v>0.11225900781452904</v>
      </c>
      <c r="BD20" s="10">
        <f t="shared" si="15"/>
        <v>7.3648947736031554</v>
      </c>
      <c r="BE20" s="10" t="str">
        <f t="shared" si="16"/>
        <v>*</v>
      </c>
      <c r="BF20" s="76"/>
      <c r="BG20" s="27">
        <v>1077</v>
      </c>
      <c r="BH20" s="28">
        <v>3.7177009401689043</v>
      </c>
      <c r="BI20" s="29">
        <v>3.5966687508988099E-2</v>
      </c>
      <c r="BJ20" s="10"/>
      <c r="BK20" s="42">
        <v>323</v>
      </c>
      <c r="BL20" s="43">
        <v>3.6499411339645094</v>
      </c>
      <c r="BM20" s="67">
        <v>6.8498934317316143E-2</v>
      </c>
      <c r="BN20" s="10">
        <f t="shared" si="17"/>
        <v>0.87581916045286079</v>
      </c>
      <c r="BO20" s="10" t="str">
        <f t="shared" si="18"/>
        <v xml:space="preserve"> </v>
      </c>
      <c r="BP20" s="10"/>
      <c r="BQ20" s="42">
        <v>330.18068021999926</v>
      </c>
      <c r="BR20" s="43">
        <v>2.3163431562089101</v>
      </c>
      <c r="BS20" s="67">
        <v>5.2878795374330601E-2</v>
      </c>
      <c r="BT20" s="10">
        <f t="shared" si="19"/>
        <v>21.912887466435876</v>
      </c>
      <c r="BU20" s="10" t="str">
        <f t="shared" si="20"/>
        <v>*</v>
      </c>
      <c r="BV20" s="10"/>
      <c r="BW20" s="53">
        <v>355</v>
      </c>
      <c r="BX20" s="55">
        <v>2.1681795441023306</v>
      </c>
      <c r="BY20" s="56">
        <v>3.7004730983896977E-2</v>
      </c>
      <c r="BZ20" s="10">
        <f t="shared" si="21"/>
        <v>30.027270001889782</v>
      </c>
      <c r="CA20" s="10" t="str">
        <f t="shared" si="22"/>
        <v>*</v>
      </c>
      <c r="CB20" s="10"/>
      <c r="CC20" s="54">
        <v>392</v>
      </c>
      <c r="CD20" s="57">
        <v>3.0663788780749166</v>
      </c>
      <c r="CE20" s="58">
        <v>6.4061428461331893E-2</v>
      </c>
      <c r="CF20" s="10">
        <f t="shared" si="23"/>
        <v>8.8654483044956365</v>
      </c>
      <c r="CG20" s="10" t="str">
        <f t="shared" si="24"/>
        <v>*</v>
      </c>
      <c r="CH20" s="76"/>
      <c r="CI20" s="27">
        <v>647</v>
      </c>
      <c r="CJ20" s="28">
        <v>3.8498535111430625</v>
      </c>
      <c r="CK20" s="29">
        <v>4.4369775730592295E-2</v>
      </c>
      <c r="CL20" s="67"/>
      <c r="CM20" s="42">
        <v>195</v>
      </c>
      <c r="CN20" s="43">
        <v>3.8463689203689677</v>
      </c>
      <c r="CO20" s="67">
        <v>8.1058659462469956E-2</v>
      </c>
      <c r="CP20" s="10">
        <f t="shared" si="25"/>
        <v>3.7708878399580592E-2</v>
      </c>
      <c r="CQ20" s="10" t="str">
        <f t="shared" si="26"/>
        <v xml:space="preserve"> </v>
      </c>
      <c r="CR20" s="10"/>
      <c r="CS20" s="42">
        <v>205.69001129999958</v>
      </c>
      <c r="CT20" s="43">
        <v>3.4159733249039874</v>
      </c>
      <c r="CU20" s="67">
        <v>9.1587343873303736E-2</v>
      </c>
      <c r="CV20" s="10">
        <f t="shared" si="27"/>
        <v>4.2633848476614764</v>
      </c>
      <c r="CW20" s="10" t="str">
        <f t="shared" si="28"/>
        <v>*</v>
      </c>
      <c r="CX20" s="10"/>
      <c r="CY20" s="53">
        <v>199</v>
      </c>
      <c r="CZ20" s="55">
        <v>3.913525130198344</v>
      </c>
      <c r="DA20" s="56">
        <v>8.0020120782972159E-2</v>
      </c>
      <c r="DB20" s="10">
        <f t="shared" si="29"/>
        <v>-0.69587937078179973</v>
      </c>
      <c r="DC20" s="10" t="str">
        <f t="shared" si="0"/>
        <v xml:space="preserve"> </v>
      </c>
      <c r="DD20" s="10"/>
      <c r="DE20" s="54">
        <v>242</v>
      </c>
      <c r="DF20" s="57">
        <v>3.2729901376179082</v>
      </c>
      <c r="DG20" s="58">
        <v>8.1923700103713137E-2</v>
      </c>
      <c r="DH20" s="10">
        <f t="shared" si="30"/>
        <v>6.1916850771831271</v>
      </c>
      <c r="DI20" s="10" t="str">
        <f t="shared" si="31"/>
        <v>*</v>
      </c>
      <c r="DJ20" s="76"/>
      <c r="DK20" s="27">
        <v>211</v>
      </c>
      <c r="DL20" s="28">
        <v>4.0153986543414684</v>
      </c>
      <c r="DM20" s="29">
        <v>6.7025526018166234E-2</v>
      </c>
      <c r="DN20" s="10"/>
      <c r="DO20" s="42">
        <v>77</v>
      </c>
      <c r="DP20" s="43">
        <v>3.5854099599342075</v>
      </c>
      <c r="DQ20" s="67">
        <v>0.14144812534240445</v>
      </c>
      <c r="DR20" s="10">
        <f t="shared" si="32"/>
        <v>2.7470973762907085</v>
      </c>
      <c r="DS20" s="10" t="str">
        <f t="shared" si="33"/>
        <v>*</v>
      </c>
      <c r="DT20" s="10"/>
      <c r="DU20" s="42">
        <v>94.95133290000004</v>
      </c>
      <c r="DV20" s="43">
        <v>2.9793011069989941</v>
      </c>
      <c r="DW20" s="67">
        <v>0.1378036397637773</v>
      </c>
      <c r="DX20" s="10">
        <f t="shared" si="34"/>
        <v>6.7613070665906987</v>
      </c>
      <c r="DY20" s="10" t="str">
        <f t="shared" si="35"/>
        <v>*</v>
      </c>
      <c r="DZ20" s="10"/>
      <c r="EA20" s="53">
        <v>87</v>
      </c>
      <c r="EB20" s="55">
        <v>3.0149823338831676</v>
      </c>
      <c r="EC20" s="56">
        <v>0.12854476632614714</v>
      </c>
      <c r="ED20" s="10">
        <f t="shared" si="36"/>
        <v>6.9008708251236968</v>
      </c>
      <c r="EE20" s="10" t="str">
        <f t="shared" si="37"/>
        <v>*</v>
      </c>
      <c r="EF20" s="10"/>
      <c r="EG20" s="54">
        <v>60</v>
      </c>
      <c r="EH20" s="57">
        <v>3.75</v>
      </c>
      <c r="EI20" s="58">
        <v>0.12494470778053803</v>
      </c>
      <c r="EJ20" s="10">
        <f t="shared" si="38"/>
        <v>1.8718101025709426</v>
      </c>
      <c r="EK20" s="10" t="str">
        <f t="shared" si="39"/>
        <v xml:space="preserve"> </v>
      </c>
      <c r="EL20" s="76"/>
      <c r="EM20" s="27">
        <v>443</v>
      </c>
      <c r="EN20" s="28">
        <v>3.7905852282419801</v>
      </c>
      <c r="EO20" s="29">
        <v>5.5653428692544069E-2</v>
      </c>
      <c r="EP20" s="10"/>
      <c r="EQ20" s="42">
        <v>139</v>
      </c>
      <c r="ER20" s="43">
        <v>3.5690371965280754</v>
      </c>
      <c r="ES20" s="67">
        <v>0.10556928606449316</v>
      </c>
      <c r="ET20" s="10">
        <f t="shared" si="40"/>
        <v>1.8564347404102601</v>
      </c>
      <c r="EU20" s="10" t="str">
        <f t="shared" si="41"/>
        <v xml:space="preserve"> </v>
      </c>
      <c r="EV20" s="10"/>
      <c r="EW20" s="42">
        <v>161.63125046999988</v>
      </c>
      <c r="EX20" s="43">
        <v>2.6347429802199178</v>
      </c>
      <c r="EY20" s="67">
        <v>0.10277621264029912</v>
      </c>
      <c r="EZ20" s="10">
        <f t="shared" si="42"/>
        <v>9.8893825527485788</v>
      </c>
      <c r="FA20" s="10" t="str">
        <f t="shared" si="43"/>
        <v>*</v>
      </c>
      <c r="FB20" s="10"/>
      <c r="FC20" s="53">
        <v>146</v>
      </c>
      <c r="FD20" s="55">
        <v>3.264874469831708</v>
      </c>
      <c r="FE20" s="56">
        <v>0.11188166742853126</v>
      </c>
      <c r="FF20" s="10">
        <f t="shared" si="44"/>
        <v>4.2070579087049484</v>
      </c>
      <c r="FG20" s="10" t="str">
        <f t="shared" si="45"/>
        <v>*</v>
      </c>
      <c r="FH20" s="10"/>
      <c r="FI20" s="54">
        <v>195</v>
      </c>
      <c r="FJ20" s="57">
        <v>2.8230903571690216</v>
      </c>
      <c r="FK20" s="58">
        <v>8.2514674039984484E-2</v>
      </c>
      <c r="FL20" s="10">
        <f t="shared" si="46"/>
        <v>9.7207560740162027</v>
      </c>
      <c r="FM20" s="10" t="str">
        <f t="shared" si="99"/>
        <v>*</v>
      </c>
      <c r="FN20" s="76"/>
      <c r="FO20" s="27">
        <v>215</v>
      </c>
      <c r="FP20" s="28">
        <v>3.8144804233395599</v>
      </c>
      <c r="FQ20" s="29">
        <v>8.3646919020348307E-2</v>
      </c>
      <c r="FR20" s="67"/>
      <c r="FS20" s="42">
        <v>160</v>
      </c>
      <c r="FT20" s="43">
        <v>3.532646028608069</v>
      </c>
      <c r="FU20" s="67">
        <v>0.10232165284467902</v>
      </c>
      <c r="FV20" s="10">
        <f t="shared" si="47"/>
        <v>2.1325081728368587</v>
      </c>
      <c r="FW20" s="10" t="str">
        <f t="shared" si="48"/>
        <v>*</v>
      </c>
      <c r="FX20" s="67"/>
      <c r="FY20" s="42">
        <v>188.37886281000038</v>
      </c>
      <c r="FZ20" s="43">
        <v>3.7069513537955729</v>
      </c>
      <c r="GA20" s="67">
        <v>9.3082368144230127E-2</v>
      </c>
      <c r="GB20" s="10">
        <f t="shared" si="49"/>
        <v>0.85923959284671925</v>
      </c>
      <c r="GC20" s="10" t="str">
        <f t="shared" si="50"/>
        <v xml:space="preserve"> </v>
      </c>
      <c r="GD20" s="10"/>
      <c r="GE20" s="53">
        <v>196</v>
      </c>
      <c r="GF20" s="55">
        <v>3.4094098788767249</v>
      </c>
      <c r="GG20" s="56">
        <v>0.10145899046706526</v>
      </c>
      <c r="GH20" s="10">
        <f t="shared" si="51"/>
        <v>3.0805194221232446</v>
      </c>
      <c r="GI20" s="10" t="str">
        <f t="shared" si="52"/>
        <v>*</v>
      </c>
      <c r="GJ20" s="10"/>
      <c r="GK20" s="54">
        <v>180</v>
      </c>
      <c r="GL20" s="57">
        <v>3.5301507540971029</v>
      </c>
      <c r="GM20" s="58">
        <v>9.08158526409759E-2</v>
      </c>
      <c r="GN20" s="10">
        <f t="shared" si="53"/>
        <v>2.3028627975250666</v>
      </c>
      <c r="GO20" s="10" t="str">
        <f t="shared" si="100"/>
        <v>*</v>
      </c>
      <c r="GP20" s="76"/>
      <c r="GQ20" s="27">
        <v>219</v>
      </c>
      <c r="GR20" s="28">
        <v>3.7508330444941067</v>
      </c>
      <c r="GS20" s="29">
        <v>8.5337303869707448E-2</v>
      </c>
      <c r="GT20" s="10"/>
      <c r="GU20" s="42">
        <v>129</v>
      </c>
      <c r="GV20" s="43">
        <v>3.6023812026753079</v>
      </c>
      <c r="GW20" s="67">
        <v>0.11764385372288311</v>
      </c>
      <c r="GX20" s="10">
        <f t="shared" si="54"/>
        <v>1.0214393964698081</v>
      </c>
      <c r="GY20" s="10" t="str">
        <f t="shared" si="55"/>
        <v xml:space="preserve"> </v>
      </c>
      <c r="GZ20" s="10"/>
      <c r="HA20" s="42">
        <v>121.89831667999989</v>
      </c>
      <c r="HB20" s="43">
        <v>3.7794604659671167</v>
      </c>
      <c r="HC20" s="67">
        <v>0.11372519992317524</v>
      </c>
      <c r="HD20" s="10">
        <f t="shared" si="56"/>
        <v>-0.20134272579612755</v>
      </c>
      <c r="HE20" s="10" t="str">
        <f t="shared" si="57"/>
        <v xml:space="preserve"> </v>
      </c>
      <c r="HF20" s="10"/>
      <c r="HG20" s="53">
        <v>83</v>
      </c>
      <c r="HH20" s="55">
        <v>4.0298657306542784</v>
      </c>
      <c r="HI20" s="56">
        <v>0.11494941679125094</v>
      </c>
      <c r="HJ20" s="10">
        <f t="shared" si="58"/>
        <v>-1.9490473499737526</v>
      </c>
      <c r="HK20" s="10" t="str">
        <f t="shared" si="59"/>
        <v xml:space="preserve"> </v>
      </c>
      <c r="HL20" s="10"/>
      <c r="HM20" s="54">
        <v>146</v>
      </c>
      <c r="HN20" s="57">
        <v>3.9244883556570209</v>
      </c>
      <c r="HO20" s="58">
        <v>9.1011311602647998E-2</v>
      </c>
      <c r="HP20" s="10">
        <f t="shared" si="60"/>
        <v>-1.3918945474259525</v>
      </c>
      <c r="HQ20" s="10" t="str">
        <f t="shared" si="101"/>
        <v xml:space="preserve"> </v>
      </c>
      <c r="HR20" s="76"/>
      <c r="HS20" s="27">
        <v>497</v>
      </c>
      <c r="HT20" s="28">
        <v>3.694188304989741</v>
      </c>
      <c r="HU20" s="29">
        <v>5.5038023622822056E-2</v>
      </c>
      <c r="HV20" s="10"/>
      <c r="HW20" s="42">
        <v>330</v>
      </c>
      <c r="HX20" s="43">
        <v>3.5713409468640811</v>
      </c>
      <c r="HY20" s="67">
        <v>7.1969861908728242E-2</v>
      </c>
      <c r="HZ20" s="10">
        <f t="shared" si="61"/>
        <v>1.35589104300074</v>
      </c>
      <c r="IA20" s="10" t="str">
        <f t="shared" si="62"/>
        <v xml:space="preserve"> </v>
      </c>
      <c r="IB20" s="10"/>
      <c r="IC20" s="42">
        <v>355.13025645000062</v>
      </c>
      <c r="ID20" s="43">
        <v>3.6522051224959764</v>
      </c>
      <c r="IE20" s="67">
        <v>6.1958704078924585E-2</v>
      </c>
      <c r="IF20" s="10">
        <f t="shared" si="63"/>
        <v>0.50659180103964407</v>
      </c>
      <c r="IG20" s="10" t="str">
        <f t="shared" si="64"/>
        <v xml:space="preserve"> </v>
      </c>
      <c r="IH20" s="10"/>
      <c r="II20" s="53">
        <v>341</v>
      </c>
      <c r="IJ20" s="55">
        <v>3.8340619906181743</v>
      </c>
      <c r="IK20" s="56">
        <v>6.5945804727390381E-2</v>
      </c>
      <c r="IL20" s="10">
        <f t="shared" si="65"/>
        <v>-1.6284173308410588</v>
      </c>
      <c r="IM20" s="10" t="str">
        <f t="shared" si="66"/>
        <v xml:space="preserve"> </v>
      </c>
      <c r="IN20" s="10"/>
      <c r="IO20" s="54">
        <v>378</v>
      </c>
      <c r="IP20" s="57">
        <v>3.7629878867260107</v>
      </c>
      <c r="IQ20" s="58">
        <v>5.8392656453845879E-2</v>
      </c>
      <c r="IR20" s="10">
        <f t="shared" si="67"/>
        <v>-0.85739395539382324</v>
      </c>
      <c r="IS20" s="10" t="str">
        <f t="shared" si="68"/>
        <v xml:space="preserve"> </v>
      </c>
      <c r="IT20" s="76"/>
      <c r="IU20" s="27">
        <v>46</v>
      </c>
      <c r="IV20" s="28">
        <v>4.3043478260869561</v>
      </c>
      <c r="IW20" s="29">
        <v>0.15507715856462778</v>
      </c>
      <c r="IX20" s="10"/>
      <c r="IY20" s="42">
        <v>34</v>
      </c>
      <c r="IZ20" s="43">
        <v>4.3816397230206059</v>
      </c>
      <c r="JA20" s="67">
        <v>0.15233516983603557</v>
      </c>
      <c r="JB20" s="10">
        <f t="shared" si="69"/>
        <v>-0.35555796200810191</v>
      </c>
      <c r="JC20" s="10" t="str">
        <f t="shared" si="70"/>
        <v xml:space="preserve"> </v>
      </c>
      <c r="JD20" s="10"/>
      <c r="JE20" s="42">
        <v>30.693701090000005</v>
      </c>
      <c r="JF20" s="43">
        <v>4.4193548387096779</v>
      </c>
      <c r="JG20" s="67">
        <v>0.15300103588556874</v>
      </c>
      <c r="JH20" s="10">
        <f t="shared" si="71"/>
        <v>-0.52792046614989729</v>
      </c>
      <c r="JI20" s="10" t="str">
        <f t="shared" si="72"/>
        <v xml:space="preserve"> </v>
      </c>
      <c r="JJ20" s="10"/>
      <c r="JK20" s="53">
        <v>31</v>
      </c>
      <c r="JL20" s="55">
        <v>4.3870967741935489</v>
      </c>
      <c r="JM20" s="56">
        <v>0.1798027014608114</v>
      </c>
      <c r="JN20" s="10">
        <f t="shared" si="73"/>
        <v>-0.34850410139631954</v>
      </c>
      <c r="JO20" s="10" t="str">
        <f t="shared" si="74"/>
        <v xml:space="preserve"> </v>
      </c>
      <c r="JP20" s="10"/>
      <c r="JQ20" s="54">
        <v>52</v>
      </c>
      <c r="JR20" s="57">
        <v>4.3269230769230784</v>
      </c>
      <c r="JS20" s="58">
        <v>0.14410118351384282</v>
      </c>
      <c r="JT20" s="10">
        <f t="shared" si="75"/>
        <v>-0.10664128274092891</v>
      </c>
      <c r="JU20" s="10" t="str">
        <f t="shared" si="76"/>
        <v xml:space="preserve"> </v>
      </c>
      <c r="JV20" s="76"/>
      <c r="JW20" s="27">
        <v>501</v>
      </c>
      <c r="JX20" s="28">
        <v>3.886166431655655</v>
      </c>
      <c r="JY20" s="29">
        <v>5.0400286254128977E-2</v>
      </c>
      <c r="JZ20" s="10"/>
      <c r="KA20" s="42">
        <v>307</v>
      </c>
      <c r="KB20" s="43">
        <v>3.8304856978599968</v>
      </c>
      <c r="KC20" s="67">
        <v>6.7616622628739659E-2</v>
      </c>
      <c r="KD20" s="10">
        <f t="shared" si="77"/>
        <v>0.66024189134915756</v>
      </c>
      <c r="KE20" s="10" t="str">
        <f t="shared" si="78"/>
        <v xml:space="preserve"> </v>
      </c>
      <c r="KF20" s="10"/>
      <c r="KG20" s="42">
        <v>354.28061257000076</v>
      </c>
      <c r="KH20" s="43">
        <v>4.2067073569698374</v>
      </c>
      <c r="KI20" s="67">
        <v>5.0567883099053045E-2</v>
      </c>
      <c r="KJ20" s="10">
        <f t="shared" si="79"/>
        <v>-4.4896594865689465</v>
      </c>
      <c r="KK20" s="10" t="str">
        <f t="shared" si="80"/>
        <v>*</v>
      </c>
      <c r="KL20" s="10"/>
      <c r="KM20" s="53">
        <v>686</v>
      </c>
      <c r="KN20" s="55">
        <v>3.826845701189149</v>
      </c>
      <c r="KO20" s="56">
        <v>4.5028241523609153E-2</v>
      </c>
      <c r="KP20" s="10">
        <f t="shared" si="81"/>
        <v>0.87772043935331379</v>
      </c>
      <c r="KQ20" s="10" t="str">
        <f t="shared" si="82"/>
        <v xml:space="preserve"> </v>
      </c>
      <c r="KR20" s="10"/>
      <c r="KS20" s="54">
        <v>674</v>
      </c>
      <c r="KT20" s="57">
        <v>3.9391879807578447</v>
      </c>
      <c r="KU20" s="58">
        <v>4.0785234606072078E-2</v>
      </c>
      <c r="KV20" s="10">
        <f t="shared" si="83"/>
        <v>-0.81778750278970047</v>
      </c>
      <c r="KW20" s="10" t="str">
        <f t="shared" si="102"/>
        <v xml:space="preserve"> </v>
      </c>
      <c r="KX20" s="76"/>
      <c r="KY20" s="27">
        <v>158</v>
      </c>
      <c r="KZ20" s="28">
        <v>3.9113924050632907</v>
      </c>
      <c r="LA20" s="29">
        <v>8.9550214673431383E-2</v>
      </c>
      <c r="LB20" s="10"/>
      <c r="LC20" s="42">
        <v>172</v>
      </c>
      <c r="LD20" s="43">
        <v>3.9710310218756568</v>
      </c>
      <c r="LE20" s="67">
        <v>8.2596314616340483E-2</v>
      </c>
      <c r="LF20" s="10">
        <f t="shared" si="84"/>
        <v>-0.48954232073782333</v>
      </c>
      <c r="LG20" s="10" t="str">
        <f t="shared" si="85"/>
        <v xml:space="preserve"> </v>
      </c>
      <c r="LH20" s="10"/>
      <c r="LI20" s="42">
        <v>178.53938805999965</v>
      </c>
      <c r="LJ20" s="43">
        <v>4.0849655018695525</v>
      </c>
      <c r="LK20" s="67">
        <v>6.8909449092809966E-2</v>
      </c>
      <c r="LL20" s="10">
        <f t="shared" si="86"/>
        <v>-1.5361201064621841</v>
      </c>
      <c r="LM20" s="10" t="str">
        <f t="shared" si="87"/>
        <v xml:space="preserve"> </v>
      </c>
      <c r="LN20" s="10"/>
      <c r="LO20" s="53">
        <v>419</v>
      </c>
      <c r="LP20" s="55">
        <v>3.718377088305489</v>
      </c>
      <c r="LQ20" s="56">
        <v>5.6110782194361573E-2</v>
      </c>
      <c r="LR20" s="10">
        <f t="shared" si="88"/>
        <v>1.826462105505726</v>
      </c>
      <c r="LS20" s="10" t="str">
        <f t="shared" si="89"/>
        <v xml:space="preserve"> </v>
      </c>
      <c r="LT20" s="10"/>
      <c r="LU20" s="54">
        <v>426</v>
      </c>
      <c r="LV20" s="57">
        <v>3.9183431186408892</v>
      </c>
      <c r="LW20" s="58">
        <v>5.5390388830059603E-2</v>
      </c>
      <c r="LX20" s="10">
        <f t="shared" si="90"/>
        <v>-6.6010920023896025E-2</v>
      </c>
      <c r="LY20" s="10" t="str">
        <f t="shared" si="91"/>
        <v xml:space="preserve"> </v>
      </c>
      <c r="LZ20" s="76"/>
      <c r="MA20" s="27">
        <v>191</v>
      </c>
      <c r="MB20" s="28">
        <v>4.1726584540877862</v>
      </c>
      <c r="MC20" s="29">
        <v>7.3373351944754917E-2</v>
      </c>
      <c r="MD20" s="10"/>
      <c r="ME20" s="42">
        <v>135</v>
      </c>
      <c r="MF20" s="43">
        <v>3.9487776482898522</v>
      </c>
      <c r="MG20" s="67">
        <v>0.10049733228826185</v>
      </c>
      <c r="MH20" s="10">
        <f t="shared" si="92"/>
        <v>1.7992197905684031</v>
      </c>
      <c r="MI20" s="10" t="str">
        <f t="shared" si="93"/>
        <v xml:space="preserve"> </v>
      </c>
      <c r="MJ20" s="10"/>
      <c r="MK20" s="42">
        <v>114.62204869000003</v>
      </c>
      <c r="ML20" s="43">
        <v>4.132345293801432</v>
      </c>
      <c r="MM20" s="67">
        <v>9.8221613371850439E-2</v>
      </c>
      <c r="MN20" s="10">
        <f t="shared" si="94"/>
        <v>0.32881450740082735</v>
      </c>
      <c r="MO20" s="10" t="str">
        <f t="shared" si="95"/>
        <v xml:space="preserve"> </v>
      </c>
      <c r="MP20" s="10"/>
      <c r="MQ20" s="53">
        <v>199</v>
      </c>
      <c r="MR20" s="55">
        <v>3.9049128822989432</v>
      </c>
      <c r="MS20" s="56">
        <v>7.6977497510801976E-2</v>
      </c>
      <c r="MT20" s="10">
        <f t="shared" si="96"/>
        <v>2.5177155587743165</v>
      </c>
      <c r="MU20" s="10" t="str">
        <f t="shared" si="97"/>
        <v>*</v>
      </c>
      <c r="MV20" s="10"/>
      <c r="MW20" s="54">
        <v>206</v>
      </c>
      <c r="MX20" s="57">
        <v>4.0985282359570183</v>
      </c>
      <c r="MY20" s="58">
        <v>7.9366255121941856E-2</v>
      </c>
      <c r="MZ20" s="10">
        <f t="shared" si="98"/>
        <v>0.68584278189033265</v>
      </c>
      <c r="NA20" s="10" t="str">
        <f t="shared" si="103"/>
        <v xml:space="preserve"> </v>
      </c>
      <c r="NB20" s="58"/>
    </row>
    <row r="21" spans="1:366" x14ac:dyDescent="0.2">
      <c r="B21" s="65" t="s">
        <v>23</v>
      </c>
      <c r="C21" s="27">
        <v>409</v>
      </c>
      <c r="D21" s="28">
        <v>3.9903692265865418</v>
      </c>
      <c r="E21" s="29">
        <v>5.0173264581333379E-2</v>
      </c>
      <c r="F21" s="10"/>
      <c r="G21" s="42">
        <v>129</v>
      </c>
      <c r="H21" s="43">
        <v>3.7674902287991223</v>
      </c>
      <c r="I21" s="67">
        <v>9.6525637753063678E-2</v>
      </c>
      <c r="J21" s="10">
        <f t="shared" si="1"/>
        <v>2.0487698575068682</v>
      </c>
      <c r="K21" s="10" t="str">
        <f t="shared" si="2"/>
        <v>*</v>
      </c>
      <c r="L21" s="10"/>
      <c r="M21" s="42">
        <v>126.8481738600001</v>
      </c>
      <c r="N21" s="43">
        <v>4.0573770491803298</v>
      </c>
      <c r="O21" s="67">
        <v>6.9704572418221783E-2</v>
      </c>
      <c r="P21" s="10">
        <f t="shared" si="3"/>
        <v>-0.7802119215639074</v>
      </c>
      <c r="Q21" s="10" t="str">
        <f t="shared" si="4"/>
        <v xml:space="preserve"> </v>
      </c>
      <c r="R21" s="10"/>
      <c r="S21" s="53">
        <v>134</v>
      </c>
      <c r="T21" s="55">
        <v>3.8134328358208953</v>
      </c>
      <c r="U21" s="56">
        <v>9.3506335465880233E-2</v>
      </c>
      <c r="V21" s="10">
        <f t="shared" si="5"/>
        <v>1.667372791074301</v>
      </c>
      <c r="W21" s="10" t="str">
        <f t="shared" si="6"/>
        <v xml:space="preserve"> </v>
      </c>
      <c r="X21" s="10"/>
      <c r="Y21" s="54">
        <v>209</v>
      </c>
      <c r="Z21" s="57">
        <v>3.4258373205741615</v>
      </c>
      <c r="AA21" s="58">
        <v>6.4253288377943335E-2</v>
      </c>
      <c r="AB21" s="10">
        <f t="shared" si="7"/>
        <v>6.9248999167191974</v>
      </c>
      <c r="AC21" s="10" t="str">
        <f t="shared" si="8"/>
        <v>*</v>
      </c>
      <c r="AD21" s="76"/>
      <c r="AE21" s="27">
        <v>100</v>
      </c>
      <c r="AF21" s="28">
        <v>3.9108348765777055</v>
      </c>
      <c r="AG21" s="29">
        <v>9.0651436665724339E-2</v>
      </c>
      <c r="AH21" s="67"/>
      <c r="AI21" s="42">
        <v>57</v>
      </c>
      <c r="AJ21" s="43">
        <v>4.1755609356287833</v>
      </c>
      <c r="AK21" s="67">
        <v>0.12749782996399456</v>
      </c>
      <c r="AL21" s="10">
        <f t="shared" si="9"/>
        <v>-1.6921923252570397</v>
      </c>
      <c r="AM21" s="10" t="str">
        <f t="shared" si="10"/>
        <v xml:space="preserve"> </v>
      </c>
      <c r="AN21" s="67"/>
      <c r="AO21" s="42">
        <v>93.963838980000006</v>
      </c>
      <c r="AP21" s="43">
        <v>4.0915069020522923</v>
      </c>
      <c r="AQ21" s="67">
        <v>9.2466961258609967E-2</v>
      </c>
      <c r="AR21" s="10">
        <f t="shared" si="11"/>
        <v>-1.3952517863431582</v>
      </c>
      <c r="AS21" s="10" t="str">
        <f t="shared" si="12"/>
        <v xml:space="preserve"> </v>
      </c>
      <c r="AT21" s="10"/>
      <c r="AU21" s="53">
        <v>118</v>
      </c>
      <c r="AV21" s="55">
        <v>3.9309473886731841</v>
      </c>
      <c r="AW21" s="56">
        <v>9.6681548407114459E-2</v>
      </c>
      <c r="AX21" s="10">
        <f t="shared" si="13"/>
        <v>-0.15175471108585267</v>
      </c>
      <c r="AY21" s="10" t="str">
        <f t="shared" si="14"/>
        <v xml:space="preserve"> </v>
      </c>
      <c r="AZ21" s="10"/>
      <c r="BA21" s="54">
        <v>82</v>
      </c>
      <c r="BB21" s="57">
        <v>3.7043756968199038</v>
      </c>
      <c r="BC21" s="58">
        <v>0.10030545154654071</v>
      </c>
      <c r="BD21" s="10">
        <f t="shared" si="15"/>
        <v>1.5270721830231764</v>
      </c>
      <c r="BE21" s="10" t="str">
        <f t="shared" si="16"/>
        <v xml:space="preserve"> </v>
      </c>
      <c r="BF21" s="76"/>
      <c r="BG21" s="27">
        <v>1091</v>
      </c>
      <c r="BH21" s="28">
        <v>4.0813961746663789</v>
      </c>
      <c r="BI21" s="29">
        <v>3.0040804126902985E-2</v>
      </c>
      <c r="BJ21" s="10"/>
      <c r="BK21" s="42">
        <v>332</v>
      </c>
      <c r="BL21" s="43">
        <v>4.0632068431420061</v>
      </c>
      <c r="BM21" s="67">
        <v>5.36188624102635E-2</v>
      </c>
      <c r="BN21" s="10">
        <f t="shared" si="17"/>
        <v>0.2959500330145427</v>
      </c>
      <c r="BO21" s="10" t="str">
        <f t="shared" si="18"/>
        <v xml:space="preserve"> </v>
      </c>
      <c r="BP21" s="10"/>
      <c r="BQ21" s="42">
        <v>331.13605130999935</v>
      </c>
      <c r="BR21" s="43">
        <v>4.2329458059454446</v>
      </c>
      <c r="BS21" s="67">
        <v>3.4593367894107614E-2</v>
      </c>
      <c r="BT21" s="10">
        <f t="shared" si="19"/>
        <v>-3.3077527748705036</v>
      </c>
      <c r="BU21" s="10" t="str">
        <f t="shared" si="20"/>
        <v>*</v>
      </c>
      <c r="BV21" s="10"/>
      <c r="BW21" s="53">
        <v>354</v>
      </c>
      <c r="BX21" s="55">
        <v>4.3459048916515481</v>
      </c>
      <c r="BY21" s="56">
        <v>3.0058619901339977E-2</v>
      </c>
      <c r="BZ21" s="10">
        <f t="shared" si="21"/>
        <v>-6.2242160309994423</v>
      </c>
      <c r="CA21" s="10" t="str">
        <f t="shared" si="22"/>
        <v>*</v>
      </c>
      <c r="CB21" s="10"/>
      <c r="CC21" s="54">
        <v>397</v>
      </c>
      <c r="CD21" s="57">
        <v>3.9940085809051662</v>
      </c>
      <c r="CE21" s="58">
        <v>4.5447340375855849E-2</v>
      </c>
      <c r="CF21" s="10">
        <f t="shared" si="23"/>
        <v>1.6040738883257795</v>
      </c>
      <c r="CG21" s="10" t="str">
        <f t="shared" si="24"/>
        <v xml:space="preserve"> </v>
      </c>
      <c r="CH21" s="76"/>
      <c r="CI21" s="27">
        <v>648</v>
      </c>
      <c r="CJ21" s="28">
        <v>4.1177375524192064</v>
      </c>
      <c r="CK21" s="29">
        <v>3.7594804795720062E-2</v>
      </c>
      <c r="CL21" s="67"/>
      <c r="CM21" s="42">
        <v>205</v>
      </c>
      <c r="CN21" s="43">
        <v>4.1559225909131774</v>
      </c>
      <c r="CO21" s="67">
        <v>6.8526906156310977E-2</v>
      </c>
      <c r="CP21" s="10">
        <f t="shared" si="25"/>
        <v>-0.48853680283788153</v>
      </c>
      <c r="CQ21" s="10" t="str">
        <f t="shared" si="26"/>
        <v xml:space="preserve"> </v>
      </c>
      <c r="CR21" s="10"/>
      <c r="CS21" s="42">
        <v>219.74015087999948</v>
      </c>
      <c r="CT21" s="43">
        <v>4.2089506971125825</v>
      </c>
      <c r="CU21" s="67">
        <v>6.0071042995443129E-2</v>
      </c>
      <c r="CV21" s="10">
        <f t="shared" si="27"/>
        <v>-1.2871329788217072</v>
      </c>
      <c r="CW21" s="10" t="str">
        <f t="shared" si="28"/>
        <v xml:space="preserve"> </v>
      </c>
      <c r="CX21" s="10"/>
      <c r="CY21" s="53">
        <v>202</v>
      </c>
      <c r="CZ21" s="55">
        <v>4.180774818256463</v>
      </c>
      <c r="DA21" s="56">
        <v>6.9633152097878237E-2</v>
      </c>
      <c r="DB21" s="10">
        <f t="shared" si="29"/>
        <v>-0.79659174322775828</v>
      </c>
      <c r="DC21" s="10" t="str">
        <f t="shared" si="0"/>
        <v xml:space="preserve"> </v>
      </c>
      <c r="DD21" s="10"/>
      <c r="DE21" s="54">
        <v>246</v>
      </c>
      <c r="DF21" s="57">
        <v>4.0683992136036613</v>
      </c>
      <c r="DG21" s="58">
        <v>5.6069911397907755E-2</v>
      </c>
      <c r="DH21" s="10">
        <f t="shared" si="30"/>
        <v>0.73086181690666696</v>
      </c>
      <c r="DI21" s="10" t="str">
        <f t="shared" si="31"/>
        <v xml:space="preserve"> </v>
      </c>
      <c r="DJ21" s="76"/>
      <c r="DK21" s="27">
        <v>204</v>
      </c>
      <c r="DL21" s="28">
        <v>4.1798698411550879</v>
      </c>
      <c r="DM21" s="29">
        <v>6.0625614120703802E-2</v>
      </c>
      <c r="DN21" s="10"/>
      <c r="DO21" s="42">
        <v>78</v>
      </c>
      <c r="DP21" s="43">
        <v>3.9749654780696164</v>
      </c>
      <c r="DQ21" s="67">
        <v>0.1197549695979358</v>
      </c>
      <c r="DR21" s="10">
        <f t="shared" si="32"/>
        <v>1.5265582041798467</v>
      </c>
      <c r="DS21" s="10" t="str">
        <f t="shared" si="33"/>
        <v xml:space="preserve"> </v>
      </c>
      <c r="DT21" s="10"/>
      <c r="DU21" s="42">
        <v>91.832115510000037</v>
      </c>
      <c r="DV21" s="43">
        <v>3.8463807036170947</v>
      </c>
      <c r="DW21" s="67">
        <v>9.8515528856732024E-2</v>
      </c>
      <c r="DX21" s="10">
        <f t="shared" si="34"/>
        <v>2.8829762617974852</v>
      </c>
      <c r="DY21" s="10" t="str">
        <f t="shared" si="35"/>
        <v>*</v>
      </c>
      <c r="DZ21" s="10"/>
      <c r="EA21" s="53">
        <v>86</v>
      </c>
      <c r="EB21" s="55">
        <v>3.8920542737924109</v>
      </c>
      <c r="EC21" s="56">
        <v>9.765898467138176E-2</v>
      </c>
      <c r="ED21" s="10">
        <f t="shared" si="36"/>
        <v>2.5039047082984411</v>
      </c>
      <c r="EE21" s="10" t="str">
        <f t="shared" si="37"/>
        <v>*</v>
      </c>
      <c r="EF21" s="10"/>
      <c r="EG21" s="54">
        <v>60</v>
      </c>
      <c r="EH21" s="57">
        <v>4.0333333333333332</v>
      </c>
      <c r="EI21" s="58">
        <v>0.11321675421688321</v>
      </c>
      <c r="EJ21" s="10">
        <f t="shared" si="38"/>
        <v>1.1410099838142751</v>
      </c>
      <c r="EK21" s="10" t="str">
        <f t="shared" si="39"/>
        <v xml:space="preserve"> </v>
      </c>
      <c r="EL21" s="76"/>
      <c r="EM21" s="27">
        <v>440</v>
      </c>
      <c r="EN21" s="28">
        <v>4.2014913547005799</v>
      </c>
      <c r="EO21" s="29">
        <v>4.4737010134485208E-2</v>
      </c>
      <c r="EP21" s="10"/>
      <c r="EQ21" s="42">
        <v>140</v>
      </c>
      <c r="ER21" s="43">
        <v>4.2782224802714586</v>
      </c>
      <c r="ES21" s="67">
        <v>7.2379032029039655E-2</v>
      </c>
      <c r="ET21" s="10">
        <f t="shared" si="40"/>
        <v>-0.90177575793237374</v>
      </c>
      <c r="EU21" s="10" t="str">
        <f t="shared" si="41"/>
        <v xml:space="preserve"> </v>
      </c>
      <c r="EV21" s="10"/>
      <c r="EW21" s="42">
        <v>160.5915113399999</v>
      </c>
      <c r="EX21" s="43">
        <v>4.0853884947316299</v>
      </c>
      <c r="EY21" s="67">
        <v>7.3449268826759825E-2</v>
      </c>
      <c r="EZ21" s="10">
        <f t="shared" si="42"/>
        <v>1.3500154433470337</v>
      </c>
      <c r="FA21" s="10" t="str">
        <f t="shared" si="43"/>
        <v xml:space="preserve"> </v>
      </c>
      <c r="FB21" s="10"/>
      <c r="FC21" s="53">
        <v>151</v>
      </c>
      <c r="FD21" s="55">
        <v>4.0537384208825715</v>
      </c>
      <c r="FE21" s="56">
        <v>8.2462104887275262E-2</v>
      </c>
      <c r="FF21" s="10">
        <f t="shared" si="44"/>
        <v>1.5749263991712428</v>
      </c>
      <c r="FG21" s="10" t="str">
        <f t="shared" si="45"/>
        <v xml:space="preserve"> </v>
      </c>
      <c r="FH21" s="10"/>
      <c r="FI21" s="54">
        <v>196</v>
      </c>
      <c r="FJ21" s="57">
        <v>3.9239139806640315</v>
      </c>
      <c r="FK21" s="58">
        <v>6.2631242571390397E-2</v>
      </c>
      <c r="FL21" s="10">
        <f t="shared" si="46"/>
        <v>3.6063998474565677</v>
      </c>
      <c r="FM21" s="10" t="str">
        <f t="shared" si="99"/>
        <v>*</v>
      </c>
      <c r="FN21" s="76"/>
      <c r="FO21" s="27">
        <v>216</v>
      </c>
      <c r="FP21" s="28">
        <v>4.0524696492168299</v>
      </c>
      <c r="FQ21" s="29">
        <v>6.5945648284191319E-2</v>
      </c>
      <c r="FR21" s="67"/>
      <c r="FS21" s="42">
        <v>164</v>
      </c>
      <c r="FT21" s="43">
        <v>3.9824390402390573</v>
      </c>
      <c r="FU21" s="67">
        <v>7.6852096594420993E-2</v>
      </c>
      <c r="FV21" s="10">
        <f t="shared" si="47"/>
        <v>0.69154193203343461</v>
      </c>
      <c r="FW21" s="10" t="str">
        <f t="shared" si="48"/>
        <v xml:space="preserve"> </v>
      </c>
      <c r="FX21" s="67"/>
      <c r="FY21" s="42">
        <v>185.49259605000034</v>
      </c>
      <c r="FZ21" s="43">
        <v>4.0267379473122631</v>
      </c>
      <c r="GA21" s="67">
        <v>7.8910802606897756E-2</v>
      </c>
      <c r="GB21" s="10">
        <f t="shared" si="49"/>
        <v>0.25021483857226512</v>
      </c>
      <c r="GC21" s="10" t="str">
        <f t="shared" si="50"/>
        <v xml:space="preserve"> </v>
      </c>
      <c r="GD21" s="10"/>
      <c r="GE21" s="53">
        <v>198</v>
      </c>
      <c r="GF21" s="55">
        <v>3.8016109147667874</v>
      </c>
      <c r="GG21" s="56">
        <v>8.096550840107572E-2</v>
      </c>
      <c r="GH21" s="10">
        <f t="shared" si="51"/>
        <v>2.4023234728922689</v>
      </c>
      <c r="GI21" s="10" t="str">
        <f t="shared" si="52"/>
        <v>*</v>
      </c>
      <c r="GJ21" s="10"/>
      <c r="GK21" s="54">
        <v>186</v>
      </c>
      <c r="GL21" s="57">
        <v>3.9113992440389449</v>
      </c>
      <c r="GM21" s="58">
        <v>7.7415222493507158E-2</v>
      </c>
      <c r="GN21" s="10">
        <f t="shared" si="53"/>
        <v>1.3871863209842072</v>
      </c>
      <c r="GO21" s="10" t="str">
        <f t="shared" si="100"/>
        <v xml:space="preserve"> </v>
      </c>
      <c r="GP21" s="76"/>
      <c r="GQ21" s="27">
        <v>217</v>
      </c>
      <c r="GR21" s="28">
        <v>4.0542188512015569</v>
      </c>
      <c r="GS21" s="29">
        <v>7.1635328518681332E-2</v>
      </c>
      <c r="GT21" s="10"/>
      <c r="GU21" s="42">
        <v>128</v>
      </c>
      <c r="GV21" s="43">
        <v>4.1268968164179052</v>
      </c>
      <c r="GW21" s="67">
        <v>9.1760771264924657E-2</v>
      </c>
      <c r="GX21" s="10">
        <f t="shared" si="54"/>
        <v>-0.62431895428851447</v>
      </c>
      <c r="GY21" s="10" t="str">
        <f t="shared" si="55"/>
        <v xml:space="preserve"> </v>
      </c>
      <c r="GZ21" s="10"/>
      <c r="HA21" s="42">
        <v>121.07170146999989</v>
      </c>
      <c r="HB21" s="43">
        <v>4.1430359064070048</v>
      </c>
      <c r="HC21" s="67">
        <v>9.2185616535002388E-2</v>
      </c>
      <c r="HD21" s="10">
        <f t="shared" si="56"/>
        <v>-0.76076670548002556</v>
      </c>
      <c r="HE21" s="10" t="str">
        <f t="shared" si="57"/>
        <v xml:space="preserve"> </v>
      </c>
      <c r="HF21" s="10"/>
      <c r="HG21" s="53">
        <v>82</v>
      </c>
      <c r="HH21" s="55">
        <v>4.3059693580359539</v>
      </c>
      <c r="HI21" s="56">
        <v>8.5338015782755891E-2</v>
      </c>
      <c r="HJ21" s="10">
        <f t="shared" si="58"/>
        <v>-2.259493171137704</v>
      </c>
      <c r="HK21" s="10" t="str">
        <f t="shared" si="59"/>
        <v>*</v>
      </c>
      <c r="HL21" s="10"/>
      <c r="HM21" s="54">
        <v>149</v>
      </c>
      <c r="HN21" s="57">
        <v>4.1473029045149463</v>
      </c>
      <c r="HO21" s="58">
        <v>8.4426834575803147E-2</v>
      </c>
      <c r="HP21" s="10">
        <f t="shared" si="60"/>
        <v>-0.84069549061872484</v>
      </c>
      <c r="HQ21" s="10" t="str">
        <f t="shared" si="101"/>
        <v xml:space="preserve"> </v>
      </c>
      <c r="HR21" s="76"/>
      <c r="HS21" s="27">
        <v>506</v>
      </c>
      <c r="HT21" s="28">
        <v>4.0030678514589599</v>
      </c>
      <c r="HU21" s="29">
        <v>4.5911295488696317E-2</v>
      </c>
      <c r="HV21" s="10"/>
      <c r="HW21" s="42">
        <v>351</v>
      </c>
      <c r="HX21" s="43">
        <v>3.933078561691628</v>
      </c>
      <c r="HY21" s="67">
        <v>5.6033255918224494E-2</v>
      </c>
      <c r="HZ21" s="10">
        <f t="shared" si="61"/>
        <v>0.96616733267863597</v>
      </c>
      <c r="IA21" s="10" t="str">
        <f t="shared" si="62"/>
        <v xml:space="preserve"> </v>
      </c>
      <c r="IB21" s="10"/>
      <c r="IC21" s="42">
        <v>364.06000415000057</v>
      </c>
      <c r="ID21" s="43">
        <v>4.0116870207149882</v>
      </c>
      <c r="IE21" s="67">
        <v>5.3663582504260482E-2</v>
      </c>
      <c r="IF21" s="10">
        <f t="shared" si="63"/>
        <v>-0.1220445581312963</v>
      </c>
      <c r="IG21" s="10" t="str">
        <f t="shared" si="64"/>
        <v xml:space="preserve"> </v>
      </c>
      <c r="IH21" s="10"/>
      <c r="II21" s="53">
        <v>354</v>
      </c>
      <c r="IJ21" s="55">
        <v>4.0684112770912328</v>
      </c>
      <c r="IK21" s="56">
        <v>5.2807728861938352E-2</v>
      </c>
      <c r="IL21" s="10">
        <f t="shared" si="65"/>
        <v>-0.93381075970245508</v>
      </c>
      <c r="IM21" s="10" t="str">
        <f t="shared" si="66"/>
        <v xml:space="preserve"> </v>
      </c>
      <c r="IN21" s="10"/>
      <c r="IO21" s="54">
        <v>387</v>
      </c>
      <c r="IP21" s="57">
        <v>4.0326015510641655</v>
      </c>
      <c r="IQ21" s="58">
        <v>5.1502397607488017E-2</v>
      </c>
      <c r="IR21" s="10">
        <f t="shared" si="67"/>
        <v>-0.42805412237232937</v>
      </c>
      <c r="IS21" s="10" t="str">
        <f t="shared" si="68"/>
        <v xml:space="preserve"> </v>
      </c>
      <c r="IT21" s="76"/>
      <c r="IU21" s="27">
        <v>46</v>
      </c>
      <c r="IV21" s="28">
        <v>4.3913043478260851</v>
      </c>
      <c r="IW21" s="29">
        <v>0.13367318179014495</v>
      </c>
      <c r="IX21" s="10"/>
      <c r="IY21" s="42">
        <v>34</v>
      </c>
      <c r="IZ21" s="43">
        <v>4.5288683603966522</v>
      </c>
      <c r="JA21" s="67">
        <v>0.12833086237545296</v>
      </c>
      <c r="JB21" s="10">
        <f t="shared" si="69"/>
        <v>-0.74237198670523796</v>
      </c>
      <c r="JC21" s="10" t="str">
        <f t="shared" si="70"/>
        <v xml:space="preserve"> </v>
      </c>
      <c r="JD21" s="10"/>
      <c r="JE21" s="42">
        <v>31.683820480000005</v>
      </c>
      <c r="JF21" s="43">
        <v>4.2500000000000009</v>
      </c>
      <c r="JG21" s="67">
        <v>0.13539622216459635</v>
      </c>
      <c r="JH21" s="10">
        <f t="shared" si="71"/>
        <v>0.74267242934104305</v>
      </c>
      <c r="JI21" s="10" t="str">
        <f t="shared" si="72"/>
        <v xml:space="preserve"> </v>
      </c>
      <c r="JJ21" s="10"/>
      <c r="JK21" s="53">
        <v>31</v>
      </c>
      <c r="JL21" s="55">
        <v>4.3225806451612909</v>
      </c>
      <c r="JM21" s="56">
        <v>0.18998633737993129</v>
      </c>
      <c r="JN21" s="10">
        <f t="shared" si="73"/>
        <v>0.29584020025026481</v>
      </c>
      <c r="JO21" s="10" t="str">
        <f t="shared" si="74"/>
        <v xml:space="preserve"> </v>
      </c>
      <c r="JP21" s="10"/>
      <c r="JQ21" s="54">
        <v>49</v>
      </c>
      <c r="JR21" s="57">
        <v>4.0816326530612246</v>
      </c>
      <c r="JS21" s="58">
        <v>0.14418690856387356</v>
      </c>
      <c r="JT21" s="10">
        <f t="shared" si="75"/>
        <v>1.5749967513805159</v>
      </c>
      <c r="JU21" s="10" t="str">
        <f t="shared" si="76"/>
        <v xml:space="preserve"> </v>
      </c>
      <c r="JV21" s="76"/>
      <c r="JW21" s="27">
        <v>506</v>
      </c>
      <c r="JX21" s="28">
        <v>4.0274662717184633</v>
      </c>
      <c r="JY21" s="29">
        <v>4.5952206767119655E-2</v>
      </c>
      <c r="JZ21" s="10"/>
      <c r="KA21" s="42">
        <v>307</v>
      </c>
      <c r="KB21" s="43">
        <v>3.993089326936401</v>
      </c>
      <c r="KC21" s="67">
        <v>6.0362929993822777E-2</v>
      </c>
      <c r="KD21" s="10">
        <f t="shared" si="77"/>
        <v>0.4531413795579296</v>
      </c>
      <c r="KE21" s="10" t="str">
        <f t="shared" si="78"/>
        <v xml:space="preserve"> </v>
      </c>
      <c r="KF21" s="10"/>
      <c r="KG21" s="42">
        <v>358.24109013000083</v>
      </c>
      <c r="KH21" s="43">
        <v>4.165728441615828</v>
      </c>
      <c r="KI21" s="67">
        <v>5.0775187415256308E-2</v>
      </c>
      <c r="KJ21" s="10">
        <f t="shared" si="79"/>
        <v>-2.0189691440241821</v>
      </c>
      <c r="KK21" s="10" t="str">
        <f t="shared" si="80"/>
        <v>*</v>
      </c>
      <c r="KL21" s="10"/>
      <c r="KM21" s="53">
        <v>687</v>
      </c>
      <c r="KN21" s="55">
        <v>3.9414257956175089</v>
      </c>
      <c r="KO21" s="56">
        <v>3.9033609365346549E-2</v>
      </c>
      <c r="KP21" s="10">
        <f t="shared" si="81"/>
        <v>1.4270427366805019</v>
      </c>
      <c r="KQ21" s="10" t="str">
        <f t="shared" si="82"/>
        <v xml:space="preserve"> </v>
      </c>
      <c r="KR21" s="10"/>
      <c r="KS21" s="54">
        <v>678</v>
      </c>
      <c r="KT21" s="57">
        <v>3.9763279998756311</v>
      </c>
      <c r="KU21" s="58">
        <v>3.859465585547657E-2</v>
      </c>
      <c r="KV21" s="10">
        <f t="shared" si="83"/>
        <v>0.85216810391432307</v>
      </c>
      <c r="KW21" s="10" t="str">
        <f t="shared" si="102"/>
        <v xml:space="preserve"> </v>
      </c>
      <c r="KX21" s="76"/>
      <c r="KY21" s="27">
        <v>163</v>
      </c>
      <c r="KZ21" s="28">
        <v>4.1594987011593316</v>
      </c>
      <c r="LA21" s="29">
        <v>7.2278511191799649E-2</v>
      </c>
      <c r="LB21" s="10"/>
      <c r="LC21" s="42">
        <v>171</v>
      </c>
      <c r="LD21" s="43">
        <v>4.163703108876426</v>
      </c>
      <c r="LE21" s="67">
        <v>7.2623647679245118E-2</v>
      </c>
      <c r="LF21" s="10">
        <f t="shared" si="84"/>
        <v>-4.1033988694709221E-2</v>
      </c>
      <c r="LG21" s="10" t="str">
        <f t="shared" si="85"/>
        <v xml:space="preserve"> </v>
      </c>
      <c r="LH21" s="10"/>
      <c r="LI21" s="42">
        <v>180.51962683999963</v>
      </c>
      <c r="LJ21" s="43">
        <v>4.248578346828582</v>
      </c>
      <c r="LK21" s="67">
        <v>6.3998159963178855E-2</v>
      </c>
      <c r="LL21" s="10">
        <f t="shared" si="86"/>
        <v>-0.92272384590590306</v>
      </c>
      <c r="LM21" s="10" t="str">
        <f t="shared" si="87"/>
        <v xml:space="preserve"> </v>
      </c>
      <c r="LN21" s="10"/>
      <c r="LO21" s="53">
        <v>442</v>
      </c>
      <c r="LP21" s="55">
        <v>3.9751131221719462</v>
      </c>
      <c r="LQ21" s="56">
        <v>4.8755896908939576E-2</v>
      </c>
      <c r="LR21" s="10">
        <f t="shared" si="88"/>
        <v>2.1148639023590006</v>
      </c>
      <c r="LS21" s="10" t="str">
        <f t="shared" si="89"/>
        <v>*</v>
      </c>
      <c r="LT21" s="10"/>
      <c r="LU21" s="54">
        <v>432</v>
      </c>
      <c r="LV21" s="57">
        <v>4.0701110727576131</v>
      </c>
      <c r="LW21" s="58">
        <v>4.7714302044679968E-2</v>
      </c>
      <c r="LX21" s="10">
        <f t="shared" si="90"/>
        <v>1.0321017817036948</v>
      </c>
      <c r="LY21" s="10" t="str">
        <f t="shared" si="91"/>
        <v xml:space="preserve"> </v>
      </c>
      <c r="LZ21" s="76"/>
      <c r="MA21" s="27">
        <v>194</v>
      </c>
      <c r="MB21" s="28">
        <v>4.2680845508076928</v>
      </c>
      <c r="MC21" s="29">
        <v>6.2883930902915858E-2</v>
      </c>
      <c r="MD21" s="10"/>
      <c r="ME21" s="42">
        <v>133</v>
      </c>
      <c r="MF21" s="43">
        <v>4.2788774001453254</v>
      </c>
      <c r="MG21" s="67">
        <v>7.8723376907606182E-2</v>
      </c>
      <c r="MH21" s="10">
        <f t="shared" si="92"/>
        <v>-0.10711874317974938</v>
      </c>
      <c r="MI21" s="10" t="str">
        <f t="shared" si="93"/>
        <v xml:space="preserve"> </v>
      </c>
      <c r="MJ21" s="10"/>
      <c r="MK21" s="42">
        <v>113.63192930000002</v>
      </c>
      <c r="ML21" s="43">
        <v>4.3223954539509846</v>
      </c>
      <c r="MM21" s="67">
        <v>7.6007324644197002E-2</v>
      </c>
      <c r="MN21" s="10">
        <f t="shared" si="94"/>
        <v>-0.5505504006048747</v>
      </c>
      <c r="MO21" s="10" t="str">
        <f t="shared" si="95"/>
        <v xml:space="preserve"> </v>
      </c>
      <c r="MP21" s="10"/>
      <c r="MQ21" s="53">
        <v>203</v>
      </c>
      <c r="MR21" s="55">
        <v>4.1007532437627372</v>
      </c>
      <c r="MS21" s="56">
        <v>6.7315651646705679E-2</v>
      </c>
      <c r="MT21" s="10">
        <f t="shared" si="96"/>
        <v>1.8164823103086853</v>
      </c>
      <c r="MU21" s="10" t="str">
        <f t="shared" si="97"/>
        <v xml:space="preserve"> </v>
      </c>
      <c r="MV21" s="10"/>
      <c r="MW21" s="54">
        <v>209</v>
      </c>
      <c r="MX21" s="57">
        <v>4.1251908125597527</v>
      </c>
      <c r="MY21" s="58">
        <v>7.0602791596305975E-2</v>
      </c>
      <c r="MZ21" s="10">
        <f t="shared" si="98"/>
        <v>1.5113507187043795</v>
      </c>
      <c r="NA21" s="10" t="str">
        <f t="shared" si="103"/>
        <v xml:space="preserve"> </v>
      </c>
      <c r="NB21" s="58"/>
    </row>
    <row r="22" spans="1:366" x14ac:dyDescent="0.2">
      <c r="A22" s="73"/>
      <c r="B22" s="65" t="s">
        <v>24</v>
      </c>
      <c r="C22" s="27">
        <v>423</v>
      </c>
      <c r="D22" s="28">
        <v>3.9952718676122938</v>
      </c>
      <c r="E22" s="29">
        <v>4.9337340967296639E-2</v>
      </c>
      <c r="F22" s="10"/>
      <c r="G22" s="42">
        <v>128</v>
      </c>
      <c r="H22" s="43">
        <v>3.9609456878269271</v>
      </c>
      <c r="I22" s="67">
        <v>9.5284944137124766E-2</v>
      </c>
      <c r="J22" s="10">
        <f t="shared" si="1"/>
        <v>0.31990703690792061</v>
      </c>
      <c r="K22" s="10" t="str">
        <f t="shared" si="2"/>
        <v xml:space="preserve"> </v>
      </c>
      <c r="L22" s="10"/>
      <c r="M22" s="42">
        <v>129.96739125000008</v>
      </c>
      <c r="N22" s="43">
        <v>3.7679999999999998</v>
      </c>
      <c r="O22" s="67">
        <v>7.8076427504443921E-2</v>
      </c>
      <c r="P22" s="10">
        <f t="shared" si="3"/>
        <v>2.4607561268460367</v>
      </c>
      <c r="Q22" s="10" t="str">
        <f t="shared" si="4"/>
        <v>*</v>
      </c>
      <c r="R22" s="10"/>
      <c r="S22" s="53">
        <v>136</v>
      </c>
      <c r="T22" s="55">
        <v>3.9852941176470602</v>
      </c>
      <c r="U22" s="56">
        <v>8.7798022833046982E-2</v>
      </c>
      <c r="V22" s="10">
        <f t="shared" si="5"/>
        <v>9.9073282869585458E-2</v>
      </c>
      <c r="W22" s="10" t="str">
        <f t="shared" si="6"/>
        <v xml:space="preserve"> </v>
      </c>
      <c r="X22" s="10"/>
      <c r="Y22" s="54">
        <v>209</v>
      </c>
      <c r="Z22" s="57">
        <v>3.4832535885167455</v>
      </c>
      <c r="AA22" s="58">
        <v>7.0681437879985404E-2</v>
      </c>
      <c r="AB22" s="10">
        <f t="shared" si="7"/>
        <v>5.9400475646628612</v>
      </c>
      <c r="AC22" s="10" t="str">
        <f t="shared" si="8"/>
        <v>*</v>
      </c>
      <c r="AD22" s="76"/>
      <c r="AE22" s="27">
        <v>105</v>
      </c>
      <c r="AF22" s="28">
        <v>4.0393087267798284</v>
      </c>
      <c r="AG22" s="29">
        <v>9.2105600960554784E-2</v>
      </c>
      <c r="AH22" s="67"/>
      <c r="AI22" s="42">
        <v>57</v>
      </c>
      <c r="AJ22" s="43">
        <v>3.6662017779439591</v>
      </c>
      <c r="AK22" s="67">
        <v>0.16611480810897764</v>
      </c>
      <c r="AL22" s="10">
        <f t="shared" si="9"/>
        <v>1.9643310940370937</v>
      </c>
      <c r="AM22" s="10" t="str">
        <f t="shared" si="10"/>
        <v>*</v>
      </c>
      <c r="AN22" s="67"/>
      <c r="AO22" s="42">
        <v>97.785323340000005</v>
      </c>
      <c r="AP22" s="43">
        <v>3.3738516608764519</v>
      </c>
      <c r="AQ22" s="67">
        <v>0.1063102091137724</v>
      </c>
      <c r="AR22" s="10">
        <f t="shared" si="11"/>
        <v>4.730953678214985</v>
      </c>
      <c r="AS22" s="10" t="str">
        <f t="shared" si="12"/>
        <v>*</v>
      </c>
      <c r="AT22" s="10"/>
      <c r="AU22" s="53">
        <v>130</v>
      </c>
      <c r="AV22" s="55">
        <v>3.5828758098112665</v>
      </c>
      <c r="AW22" s="56">
        <v>0.10512508113518054</v>
      </c>
      <c r="AX22" s="10">
        <f t="shared" si="13"/>
        <v>3.2656776418252571</v>
      </c>
      <c r="AY22" s="10" t="str">
        <f t="shared" si="14"/>
        <v>*</v>
      </c>
      <c r="AZ22" s="10"/>
      <c r="BA22" s="54">
        <v>85</v>
      </c>
      <c r="BB22" s="57">
        <v>3.0529193397869117</v>
      </c>
      <c r="BC22" s="58">
        <v>0.10335549601749262</v>
      </c>
      <c r="BD22" s="10">
        <f t="shared" si="15"/>
        <v>7.1250007054321802</v>
      </c>
      <c r="BE22" s="10" t="str">
        <f t="shared" si="16"/>
        <v>*</v>
      </c>
      <c r="BF22" s="76"/>
      <c r="BG22" s="27">
        <v>1153</v>
      </c>
      <c r="BH22" s="28">
        <v>4.0257831382170632</v>
      </c>
      <c r="BI22" s="29">
        <v>3.1565831744864457E-2</v>
      </c>
      <c r="BJ22" s="10"/>
      <c r="BK22" s="42">
        <v>350</v>
      </c>
      <c r="BL22" s="43">
        <v>4.025061323647285</v>
      </c>
      <c r="BM22" s="67">
        <v>5.439805222556611E-2</v>
      </c>
      <c r="BN22" s="10">
        <f t="shared" si="17"/>
        <v>1.1476837027013345E-2</v>
      </c>
      <c r="BO22" s="10" t="str">
        <f t="shared" si="18"/>
        <v xml:space="preserve"> </v>
      </c>
      <c r="BP22" s="10"/>
      <c r="BQ22" s="42">
        <v>347.35003718999923</v>
      </c>
      <c r="BR22" s="43">
        <v>3.7805210295161178</v>
      </c>
      <c r="BS22" s="67">
        <v>3.7246877515914725E-2</v>
      </c>
      <c r="BT22" s="10">
        <f t="shared" si="19"/>
        <v>5.0234464766603688</v>
      </c>
      <c r="BU22" s="10" t="str">
        <f t="shared" si="20"/>
        <v>*</v>
      </c>
      <c r="BV22" s="10"/>
      <c r="BW22" s="53">
        <v>358</v>
      </c>
      <c r="BX22" s="55">
        <v>3.8081710034437739</v>
      </c>
      <c r="BY22" s="56">
        <v>2.963044431927853E-2</v>
      </c>
      <c r="BZ22" s="10">
        <f t="shared" si="21"/>
        <v>5.026388238616911</v>
      </c>
      <c r="CA22" s="10" t="str">
        <f t="shared" si="22"/>
        <v>*</v>
      </c>
      <c r="CB22" s="10"/>
      <c r="CC22" s="54">
        <v>410</v>
      </c>
      <c r="CD22" s="57">
        <v>3.5911195337985404</v>
      </c>
      <c r="CE22" s="58">
        <v>5.2315128331777559E-2</v>
      </c>
      <c r="CF22" s="10">
        <f t="shared" si="23"/>
        <v>7.1139092664134997</v>
      </c>
      <c r="CG22" s="10" t="str">
        <f t="shared" si="24"/>
        <v>*</v>
      </c>
      <c r="CH22" s="76"/>
      <c r="CI22" s="27">
        <v>709</v>
      </c>
      <c r="CJ22" s="28">
        <v>4.161478123936484</v>
      </c>
      <c r="CK22" s="29">
        <v>3.5409452795521434E-2</v>
      </c>
      <c r="CL22" s="67"/>
      <c r="CM22" s="42">
        <v>223</v>
      </c>
      <c r="CN22" s="43">
        <v>4.2243954124362828</v>
      </c>
      <c r="CO22" s="67">
        <v>6.4194883949944409E-2</v>
      </c>
      <c r="CP22" s="10">
        <f t="shared" si="25"/>
        <v>-0.85819966314863483</v>
      </c>
      <c r="CQ22" s="10" t="str">
        <f t="shared" si="26"/>
        <v xml:space="preserve"> </v>
      </c>
      <c r="CR22" s="10"/>
      <c r="CS22" s="42">
        <v>232.32871112999945</v>
      </c>
      <c r="CT22" s="43">
        <v>4.2313699624060765</v>
      </c>
      <c r="CU22" s="67">
        <v>5.9496432975006258E-2</v>
      </c>
      <c r="CV22" s="10">
        <f t="shared" si="27"/>
        <v>-1.0094692227650588</v>
      </c>
      <c r="CW22" s="10" t="str">
        <f t="shared" si="28"/>
        <v xml:space="preserve"> </v>
      </c>
      <c r="CX22" s="10"/>
      <c r="CY22" s="53">
        <v>213</v>
      </c>
      <c r="CZ22" s="55">
        <v>4.2687001271462419</v>
      </c>
      <c r="DA22" s="56">
        <v>5.8298585558062443E-2</v>
      </c>
      <c r="DB22" s="10">
        <f t="shared" si="29"/>
        <v>-1.5719480370201446</v>
      </c>
      <c r="DC22" s="10" t="str">
        <f t="shared" si="0"/>
        <v xml:space="preserve"> </v>
      </c>
      <c r="DD22" s="10"/>
      <c r="DE22" s="54">
        <v>269</v>
      </c>
      <c r="DF22" s="57">
        <v>4.007375934679863</v>
      </c>
      <c r="DG22" s="58">
        <v>6.0225366501404989E-2</v>
      </c>
      <c r="DH22" s="10">
        <f t="shared" si="30"/>
        <v>2.2057575816204573</v>
      </c>
      <c r="DI22" s="10" t="str">
        <f t="shared" si="31"/>
        <v>*</v>
      </c>
      <c r="DJ22" s="76"/>
      <c r="DK22" s="27">
        <v>211</v>
      </c>
      <c r="DL22" s="28">
        <v>3.9203987783987277</v>
      </c>
      <c r="DM22" s="29">
        <v>7.6297471936837044E-2</v>
      </c>
      <c r="DN22" s="10"/>
      <c r="DO22" s="42">
        <v>78</v>
      </c>
      <c r="DP22" s="43">
        <v>3.6407135457673365</v>
      </c>
      <c r="DQ22" s="67">
        <v>0.13667183254438969</v>
      </c>
      <c r="DR22" s="10">
        <f t="shared" si="32"/>
        <v>1.7868253917450363</v>
      </c>
      <c r="DS22" s="10" t="str">
        <f t="shared" si="33"/>
        <v xml:space="preserve"> </v>
      </c>
      <c r="DT22" s="10"/>
      <c r="DU22" s="42">
        <v>93.911593770000039</v>
      </c>
      <c r="DV22" s="43">
        <v>3.6304661931838496</v>
      </c>
      <c r="DW22" s="67">
        <v>0.10028210275470315</v>
      </c>
      <c r="DX22" s="10">
        <f t="shared" si="34"/>
        <v>2.3009215138761001</v>
      </c>
      <c r="DY22" s="10" t="str">
        <f t="shared" si="35"/>
        <v>*</v>
      </c>
      <c r="DZ22" s="10"/>
      <c r="EA22" s="53">
        <v>87</v>
      </c>
      <c r="EB22" s="55">
        <v>3.7895919340798061</v>
      </c>
      <c r="EC22" s="56">
        <v>0.10132330736871177</v>
      </c>
      <c r="ED22" s="10">
        <f t="shared" si="36"/>
        <v>1.0312958300583353</v>
      </c>
      <c r="EE22" s="10" t="str">
        <f t="shared" si="37"/>
        <v xml:space="preserve"> </v>
      </c>
      <c r="EF22" s="10"/>
      <c r="EG22" s="54">
        <v>61</v>
      </c>
      <c r="EH22" s="57">
        <v>3.9836065573770494</v>
      </c>
      <c r="EI22" s="58">
        <v>0.11032440210201276</v>
      </c>
      <c r="EJ22" s="10">
        <f t="shared" si="38"/>
        <v>-0.47121751029980741</v>
      </c>
      <c r="EK22" s="10" t="str">
        <f t="shared" si="39"/>
        <v xml:space="preserve"> </v>
      </c>
      <c r="EL22" s="76"/>
      <c r="EM22" s="27">
        <v>462</v>
      </c>
      <c r="EN22" s="28">
        <v>4.2832919548304522</v>
      </c>
      <c r="EO22" s="29">
        <v>4.3129777206194111E-2</v>
      </c>
      <c r="EP22" s="10"/>
      <c r="EQ22" s="42">
        <v>153</v>
      </c>
      <c r="ER22" s="43">
        <v>4.2477878277680023</v>
      </c>
      <c r="ES22" s="67">
        <v>7.4341924093436137E-2</v>
      </c>
      <c r="ET22" s="10">
        <f t="shared" si="40"/>
        <v>0.41309291657244818</v>
      </c>
      <c r="EU22" s="10" t="str">
        <f t="shared" si="41"/>
        <v xml:space="preserve"> </v>
      </c>
      <c r="EV22" s="10"/>
      <c r="EW22" s="42">
        <v>165.79020698999986</v>
      </c>
      <c r="EX22" s="43">
        <v>3.637799081017965</v>
      </c>
      <c r="EY22" s="67">
        <v>7.4821747148190079E-2</v>
      </c>
      <c r="EZ22" s="10">
        <f t="shared" si="42"/>
        <v>7.4742313071237803</v>
      </c>
      <c r="FA22" s="10" t="str">
        <f t="shared" si="43"/>
        <v>*</v>
      </c>
      <c r="FB22" s="10"/>
      <c r="FC22" s="53">
        <v>156</v>
      </c>
      <c r="FD22" s="55">
        <v>4.0091526777463207</v>
      </c>
      <c r="FE22" s="56">
        <v>7.1815573509962469E-2</v>
      </c>
      <c r="FF22" s="10">
        <f t="shared" si="44"/>
        <v>3.2724670212865377</v>
      </c>
      <c r="FG22" s="10" t="str">
        <f t="shared" si="45"/>
        <v>*</v>
      </c>
      <c r="FH22" s="10"/>
      <c r="FI22" s="54">
        <v>197</v>
      </c>
      <c r="FJ22" s="57">
        <v>3.4088078975227809</v>
      </c>
      <c r="FK22" s="58">
        <v>7.0323255313674587E-2</v>
      </c>
      <c r="FL22" s="10">
        <f t="shared" si="46"/>
        <v>10.600361282712528</v>
      </c>
      <c r="FM22" s="10" t="str">
        <f t="shared" si="99"/>
        <v>*</v>
      </c>
      <c r="FN22" s="76"/>
      <c r="FO22" s="27">
        <v>221</v>
      </c>
      <c r="FP22" s="28">
        <v>4.0057693923928452</v>
      </c>
      <c r="FQ22" s="29">
        <v>6.646825370314513E-2</v>
      </c>
      <c r="FR22" s="67"/>
      <c r="FS22" s="42">
        <v>168</v>
      </c>
      <c r="FT22" s="43">
        <v>4.0431822497003429</v>
      </c>
      <c r="FU22" s="67">
        <v>7.9882538648452336E-2</v>
      </c>
      <c r="FV22" s="10">
        <f t="shared" si="47"/>
        <v>-0.36001790928016381</v>
      </c>
      <c r="FW22" s="10" t="str">
        <f t="shared" si="48"/>
        <v xml:space="preserve"> </v>
      </c>
      <c r="FX22" s="67"/>
      <c r="FY22" s="42">
        <v>199.2327883500005</v>
      </c>
      <c r="FZ22" s="43">
        <v>4.0580167556039708</v>
      </c>
      <c r="GA22" s="67">
        <v>7.2602997936920238E-2</v>
      </c>
      <c r="GB22" s="10">
        <f t="shared" si="49"/>
        <v>-0.53078651179646641</v>
      </c>
      <c r="GC22" s="10" t="str">
        <f t="shared" si="50"/>
        <v xml:space="preserve"> </v>
      </c>
      <c r="GD22" s="10"/>
      <c r="GE22" s="53">
        <v>216</v>
      </c>
      <c r="GF22" s="55">
        <v>3.8295715661486525</v>
      </c>
      <c r="GG22" s="56">
        <v>7.8068302135386597E-2</v>
      </c>
      <c r="GH22" s="10">
        <f t="shared" si="51"/>
        <v>1.7184766961997178</v>
      </c>
      <c r="GI22" s="10" t="str">
        <f t="shared" si="52"/>
        <v xml:space="preserve"> </v>
      </c>
      <c r="GJ22" s="10"/>
      <c r="GK22" s="54">
        <v>192</v>
      </c>
      <c r="GL22" s="57">
        <v>3.927505888569311</v>
      </c>
      <c r="GM22" s="58">
        <v>7.3888536992156154E-2</v>
      </c>
      <c r="GN22" s="10">
        <f t="shared" si="53"/>
        <v>0.78747139407377809</v>
      </c>
      <c r="GO22" s="10" t="str">
        <f t="shared" si="100"/>
        <v xml:space="preserve"> </v>
      </c>
      <c r="GP22" s="76"/>
      <c r="GQ22" s="27">
        <v>219</v>
      </c>
      <c r="GR22" s="28">
        <v>3.93490997117748</v>
      </c>
      <c r="GS22" s="29">
        <v>6.9736152870169488E-2</v>
      </c>
      <c r="GT22" s="10"/>
      <c r="GU22" s="42">
        <v>133</v>
      </c>
      <c r="GV22" s="43">
        <v>4.0553014465351396</v>
      </c>
      <c r="GW22" s="67">
        <v>8.7189320294066966E-2</v>
      </c>
      <c r="GX22" s="10">
        <f t="shared" si="54"/>
        <v>-1.0783201072582413</v>
      </c>
      <c r="GY22" s="10" t="str">
        <f t="shared" si="55"/>
        <v xml:space="preserve"> </v>
      </c>
      <c r="GZ22" s="10"/>
      <c r="HA22" s="42">
        <v>125.05553085999989</v>
      </c>
      <c r="HB22" s="43">
        <v>3.9057341288391552</v>
      </c>
      <c r="HC22" s="67">
        <v>9.9276347701873324E-2</v>
      </c>
      <c r="HD22" s="10">
        <f t="shared" si="56"/>
        <v>0.24048354685232651</v>
      </c>
      <c r="HE22" s="10" t="str">
        <f t="shared" si="57"/>
        <v xml:space="preserve"> </v>
      </c>
      <c r="HF22" s="10"/>
      <c r="HG22" s="53">
        <v>91</v>
      </c>
      <c r="HH22" s="55">
        <v>3.9761340951902424</v>
      </c>
      <c r="HI22" s="56">
        <v>9.7169558909043288E-2</v>
      </c>
      <c r="HJ22" s="10">
        <f t="shared" si="58"/>
        <v>-0.3446725380576191</v>
      </c>
      <c r="HK22" s="10" t="str">
        <f t="shared" si="59"/>
        <v xml:space="preserve"> </v>
      </c>
      <c r="HL22" s="10"/>
      <c r="HM22" s="54">
        <v>151</v>
      </c>
      <c r="HN22" s="57">
        <v>4.0825656776822603</v>
      </c>
      <c r="HO22" s="58">
        <v>8.6858129189193389E-2</v>
      </c>
      <c r="HP22" s="10">
        <f t="shared" si="60"/>
        <v>-1.325588402063854</v>
      </c>
      <c r="HQ22" s="10" t="str">
        <f t="shared" si="101"/>
        <v xml:space="preserve"> </v>
      </c>
      <c r="HR22" s="76"/>
      <c r="HS22" s="27">
        <v>571</v>
      </c>
      <c r="HT22" s="28">
        <v>3.8692372850374888</v>
      </c>
      <c r="HU22" s="29">
        <v>4.6687380448393677E-2</v>
      </c>
      <c r="HV22" s="10"/>
      <c r="HW22" s="42">
        <v>404</v>
      </c>
      <c r="HX22" s="43">
        <v>3.9559660815312747</v>
      </c>
      <c r="HY22" s="67">
        <v>5.4125266328127586E-2</v>
      </c>
      <c r="HZ22" s="10">
        <f t="shared" si="61"/>
        <v>-1.2133455181155208</v>
      </c>
      <c r="IA22" s="10" t="str">
        <f t="shared" si="62"/>
        <v xml:space="preserve"> </v>
      </c>
      <c r="IB22" s="10"/>
      <c r="IC22" s="42">
        <v>409.11516378000039</v>
      </c>
      <c r="ID22" s="43">
        <v>3.9358436191475068</v>
      </c>
      <c r="IE22" s="67">
        <v>5.2223112475299358E-2</v>
      </c>
      <c r="IF22" s="10">
        <f t="shared" si="63"/>
        <v>-0.95084352354473423</v>
      </c>
      <c r="IG22" s="10" t="str">
        <f t="shared" si="64"/>
        <v xml:space="preserve"> </v>
      </c>
      <c r="IH22" s="10"/>
      <c r="II22" s="53">
        <v>403</v>
      </c>
      <c r="IJ22" s="55">
        <v>3.9909728775142264</v>
      </c>
      <c r="IK22" s="56">
        <v>4.9437974266585562E-2</v>
      </c>
      <c r="IL22" s="10">
        <f t="shared" si="65"/>
        <v>-1.7902632187459693</v>
      </c>
      <c r="IM22" s="10" t="str">
        <f t="shared" si="66"/>
        <v xml:space="preserve"> </v>
      </c>
      <c r="IN22" s="10"/>
      <c r="IO22" s="54">
        <v>438</v>
      </c>
      <c r="IP22" s="57">
        <v>3.9917480239782384</v>
      </c>
      <c r="IQ22" s="58">
        <v>4.9887232258035957E-2</v>
      </c>
      <c r="IR22" s="10">
        <f t="shared" si="67"/>
        <v>-1.7930315142432831</v>
      </c>
      <c r="IS22" s="10" t="str">
        <f t="shared" si="68"/>
        <v xml:space="preserve"> </v>
      </c>
      <c r="IT22" s="76"/>
      <c r="IU22" s="27">
        <v>45</v>
      </c>
      <c r="IV22" s="28">
        <v>4.2000000000000011</v>
      </c>
      <c r="IW22" s="29">
        <v>0.18971051633274869</v>
      </c>
      <c r="IX22" s="10"/>
      <c r="IY22" s="42">
        <v>34</v>
      </c>
      <c r="IZ22" s="43">
        <v>4.3227482680701872</v>
      </c>
      <c r="JA22" s="67">
        <v>0.19681307744239543</v>
      </c>
      <c r="JB22" s="10">
        <f t="shared" si="69"/>
        <v>-0.44903588864588539</v>
      </c>
      <c r="JC22" s="10" t="str">
        <f t="shared" si="70"/>
        <v xml:space="preserve"> </v>
      </c>
      <c r="JD22" s="10"/>
      <c r="JE22" s="42">
        <v>32.673939870000005</v>
      </c>
      <c r="JF22" s="43">
        <v>4.454545454545455</v>
      </c>
      <c r="JG22" s="67">
        <v>0.13188962740511811</v>
      </c>
      <c r="JH22" s="10">
        <f t="shared" si="71"/>
        <v>-1.1016811293331967</v>
      </c>
      <c r="JI22" s="10" t="str">
        <f t="shared" si="72"/>
        <v xml:space="preserve"> </v>
      </c>
      <c r="JJ22" s="10"/>
      <c r="JK22" s="53">
        <v>32</v>
      </c>
      <c r="JL22" s="55">
        <v>4.5624999999999982</v>
      </c>
      <c r="JM22" s="56">
        <v>0.16344690706560766</v>
      </c>
      <c r="JN22" s="10">
        <f t="shared" si="73"/>
        <v>-1.4476281636486725</v>
      </c>
      <c r="JO22" s="10" t="str">
        <f t="shared" si="74"/>
        <v xml:space="preserve"> </v>
      </c>
      <c r="JP22" s="10"/>
      <c r="JQ22" s="54">
        <v>54</v>
      </c>
      <c r="JR22" s="57">
        <v>4.2962962962962958</v>
      </c>
      <c r="JS22" s="58">
        <v>0.1437641798827082</v>
      </c>
      <c r="JT22" s="10">
        <f t="shared" si="75"/>
        <v>-0.40455551207024448</v>
      </c>
      <c r="JU22" s="10" t="str">
        <f t="shared" si="76"/>
        <v xml:space="preserve"> </v>
      </c>
      <c r="JV22" s="76"/>
      <c r="JW22" s="27">
        <v>512</v>
      </c>
      <c r="JX22" s="28">
        <v>3.8829006657564737</v>
      </c>
      <c r="JY22" s="29">
        <v>4.9102168517230815E-2</v>
      </c>
      <c r="JZ22" s="10"/>
      <c r="KA22" s="42">
        <v>317</v>
      </c>
      <c r="KB22" s="43">
        <v>3.7128160634864895</v>
      </c>
      <c r="KC22" s="67">
        <v>6.6230010062835673E-2</v>
      </c>
      <c r="KD22" s="10">
        <f t="shared" si="77"/>
        <v>2.0629675528193179</v>
      </c>
      <c r="KE22" s="10" t="str">
        <f t="shared" si="78"/>
        <v>*</v>
      </c>
      <c r="KF22" s="10"/>
      <c r="KG22" s="42">
        <v>367.311113570001</v>
      </c>
      <c r="KH22" s="43">
        <v>3.8778330718777774</v>
      </c>
      <c r="KI22" s="67">
        <v>5.6421568222577982E-2</v>
      </c>
      <c r="KJ22" s="10">
        <f t="shared" si="79"/>
        <v>6.7752357591883791E-2</v>
      </c>
      <c r="KK22" s="10" t="str">
        <f t="shared" si="80"/>
        <v xml:space="preserve"> </v>
      </c>
      <c r="KL22" s="10"/>
      <c r="KM22" s="53">
        <v>717</v>
      </c>
      <c r="KN22" s="55">
        <v>3.8289842153206441</v>
      </c>
      <c r="KO22" s="56">
        <v>4.2098024831743866E-2</v>
      </c>
      <c r="KP22" s="10">
        <f t="shared" si="81"/>
        <v>0.83361115757793569</v>
      </c>
      <c r="KQ22" s="10" t="str">
        <f t="shared" si="82"/>
        <v xml:space="preserve"> </v>
      </c>
      <c r="KR22" s="10"/>
      <c r="KS22" s="54">
        <v>697</v>
      </c>
      <c r="KT22" s="57">
        <v>3.7865144920715488</v>
      </c>
      <c r="KU22" s="58">
        <v>4.1381686671303021E-2</v>
      </c>
      <c r="KV22" s="10">
        <f t="shared" si="83"/>
        <v>1.5010096397450756</v>
      </c>
      <c r="KW22" s="10" t="str">
        <f t="shared" si="102"/>
        <v xml:space="preserve"> </v>
      </c>
      <c r="KX22" s="76"/>
      <c r="KY22" s="27">
        <v>186</v>
      </c>
      <c r="KZ22" s="28">
        <v>4.064512406798884</v>
      </c>
      <c r="LA22" s="29">
        <v>7.3789799807967113E-2</v>
      </c>
      <c r="LB22" s="10"/>
      <c r="LC22" s="42">
        <v>196</v>
      </c>
      <c r="LD22" s="43">
        <v>4.0765612489924692</v>
      </c>
      <c r="LE22" s="67">
        <v>6.9327367705839138E-2</v>
      </c>
      <c r="LF22" s="10">
        <f t="shared" si="84"/>
        <v>-0.11900290737470361</v>
      </c>
      <c r="LG22" s="10" t="str">
        <f t="shared" si="85"/>
        <v xml:space="preserve"> </v>
      </c>
      <c r="LH22" s="10"/>
      <c r="LI22" s="42">
        <v>200.48096356999943</v>
      </c>
      <c r="LJ22" s="43">
        <v>4.1604175613350485</v>
      </c>
      <c r="LK22" s="67">
        <v>6.845394873095241E-2</v>
      </c>
      <c r="LL22" s="10">
        <f t="shared" si="86"/>
        <v>-0.95283656367738534</v>
      </c>
      <c r="LM22" s="10" t="str">
        <f t="shared" si="87"/>
        <v xml:space="preserve"> </v>
      </c>
      <c r="LN22" s="10"/>
      <c r="LO22" s="53">
        <v>505</v>
      </c>
      <c r="LP22" s="55">
        <v>3.833663366336634</v>
      </c>
      <c r="LQ22" s="56">
        <v>4.8378141487619424E-2</v>
      </c>
      <c r="LR22" s="10">
        <f t="shared" si="88"/>
        <v>2.6163039112208084</v>
      </c>
      <c r="LS22" s="10" t="str">
        <f t="shared" si="89"/>
        <v>*</v>
      </c>
      <c r="LT22" s="10"/>
      <c r="LU22" s="54">
        <v>482</v>
      </c>
      <c r="LV22" s="57">
        <v>3.8455033143247999</v>
      </c>
      <c r="LW22" s="58">
        <v>5.1907164722654484E-2</v>
      </c>
      <c r="LX22" s="10">
        <f t="shared" si="90"/>
        <v>2.4275541683849839</v>
      </c>
      <c r="LY22" s="10" t="str">
        <f t="shared" si="91"/>
        <v>*</v>
      </c>
      <c r="LZ22" s="76"/>
      <c r="MA22" s="27">
        <v>207</v>
      </c>
      <c r="MB22" s="28">
        <v>4.1356198029430642</v>
      </c>
      <c r="MC22" s="29">
        <v>6.6075631640092128E-2</v>
      </c>
      <c r="MD22" s="10"/>
      <c r="ME22" s="42">
        <v>141</v>
      </c>
      <c r="MF22" s="43">
        <v>4.1203845618348627</v>
      </c>
      <c r="MG22" s="67">
        <v>8.6912965485861526E-2</v>
      </c>
      <c r="MH22" s="10">
        <f t="shared" si="92"/>
        <v>0.13954487401667981</v>
      </c>
      <c r="MI22" s="10" t="str">
        <f t="shared" si="93"/>
        <v xml:space="preserve"> </v>
      </c>
      <c r="MJ22" s="10"/>
      <c r="MK22" s="42">
        <v>127.65254969000007</v>
      </c>
      <c r="ML22" s="43">
        <v>4.1060987315403459</v>
      </c>
      <c r="MM22" s="67">
        <v>8.7422395727714278E-2</v>
      </c>
      <c r="MN22" s="10">
        <f t="shared" si="94"/>
        <v>0.26939204166938269</v>
      </c>
      <c r="MO22" s="10" t="str">
        <f t="shared" si="95"/>
        <v xml:space="preserve"> </v>
      </c>
      <c r="MP22" s="10"/>
      <c r="MQ22" s="53">
        <v>215</v>
      </c>
      <c r="MR22" s="55">
        <v>4.0870557330373796</v>
      </c>
      <c r="MS22" s="56">
        <v>6.6165386487444286E-2</v>
      </c>
      <c r="MT22" s="10">
        <f t="shared" si="96"/>
        <v>0.51935436869715357</v>
      </c>
      <c r="MU22" s="10" t="str">
        <f t="shared" si="97"/>
        <v xml:space="preserve"> </v>
      </c>
      <c r="MV22" s="10"/>
      <c r="MW22" s="54">
        <v>231</v>
      </c>
      <c r="MX22" s="57">
        <v>4.091728032933915</v>
      </c>
      <c r="MY22" s="58">
        <v>6.6843645540159397E-2</v>
      </c>
      <c r="MZ22" s="10">
        <f t="shared" si="98"/>
        <v>0.46698493700755833</v>
      </c>
      <c r="NA22" s="10" t="str">
        <f t="shared" si="103"/>
        <v xml:space="preserve"> </v>
      </c>
      <c r="NB22" s="58"/>
    </row>
    <row r="23" spans="1:366" x14ac:dyDescent="0.2">
      <c r="B23" s="65" t="s">
        <v>25</v>
      </c>
      <c r="C23" s="27">
        <v>405</v>
      </c>
      <c r="D23" s="28">
        <v>3.8148148148148131</v>
      </c>
      <c r="E23" s="29">
        <v>5.2919309428978954E-2</v>
      </c>
      <c r="F23" s="10"/>
      <c r="G23" s="42">
        <v>126</v>
      </c>
      <c r="H23" s="43">
        <v>3.785737102584025</v>
      </c>
      <c r="I23" s="67">
        <v>0.10394060926105442</v>
      </c>
      <c r="J23" s="10">
        <f t="shared" si="1"/>
        <v>0.24930171694128858</v>
      </c>
      <c r="K23" s="10" t="str">
        <f t="shared" si="2"/>
        <v xml:space="preserve"> </v>
      </c>
      <c r="L23" s="10"/>
      <c r="M23" s="42">
        <v>127.8879129900001</v>
      </c>
      <c r="N23" s="43">
        <v>3.2520325203252036</v>
      </c>
      <c r="O23" s="67">
        <v>9.5111856706716055E-2</v>
      </c>
      <c r="P23" s="10">
        <f t="shared" si="3"/>
        <v>5.1706053300935668</v>
      </c>
      <c r="Q23" s="10" t="str">
        <f t="shared" si="4"/>
        <v>*</v>
      </c>
      <c r="R23" s="10"/>
      <c r="S23" s="53">
        <v>124</v>
      </c>
      <c r="T23" s="55">
        <v>3.7580645161290334</v>
      </c>
      <c r="U23" s="56">
        <v>8.9790770107237641E-2</v>
      </c>
      <c r="V23" s="10">
        <f t="shared" si="5"/>
        <v>0.54449832241612905</v>
      </c>
      <c r="W23" s="10" t="str">
        <f t="shared" si="6"/>
        <v xml:space="preserve"> </v>
      </c>
      <c r="X23" s="10"/>
      <c r="Y23" s="54">
        <v>208</v>
      </c>
      <c r="Z23" s="57">
        <v>3.4134615384615365</v>
      </c>
      <c r="AA23" s="58">
        <v>7.1343303299485308E-2</v>
      </c>
      <c r="AB23" s="10">
        <f t="shared" si="7"/>
        <v>4.5183461350919769</v>
      </c>
      <c r="AC23" s="10" t="str">
        <f t="shared" si="8"/>
        <v>*</v>
      </c>
      <c r="AD23" s="76"/>
      <c r="AE23" s="27">
        <v>99</v>
      </c>
      <c r="AF23" s="28">
        <v>4.0416993305394495</v>
      </c>
      <c r="AG23" s="29">
        <v>9.3536013196831663E-2</v>
      </c>
      <c r="AH23" s="67"/>
      <c r="AI23" s="42">
        <v>55</v>
      </c>
      <c r="AJ23" s="43">
        <v>3.69172358481448</v>
      </c>
      <c r="AK23" s="67">
        <v>0.17317041311890513</v>
      </c>
      <c r="AL23" s="10">
        <f t="shared" si="9"/>
        <v>1.7781773768181643</v>
      </c>
      <c r="AM23" s="10" t="str">
        <f t="shared" si="10"/>
        <v xml:space="preserve"> </v>
      </c>
      <c r="AN23" s="67"/>
      <c r="AO23" s="42">
        <v>96.829952250000005</v>
      </c>
      <c r="AP23" s="43">
        <v>3.1775966962743176</v>
      </c>
      <c r="AQ23" s="67">
        <v>0.11335574010695282</v>
      </c>
      <c r="AR23" s="10">
        <f t="shared" si="11"/>
        <v>5.8796765754707074</v>
      </c>
      <c r="AS23" s="10" t="str">
        <f t="shared" si="12"/>
        <v>*</v>
      </c>
      <c r="AT23" s="10"/>
      <c r="AU23" s="53">
        <v>125</v>
      </c>
      <c r="AV23" s="55">
        <v>3.4255772051569418</v>
      </c>
      <c r="AW23" s="56">
        <v>0.10869665109818519</v>
      </c>
      <c r="AX23" s="10">
        <f t="shared" si="13"/>
        <v>4.2964875661880422</v>
      </c>
      <c r="AY23" s="10" t="str">
        <f t="shared" si="14"/>
        <v>*</v>
      </c>
      <c r="AZ23" s="10"/>
      <c r="BA23" s="54">
        <v>82</v>
      </c>
      <c r="BB23" s="57">
        <v>2.7826906079080276</v>
      </c>
      <c r="BC23" s="58">
        <v>0.10377845878912965</v>
      </c>
      <c r="BD23" s="10">
        <f t="shared" si="15"/>
        <v>9.0115701057337088</v>
      </c>
      <c r="BE23" s="10" t="str">
        <f t="shared" si="16"/>
        <v>*</v>
      </c>
      <c r="BF23" s="76"/>
      <c r="BG23" s="27">
        <v>1091</v>
      </c>
      <c r="BH23" s="28">
        <v>4.0144867300411837</v>
      </c>
      <c r="BI23" s="29">
        <v>3.1129697636926551E-2</v>
      </c>
      <c r="BJ23" s="10"/>
      <c r="BK23" s="42">
        <v>337</v>
      </c>
      <c r="BL23" s="43">
        <v>4.0239458455902923</v>
      </c>
      <c r="BM23" s="67">
        <v>5.7489679154374251E-2</v>
      </c>
      <c r="BN23" s="10">
        <f t="shared" si="17"/>
        <v>-0.14468619974188537</v>
      </c>
      <c r="BO23" s="10" t="str">
        <f t="shared" si="18"/>
        <v xml:space="preserve"> </v>
      </c>
      <c r="BP23" s="10"/>
      <c r="BQ23" s="42">
        <v>345.43929500999923</v>
      </c>
      <c r="BR23" s="43">
        <v>3.2148383138862391</v>
      </c>
      <c r="BS23" s="67">
        <v>3.7541812129966781E-2</v>
      </c>
      <c r="BT23" s="10">
        <f t="shared" si="19"/>
        <v>16.396549252912106</v>
      </c>
      <c r="BU23" s="10" t="str">
        <f t="shared" si="20"/>
        <v>*</v>
      </c>
      <c r="BV23" s="10"/>
      <c r="BW23" s="53">
        <v>355</v>
      </c>
      <c r="BX23" s="55">
        <v>3.3515587681667474</v>
      </c>
      <c r="BY23" s="56">
        <v>3.020601339957632E-2</v>
      </c>
      <c r="BZ23" s="10">
        <f t="shared" si="21"/>
        <v>15.283354630020767</v>
      </c>
      <c r="CA23" s="10" t="str">
        <f t="shared" si="22"/>
        <v>*</v>
      </c>
      <c r="CB23" s="10"/>
      <c r="CC23" s="54">
        <v>405</v>
      </c>
      <c r="CD23" s="57">
        <v>3.5832935585167043</v>
      </c>
      <c r="CE23" s="58">
        <v>5.095255261110343E-2</v>
      </c>
      <c r="CF23" s="10">
        <f t="shared" si="23"/>
        <v>7.221520781987639</v>
      </c>
      <c r="CG23" s="10" t="str">
        <f t="shared" si="24"/>
        <v>*</v>
      </c>
      <c r="CH23" s="76"/>
      <c r="CI23" s="27">
        <v>687</v>
      </c>
      <c r="CJ23" s="28">
        <v>4.2212408475017407</v>
      </c>
      <c r="CK23" s="29">
        <v>3.5402482023190227E-2</v>
      </c>
      <c r="CL23" s="67"/>
      <c r="CM23" s="42">
        <v>215</v>
      </c>
      <c r="CN23" s="43">
        <v>4.2890006614417118</v>
      </c>
      <c r="CO23" s="67">
        <v>6.0658350241899778E-2</v>
      </c>
      <c r="CP23" s="10">
        <f t="shared" si="25"/>
        <v>-0.96477650685425564</v>
      </c>
      <c r="CQ23" s="10" t="str">
        <f t="shared" si="26"/>
        <v xml:space="preserve"> </v>
      </c>
      <c r="CR23" s="10"/>
      <c r="CS23" s="42">
        <v>227.55185567999945</v>
      </c>
      <c r="CT23" s="43">
        <v>4.2332608568775774</v>
      </c>
      <c r="CU23" s="67">
        <v>6.1930161529215225E-2</v>
      </c>
      <c r="CV23" s="10">
        <f t="shared" si="27"/>
        <v>-0.16850089363272469</v>
      </c>
      <c r="CW23" s="10" t="str">
        <f t="shared" si="28"/>
        <v xml:space="preserve"> </v>
      </c>
      <c r="CX23" s="10"/>
      <c r="CY23" s="53">
        <v>208</v>
      </c>
      <c r="CZ23" s="55">
        <v>4.3838574691368626</v>
      </c>
      <c r="DA23" s="56">
        <v>5.4066856426429048E-2</v>
      </c>
      <c r="DB23" s="10">
        <f t="shared" si="29"/>
        <v>-2.5162601264942794</v>
      </c>
      <c r="DC23" s="10" t="str">
        <f t="shared" si="0"/>
        <v>*</v>
      </c>
      <c r="DD23" s="10"/>
      <c r="DE23" s="54">
        <v>268</v>
      </c>
      <c r="DF23" s="57">
        <v>4.0074011410009094</v>
      </c>
      <c r="DG23" s="58">
        <v>5.8301817867631014E-2</v>
      </c>
      <c r="DH23" s="10">
        <f t="shared" si="30"/>
        <v>3.1350759504680474</v>
      </c>
      <c r="DI23" s="10" t="str">
        <f t="shared" si="31"/>
        <v>*</v>
      </c>
      <c r="DJ23" s="76"/>
      <c r="DK23" s="27">
        <v>205</v>
      </c>
      <c r="DL23" s="28">
        <v>3.8793793140159569</v>
      </c>
      <c r="DM23" s="29">
        <v>7.356944191141547E-2</v>
      </c>
      <c r="DN23" s="10"/>
      <c r="DO23" s="42">
        <v>78</v>
      </c>
      <c r="DP23" s="43">
        <v>3.704818360841247</v>
      </c>
      <c r="DQ23" s="67">
        <v>0.11992257123061843</v>
      </c>
      <c r="DR23" s="10">
        <f t="shared" si="32"/>
        <v>1.2407422573180007</v>
      </c>
      <c r="DS23" s="10" t="str">
        <f t="shared" si="33"/>
        <v xml:space="preserve"> </v>
      </c>
      <c r="DT23" s="10"/>
      <c r="DU23" s="42">
        <v>92.871854640000038</v>
      </c>
      <c r="DV23" s="43">
        <v>3.6523536818000171</v>
      </c>
      <c r="DW23" s="67">
        <v>0.10103553817743217</v>
      </c>
      <c r="DX23" s="10">
        <f t="shared" si="34"/>
        <v>1.816458347344627</v>
      </c>
      <c r="DY23" s="10" t="str">
        <f t="shared" si="35"/>
        <v xml:space="preserve"> </v>
      </c>
      <c r="DZ23" s="10"/>
      <c r="EA23" s="53">
        <v>83</v>
      </c>
      <c r="EB23" s="55">
        <v>3.6632665778656643</v>
      </c>
      <c r="EC23" s="56">
        <v>0.10606986979414013</v>
      </c>
      <c r="ED23" s="10">
        <f t="shared" si="36"/>
        <v>1.6741721574804858</v>
      </c>
      <c r="EE23" s="10" t="str">
        <f t="shared" si="37"/>
        <v xml:space="preserve"> </v>
      </c>
      <c r="EF23" s="10"/>
      <c r="EG23" s="54">
        <v>57</v>
      </c>
      <c r="EH23" s="57">
        <v>3.8596491228070171</v>
      </c>
      <c r="EI23" s="58">
        <v>0.11326979380274732</v>
      </c>
      <c r="EJ23" s="10">
        <f t="shared" si="38"/>
        <v>0.14607941125395391</v>
      </c>
      <c r="EK23" s="10" t="str">
        <f t="shared" si="39"/>
        <v xml:space="preserve"> </v>
      </c>
      <c r="EL23" s="76"/>
      <c r="EM23" s="27">
        <v>433</v>
      </c>
      <c r="EN23" s="28">
        <v>4.234021712800053</v>
      </c>
      <c r="EO23" s="29">
        <v>4.5824882909684977E-2</v>
      </c>
      <c r="EP23" s="10"/>
      <c r="EQ23" s="42">
        <v>147</v>
      </c>
      <c r="ER23" s="43">
        <v>4.271312852805111</v>
      </c>
      <c r="ES23" s="67">
        <v>7.1328627338943698E-2</v>
      </c>
      <c r="ET23" s="10">
        <f t="shared" si="40"/>
        <v>-0.43985638572148933</v>
      </c>
      <c r="EU23" s="10" t="str">
        <f t="shared" si="41"/>
        <v xml:space="preserve"> </v>
      </c>
      <c r="EV23" s="10"/>
      <c r="EW23" s="42">
        <v>159.72050828999988</v>
      </c>
      <c r="EX23" s="43">
        <v>3.3942669896570976</v>
      </c>
      <c r="EY23" s="67">
        <v>8.2507538107643524E-2</v>
      </c>
      <c r="EZ23" s="10">
        <f t="shared" si="42"/>
        <v>8.8976771323494148</v>
      </c>
      <c r="FA23" s="10" t="str">
        <f t="shared" si="43"/>
        <v>*</v>
      </c>
      <c r="FB23" s="10"/>
      <c r="FC23" s="53">
        <v>148</v>
      </c>
      <c r="FD23" s="55">
        <v>3.9998457403685208</v>
      </c>
      <c r="FE23" s="56">
        <v>7.828924839144813E-2</v>
      </c>
      <c r="FF23" s="10">
        <f t="shared" si="44"/>
        <v>2.5814604054157884</v>
      </c>
      <c r="FG23" s="10" t="str">
        <f t="shared" si="45"/>
        <v>*</v>
      </c>
      <c r="FH23" s="10"/>
      <c r="FI23" s="54">
        <v>194</v>
      </c>
      <c r="FJ23" s="57">
        <v>3.2233920001324003</v>
      </c>
      <c r="FK23" s="58">
        <v>7.6430114950950437E-2</v>
      </c>
      <c r="FL23" s="10">
        <f t="shared" si="46"/>
        <v>11.340736883608718</v>
      </c>
      <c r="FM23" s="10" t="str">
        <f t="shared" si="99"/>
        <v>*</v>
      </c>
      <c r="FN23" s="76"/>
      <c r="FO23" s="27">
        <v>195</v>
      </c>
      <c r="FP23" s="28">
        <v>3.9146220483170584</v>
      </c>
      <c r="FQ23" s="29">
        <v>7.0155664033889967E-2</v>
      </c>
      <c r="FR23" s="67"/>
      <c r="FS23" s="42">
        <v>149</v>
      </c>
      <c r="FT23" s="43">
        <v>3.9886186794780443</v>
      </c>
      <c r="FU23" s="67">
        <v>8.8939874399619367E-2</v>
      </c>
      <c r="FV23" s="10">
        <f t="shared" si="47"/>
        <v>-0.6532249557148273</v>
      </c>
      <c r="FW23" s="10" t="str">
        <f t="shared" si="48"/>
        <v xml:space="preserve"> </v>
      </c>
      <c r="FX23" s="67"/>
      <c r="FY23" s="42">
        <v>182.87727671000027</v>
      </c>
      <c r="FZ23" s="43">
        <v>4.0083746307225967</v>
      </c>
      <c r="GA23" s="67">
        <v>7.5305808031378207E-2</v>
      </c>
      <c r="GB23" s="10">
        <f t="shared" si="49"/>
        <v>-0.91091577582487648</v>
      </c>
      <c r="GC23" s="10" t="str">
        <f t="shared" si="50"/>
        <v xml:space="preserve"> </v>
      </c>
      <c r="GD23" s="10"/>
      <c r="GE23" s="53">
        <v>196</v>
      </c>
      <c r="GF23" s="55">
        <v>3.8454426395641028</v>
      </c>
      <c r="GG23" s="56">
        <v>8.0134860627045834E-2</v>
      </c>
      <c r="GH23" s="10">
        <f t="shared" si="51"/>
        <v>0.6495386107668778</v>
      </c>
      <c r="GI23" s="10" t="str">
        <f t="shared" si="52"/>
        <v xml:space="preserve"> </v>
      </c>
      <c r="GJ23" s="10"/>
      <c r="GK23" s="54">
        <v>176</v>
      </c>
      <c r="GL23" s="57">
        <v>3.9677419357373696</v>
      </c>
      <c r="GM23" s="58">
        <v>8.0057748051793109E-2</v>
      </c>
      <c r="GN23" s="10">
        <f t="shared" si="53"/>
        <v>-0.4990245045415766</v>
      </c>
      <c r="GO23" s="10" t="str">
        <f t="shared" si="100"/>
        <v xml:space="preserve"> </v>
      </c>
      <c r="GP23" s="76"/>
      <c r="GQ23" s="27">
        <v>205</v>
      </c>
      <c r="GR23" s="28">
        <v>3.8434904822465734</v>
      </c>
      <c r="GS23" s="29">
        <v>7.8216688126933165E-2</v>
      </c>
      <c r="GT23" s="10"/>
      <c r="GU23" s="42">
        <v>125</v>
      </c>
      <c r="GV23" s="43">
        <v>4.0830237013339827</v>
      </c>
      <c r="GW23" s="67">
        <v>8.9373864045775908E-2</v>
      </c>
      <c r="GX23" s="10">
        <f t="shared" si="54"/>
        <v>-2.0168375813138728</v>
      </c>
      <c r="GY23" s="10" t="str">
        <f t="shared" si="55"/>
        <v>*</v>
      </c>
      <c r="GZ23" s="10"/>
      <c r="HA23" s="42">
        <v>119.7031914199999</v>
      </c>
      <c r="HB23" s="43">
        <v>3.9198572470274406</v>
      </c>
      <c r="HC23" s="67">
        <v>9.9094850923309788E-2</v>
      </c>
      <c r="HD23" s="10">
        <f t="shared" si="56"/>
        <v>-0.60491226339407889</v>
      </c>
      <c r="HE23" s="10" t="str">
        <f t="shared" si="57"/>
        <v xml:space="preserve"> </v>
      </c>
      <c r="HF23" s="10"/>
      <c r="HG23" s="53">
        <v>85</v>
      </c>
      <c r="HH23" s="55">
        <v>3.9843339432690454</v>
      </c>
      <c r="HI23" s="56">
        <v>0.10019024698772007</v>
      </c>
      <c r="HJ23" s="10">
        <f t="shared" si="58"/>
        <v>-1.1080787544149193</v>
      </c>
      <c r="HK23" s="10" t="str">
        <f t="shared" si="59"/>
        <v xml:space="preserve"> </v>
      </c>
      <c r="HL23" s="10"/>
      <c r="HM23" s="54">
        <v>144</v>
      </c>
      <c r="HN23" s="57">
        <v>4.0057245088619737</v>
      </c>
      <c r="HO23" s="58">
        <v>8.9724124785431555E-2</v>
      </c>
      <c r="HP23" s="10">
        <f t="shared" si="60"/>
        <v>-1.3629613874819932</v>
      </c>
      <c r="HQ23" s="10" t="str">
        <f t="shared" si="101"/>
        <v xml:space="preserve"> </v>
      </c>
      <c r="HR23" s="76"/>
      <c r="HS23" s="27">
        <v>537</v>
      </c>
      <c r="HT23" s="28">
        <v>4.0039871986064854</v>
      </c>
      <c r="HU23" s="29">
        <v>4.4524743599725518E-2</v>
      </c>
      <c r="HV23" s="10"/>
      <c r="HW23" s="42">
        <v>378</v>
      </c>
      <c r="HX23" s="43">
        <v>4.0806225592221965</v>
      </c>
      <c r="HY23" s="67">
        <v>4.803896678065904E-2</v>
      </c>
      <c r="HZ23" s="10">
        <f t="shared" si="61"/>
        <v>-1.1700129886214128</v>
      </c>
      <c r="IA23" s="10" t="str">
        <f t="shared" si="62"/>
        <v xml:space="preserve"> </v>
      </c>
      <c r="IB23" s="10"/>
      <c r="IC23" s="42">
        <v>393.85721477000044</v>
      </c>
      <c r="ID23" s="43">
        <v>4.0631671511324914</v>
      </c>
      <c r="IE23" s="67">
        <v>4.9174409151032002E-2</v>
      </c>
      <c r="IF23" s="10">
        <f t="shared" si="63"/>
        <v>-0.8921130321166475</v>
      </c>
      <c r="IG23" s="10" t="str">
        <f t="shared" si="64"/>
        <v xml:space="preserve"> </v>
      </c>
      <c r="IH23" s="10"/>
      <c r="II23" s="53">
        <v>385</v>
      </c>
      <c r="IJ23" s="55">
        <v>4.1149022639067292</v>
      </c>
      <c r="IK23" s="56">
        <v>4.8696549060071315E-2</v>
      </c>
      <c r="IL23" s="10">
        <f t="shared" si="65"/>
        <v>-1.6809545397208576</v>
      </c>
      <c r="IM23" s="10" t="str">
        <f t="shared" si="66"/>
        <v xml:space="preserve"> </v>
      </c>
      <c r="IN23" s="10"/>
      <c r="IO23" s="54">
        <v>425</v>
      </c>
      <c r="IP23" s="57">
        <v>4.1466570810152881</v>
      </c>
      <c r="IQ23" s="58">
        <v>4.5306585331546592E-2</v>
      </c>
      <c r="IR23" s="10">
        <f t="shared" si="67"/>
        <v>-2.2459652285490881</v>
      </c>
      <c r="IS23" s="10" t="str">
        <f t="shared" si="68"/>
        <v>*</v>
      </c>
      <c r="IT23" s="76"/>
      <c r="IU23" s="27">
        <v>46</v>
      </c>
      <c r="IV23" s="28">
        <v>4.1956521739130421</v>
      </c>
      <c r="IW23" s="29">
        <v>0.17760403266028635</v>
      </c>
      <c r="IX23" s="10"/>
      <c r="IY23" s="42">
        <v>28</v>
      </c>
      <c r="IZ23" s="43">
        <v>4.5711282411311949</v>
      </c>
      <c r="JA23" s="67">
        <v>0.14016593287802526</v>
      </c>
      <c r="JB23" s="10" t="str">
        <f t="shared" si="69"/>
        <v>NV</v>
      </c>
      <c r="JC23" s="10" t="str">
        <f t="shared" si="70"/>
        <v xml:space="preserve"> </v>
      </c>
      <c r="JD23" s="10"/>
      <c r="JE23" s="42">
        <v>31.683820480000005</v>
      </c>
      <c r="JF23" s="43">
        <v>4.1874999999999991</v>
      </c>
      <c r="JG23" s="67">
        <v>0.18297981113600428</v>
      </c>
      <c r="JH23" s="10">
        <f t="shared" si="71"/>
        <v>3.1969357717982066E-2</v>
      </c>
      <c r="JI23" s="10" t="str">
        <f t="shared" si="72"/>
        <v xml:space="preserve"> </v>
      </c>
      <c r="JJ23" s="10"/>
      <c r="JK23" s="53">
        <v>31</v>
      </c>
      <c r="JL23" s="55">
        <v>4.064516129032258</v>
      </c>
      <c r="JM23" s="56">
        <v>0.22961088201149218</v>
      </c>
      <c r="JN23" s="10">
        <f t="shared" si="73"/>
        <v>0.45175206312479749</v>
      </c>
      <c r="JO23" s="10" t="str">
        <f t="shared" si="74"/>
        <v xml:space="preserve"> </v>
      </c>
      <c r="JP23" s="10"/>
      <c r="JQ23" s="54">
        <v>51</v>
      </c>
      <c r="JR23" s="57">
        <v>4.1960784313725501</v>
      </c>
      <c r="JS23" s="58">
        <v>0.13597205846862212</v>
      </c>
      <c r="JT23" s="10">
        <f t="shared" si="75"/>
        <v>-1.9056793426206757E-3</v>
      </c>
      <c r="JU23" s="10" t="str">
        <f t="shared" si="76"/>
        <v xml:space="preserve"> </v>
      </c>
      <c r="JV23" s="76"/>
      <c r="JW23" s="27">
        <v>465</v>
      </c>
      <c r="JX23" s="28">
        <v>3.8711164682369956</v>
      </c>
      <c r="JY23" s="29">
        <v>5.15833934977677E-2</v>
      </c>
      <c r="JZ23" s="10"/>
      <c r="KA23" s="42">
        <v>295</v>
      </c>
      <c r="KB23" s="43">
        <v>3.7691795418907272</v>
      </c>
      <c r="KC23" s="67">
        <v>6.5367222448868598E-2</v>
      </c>
      <c r="KD23" s="10">
        <f t="shared" si="77"/>
        <v>1.2241887284245021</v>
      </c>
      <c r="KE23" s="10" t="str">
        <f t="shared" si="78"/>
        <v xml:space="preserve"> </v>
      </c>
      <c r="KF23" s="10"/>
      <c r="KG23" s="42">
        <v>339.94209432000048</v>
      </c>
      <c r="KH23" s="43">
        <v>3.8922333596159051</v>
      </c>
      <c r="KI23" s="67">
        <v>5.8469126301125211E-2</v>
      </c>
      <c r="KJ23" s="10">
        <f t="shared" si="79"/>
        <v>-0.2708298833568365</v>
      </c>
      <c r="KK23" s="10" t="str">
        <f t="shared" si="80"/>
        <v xml:space="preserve"> </v>
      </c>
      <c r="KL23" s="10"/>
      <c r="KM23" s="53">
        <v>631</v>
      </c>
      <c r="KN23" s="55">
        <v>3.7813002663851147</v>
      </c>
      <c r="KO23" s="56">
        <v>4.577120011921515E-2</v>
      </c>
      <c r="KP23" s="10">
        <f t="shared" si="81"/>
        <v>1.3023887792788371</v>
      </c>
      <c r="KQ23" s="10" t="str">
        <f t="shared" si="82"/>
        <v xml:space="preserve"> </v>
      </c>
      <c r="KR23" s="10"/>
      <c r="KS23" s="54">
        <v>633</v>
      </c>
      <c r="KT23" s="57">
        <v>3.6730221881581295</v>
      </c>
      <c r="KU23" s="58">
        <v>4.6181790310432673E-2</v>
      </c>
      <c r="KV23" s="10">
        <f t="shared" si="83"/>
        <v>2.861151453926611</v>
      </c>
      <c r="KW23" s="10" t="str">
        <f t="shared" si="102"/>
        <v>*</v>
      </c>
      <c r="KX23" s="76"/>
      <c r="KY23" s="27">
        <v>179</v>
      </c>
      <c r="KZ23" s="28">
        <v>4.1340782122905022</v>
      </c>
      <c r="LA23" s="29">
        <v>7.741288389806493E-2</v>
      </c>
      <c r="LB23" s="10"/>
      <c r="LC23" s="42">
        <v>179</v>
      </c>
      <c r="LD23" s="43">
        <v>4.0781369863179222</v>
      </c>
      <c r="LE23" s="67">
        <v>7.1031587756945347E-2</v>
      </c>
      <c r="LF23" s="10">
        <f t="shared" si="84"/>
        <v>0.53245393737755409</v>
      </c>
      <c r="LG23" s="10" t="str">
        <f t="shared" si="85"/>
        <v xml:space="preserve"> </v>
      </c>
      <c r="LH23" s="10"/>
      <c r="LI23" s="42">
        <v>193.5501278399995</v>
      </c>
      <c r="LJ23" s="43">
        <v>4.2173176615247243</v>
      </c>
      <c r="LK23" s="67">
        <v>6.2969716355823463E-2</v>
      </c>
      <c r="LL23" s="10">
        <f t="shared" si="86"/>
        <v>-0.83415056899568751</v>
      </c>
      <c r="LM23" s="10" t="str">
        <f t="shared" si="87"/>
        <v xml:space="preserve"> </v>
      </c>
      <c r="LN23" s="10"/>
      <c r="LO23" s="53">
        <v>472</v>
      </c>
      <c r="LP23" s="55">
        <v>3.9364406779661016</v>
      </c>
      <c r="LQ23" s="56">
        <v>4.5823089253802352E-2</v>
      </c>
      <c r="LR23" s="10">
        <f t="shared" si="88"/>
        <v>2.196988592850504</v>
      </c>
      <c r="LS23" s="10" t="str">
        <f t="shared" si="89"/>
        <v>*</v>
      </c>
      <c r="LT23" s="10"/>
      <c r="LU23" s="54">
        <v>455</v>
      </c>
      <c r="LV23" s="57">
        <v>3.9415015155493704</v>
      </c>
      <c r="LW23" s="58">
        <v>5.1434514449189096E-2</v>
      </c>
      <c r="LX23" s="10">
        <f t="shared" si="90"/>
        <v>2.0720035727325996</v>
      </c>
      <c r="LY23" s="10" t="str">
        <f t="shared" si="91"/>
        <v>*</v>
      </c>
      <c r="LZ23" s="76"/>
      <c r="MA23" s="27">
        <v>196</v>
      </c>
      <c r="MB23" s="28">
        <v>4.1022250312401107</v>
      </c>
      <c r="MC23" s="29">
        <v>6.628641688989155E-2</v>
      </c>
      <c r="MD23" s="10"/>
      <c r="ME23" s="42">
        <v>132</v>
      </c>
      <c r="MF23" s="43">
        <v>4.1214466437941857</v>
      </c>
      <c r="MG23" s="67">
        <v>8.5418689318520813E-2</v>
      </c>
      <c r="MH23" s="10">
        <f t="shared" si="92"/>
        <v>-0.1777780247727605</v>
      </c>
      <c r="MI23" s="10" t="str">
        <f t="shared" si="93"/>
        <v xml:space="preserve"> </v>
      </c>
      <c r="MJ23" s="10"/>
      <c r="MK23" s="42">
        <v>112.16496312000004</v>
      </c>
      <c r="ML23" s="43">
        <v>4.1751299008495568</v>
      </c>
      <c r="MM23" s="67">
        <v>7.7341035384448767E-2</v>
      </c>
      <c r="MN23" s="10">
        <f t="shared" si="94"/>
        <v>-0.71573375688684227</v>
      </c>
      <c r="MO23" s="10" t="str">
        <f t="shared" si="95"/>
        <v xml:space="preserve"> </v>
      </c>
      <c r="MP23" s="10"/>
      <c r="MQ23" s="53">
        <v>200</v>
      </c>
      <c r="MR23" s="55">
        <v>4.1256908929892884</v>
      </c>
      <c r="MS23" s="56">
        <v>6.4774817976192861E-2</v>
      </c>
      <c r="MT23" s="10">
        <f t="shared" si="96"/>
        <v>-0.25319105965936062</v>
      </c>
      <c r="MU23" s="10" t="str">
        <f t="shared" si="97"/>
        <v xml:space="preserve"> </v>
      </c>
      <c r="MV23" s="10"/>
      <c r="MW23" s="54">
        <v>211</v>
      </c>
      <c r="MX23" s="57">
        <v>4.1514130995302985</v>
      </c>
      <c r="MY23" s="58">
        <v>6.7920018157485537E-2</v>
      </c>
      <c r="MZ23" s="10">
        <f t="shared" si="98"/>
        <v>-0.51828573252953825</v>
      </c>
      <c r="NA23" s="10" t="str">
        <f t="shared" si="103"/>
        <v xml:space="preserve"> </v>
      </c>
      <c r="NB23" s="58"/>
    </row>
    <row r="24" spans="1:366" x14ac:dyDescent="0.2">
      <c r="B24" s="65" t="s">
        <v>26</v>
      </c>
      <c r="C24" s="27">
        <v>422</v>
      </c>
      <c r="D24" s="28">
        <v>3.9432792876719227</v>
      </c>
      <c r="E24" s="29">
        <v>5.0867902654116677E-2</v>
      </c>
      <c r="F24" s="10"/>
      <c r="G24" s="42">
        <v>128</v>
      </c>
      <c r="H24" s="43">
        <v>3.9921891375653851</v>
      </c>
      <c r="I24" s="67">
        <v>9.2045415938084171E-2</v>
      </c>
      <c r="J24" s="10">
        <f t="shared" si="1"/>
        <v>-0.46507253009651045</v>
      </c>
      <c r="K24" s="10" t="str">
        <f t="shared" si="2"/>
        <v xml:space="preserve"> </v>
      </c>
      <c r="L24" s="10"/>
      <c r="M24" s="42">
        <v>128.92765212000009</v>
      </c>
      <c r="N24" s="43">
        <v>3.008064516129032</v>
      </c>
      <c r="O24" s="67">
        <v>0.11423091498867988</v>
      </c>
      <c r="P24" s="10">
        <f t="shared" si="3"/>
        <v>7.4790272932469026</v>
      </c>
      <c r="Q24" s="10" t="str">
        <f t="shared" si="4"/>
        <v>*</v>
      </c>
      <c r="R24" s="10"/>
      <c r="S24" s="53">
        <v>135</v>
      </c>
      <c r="T24" s="55">
        <v>3.8222222222222211</v>
      </c>
      <c r="U24" s="56">
        <v>9.3691351468889156E-2</v>
      </c>
      <c r="V24" s="10">
        <f t="shared" si="5"/>
        <v>1.1355171883092556</v>
      </c>
      <c r="W24" s="10" t="str">
        <f t="shared" si="6"/>
        <v xml:space="preserve"> </v>
      </c>
      <c r="X24" s="10"/>
      <c r="Y24" s="54">
        <v>211</v>
      </c>
      <c r="Z24" s="57">
        <v>3.4502369668246455</v>
      </c>
      <c r="AA24" s="58">
        <v>7.1687556750363493E-2</v>
      </c>
      <c r="AB24" s="10">
        <f t="shared" si="7"/>
        <v>5.6090407898026848</v>
      </c>
      <c r="AC24" s="10" t="str">
        <f t="shared" si="8"/>
        <v>*</v>
      </c>
      <c r="AD24" s="76"/>
      <c r="AE24" s="27">
        <v>105</v>
      </c>
      <c r="AF24" s="28">
        <v>4.0292092880081984</v>
      </c>
      <c r="AG24" s="29">
        <v>0.10087975173772007</v>
      </c>
      <c r="AH24" s="67"/>
      <c r="AI24" s="42">
        <v>58</v>
      </c>
      <c r="AJ24" s="43">
        <v>3.7409736431515546</v>
      </c>
      <c r="AK24" s="67">
        <v>0.16177304755203323</v>
      </c>
      <c r="AL24" s="10">
        <f t="shared" si="9"/>
        <v>1.5118612939225895</v>
      </c>
      <c r="AM24" s="10" t="str">
        <f t="shared" si="10"/>
        <v xml:space="preserve"> </v>
      </c>
      <c r="AN24" s="67"/>
      <c r="AO24" s="42">
        <v>98.740694430000005</v>
      </c>
      <c r="AP24" s="43">
        <v>2.9806488885759812</v>
      </c>
      <c r="AQ24" s="67">
        <v>0.11770752532565586</v>
      </c>
      <c r="AR24" s="10">
        <f t="shared" si="11"/>
        <v>6.763950635847876</v>
      </c>
      <c r="AS24" s="10" t="str">
        <f t="shared" si="12"/>
        <v>*</v>
      </c>
      <c r="AT24" s="10"/>
      <c r="AU24" s="53">
        <v>132</v>
      </c>
      <c r="AV24" s="55">
        <v>3.1484852407857065</v>
      </c>
      <c r="AW24" s="56">
        <v>0.11561096902746427</v>
      </c>
      <c r="AX24" s="10">
        <f t="shared" si="13"/>
        <v>5.7400074190928505</v>
      </c>
      <c r="AY24" s="10" t="str">
        <f t="shared" si="14"/>
        <v>*</v>
      </c>
      <c r="AZ24" s="10"/>
      <c r="BA24" s="54">
        <v>86</v>
      </c>
      <c r="BB24" s="57">
        <v>2.7553876067238572</v>
      </c>
      <c r="BC24" s="58">
        <v>0.11203805187627043</v>
      </c>
      <c r="BD24" s="10">
        <f t="shared" si="15"/>
        <v>8.4492097160984958</v>
      </c>
      <c r="BE24" s="10" t="str">
        <f t="shared" si="16"/>
        <v>*</v>
      </c>
      <c r="BF24" s="76"/>
      <c r="BG24" s="27">
        <v>1147</v>
      </c>
      <c r="BH24" s="28">
        <v>3.3825952840033424</v>
      </c>
      <c r="BI24" s="29">
        <v>3.7344456851837585E-2</v>
      </c>
      <c r="BJ24" s="10"/>
      <c r="BK24" s="42">
        <v>353</v>
      </c>
      <c r="BL24" s="43">
        <v>3.4749346075966181</v>
      </c>
      <c r="BM24" s="67">
        <v>6.489235958115798E-2</v>
      </c>
      <c r="BN24" s="10">
        <f t="shared" si="17"/>
        <v>-1.2333166622764777</v>
      </c>
      <c r="BO24" s="10" t="str">
        <f t="shared" si="18"/>
        <v xml:space="preserve"> </v>
      </c>
      <c r="BP24" s="10"/>
      <c r="BQ24" s="42">
        <v>347.35003718999923</v>
      </c>
      <c r="BR24" s="43">
        <v>2.1761216814165376</v>
      </c>
      <c r="BS24" s="67">
        <v>5.1980225692809766E-2</v>
      </c>
      <c r="BT24" s="10">
        <f t="shared" si="19"/>
        <v>18.849879187601417</v>
      </c>
      <c r="BU24" s="10" t="str">
        <f t="shared" si="20"/>
        <v>*</v>
      </c>
      <c r="BV24" s="10"/>
      <c r="BW24" s="53">
        <v>357</v>
      </c>
      <c r="BX24" s="55">
        <v>2.1402829401245147</v>
      </c>
      <c r="BY24" s="56">
        <v>3.8471469388647483E-2</v>
      </c>
      <c r="BZ24" s="10">
        <f t="shared" si="21"/>
        <v>23.170605078394189</v>
      </c>
      <c r="CA24" s="10" t="str">
        <f t="shared" si="22"/>
        <v>*</v>
      </c>
      <c r="CB24" s="10"/>
      <c r="CC24" s="54">
        <v>409</v>
      </c>
      <c r="CD24" s="57">
        <v>2.8928300398556193</v>
      </c>
      <c r="CE24" s="58">
        <v>5.9309012024088698E-2</v>
      </c>
      <c r="CF24" s="10">
        <f t="shared" si="23"/>
        <v>6.9879756783714253</v>
      </c>
      <c r="CG24" s="10" t="str">
        <f t="shared" si="24"/>
        <v>*</v>
      </c>
      <c r="CH24" s="76"/>
      <c r="CI24" s="27">
        <v>697</v>
      </c>
      <c r="CJ24" s="28">
        <v>3.9031819041599816</v>
      </c>
      <c r="CK24" s="29">
        <v>4.0034913841692138E-2</v>
      </c>
      <c r="CL24" s="67"/>
      <c r="CM24" s="42">
        <v>220</v>
      </c>
      <c r="CN24" s="43">
        <v>3.7322269053560113</v>
      </c>
      <c r="CO24" s="67">
        <v>7.8658731978173677E-2</v>
      </c>
      <c r="CP24" s="10">
        <f t="shared" si="25"/>
        <v>1.9369273959277504</v>
      </c>
      <c r="CQ24" s="10" t="str">
        <f t="shared" si="26"/>
        <v xml:space="preserve"> </v>
      </c>
      <c r="CR24" s="10"/>
      <c r="CS24" s="42">
        <v>236.48766764999939</v>
      </c>
      <c r="CT24" s="43">
        <v>3.7250398710167172</v>
      </c>
      <c r="CU24" s="67">
        <v>8.242263081955932E-2</v>
      </c>
      <c r="CV24" s="10">
        <f t="shared" si="27"/>
        <v>1.9441189538968182</v>
      </c>
      <c r="CW24" s="10" t="str">
        <f t="shared" si="28"/>
        <v xml:space="preserve"> </v>
      </c>
      <c r="CX24" s="10"/>
      <c r="CY24" s="53">
        <v>211</v>
      </c>
      <c r="CZ24" s="55">
        <v>3.9318540263039257</v>
      </c>
      <c r="DA24" s="56">
        <v>7.1849954016016557E-2</v>
      </c>
      <c r="DB24" s="10">
        <f t="shared" si="29"/>
        <v>-0.3485934238812799</v>
      </c>
      <c r="DC24" s="10" t="str">
        <f t="shared" si="0"/>
        <v xml:space="preserve"> </v>
      </c>
      <c r="DD24" s="10"/>
      <c r="DE24" s="54">
        <v>270</v>
      </c>
      <c r="DF24" s="57">
        <v>3.4436804419021771</v>
      </c>
      <c r="DG24" s="58">
        <v>7.7416523710517618E-2</v>
      </c>
      <c r="DH24" s="10">
        <f t="shared" si="30"/>
        <v>5.2721918396478866</v>
      </c>
      <c r="DI24" s="10" t="str">
        <f t="shared" si="31"/>
        <v>*</v>
      </c>
      <c r="DJ24" s="76"/>
      <c r="DK24" s="27">
        <v>208</v>
      </c>
      <c r="DL24" s="28">
        <v>4.0501947862703931</v>
      </c>
      <c r="DM24" s="29">
        <v>6.2304227189651021E-2</v>
      </c>
      <c r="DN24" s="10"/>
      <c r="DO24" s="42">
        <v>79</v>
      </c>
      <c r="DP24" s="43">
        <v>3.7845594781151939</v>
      </c>
      <c r="DQ24" s="67">
        <v>0.10773199331877585</v>
      </c>
      <c r="DR24" s="10">
        <f t="shared" si="32"/>
        <v>2.1344606035804778</v>
      </c>
      <c r="DS24" s="10" t="str">
        <f t="shared" si="33"/>
        <v>*</v>
      </c>
      <c r="DT24" s="10"/>
      <c r="DU24" s="42">
        <v>93.911593770000039</v>
      </c>
      <c r="DV24" s="43">
        <v>3.392600675378783</v>
      </c>
      <c r="DW24" s="67">
        <v>0.12374636305509498</v>
      </c>
      <c r="DX24" s="10">
        <f t="shared" si="34"/>
        <v>4.7463973567630013</v>
      </c>
      <c r="DY24" s="10" t="str">
        <f t="shared" si="35"/>
        <v>*</v>
      </c>
      <c r="DZ24" s="10"/>
      <c r="EA24" s="53">
        <v>88</v>
      </c>
      <c r="EB24" s="55">
        <v>3.6642038576634022</v>
      </c>
      <c r="EC24" s="56">
        <v>0.11666663649246894</v>
      </c>
      <c r="ED24" s="10">
        <f t="shared" si="36"/>
        <v>2.9184075038139814</v>
      </c>
      <c r="EE24" s="10" t="str">
        <f t="shared" si="37"/>
        <v>*</v>
      </c>
      <c r="EF24" s="10"/>
      <c r="EG24" s="54">
        <v>61</v>
      </c>
      <c r="EH24" s="57">
        <v>3.9344262295081962</v>
      </c>
      <c r="EI24" s="58">
        <v>0.11535351866841928</v>
      </c>
      <c r="EJ24" s="10">
        <f t="shared" si="38"/>
        <v>0.88302861164489521</v>
      </c>
      <c r="EK24" s="10" t="str">
        <f t="shared" si="39"/>
        <v xml:space="preserve"> </v>
      </c>
      <c r="EL24" s="76"/>
      <c r="EM24" s="27">
        <v>459</v>
      </c>
      <c r="EN24" s="28">
        <v>3.8688013419545726</v>
      </c>
      <c r="EO24" s="29">
        <v>5.1427526705495656E-2</v>
      </c>
      <c r="EP24" s="10"/>
      <c r="EQ24" s="42">
        <v>151</v>
      </c>
      <c r="ER24" s="43">
        <v>3.905561846779785</v>
      </c>
      <c r="ES24" s="67">
        <v>8.8878540022153271E-2</v>
      </c>
      <c r="ET24" s="10">
        <f t="shared" si="40"/>
        <v>-0.35799334266738025</v>
      </c>
      <c r="EU24" s="10" t="str">
        <f t="shared" si="41"/>
        <v xml:space="preserve"> </v>
      </c>
      <c r="EV24" s="10"/>
      <c r="EW24" s="42">
        <v>164.75046785999987</v>
      </c>
      <c r="EX24" s="43">
        <v>2.7114255659024873</v>
      </c>
      <c r="EY24" s="67">
        <v>0.10240356431730049</v>
      </c>
      <c r="EZ24" s="10">
        <f t="shared" si="42"/>
        <v>10.099987801843668</v>
      </c>
      <c r="FA24" s="10" t="str">
        <f t="shared" si="43"/>
        <v>*</v>
      </c>
      <c r="FB24" s="10"/>
      <c r="FC24" s="53">
        <v>157</v>
      </c>
      <c r="FD24" s="55">
        <v>3.4776483353604339</v>
      </c>
      <c r="FE24" s="56">
        <v>9.6900478973268922E-2</v>
      </c>
      <c r="FF24" s="10">
        <f t="shared" si="44"/>
        <v>3.5656012025402655</v>
      </c>
      <c r="FG24" s="10" t="str">
        <f t="shared" si="45"/>
        <v>*</v>
      </c>
      <c r="FH24" s="10"/>
      <c r="FI24" s="54">
        <v>197</v>
      </c>
      <c r="FJ24" s="57">
        <v>2.9773197407234835</v>
      </c>
      <c r="FK24" s="58">
        <v>7.197313586990868E-2</v>
      </c>
      <c r="FL24" s="10">
        <f t="shared" si="46"/>
        <v>10.07795358797253</v>
      </c>
      <c r="FM24" s="10" t="str">
        <f t="shared" si="99"/>
        <v>*</v>
      </c>
      <c r="FN24" s="76"/>
      <c r="FO24" s="27">
        <v>217</v>
      </c>
      <c r="FP24" s="28">
        <v>3.9275792713375819</v>
      </c>
      <c r="FQ24" s="29">
        <v>6.8700783874466362E-2</v>
      </c>
      <c r="FR24" s="67"/>
      <c r="FS24" s="42">
        <v>163</v>
      </c>
      <c r="FT24" s="43">
        <v>3.9023384640579351</v>
      </c>
      <c r="FU24" s="67">
        <v>8.3310772749272496E-2</v>
      </c>
      <c r="FV24" s="10">
        <f t="shared" si="47"/>
        <v>0.2337464258908683</v>
      </c>
      <c r="FW24" s="10" t="str">
        <f t="shared" si="48"/>
        <v xml:space="preserve"> </v>
      </c>
      <c r="FX24" s="67"/>
      <c r="FY24" s="42">
        <v>200.46582469000049</v>
      </c>
      <c r="FZ24" s="43">
        <v>4.0275127147409231</v>
      </c>
      <c r="GA24" s="67">
        <v>7.2763932984425281E-2</v>
      </c>
      <c r="GB24" s="10">
        <f t="shared" si="49"/>
        <v>-0.99861630523446465</v>
      </c>
      <c r="GC24" s="10" t="str">
        <f t="shared" si="50"/>
        <v xml:space="preserve"> </v>
      </c>
      <c r="GD24" s="10"/>
      <c r="GE24" s="53">
        <v>211</v>
      </c>
      <c r="GF24" s="55">
        <v>3.834367793132035</v>
      </c>
      <c r="GG24" s="56">
        <v>7.7556289604915798E-2</v>
      </c>
      <c r="GH24" s="10">
        <f t="shared" si="51"/>
        <v>0.89964859672051012</v>
      </c>
      <c r="GI24" s="10" t="str">
        <f t="shared" si="52"/>
        <v xml:space="preserve"> </v>
      </c>
      <c r="GJ24" s="10"/>
      <c r="GK24" s="54">
        <v>191</v>
      </c>
      <c r="GL24" s="57">
        <v>3.9229352974151888</v>
      </c>
      <c r="GM24" s="58">
        <v>7.2200170165153385E-2</v>
      </c>
      <c r="GN24" s="10">
        <f t="shared" si="53"/>
        <v>4.6596890652421792E-2</v>
      </c>
      <c r="GO24" s="10" t="str">
        <f t="shared" si="100"/>
        <v xml:space="preserve"> </v>
      </c>
      <c r="GP24" s="76"/>
      <c r="GQ24" s="27">
        <v>224</v>
      </c>
      <c r="GR24" s="28">
        <v>4.0898787671758656</v>
      </c>
      <c r="GS24" s="29">
        <v>6.339960208261676E-2</v>
      </c>
      <c r="GT24" s="10"/>
      <c r="GU24" s="42">
        <v>135</v>
      </c>
      <c r="GV24" s="43">
        <v>4.1651685753270966</v>
      </c>
      <c r="GW24" s="67">
        <v>8.3861306872438438E-2</v>
      </c>
      <c r="GX24" s="10">
        <f t="shared" si="54"/>
        <v>-0.71616198813421816</v>
      </c>
      <c r="GY24" s="10" t="str">
        <f t="shared" si="55"/>
        <v xml:space="preserve"> </v>
      </c>
      <c r="GZ24" s="10"/>
      <c r="HA24" s="42">
        <v>123.95796822999989</v>
      </c>
      <c r="HB24" s="43">
        <v>4.0731314133285856</v>
      </c>
      <c r="HC24" s="67">
        <v>8.7865928669412383E-2</v>
      </c>
      <c r="HD24" s="10">
        <f t="shared" si="56"/>
        <v>0.15456580669862818</v>
      </c>
      <c r="HE24" s="10" t="str">
        <f t="shared" si="57"/>
        <v xml:space="preserve"> </v>
      </c>
      <c r="HF24" s="10"/>
      <c r="HG24" s="53">
        <v>90</v>
      </c>
      <c r="HH24" s="55">
        <v>4.0319830964450842</v>
      </c>
      <c r="HI24" s="56">
        <v>9.0548392260527855E-2</v>
      </c>
      <c r="HJ24" s="10">
        <f t="shared" si="58"/>
        <v>0.52376535950077241</v>
      </c>
      <c r="HK24" s="10" t="str">
        <f t="shared" si="59"/>
        <v xml:space="preserve"> </v>
      </c>
      <c r="HL24" s="10"/>
      <c r="HM24" s="54">
        <v>150</v>
      </c>
      <c r="HN24" s="57">
        <v>4.0000000009456578</v>
      </c>
      <c r="HO24" s="58">
        <v>8.6327446934710866E-2</v>
      </c>
      <c r="HP24" s="10">
        <f t="shared" si="60"/>
        <v>0.83914828911765538</v>
      </c>
      <c r="HQ24" s="10" t="str">
        <f t="shared" si="101"/>
        <v xml:space="preserve"> </v>
      </c>
      <c r="HR24" s="76"/>
      <c r="HS24" s="27">
        <v>564</v>
      </c>
      <c r="HT24" s="28">
        <v>3.5174151569618961</v>
      </c>
      <c r="HU24" s="29">
        <v>4.8187351733428946E-2</v>
      </c>
      <c r="HV24" s="10"/>
      <c r="HW24" s="42">
        <v>402</v>
      </c>
      <c r="HX24" s="43">
        <v>3.573071623786622</v>
      </c>
      <c r="HY24" s="67">
        <v>5.8435778295539823E-2</v>
      </c>
      <c r="HZ24" s="10">
        <f t="shared" si="61"/>
        <v>-0.73482217307342934</v>
      </c>
      <c r="IA24" s="10" t="str">
        <f t="shared" si="62"/>
        <v xml:space="preserve"> </v>
      </c>
      <c r="IB24" s="10"/>
      <c r="IC24" s="42">
        <v>407.59740707000037</v>
      </c>
      <c r="ID24" s="43">
        <v>3.5406251902435577</v>
      </c>
      <c r="IE24" s="67">
        <v>5.6863279854404883E-2</v>
      </c>
      <c r="IF24" s="10">
        <f t="shared" si="63"/>
        <v>-0.31139813431225094</v>
      </c>
      <c r="IG24" s="10" t="str">
        <f t="shared" si="64"/>
        <v xml:space="preserve"> </v>
      </c>
      <c r="IH24" s="10"/>
      <c r="II24" s="53">
        <v>397</v>
      </c>
      <c r="IJ24" s="55">
        <v>3.6816243936257869</v>
      </c>
      <c r="IK24" s="56">
        <v>5.6511087630347401E-2</v>
      </c>
      <c r="IL24" s="10">
        <f t="shared" si="65"/>
        <v>-2.2110786808588894</v>
      </c>
      <c r="IM24" s="10" t="str">
        <f t="shared" si="66"/>
        <v>*</v>
      </c>
      <c r="IN24" s="10"/>
      <c r="IO24" s="54">
        <v>435</v>
      </c>
      <c r="IP24" s="57">
        <v>3.6925596628418824</v>
      </c>
      <c r="IQ24" s="58">
        <v>5.1690385741554698E-2</v>
      </c>
      <c r="IR24" s="10">
        <f t="shared" si="67"/>
        <v>-2.4784254793402414</v>
      </c>
      <c r="IS24" s="10" t="str">
        <f t="shared" si="68"/>
        <v>*</v>
      </c>
      <c r="IT24" s="76"/>
      <c r="IU24" s="27">
        <v>47</v>
      </c>
      <c r="IV24" s="28">
        <v>4.4893617021276606</v>
      </c>
      <c r="IW24" s="29">
        <v>0.12498521574936773</v>
      </c>
      <c r="IX24" s="10"/>
      <c r="IY24" s="42">
        <v>35</v>
      </c>
      <c r="IZ24" s="43">
        <v>4.5995513181020433</v>
      </c>
      <c r="JA24" s="67">
        <v>0.12437589475323378</v>
      </c>
      <c r="JB24" s="10">
        <f t="shared" si="69"/>
        <v>-0.6249217602911894</v>
      </c>
      <c r="JC24" s="10" t="str">
        <f t="shared" si="70"/>
        <v xml:space="preserve"> </v>
      </c>
      <c r="JD24" s="10"/>
      <c r="JE24" s="42">
        <v>32.673939870000005</v>
      </c>
      <c r="JF24" s="43">
        <v>4.3333333333333339</v>
      </c>
      <c r="JG24" s="67">
        <v>0.15568191133987966</v>
      </c>
      <c r="JH24" s="10">
        <f t="shared" si="71"/>
        <v>0.78152870854769729</v>
      </c>
      <c r="JI24" s="10" t="str">
        <f t="shared" si="72"/>
        <v xml:space="preserve"> </v>
      </c>
      <c r="JJ24" s="10"/>
      <c r="JK24" s="53">
        <v>31</v>
      </c>
      <c r="JL24" s="55">
        <v>4.4838709677419359</v>
      </c>
      <c r="JM24" s="56">
        <v>0.16837474928533774</v>
      </c>
      <c r="JN24" s="10">
        <f t="shared" si="73"/>
        <v>2.6184572291617084E-2</v>
      </c>
      <c r="JO24" s="10" t="str">
        <f t="shared" si="74"/>
        <v xml:space="preserve"> </v>
      </c>
      <c r="JP24" s="10"/>
      <c r="JQ24" s="54">
        <v>52</v>
      </c>
      <c r="JR24" s="57">
        <v>4.5576923076923066</v>
      </c>
      <c r="JS24" s="58">
        <v>0.10406214133903709</v>
      </c>
      <c r="JT24" s="10">
        <f t="shared" si="75"/>
        <v>-0.42014627273610711</v>
      </c>
      <c r="JU24" s="10" t="str">
        <f t="shared" si="76"/>
        <v xml:space="preserve"> </v>
      </c>
      <c r="JV24" s="76"/>
      <c r="JW24" s="27">
        <v>511</v>
      </c>
      <c r="JX24" s="28">
        <v>3.9727380925456761</v>
      </c>
      <c r="JY24" s="29">
        <v>4.650282552147559E-2</v>
      </c>
      <c r="JZ24" s="10"/>
      <c r="KA24" s="42">
        <v>316</v>
      </c>
      <c r="KB24" s="43">
        <v>3.8641591544400127</v>
      </c>
      <c r="KC24" s="67">
        <v>5.8569281850600043E-2</v>
      </c>
      <c r="KD24" s="10">
        <f t="shared" si="77"/>
        <v>1.4518711966241937</v>
      </c>
      <c r="KE24" s="10" t="str">
        <f t="shared" si="78"/>
        <v xml:space="preserve"> </v>
      </c>
      <c r="KF24" s="10"/>
      <c r="KG24" s="42">
        <v>362.36051662000091</v>
      </c>
      <c r="KH24" s="43">
        <v>4.0240525646979872</v>
      </c>
      <c r="KI24" s="67">
        <v>5.3068079126125538E-2</v>
      </c>
      <c r="KJ24" s="10">
        <f t="shared" si="79"/>
        <v>-0.72724444494863483</v>
      </c>
      <c r="KK24" s="10" t="str">
        <f t="shared" si="80"/>
        <v xml:space="preserve"> </v>
      </c>
      <c r="KL24" s="10"/>
      <c r="KM24" s="53">
        <v>706</v>
      </c>
      <c r="KN24" s="55">
        <v>3.9742622570438138</v>
      </c>
      <c r="KO24" s="56">
        <v>3.6601133935849191E-2</v>
      </c>
      <c r="KP24" s="10">
        <f t="shared" si="81"/>
        <v>-2.5755151628610723E-2</v>
      </c>
      <c r="KQ24" s="10" t="str">
        <f t="shared" si="82"/>
        <v xml:space="preserve"> </v>
      </c>
      <c r="KR24" s="10"/>
      <c r="KS24" s="54">
        <v>696</v>
      </c>
      <c r="KT24" s="57">
        <v>3.9529137724537762</v>
      </c>
      <c r="KU24" s="58">
        <v>3.6655959883284801E-2</v>
      </c>
      <c r="KV24" s="10">
        <f t="shared" si="83"/>
        <v>0.33479709566604865</v>
      </c>
      <c r="KW24" s="10" t="str">
        <f t="shared" si="102"/>
        <v xml:space="preserve"> </v>
      </c>
      <c r="KX24" s="76"/>
      <c r="KY24" s="27">
        <v>186</v>
      </c>
      <c r="KZ24" s="28">
        <v>4.1075783726154329</v>
      </c>
      <c r="LA24" s="29">
        <v>6.6455706183366298E-2</v>
      </c>
      <c r="LB24" s="10"/>
      <c r="LC24" s="42">
        <v>195</v>
      </c>
      <c r="LD24" s="43">
        <v>3.9950709183749078</v>
      </c>
      <c r="LE24" s="67">
        <v>7.0262573284468846E-2</v>
      </c>
      <c r="LF24" s="10">
        <f t="shared" si="84"/>
        <v>1.1633259540825929</v>
      </c>
      <c r="LG24" s="10" t="str">
        <f t="shared" si="85"/>
        <v xml:space="preserve"> </v>
      </c>
      <c r="LH24" s="10"/>
      <c r="LI24" s="42">
        <v>199.49084417999944</v>
      </c>
      <c r="LJ24" s="43">
        <v>4.0851717211877103</v>
      </c>
      <c r="LK24" s="67">
        <v>6.7404401920213991E-2</v>
      </c>
      <c r="LL24" s="10">
        <f t="shared" si="86"/>
        <v>0.23671723411694262</v>
      </c>
      <c r="LM24" s="10" t="str">
        <f t="shared" si="87"/>
        <v xml:space="preserve"> </v>
      </c>
      <c r="LN24" s="10"/>
      <c r="LO24" s="53">
        <v>501</v>
      </c>
      <c r="LP24" s="55">
        <v>3.824351297405193</v>
      </c>
      <c r="LQ24" s="56">
        <v>4.6645722352000624E-2</v>
      </c>
      <c r="LR24" s="10">
        <f t="shared" si="88"/>
        <v>3.4883503566419054</v>
      </c>
      <c r="LS24" s="10" t="str">
        <f t="shared" si="89"/>
        <v>*</v>
      </c>
      <c r="LT24" s="10"/>
      <c r="LU24" s="54">
        <v>480</v>
      </c>
      <c r="LV24" s="57">
        <v>3.8193963957744623</v>
      </c>
      <c r="LW24" s="58">
        <v>5.0186859141868635E-2</v>
      </c>
      <c r="LX24" s="10">
        <f t="shared" si="90"/>
        <v>3.4605173008251313</v>
      </c>
      <c r="LY24" s="10" t="str">
        <f t="shared" si="91"/>
        <v>*</v>
      </c>
      <c r="LZ24" s="76"/>
      <c r="MA24" s="27">
        <v>204</v>
      </c>
      <c r="MB24" s="28">
        <v>3.9905196998117787</v>
      </c>
      <c r="MC24" s="29">
        <v>7.5795009493465654E-2</v>
      </c>
      <c r="MD24" s="10"/>
      <c r="ME24" s="42">
        <v>140</v>
      </c>
      <c r="MF24" s="43">
        <v>4.0855900098491578</v>
      </c>
      <c r="MG24" s="67">
        <v>8.8715586415959419E-2</v>
      </c>
      <c r="MH24" s="10">
        <f t="shared" si="92"/>
        <v>-0.81476184860812306</v>
      </c>
      <c r="MI24" s="10" t="str">
        <f t="shared" si="93"/>
        <v xml:space="preserve"> </v>
      </c>
      <c r="MJ24" s="10"/>
      <c r="MK24" s="42">
        <v>128.64266908000008</v>
      </c>
      <c r="ML24" s="43">
        <v>4.0705055601291908</v>
      </c>
      <c r="MM24" s="67">
        <v>7.8990902981658451E-2</v>
      </c>
      <c r="MN24" s="10">
        <f t="shared" si="94"/>
        <v>-0.73064132965526019</v>
      </c>
      <c r="MO24" s="10" t="str">
        <f t="shared" si="95"/>
        <v xml:space="preserve"> </v>
      </c>
      <c r="MP24" s="10"/>
      <c r="MQ24" s="53">
        <v>216</v>
      </c>
      <c r="MR24" s="55">
        <v>4.1221879109082309</v>
      </c>
      <c r="MS24" s="56">
        <v>6.7789421128580177E-2</v>
      </c>
      <c r="MT24" s="10">
        <f t="shared" si="96"/>
        <v>-1.2948354913818865</v>
      </c>
      <c r="MU24" s="10" t="str">
        <f t="shared" si="97"/>
        <v xml:space="preserve"> </v>
      </c>
      <c r="MV24" s="10"/>
      <c r="MW24" s="54">
        <v>230</v>
      </c>
      <c r="MX24" s="57">
        <v>4.1108981582014152</v>
      </c>
      <c r="MY24" s="58">
        <v>6.4362321324846553E-2</v>
      </c>
      <c r="MZ24" s="10">
        <f t="shared" si="98"/>
        <v>-1.2106201655523658</v>
      </c>
      <c r="NA24" s="10" t="str">
        <f t="shared" si="103"/>
        <v xml:space="preserve"> </v>
      </c>
      <c r="NB24" s="58"/>
    </row>
    <row r="25" spans="1:366" x14ac:dyDescent="0.2">
      <c r="B25" s="65" t="s">
        <v>27</v>
      </c>
      <c r="C25" s="27">
        <v>85</v>
      </c>
      <c r="D25" s="28">
        <v>3.3529411764705888</v>
      </c>
      <c r="E25" s="29">
        <v>0.12983208833265181</v>
      </c>
      <c r="F25" s="10"/>
      <c r="G25" s="42">
        <v>20</v>
      </c>
      <c r="H25" s="43">
        <v>2.95</v>
      </c>
      <c r="I25" s="67">
        <v>0.33720816640744167</v>
      </c>
      <c r="J25" s="10" t="str">
        <f t="shared" si="1"/>
        <v>NV</v>
      </c>
      <c r="K25" s="10" t="str">
        <f t="shared" si="2"/>
        <v xml:space="preserve"> </v>
      </c>
      <c r="L25" s="10"/>
      <c r="M25" s="42">
        <v>65.503565190000046</v>
      </c>
      <c r="N25" s="43">
        <v>1.8571428571428572</v>
      </c>
      <c r="O25" s="67">
        <v>0.15975599187871889</v>
      </c>
      <c r="P25" s="10">
        <f t="shared" si="3"/>
        <v>7.2660942839003457</v>
      </c>
      <c r="Q25" s="10" t="str">
        <f t="shared" si="4"/>
        <v>*</v>
      </c>
      <c r="R25" s="10"/>
      <c r="S25" s="53">
        <v>35</v>
      </c>
      <c r="T25" s="55">
        <v>2.7142857142857149</v>
      </c>
      <c r="U25" s="56">
        <v>0.24073407593593654</v>
      </c>
      <c r="V25" s="10">
        <f t="shared" si="5"/>
        <v>2.335011010009596</v>
      </c>
      <c r="W25" s="10" t="str">
        <f t="shared" si="6"/>
        <v>*</v>
      </c>
      <c r="X25" s="10"/>
      <c r="Y25" s="54">
        <v>96</v>
      </c>
      <c r="Z25" s="57">
        <v>2.6145833333333344</v>
      </c>
      <c r="AA25" s="58">
        <v>0.118614748645161</v>
      </c>
      <c r="AB25" s="10">
        <f t="shared" si="7"/>
        <v>4.1986165379410849</v>
      </c>
      <c r="AC25" s="10" t="str">
        <f t="shared" si="8"/>
        <v>*</v>
      </c>
      <c r="AD25" s="76"/>
      <c r="AE25" s="27">
        <v>18</v>
      </c>
      <c r="AF25" s="28">
        <v>3.7777777777777781</v>
      </c>
      <c r="AG25" s="29">
        <v>0.29231673502421923</v>
      </c>
      <c r="AH25" s="67"/>
      <c r="AI25" s="42">
        <v>21</v>
      </c>
      <c r="AJ25" s="43">
        <v>3.047619047619047</v>
      </c>
      <c r="AK25" s="67">
        <v>0.31851887246792282</v>
      </c>
      <c r="AL25" s="10" t="str">
        <f t="shared" si="9"/>
        <v>NV</v>
      </c>
      <c r="AM25" s="10" t="str">
        <f t="shared" si="10"/>
        <v xml:space="preserve"> </v>
      </c>
      <c r="AN25" s="67"/>
      <c r="AO25" s="42">
        <v>57.575369520000002</v>
      </c>
      <c r="AP25" s="43">
        <v>2.0317214488630522</v>
      </c>
      <c r="AQ25" s="67">
        <v>0.15698752237259217</v>
      </c>
      <c r="AR25" s="10" t="str">
        <f t="shared" si="11"/>
        <v>NV</v>
      </c>
      <c r="AS25" s="10" t="str">
        <f t="shared" si="12"/>
        <v xml:space="preserve"> </v>
      </c>
      <c r="AT25" s="10"/>
      <c r="AU25" s="53">
        <v>85</v>
      </c>
      <c r="AV25" s="55">
        <v>2.8345435986871395</v>
      </c>
      <c r="AW25" s="56">
        <v>0.1414336033173012</v>
      </c>
      <c r="AX25" s="10" t="str">
        <f t="shared" si="13"/>
        <v>NV</v>
      </c>
      <c r="AY25" s="10" t="str">
        <f t="shared" si="14"/>
        <v xml:space="preserve"> </v>
      </c>
      <c r="AZ25" s="10"/>
      <c r="BA25" s="54">
        <v>63</v>
      </c>
      <c r="BB25" s="57">
        <v>2.2421993602131502</v>
      </c>
      <c r="BC25" s="58">
        <v>0.11231483753086487</v>
      </c>
      <c r="BD25" s="10" t="str">
        <f t="shared" si="15"/>
        <v>NV</v>
      </c>
      <c r="BE25" s="10" t="str">
        <f t="shared" si="16"/>
        <v xml:space="preserve"> </v>
      </c>
      <c r="BF25" s="76"/>
      <c r="BG25" s="27">
        <v>254</v>
      </c>
      <c r="BH25" s="28">
        <v>3.5175751470187233</v>
      </c>
      <c r="BI25" s="29">
        <v>8.0532073723773148E-2</v>
      </c>
      <c r="BJ25" s="10"/>
      <c r="BK25" s="42">
        <v>100</v>
      </c>
      <c r="BL25" s="43">
        <v>3.7503007291511823</v>
      </c>
      <c r="BM25" s="67">
        <v>0.12511676497276131</v>
      </c>
      <c r="BN25" s="10">
        <f t="shared" si="17"/>
        <v>-1.5640803009744868</v>
      </c>
      <c r="BO25" s="10" t="str">
        <f t="shared" si="18"/>
        <v xml:space="preserve"> </v>
      </c>
      <c r="BP25" s="10"/>
      <c r="BQ25" s="42">
        <v>241.49510474999906</v>
      </c>
      <c r="BR25" s="43">
        <v>1.6263629321455224</v>
      </c>
      <c r="BS25" s="67">
        <v>5.2778599745767402E-2</v>
      </c>
      <c r="BT25" s="10">
        <f t="shared" si="19"/>
        <v>19.641609809893435</v>
      </c>
      <c r="BU25" s="10" t="str">
        <f t="shared" si="20"/>
        <v>*</v>
      </c>
      <c r="BV25" s="10"/>
      <c r="BW25" s="53">
        <v>284</v>
      </c>
      <c r="BX25" s="55">
        <v>1.6188074148372031</v>
      </c>
      <c r="BY25" s="56">
        <v>3.7862282582885702E-2</v>
      </c>
      <c r="BZ25" s="10">
        <f t="shared" si="21"/>
        <v>21.337206816331154</v>
      </c>
      <c r="CA25" s="10" t="str">
        <f t="shared" si="22"/>
        <v>*</v>
      </c>
      <c r="CB25" s="10"/>
      <c r="CC25" s="54">
        <v>210</v>
      </c>
      <c r="CD25" s="57">
        <v>2.7261536212489252</v>
      </c>
      <c r="CE25" s="58">
        <v>8.7943147117070186E-2</v>
      </c>
      <c r="CF25" s="10">
        <f t="shared" si="23"/>
        <v>6.6369269739389587</v>
      </c>
      <c r="CG25" s="10" t="str">
        <f t="shared" si="24"/>
        <v>*</v>
      </c>
      <c r="CH25" s="76"/>
      <c r="CI25" s="27">
        <v>138</v>
      </c>
      <c r="CJ25" s="28">
        <v>3.7659189431050955</v>
      </c>
      <c r="CK25" s="29">
        <v>0.10580334196633451</v>
      </c>
      <c r="CL25" s="67"/>
      <c r="CM25" s="42">
        <v>48</v>
      </c>
      <c r="CN25" s="43">
        <v>3.833379445802263</v>
      </c>
      <c r="CO25" s="67">
        <v>0.17658250949783907</v>
      </c>
      <c r="CP25" s="10">
        <f t="shared" si="25"/>
        <v>-0.32771096856883525</v>
      </c>
      <c r="CQ25" s="10" t="str">
        <f t="shared" si="26"/>
        <v xml:space="preserve"> </v>
      </c>
      <c r="CR25" s="10"/>
      <c r="CS25" s="42">
        <v>93.544398870000023</v>
      </c>
      <c r="CT25" s="43">
        <v>3.1934376139948988</v>
      </c>
      <c r="CU25" s="67">
        <v>0.15961984479485727</v>
      </c>
      <c r="CV25" s="10">
        <f t="shared" si="27"/>
        <v>2.989434507572216</v>
      </c>
      <c r="CW25" s="10" t="str">
        <f t="shared" si="28"/>
        <v>*</v>
      </c>
      <c r="CX25" s="10"/>
      <c r="CY25" s="53">
        <v>51</v>
      </c>
      <c r="CZ25" s="55">
        <v>4.1489941873041358</v>
      </c>
      <c r="DA25" s="56">
        <v>0.15233615727214059</v>
      </c>
      <c r="DB25" s="10">
        <f t="shared" si="29"/>
        <v>-2.0653837238475918</v>
      </c>
      <c r="DC25" s="10" t="str">
        <f t="shared" si="0"/>
        <v>*</v>
      </c>
      <c r="DD25" s="10"/>
      <c r="DE25" s="54">
        <v>114</v>
      </c>
      <c r="DF25" s="57">
        <v>2.7003250554554961</v>
      </c>
      <c r="DG25" s="58">
        <v>0.12433270883525656</v>
      </c>
      <c r="DH25" s="10">
        <f t="shared" si="30"/>
        <v>6.527079737304609</v>
      </c>
      <c r="DI25" s="10" t="str">
        <f t="shared" si="31"/>
        <v>*</v>
      </c>
      <c r="DJ25" s="76"/>
      <c r="DK25" s="27">
        <v>26</v>
      </c>
      <c r="DL25" s="28">
        <v>3.268435448376076</v>
      </c>
      <c r="DM25" s="29">
        <v>0.26560572502755259</v>
      </c>
      <c r="DN25" s="10"/>
      <c r="DO25" s="42">
        <v>13</v>
      </c>
      <c r="DP25" s="43">
        <v>3.3057135607102581</v>
      </c>
      <c r="DQ25" s="67">
        <v>0.263673799819094</v>
      </c>
      <c r="DR25" s="10" t="str">
        <f t="shared" si="32"/>
        <v>NV</v>
      </c>
      <c r="DS25" s="10" t="str">
        <f t="shared" si="33"/>
        <v xml:space="preserve"> </v>
      </c>
      <c r="DT25" s="10"/>
      <c r="DU25" s="42">
        <v>31.415555280000003</v>
      </c>
      <c r="DV25" s="43">
        <v>2.5322265982879042</v>
      </c>
      <c r="DW25" s="67">
        <v>0.20523837335326228</v>
      </c>
      <c r="DX25" s="10" t="str">
        <f t="shared" si="34"/>
        <v>NV</v>
      </c>
      <c r="DY25" s="10" t="str">
        <f t="shared" si="35"/>
        <v xml:space="preserve"> </v>
      </c>
      <c r="DZ25" s="10"/>
      <c r="EA25" s="53">
        <v>22</v>
      </c>
      <c r="EB25" s="55">
        <v>2.6018546694463507</v>
      </c>
      <c r="EC25" s="56">
        <v>0.29856665084246309</v>
      </c>
      <c r="ED25" s="10" t="str">
        <f t="shared" si="36"/>
        <v>NV</v>
      </c>
      <c r="EE25" s="10" t="str">
        <f t="shared" si="37"/>
        <v xml:space="preserve"> </v>
      </c>
      <c r="EF25" s="10"/>
      <c r="EG25" s="54">
        <v>8</v>
      </c>
      <c r="EH25" s="57">
        <v>3.1249999999999996</v>
      </c>
      <c r="EI25" s="58">
        <v>0.50915343765312604</v>
      </c>
      <c r="EJ25" s="10" t="str">
        <f t="shared" si="38"/>
        <v>NV</v>
      </c>
      <c r="EK25" s="10" t="str">
        <f t="shared" si="39"/>
        <v xml:space="preserve"> </v>
      </c>
      <c r="EL25" s="76"/>
      <c r="EM25" s="27">
        <v>132</v>
      </c>
      <c r="EN25" s="28">
        <v>4.1147690759524433</v>
      </c>
      <c r="EO25" s="29">
        <v>9.0302462638827297E-2</v>
      </c>
      <c r="EP25" s="10"/>
      <c r="EQ25" s="42">
        <v>47</v>
      </c>
      <c r="ER25" s="43">
        <v>3.8939070064701329</v>
      </c>
      <c r="ES25" s="67">
        <v>0.17787011375171133</v>
      </c>
      <c r="ET25" s="10">
        <f t="shared" si="40"/>
        <v>1.1071884584347147</v>
      </c>
      <c r="EU25" s="10" t="str">
        <f t="shared" si="41"/>
        <v xml:space="preserve"> </v>
      </c>
      <c r="EV25" s="10"/>
      <c r="EW25" s="42">
        <v>98.125195590000018</v>
      </c>
      <c r="EX25" s="43">
        <v>2.0624380318751121</v>
      </c>
      <c r="EY25" s="67">
        <v>0.12166554775954291</v>
      </c>
      <c r="EZ25" s="10">
        <f t="shared" si="42"/>
        <v>13.545326143787946</v>
      </c>
      <c r="FA25" s="10" t="str">
        <f t="shared" si="43"/>
        <v>*</v>
      </c>
      <c r="FB25" s="10"/>
      <c r="FC25" s="53">
        <v>55</v>
      </c>
      <c r="FD25" s="55">
        <v>2.9454355895880306</v>
      </c>
      <c r="FE25" s="56">
        <v>0.19339443323853384</v>
      </c>
      <c r="FF25" s="10">
        <f t="shared" si="44"/>
        <v>5.4785530730813763</v>
      </c>
      <c r="FG25" s="10" t="str">
        <f t="shared" si="45"/>
        <v>*</v>
      </c>
      <c r="FH25" s="10"/>
      <c r="FI25" s="54">
        <v>113</v>
      </c>
      <c r="FJ25" s="57">
        <v>2.1640690179689219</v>
      </c>
      <c r="FK25" s="58">
        <v>8.7289854388567054E-2</v>
      </c>
      <c r="FL25" s="10">
        <f t="shared" si="46"/>
        <v>15.531694620932193</v>
      </c>
      <c r="FM25" s="10" t="str">
        <f t="shared" si="99"/>
        <v>*</v>
      </c>
      <c r="FN25" s="76"/>
      <c r="FO25" s="27">
        <v>20</v>
      </c>
      <c r="FP25" s="28">
        <v>3.1613409920750906</v>
      </c>
      <c r="FQ25" s="29">
        <v>0.25341153436792752</v>
      </c>
      <c r="FR25" s="67"/>
      <c r="FS25" s="42">
        <v>27</v>
      </c>
      <c r="FT25" s="43">
        <v>3.0752459602397213</v>
      </c>
      <c r="FU25" s="67">
        <v>0.28604465337321655</v>
      </c>
      <c r="FV25" s="10" t="str">
        <f t="shared" si="47"/>
        <v>NV</v>
      </c>
      <c r="FW25" s="10" t="str">
        <f t="shared" si="48"/>
        <v xml:space="preserve"> </v>
      </c>
      <c r="FX25" s="67"/>
      <c r="FY25" s="42">
        <v>28.713420939999985</v>
      </c>
      <c r="FZ25" s="43">
        <v>3.516753296690255</v>
      </c>
      <c r="GA25" s="67">
        <v>0.25555338566719971</v>
      </c>
      <c r="GB25" s="10" t="str">
        <f t="shared" si="49"/>
        <v>NV</v>
      </c>
      <c r="GC25" s="10" t="str">
        <f t="shared" si="50"/>
        <v xml:space="preserve"> </v>
      </c>
      <c r="GD25" s="10"/>
      <c r="GE25" s="53">
        <v>44</v>
      </c>
      <c r="GF25" s="55">
        <v>3.2065150230479467</v>
      </c>
      <c r="GG25" s="56">
        <v>0.21684397787402609</v>
      </c>
      <c r="GH25" s="10" t="str">
        <f t="shared" si="51"/>
        <v>NV</v>
      </c>
      <c r="GI25" s="10" t="str">
        <f t="shared" si="52"/>
        <v xml:space="preserve"> </v>
      </c>
      <c r="GJ25" s="10"/>
      <c r="GK25" s="54">
        <v>31</v>
      </c>
      <c r="GL25" s="57">
        <v>3.4237012993034321</v>
      </c>
      <c r="GM25" s="58">
        <v>0.2295496526363163</v>
      </c>
      <c r="GN25" s="10" t="str">
        <f t="shared" si="53"/>
        <v>NV</v>
      </c>
      <c r="GO25" s="10" t="str">
        <f t="shared" si="100"/>
        <v xml:space="preserve"> </v>
      </c>
      <c r="GP25" s="76"/>
      <c r="GQ25" s="27">
        <v>21</v>
      </c>
      <c r="GR25" s="28">
        <v>3.4897708658923161</v>
      </c>
      <c r="GS25" s="29">
        <v>0.27839262306778512</v>
      </c>
      <c r="GT25" s="10"/>
      <c r="GU25" s="42">
        <v>12</v>
      </c>
      <c r="GV25" s="43">
        <v>3.5054363424677026</v>
      </c>
      <c r="GW25" s="67">
        <v>0.41800524544492573</v>
      </c>
      <c r="GX25" s="10" t="str">
        <f t="shared" si="54"/>
        <v>NV</v>
      </c>
      <c r="GY25" s="10" t="str">
        <f t="shared" si="55"/>
        <v xml:space="preserve"> </v>
      </c>
      <c r="GZ25" s="10"/>
      <c r="HA25" s="42">
        <v>10.569205170000002</v>
      </c>
      <c r="HB25" s="43">
        <v>4.2859004458137511</v>
      </c>
      <c r="HC25" s="67">
        <v>0.29401947093285624</v>
      </c>
      <c r="HD25" s="10" t="str">
        <f t="shared" si="56"/>
        <v>NV</v>
      </c>
      <c r="HE25" s="10" t="str">
        <f t="shared" si="57"/>
        <v xml:space="preserve"> </v>
      </c>
      <c r="HF25" s="10"/>
      <c r="HG25" s="53">
        <v>21</v>
      </c>
      <c r="HH25" s="55">
        <v>3.6212791878667128</v>
      </c>
      <c r="HI25" s="56">
        <v>0.21698060793999802</v>
      </c>
      <c r="HJ25" s="10" t="str">
        <f t="shared" si="58"/>
        <v>NV</v>
      </c>
      <c r="HK25" s="10" t="str">
        <f t="shared" si="59"/>
        <v xml:space="preserve"> </v>
      </c>
      <c r="HL25" s="10"/>
      <c r="HM25" s="54">
        <v>23</v>
      </c>
      <c r="HN25" s="57">
        <v>3.3917995444905533</v>
      </c>
      <c r="HO25" s="58">
        <v>0.26922811456393858</v>
      </c>
      <c r="HP25" s="10" t="str">
        <f t="shared" si="60"/>
        <v>NV</v>
      </c>
      <c r="HQ25" s="10" t="str">
        <f t="shared" si="101"/>
        <v xml:space="preserve"> </v>
      </c>
      <c r="HR25" s="76"/>
      <c r="HS25" s="27">
        <v>166</v>
      </c>
      <c r="HT25" s="28">
        <v>3.5796025997040122</v>
      </c>
      <c r="HU25" s="29">
        <v>9.6275700699869307E-2</v>
      </c>
      <c r="HV25" s="10"/>
      <c r="HW25" s="42">
        <v>136</v>
      </c>
      <c r="HX25" s="43">
        <v>3.6887327734326942</v>
      </c>
      <c r="HY25" s="67">
        <v>0.10488417984168411</v>
      </c>
      <c r="HZ25" s="10">
        <f t="shared" si="61"/>
        <v>-0.76651589935498221</v>
      </c>
      <c r="IA25" s="10" t="str">
        <f t="shared" si="62"/>
        <v xml:space="preserve"> </v>
      </c>
      <c r="IB25" s="10"/>
      <c r="IC25" s="42">
        <v>132.5501595499999</v>
      </c>
      <c r="ID25" s="43">
        <v>3.6113257439681443</v>
      </c>
      <c r="IE25" s="67">
        <v>0.10385787106333946</v>
      </c>
      <c r="IF25" s="10">
        <f t="shared" si="63"/>
        <v>-0.22400609053607679</v>
      </c>
      <c r="IG25" s="10" t="str">
        <f t="shared" si="64"/>
        <v xml:space="preserve"> </v>
      </c>
      <c r="IH25" s="10"/>
      <c r="II25" s="53">
        <v>119</v>
      </c>
      <c r="IJ25" s="55">
        <v>3.829823644864133</v>
      </c>
      <c r="IK25" s="56">
        <v>0.10462258866078637</v>
      </c>
      <c r="IL25" s="10">
        <f t="shared" si="65"/>
        <v>-1.7599003255545629</v>
      </c>
      <c r="IM25" s="10" t="str">
        <f t="shared" si="66"/>
        <v xml:space="preserve"> </v>
      </c>
      <c r="IN25" s="10"/>
      <c r="IO25" s="54">
        <v>147</v>
      </c>
      <c r="IP25" s="57">
        <v>3.7999306514808646</v>
      </c>
      <c r="IQ25" s="58">
        <v>9.6046504133924834E-2</v>
      </c>
      <c r="IR25" s="10">
        <f t="shared" si="67"/>
        <v>-1.6201493634022726</v>
      </c>
      <c r="IS25" s="10" t="str">
        <f t="shared" si="68"/>
        <v xml:space="preserve"> </v>
      </c>
      <c r="IT25" s="76"/>
      <c r="IU25" s="27">
        <v>1</v>
      </c>
      <c r="IV25" s="28">
        <v>3.9999999999999996</v>
      </c>
      <c r="IW25" s="97"/>
      <c r="IX25" s="10"/>
      <c r="IY25" s="42">
        <v>1</v>
      </c>
      <c r="IZ25" s="43">
        <v>3</v>
      </c>
      <c r="JA25" s="68">
        <v>0</v>
      </c>
      <c r="JB25" s="10" t="str">
        <f t="shared" si="69"/>
        <v>NV</v>
      </c>
      <c r="JC25" s="10" t="str">
        <f t="shared" si="70"/>
        <v xml:space="preserve"> </v>
      </c>
      <c r="JD25" s="10"/>
      <c r="JE25" s="42">
        <v>1.9802387800000001</v>
      </c>
      <c r="JF25" s="43">
        <v>4</v>
      </c>
      <c r="JG25" s="68">
        <v>0</v>
      </c>
      <c r="JH25" s="10" t="str">
        <f t="shared" si="71"/>
        <v>NV</v>
      </c>
      <c r="JI25" s="10" t="str">
        <f t="shared" si="72"/>
        <v xml:space="preserve"> </v>
      </c>
      <c r="JJ25" s="10"/>
      <c r="JK25" s="53">
        <v>1</v>
      </c>
      <c r="JL25" s="55">
        <v>5</v>
      </c>
      <c r="JN25" s="10" t="str">
        <f t="shared" si="73"/>
        <v>NV</v>
      </c>
      <c r="JO25" s="10" t="str">
        <f t="shared" si="74"/>
        <v xml:space="preserve"> </v>
      </c>
      <c r="JP25" s="10"/>
      <c r="JQ25" s="54">
        <v>0</v>
      </c>
      <c r="JR25" s="62" t="s">
        <v>81</v>
      </c>
      <c r="JS25" s="62" t="s">
        <v>81</v>
      </c>
      <c r="JT25" s="10" t="str">
        <f t="shared" si="75"/>
        <v>NV</v>
      </c>
      <c r="JU25" s="10" t="str">
        <f t="shared" si="76"/>
        <v xml:space="preserve"> </v>
      </c>
      <c r="JV25" s="76"/>
      <c r="JW25" s="27">
        <v>29</v>
      </c>
      <c r="JX25" s="28">
        <v>3.1398925655225267</v>
      </c>
      <c r="JY25" s="29">
        <v>0.29230656518159759</v>
      </c>
      <c r="JZ25" s="10"/>
      <c r="KA25" s="42">
        <v>19</v>
      </c>
      <c r="KB25" s="43">
        <v>3.1088082893733953</v>
      </c>
      <c r="KC25" s="67">
        <v>0.35031544929274988</v>
      </c>
      <c r="KD25" s="10" t="str">
        <f t="shared" si="77"/>
        <v>NV</v>
      </c>
      <c r="KE25" s="10" t="str">
        <f t="shared" si="78"/>
        <v xml:space="preserve"> </v>
      </c>
      <c r="KF25" s="10"/>
      <c r="KG25" s="42">
        <v>16.000859170000002</v>
      </c>
      <c r="KH25" s="43">
        <v>3.4850993379501141</v>
      </c>
      <c r="KI25" s="67">
        <v>0.28978608148467699</v>
      </c>
      <c r="KJ25" s="10" t="str">
        <f t="shared" si="79"/>
        <v>NV</v>
      </c>
      <c r="KK25" s="10" t="str">
        <f t="shared" si="80"/>
        <v xml:space="preserve"> </v>
      </c>
      <c r="KL25" s="10"/>
      <c r="KM25" s="53">
        <v>35</v>
      </c>
      <c r="KN25" s="55">
        <v>3.6845457347785762</v>
      </c>
      <c r="KO25" s="56">
        <v>0.15556870417807903</v>
      </c>
      <c r="KP25" s="10" t="str">
        <f t="shared" si="81"/>
        <v>NV</v>
      </c>
      <c r="KQ25" s="10" t="str">
        <f t="shared" si="82"/>
        <v xml:space="preserve"> </v>
      </c>
      <c r="KR25" s="10"/>
      <c r="KS25" s="54">
        <v>43</v>
      </c>
      <c r="KT25" s="57">
        <v>3.2095640347510517</v>
      </c>
      <c r="KU25" s="58">
        <v>0.19598865378795705</v>
      </c>
      <c r="KV25" s="10" t="str">
        <f t="shared" si="83"/>
        <v>NV</v>
      </c>
      <c r="KW25" s="10" t="str">
        <f t="shared" si="102"/>
        <v xml:space="preserve"> </v>
      </c>
      <c r="KX25" s="76"/>
      <c r="KY25" s="27">
        <v>41</v>
      </c>
      <c r="KZ25" s="28">
        <v>4.2682224752491784</v>
      </c>
      <c r="LA25" s="29">
        <v>0.1601504250879088</v>
      </c>
      <c r="LB25" s="10"/>
      <c r="LC25" s="42">
        <v>38</v>
      </c>
      <c r="LD25" s="43">
        <v>4.3684754521844127</v>
      </c>
      <c r="LE25" s="67">
        <v>0.13299954029405403</v>
      </c>
      <c r="LF25" s="10">
        <f t="shared" si="84"/>
        <v>-0.48157914712003225</v>
      </c>
      <c r="LG25" s="10" t="str">
        <f t="shared" si="85"/>
        <v xml:space="preserve"> </v>
      </c>
      <c r="LH25" s="10"/>
      <c r="LI25" s="42">
        <v>30.852650020000006</v>
      </c>
      <c r="LJ25" s="43">
        <v>4.4223462487518272</v>
      </c>
      <c r="LK25" s="67">
        <v>0.12950885806791293</v>
      </c>
      <c r="LL25" s="10">
        <f t="shared" si="86"/>
        <v>-0.74830854239514066</v>
      </c>
      <c r="LM25" s="10" t="str">
        <f t="shared" si="87"/>
        <v xml:space="preserve"> </v>
      </c>
      <c r="LN25" s="10"/>
      <c r="LO25" s="53">
        <v>103</v>
      </c>
      <c r="LP25" s="55">
        <v>3.9805825242718438</v>
      </c>
      <c r="LQ25" s="56">
        <v>0.10350922428078094</v>
      </c>
      <c r="LR25" s="10">
        <f t="shared" si="88"/>
        <v>1.5084239690998753</v>
      </c>
      <c r="LS25" s="10" t="str">
        <f t="shared" si="89"/>
        <v xml:space="preserve"> </v>
      </c>
      <c r="LT25" s="10"/>
      <c r="LU25" s="54">
        <v>88</v>
      </c>
      <c r="LV25" s="57">
        <v>3.5954914356344885</v>
      </c>
      <c r="LW25" s="58">
        <v>0.13620021955028916</v>
      </c>
      <c r="LX25" s="10">
        <f t="shared" si="90"/>
        <v>3.1999038029607569</v>
      </c>
      <c r="LY25" s="10" t="str">
        <f t="shared" si="91"/>
        <v>*</v>
      </c>
      <c r="LZ25" s="76"/>
      <c r="MA25" s="27">
        <v>23</v>
      </c>
      <c r="MB25" s="28">
        <v>4.0880277336102431</v>
      </c>
      <c r="MC25" s="29">
        <v>0.20732070956614052</v>
      </c>
      <c r="MD25" s="10"/>
      <c r="ME25" s="42">
        <v>11</v>
      </c>
      <c r="MF25" s="43">
        <v>4.2727272727272725</v>
      </c>
      <c r="MG25" s="67">
        <v>0.38324487225683834</v>
      </c>
      <c r="MH25" s="10" t="str">
        <f t="shared" si="92"/>
        <v>NV</v>
      </c>
      <c r="MI25" s="10" t="str">
        <f t="shared" si="93"/>
        <v xml:space="preserve"> </v>
      </c>
      <c r="MJ25" s="10"/>
      <c r="MK25" s="42">
        <v>16.990978560000002</v>
      </c>
      <c r="ML25" s="43">
        <v>4.1165464821821303</v>
      </c>
      <c r="MM25" s="67">
        <v>0.16823684677021586</v>
      </c>
      <c r="MN25" s="10" t="str">
        <f t="shared" si="94"/>
        <v>NV</v>
      </c>
      <c r="MO25" s="10" t="str">
        <f t="shared" si="95"/>
        <v xml:space="preserve"> </v>
      </c>
      <c r="MP25" s="10"/>
      <c r="MQ25" s="53">
        <v>28</v>
      </c>
      <c r="MR25" s="55">
        <v>3.9917092066326054</v>
      </c>
      <c r="MS25" s="56">
        <v>0.19243564540826011</v>
      </c>
      <c r="MT25" s="10" t="str">
        <f t="shared" si="96"/>
        <v>NV</v>
      </c>
      <c r="MU25" s="10" t="str">
        <f t="shared" si="97"/>
        <v xml:space="preserve"> </v>
      </c>
      <c r="MV25" s="10"/>
      <c r="MW25" s="54">
        <v>31</v>
      </c>
      <c r="MX25" s="57">
        <v>4.0503319991760529</v>
      </c>
      <c r="MY25" s="58">
        <v>0.2153191190716483</v>
      </c>
      <c r="MZ25" s="10" t="str">
        <f t="shared" si="98"/>
        <v>NV</v>
      </c>
      <c r="NA25" s="10" t="str">
        <f t="shared" si="103"/>
        <v xml:space="preserve"> </v>
      </c>
      <c r="NB25" s="58"/>
    </row>
    <row r="26" spans="1:366" x14ac:dyDescent="0.2">
      <c r="A26" s="73"/>
      <c r="B26" s="65" t="s">
        <v>28</v>
      </c>
      <c r="C26" s="27">
        <v>378</v>
      </c>
      <c r="D26" s="28">
        <v>3.8439153439153451</v>
      </c>
      <c r="E26" s="29">
        <v>5.3619840618022212E-2</v>
      </c>
      <c r="F26" s="10"/>
      <c r="G26" s="42">
        <v>105</v>
      </c>
      <c r="H26" s="43">
        <v>3.6190962939998252</v>
      </c>
      <c r="I26" s="67">
        <v>0.1162511206119142</v>
      </c>
      <c r="J26" s="10">
        <f t="shared" si="1"/>
        <v>1.7561088988137208</v>
      </c>
      <c r="K26" s="10" t="str">
        <f t="shared" si="2"/>
        <v xml:space="preserve"> </v>
      </c>
      <c r="L26" s="10"/>
      <c r="M26" s="42">
        <v>65.503565190000046</v>
      </c>
      <c r="N26" s="43">
        <v>3.8095238095238098</v>
      </c>
      <c r="O26" s="67">
        <v>0.13284362077984543</v>
      </c>
      <c r="P26" s="10">
        <f t="shared" si="3"/>
        <v>0.24006909912586805</v>
      </c>
      <c r="Q26" s="10" t="str">
        <f t="shared" si="4"/>
        <v xml:space="preserve"> </v>
      </c>
      <c r="R26" s="10"/>
      <c r="S26" s="53">
        <v>107</v>
      </c>
      <c r="T26" s="55">
        <v>3.7757009345794401</v>
      </c>
      <c r="U26" s="56">
        <v>8.9764333368843832E-2</v>
      </c>
      <c r="V26" s="10">
        <f t="shared" si="5"/>
        <v>0.65239699739202894</v>
      </c>
      <c r="W26" s="10" t="str">
        <f t="shared" si="6"/>
        <v xml:space="preserve"> </v>
      </c>
      <c r="X26" s="10"/>
      <c r="Y26" s="54">
        <v>192</v>
      </c>
      <c r="Z26" s="57">
        <v>3.541666666666667</v>
      </c>
      <c r="AA26" s="58">
        <v>6.5837844578640448E-2</v>
      </c>
      <c r="AB26" s="10">
        <f t="shared" si="7"/>
        <v>3.5596355737487335</v>
      </c>
      <c r="AC26" s="10" t="str">
        <f t="shared" si="8"/>
        <v>*</v>
      </c>
      <c r="AD26" s="76"/>
      <c r="AE26" s="27">
        <v>86</v>
      </c>
      <c r="AF26" s="28">
        <v>4.036994238465585</v>
      </c>
      <c r="AG26" s="29">
        <v>0.10340019044403888</v>
      </c>
      <c r="AH26" s="67"/>
      <c r="AI26" s="42">
        <v>50</v>
      </c>
      <c r="AJ26" s="43">
        <v>3.7999999999999994</v>
      </c>
      <c r="AK26" s="67">
        <v>0.15846292579479862</v>
      </c>
      <c r="AL26" s="10">
        <f t="shared" si="9"/>
        <v>1.252516766444028</v>
      </c>
      <c r="AM26" s="10" t="str">
        <f t="shared" si="10"/>
        <v xml:space="preserve"> </v>
      </c>
      <c r="AN26" s="67"/>
      <c r="AO26" s="42">
        <v>54.45615213</v>
      </c>
      <c r="AP26" s="43">
        <v>3.6842105263157889</v>
      </c>
      <c r="AQ26" s="67">
        <v>0.16634822856161632</v>
      </c>
      <c r="AR26" s="10">
        <f t="shared" si="11"/>
        <v>1.8011519915914582</v>
      </c>
      <c r="AS26" s="10" t="str">
        <f t="shared" si="12"/>
        <v xml:space="preserve"> </v>
      </c>
      <c r="AT26" s="10"/>
      <c r="AU26" s="53">
        <v>95</v>
      </c>
      <c r="AV26" s="55">
        <v>3.5529330956394944</v>
      </c>
      <c r="AW26" s="56">
        <v>0.12250404622429653</v>
      </c>
      <c r="AX26" s="10">
        <f t="shared" si="13"/>
        <v>3.0195585522262638</v>
      </c>
      <c r="AY26" s="10" t="str">
        <f t="shared" si="14"/>
        <v>*</v>
      </c>
      <c r="AZ26" s="10"/>
      <c r="BA26" s="54">
        <v>83</v>
      </c>
      <c r="BB26" s="57">
        <v>3.5143161980775615</v>
      </c>
      <c r="BC26" s="58">
        <v>0.11744872532250328</v>
      </c>
      <c r="BD26" s="10">
        <f t="shared" si="15"/>
        <v>3.3402354693479661</v>
      </c>
      <c r="BE26" s="10" t="str">
        <f t="shared" si="16"/>
        <v>*</v>
      </c>
      <c r="BF26" s="76"/>
      <c r="BG26" s="27">
        <v>1003</v>
      </c>
      <c r="BH26" s="28">
        <v>4.0013626100969812</v>
      </c>
      <c r="BI26" s="29">
        <v>3.1738176015308921E-2</v>
      </c>
      <c r="BJ26" s="10"/>
      <c r="BK26" s="42">
        <v>316</v>
      </c>
      <c r="BL26" s="43">
        <v>3.9456027626206263</v>
      </c>
      <c r="BM26" s="67">
        <v>5.6201196473134478E-2</v>
      </c>
      <c r="BN26" s="10">
        <f t="shared" si="17"/>
        <v>0.86390874612517821</v>
      </c>
      <c r="BO26" s="10" t="str">
        <f t="shared" si="18"/>
        <v xml:space="preserve"> </v>
      </c>
      <c r="BP26" s="10"/>
      <c r="BQ26" s="42">
        <v>87.139628100000053</v>
      </c>
      <c r="BR26" s="43">
        <v>3.9122905515361066</v>
      </c>
      <c r="BS26" s="67">
        <v>0.10198219618371854</v>
      </c>
      <c r="BT26" s="10">
        <f t="shared" si="19"/>
        <v>0.83395539289404563</v>
      </c>
      <c r="BU26" s="10" t="str">
        <f t="shared" si="20"/>
        <v xml:space="preserve"> </v>
      </c>
      <c r="BV26" s="10"/>
      <c r="BW26" s="53">
        <v>98</v>
      </c>
      <c r="BX26" s="55">
        <v>3.9248763561298636</v>
      </c>
      <c r="BY26" s="56">
        <v>8.2000620494474555E-2</v>
      </c>
      <c r="BZ26" s="10">
        <f t="shared" si="21"/>
        <v>0.8698691690828313</v>
      </c>
      <c r="CA26" s="10" t="str">
        <f t="shared" si="22"/>
        <v xml:space="preserve"> </v>
      </c>
      <c r="CB26" s="10"/>
      <c r="CC26" s="54">
        <v>382</v>
      </c>
      <c r="CD26" s="57">
        <v>3.8604513389748347</v>
      </c>
      <c r="CE26" s="58">
        <v>4.8933258705089182E-2</v>
      </c>
      <c r="CF26" s="10">
        <f t="shared" si="23"/>
        <v>2.4159775821450991</v>
      </c>
      <c r="CG26" s="10" t="str">
        <f t="shared" si="24"/>
        <v>*</v>
      </c>
      <c r="CH26" s="76"/>
      <c r="CI26" s="27">
        <v>622</v>
      </c>
      <c r="CJ26" s="28">
        <v>4.0360510583823936</v>
      </c>
      <c r="CK26" s="29">
        <v>3.8409340503759236E-2</v>
      </c>
      <c r="CL26" s="67"/>
      <c r="CM26" s="42">
        <v>195</v>
      </c>
      <c r="CN26" s="43">
        <v>4.0418695057538612</v>
      </c>
      <c r="CO26" s="67">
        <v>7.136221427028798E-2</v>
      </c>
      <c r="CP26" s="10">
        <f t="shared" si="25"/>
        <v>-7.1795252457338421E-2</v>
      </c>
      <c r="CQ26" s="10" t="str">
        <f t="shared" si="26"/>
        <v xml:space="preserve"> </v>
      </c>
      <c r="CR26" s="10"/>
      <c r="CS26" s="42">
        <v>170.11549949999977</v>
      </c>
      <c r="CT26" s="43">
        <v>4.2649445667353802</v>
      </c>
      <c r="CU26" s="67">
        <v>6.72553088927067E-2</v>
      </c>
      <c r="CV26" s="10">
        <f t="shared" si="27"/>
        <v>-2.955358625525117</v>
      </c>
      <c r="CW26" s="10" t="str">
        <f t="shared" si="28"/>
        <v>*</v>
      </c>
      <c r="CX26" s="10"/>
      <c r="CY26" s="53">
        <v>183</v>
      </c>
      <c r="CZ26" s="55">
        <v>4.0864509144417376</v>
      </c>
      <c r="DA26" s="56">
        <v>7.3928535791658007E-2</v>
      </c>
      <c r="DB26" s="10">
        <f t="shared" si="29"/>
        <v>-0.60496113768645665</v>
      </c>
      <c r="DC26" s="10" t="str">
        <f t="shared" si="0"/>
        <v xml:space="preserve"> </v>
      </c>
      <c r="DD26" s="10"/>
      <c r="DE26" s="54">
        <v>239</v>
      </c>
      <c r="DF26" s="57">
        <v>3.9741551202004999</v>
      </c>
      <c r="DG26" s="58">
        <v>6.2360632148312174E-2</v>
      </c>
      <c r="DH26" s="10">
        <f t="shared" si="30"/>
        <v>0.84510888889727576</v>
      </c>
      <c r="DI26" s="10" t="str">
        <f t="shared" si="31"/>
        <v xml:space="preserve"> </v>
      </c>
      <c r="DJ26" s="76"/>
      <c r="DK26" s="27">
        <v>175</v>
      </c>
      <c r="DL26" s="28">
        <v>3.8418757438045801</v>
      </c>
      <c r="DM26" s="29">
        <v>8.2025300742741669E-2</v>
      </c>
      <c r="DN26" s="10"/>
      <c r="DO26" s="42">
        <v>68</v>
      </c>
      <c r="DP26" s="43">
        <v>3.7056278015219788</v>
      </c>
      <c r="DQ26" s="67">
        <v>0.13930761850484072</v>
      </c>
      <c r="DR26" s="10">
        <f t="shared" si="32"/>
        <v>0.84279252056503473</v>
      </c>
      <c r="DS26" s="10" t="str">
        <f t="shared" si="33"/>
        <v xml:space="preserve"> </v>
      </c>
      <c r="DT26" s="10"/>
      <c r="DU26" s="42">
        <v>58.67455413000004</v>
      </c>
      <c r="DV26" s="43">
        <v>3.7681963343110279</v>
      </c>
      <c r="DW26" s="67">
        <v>0.13956898059583223</v>
      </c>
      <c r="DX26" s="10">
        <f t="shared" si="34"/>
        <v>0.45512646921349054</v>
      </c>
      <c r="DY26" s="10" t="str">
        <f t="shared" si="35"/>
        <v xml:space="preserve"> </v>
      </c>
      <c r="DZ26" s="10"/>
      <c r="EA26" s="53">
        <v>65</v>
      </c>
      <c r="EB26" s="55">
        <v>3.7587302372050249</v>
      </c>
      <c r="EC26" s="56">
        <v>0.13088230378921833</v>
      </c>
      <c r="ED26" s="10">
        <f t="shared" si="36"/>
        <v>0.53829306752025752</v>
      </c>
      <c r="EE26" s="10" t="str">
        <f t="shared" si="37"/>
        <v xml:space="preserve"> </v>
      </c>
      <c r="EF26" s="10"/>
      <c r="EG26" s="54">
        <v>53</v>
      </c>
      <c r="EH26" s="57">
        <v>3.716981132075472</v>
      </c>
      <c r="EI26" s="58">
        <v>0.12173090026265809</v>
      </c>
      <c r="EJ26" s="10">
        <f t="shared" si="38"/>
        <v>0.85085334411995706</v>
      </c>
      <c r="EK26" s="10" t="str">
        <f t="shared" si="39"/>
        <v xml:space="preserve"> </v>
      </c>
      <c r="EL26" s="76"/>
      <c r="EM26" s="27">
        <v>416</v>
      </c>
      <c r="EN26" s="28">
        <v>4.1587690930487664</v>
      </c>
      <c r="EO26" s="29">
        <v>4.8426083467060323E-2</v>
      </c>
      <c r="EP26" s="10"/>
      <c r="EQ26" s="42">
        <v>127</v>
      </c>
      <c r="ER26" s="43">
        <v>4.0473614681355743</v>
      </c>
      <c r="ES26" s="67">
        <v>8.9954221735244408E-2</v>
      </c>
      <c r="ET26" s="10">
        <f t="shared" si="40"/>
        <v>1.0905114888890315</v>
      </c>
      <c r="EU26" s="10" t="str">
        <f t="shared" si="41"/>
        <v xml:space="preserve"> </v>
      </c>
      <c r="EV26" s="10"/>
      <c r="EW26" s="42">
        <v>77.275767690000038</v>
      </c>
      <c r="EX26" s="43">
        <v>3.8036351212857156</v>
      </c>
      <c r="EY26" s="67">
        <v>0.12010844309179984</v>
      </c>
      <c r="EZ26" s="10">
        <f t="shared" si="42"/>
        <v>2.7422758425164746</v>
      </c>
      <c r="FA26" s="10" t="str">
        <f t="shared" si="43"/>
        <v>*</v>
      </c>
      <c r="FB26" s="10"/>
      <c r="FC26" s="53">
        <v>125</v>
      </c>
      <c r="FD26" s="55">
        <v>4.0733411050246122</v>
      </c>
      <c r="FE26" s="56">
        <v>8.5652251025863685E-2</v>
      </c>
      <c r="FF26" s="10">
        <f t="shared" si="44"/>
        <v>0.86822290343430608</v>
      </c>
      <c r="FG26" s="10" t="str">
        <f t="shared" si="45"/>
        <v xml:space="preserve"> </v>
      </c>
      <c r="FH26" s="10"/>
      <c r="FI26" s="54">
        <v>178</v>
      </c>
      <c r="FJ26" s="57">
        <v>3.7663700424993469</v>
      </c>
      <c r="FK26" s="58">
        <v>6.439278878544813E-2</v>
      </c>
      <c r="FL26" s="10">
        <f t="shared" si="46"/>
        <v>4.8702903703137457</v>
      </c>
      <c r="FM26" s="10" t="str">
        <f t="shared" si="99"/>
        <v>*</v>
      </c>
      <c r="FN26" s="76"/>
      <c r="FO26" s="27">
        <v>163</v>
      </c>
      <c r="FP26" s="28">
        <v>3.8635469178024664</v>
      </c>
      <c r="FQ26" s="29">
        <v>8.3973093076080904E-2</v>
      </c>
      <c r="FR26" s="67"/>
      <c r="FS26" s="42">
        <v>137</v>
      </c>
      <c r="FT26" s="43">
        <v>3.8702702314022304</v>
      </c>
      <c r="FU26" s="67">
        <v>9.6153224944031099E-2</v>
      </c>
      <c r="FV26" s="10">
        <f t="shared" si="47"/>
        <v>-5.2666027507317796E-2</v>
      </c>
      <c r="FW26" s="10" t="str">
        <f t="shared" si="48"/>
        <v xml:space="preserve"> </v>
      </c>
      <c r="FX26" s="67"/>
      <c r="FY26" s="42">
        <v>160.20733671000008</v>
      </c>
      <c r="FZ26" s="43">
        <v>4.0309579533737461</v>
      </c>
      <c r="GA26" s="67">
        <v>7.6863400270044721E-2</v>
      </c>
      <c r="GB26" s="10">
        <f t="shared" si="49"/>
        <v>-1.470586536105462</v>
      </c>
      <c r="GC26" s="10" t="str">
        <f t="shared" si="50"/>
        <v xml:space="preserve"> </v>
      </c>
      <c r="GD26" s="10"/>
      <c r="GE26" s="53">
        <v>175</v>
      </c>
      <c r="GF26" s="55">
        <v>3.9174249621430572</v>
      </c>
      <c r="GG26" s="56">
        <v>8.1462920203924732E-2</v>
      </c>
      <c r="GH26" s="10">
        <f t="shared" si="51"/>
        <v>-0.46051817937296047</v>
      </c>
      <c r="GI26" s="10" t="str">
        <f t="shared" si="52"/>
        <v xml:space="preserve"> </v>
      </c>
      <c r="GJ26" s="10"/>
      <c r="GK26" s="54">
        <v>167</v>
      </c>
      <c r="GL26" s="57">
        <v>3.8458759785428294</v>
      </c>
      <c r="GM26" s="58">
        <v>8.2779096502928876E-2</v>
      </c>
      <c r="GN26" s="10">
        <f t="shared" si="53"/>
        <v>0.14986214824484623</v>
      </c>
      <c r="GO26" s="10" t="str">
        <f t="shared" si="100"/>
        <v xml:space="preserve"> </v>
      </c>
      <c r="GP26" s="76"/>
      <c r="GQ26" s="27">
        <v>191</v>
      </c>
      <c r="GR26" s="28">
        <v>3.8708780693207263</v>
      </c>
      <c r="GS26" s="29">
        <v>7.6263820525878365E-2</v>
      </c>
      <c r="GT26" s="10"/>
      <c r="GU26" s="42">
        <v>117</v>
      </c>
      <c r="GV26" s="43">
        <v>4.1049393030144259</v>
      </c>
      <c r="GW26" s="67">
        <v>8.6411914293029496E-2</v>
      </c>
      <c r="GX26" s="10">
        <f t="shared" si="54"/>
        <v>-2.0308521619510271</v>
      </c>
      <c r="GY26" s="10" t="str">
        <f t="shared" si="55"/>
        <v>*</v>
      </c>
      <c r="GZ26" s="10"/>
      <c r="HA26" s="42">
        <v>107.07433469999991</v>
      </c>
      <c r="HB26" s="43">
        <v>4.1002315336356681</v>
      </c>
      <c r="HC26" s="67">
        <v>9.8706815203367354E-2</v>
      </c>
      <c r="HD26" s="10">
        <f t="shared" si="56"/>
        <v>-1.8387030368039234</v>
      </c>
      <c r="HE26" s="10" t="str">
        <f t="shared" si="57"/>
        <v xml:space="preserve"> </v>
      </c>
      <c r="HF26" s="10"/>
      <c r="HG26" s="53">
        <v>80</v>
      </c>
      <c r="HH26" s="55">
        <v>4.041759889356757</v>
      </c>
      <c r="HI26" s="56">
        <v>9.3841276526169526E-2</v>
      </c>
      <c r="HJ26" s="10">
        <f t="shared" si="58"/>
        <v>-1.4131465149397278</v>
      </c>
      <c r="HK26" s="10" t="str">
        <f t="shared" si="59"/>
        <v xml:space="preserve"> </v>
      </c>
      <c r="HL26" s="10"/>
      <c r="HM26" s="54">
        <v>128</v>
      </c>
      <c r="HN26" s="57">
        <v>4.0544354838351637</v>
      </c>
      <c r="HO26" s="58">
        <v>8.5484820321712313E-2</v>
      </c>
      <c r="HP26" s="10">
        <f t="shared" si="60"/>
        <v>-1.6022922031392191</v>
      </c>
      <c r="HQ26" s="10" t="str">
        <f t="shared" si="101"/>
        <v xml:space="preserve"> </v>
      </c>
      <c r="HR26" s="76"/>
      <c r="HS26" s="27">
        <v>473</v>
      </c>
      <c r="HT26" s="28">
        <v>3.9227428423694866</v>
      </c>
      <c r="HU26" s="29">
        <v>4.7729796590103402E-2</v>
      </c>
      <c r="HV26" s="10"/>
      <c r="HW26" s="42">
        <v>330</v>
      </c>
      <c r="HX26" s="43">
        <v>3.9075201560641744</v>
      </c>
      <c r="HY26" s="67">
        <v>5.5937256268279389E-2</v>
      </c>
      <c r="HZ26" s="10">
        <f t="shared" si="61"/>
        <v>0.2070182774880098</v>
      </c>
      <c r="IA26" s="10" t="str">
        <f t="shared" si="62"/>
        <v xml:space="preserve"> </v>
      </c>
      <c r="IB26" s="10"/>
      <c r="IC26" s="42">
        <v>343.16499533000086</v>
      </c>
      <c r="ID26" s="43">
        <v>3.9071675065827574</v>
      </c>
      <c r="IE26" s="67">
        <v>5.7521003662968667E-2</v>
      </c>
      <c r="IF26" s="10">
        <f t="shared" si="63"/>
        <v>0.20837992700256988</v>
      </c>
      <c r="IG26" s="10" t="str">
        <f t="shared" si="64"/>
        <v xml:space="preserve"> </v>
      </c>
      <c r="IH26" s="10"/>
      <c r="II26" s="53">
        <v>333</v>
      </c>
      <c r="IJ26" s="55">
        <v>4.057285172144609</v>
      </c>
      <c r="IK26" s="56">
        <v>5.3303167764547764E-2</v>
      </c>
      <c r="IL26" s="10">
        <f t="shared" si="65"/>
        <v>-1.8804035330556808</v>
      </c>
      <c r="IM26" s="10" t="str">
        <f t="shared" si="66"/>
        <v xml:space="preserve"> </v>
      </c>
      <c r="IN26" s="10"/>
      <c r="IO26" s="54">
        <v>369</v>
      </c>
      <c r="IP26" s="57">
        <v>4.0027609052041484</v>
      </c>
      <c r="IQ26" s="58">
        <v>5.4100713044345931E-2</v>
      </c>
      <c r="IR26" s="10">
        <f t="shared" si="67"/>
        <v>-1.1091155788580027</v>
      </c>
      <c r="IS26" s="10" t="str">
        <f t="shared" si="68"/>
        <v xml:space="preserve"> </v>
      </c>
      <c r="IT26" s="76"/>
      <c r="IU26" s="27">
        <v>41</v>
      </c>
      <c r="IV26" s="28">
        <v>4.3414634146341466</v>
      </c>
      <c r="IW26" s="29">
        <v>0.13353618665434905</v>
      </c>
      <c r="IX26" s="10"/>
      <c r="IY26" s="42">
        <v>27</v>
      </c>
      <c r="IZ26" s="43">
        <v>4.5922965116929992</v>
      </c>
      <c r="JA26" s="67">
        <v>0.1533818026098831</v>
      </c>
      <c r="JB26" s="10" t="str">
        <f t="shared" si="69"/>
        <v>NV</v>
      </c>
      <c r="JC26" s="10" t="str">
        <f t="shared" si="70"/>
        <v xml:space="preserve"> </v>
      </c>
      <c r="JD26" s="10"/>
      <c r="JE26" s="42">
        <v>28.713462310000004</v>
      </c>
      <c r="JF26" s="43">
        <v>4.3448275862068959</v>
      </c>
      <c r="JG26" s="67">
        <v>0.16751182992228508</v>
      </c>
      <c r="JH26" s="10" t="str">
        <f t="shared" si="71"/>
        <v>NV</v>
      </c>
      <c r="JI26" s="10" t="str">
        <f t="shared" si="72"/>
        <v xml:space="preserve"> </v>
      </c>
      <c r="JJ26" s="10"/>
      <c r="JK26" s="53">
        <v>26</v>
      </c>
      <c r="JL26" s="55">
        <v>4.1923076923076934</v>
      </c>
      <c r="JM26" s="56">
        <v>0.2316114696298153</v>
      </c>
      <c r="JN26" s="10" t="str">
        <f t="shared" si="73"/>
        <v>NV</v>
      </c>
      <c r="JO26" s="10" t="str">
        <f t="shared" si="74"/>
        <v xml:space="preserve"> </v>
      </c>
      <c r="JP26" s="10"/>
      <c r="JQ26" s="54">
        <v>45</v>
      </c>
      <c r="JR26" s="57">
        <v>4.1555555555555559</v>
      </c>
      <c r="JS26" s="58">
        <v>0.1431830442243584</v>
      </c>
      <c r="JT26" s="10">
        <f t="shared" si="75"/>
        <v>0.94953212124606745</v>
      </c>
      <c r="JU26" s="10" t="str">
        <f t="shared" si="76"/>
        <v xml:space="preserve"> </v>
      </c>
      <c r="JV26" s="76"/>
      <c r="JW26" s="27">
        <v>433</v>
      </c>
      <c r="JX26" s="28">
        <v>3.826883778425326</v>
      </c>
      <c r="JY26" s="29">
        <v>5.4215486530933145E-2</v>
      </c>
      <c r="JZ26" s="10"/>
      <c r="KA26" s="42">
        <v>267</v>
      </c>
      <c r="KB26" s="43">
        <v>3.8165367073582894</v>
      </c>
      <c r="KC26" s="67">
        <v>6.6939041697938462E-2</v>
      </c>
      <c r="KD26" s="10">
        <f t="shared" si="77"/>
        <v>0.12011879429207481</v>
      </c>
      <c r="KE26" s="10" t="str">
        <f t="shared" si="78"/>
        <v xml:space="preserve"> </v>
      </c>
      <c r="KF26" s="10"/>
      <c r="KG26" s="42">
        <v>314.35793911000002</v>
      </c>
      <c r="KH26" s="43">
        <v>4.0759815023206452</v>
      </c>
      <c r="KI26" s="67">
        <v>5.7142455684390456E-2</v>
      </c>
      <c r="KJ26" s="10">
        <f t="shared" si="79"/>
        <v>-3.162376632022478</v>
      </c>
      <c r="KK26" s="10" t="str">
        <f t="shared" si="80"/>
        <v>*</v>
      </c>
      <c r="KL26" s="10"/>
      <c r="KM26" s="53">
        <v>577</v>
      </c>
      <c r="KN26" s="55">
        <v>3.8596918808503347</v>
      </c>
      <c r="KO26" s="56">
        <v>4.4365371083337317E-2</v>
      </c>
      <c r="KP26" s="10">
        <f t="shared" si="81"/>
        <v>-0.46832388325142116</v>
      </c>
      <c r="KQ26" s="10" t="str">
        <f t="shared" si="82"/>
        <v xml:space="preserve"> </v>
      </c>
      <c r="KR26" s="10"/>
      <c r="KS26" s="54">
        <v>572</v>
      </c>
      <c r="KT26" s="57">
        <v>3.7953110409377646</v>
      </c>
      <c r="KU26" s="58">
        <v>4.4543468279511667E-2</v>
      </c>
      <c r="KV26" s="10">
        <f t="shared" si="83"/>
        <v>0.44996417094718594</v>
      </c>
      <c r="KW26" s="10" t="str">
        <f t="shared" si="102"/>
        <v xml:space="preserve"> </v>
      </c>
      <c r="KX26" s="76"/>
      <c r="KY26" s="27">
        <v>159</v>
      </c>
      <c r="KZ26" s="28">
        <v>4.0314465408805038</v>
      </c>
      <c r="LA26" s="29">
        <v>7.8032656729289454E-2</v>
      </c>
      <c r="LB26" s="10"/>
      <c r="LC26" s="42">
        <v>148</v>
      </c>
      <c r="LD26" s="43">
        <v>4.0811133200724363</v>
      </c>
      <c r="LE26" s="67">
        <v>7.7580292961086747E-2</v>
      </c>
      <c r="LF26" s="10">
        <f t="shared" si="84"/>
        <v>-0.45137076376932472</v>
      </c>
      <c r="LG26" s="10" t="str">
        <f t="shared" si="85"/>
        <v xml:space="preserve"> </v>
      </c>
      <c r="LH26" s="10"/>
      <c r="LI26" s="42">
        <v>176.55914927999967</v>
      </c>
      <c r="LJ26" s="43">
        <v>4.1476049363982286</v>
      </c>
      <c r="LK26" s="67">
        <v>6.4548415889992078E-2</v>
      </c>
      <c r="LL26" s="10">
        <f t="shared" si="86"/>
        <v>-1.1470179256029251</v>
      </c>
      <c r="LM26" s="10" t="str">
        <f t="shared" si="87"/>
        <v xml:space="preserve"> </v>
      </c>
      <c r="LN26" s="10"/>
      <c r="LO26" s="53">
        <v>421</v>
      </c>
      <c r="LP26" s="55">
        <v>3.9952494061757728</v>
      </c>
      <c r="LQ26" s="56">
        <v>4.7996655922939883E-2</v>
      </c>
      <c r="LR26" s="10">
        <f t="shared" si="88"/>
        <v>0.39511308895175956</v>
      </c>
      <c r="LS26" s="10" t="str">
        <f t="shared" si="89"/>
        <v xml:space="preserve"> </v>
      </c>
      <c r="LT26" s="10"/>
      <c r="LU26" s="54">
        <v>391</v>
      </c>
      <c r="LV26" s="57">
        <v>3.9999999999999991</v>
      </c>
      <c r="LW26" s="58">
        <v>4.9966892497761643E-2</v>
      </c>
      <c r="LX26" s="10">
        <f t="shared" si="90"/>
        <v>0.33937734964740368</v>
      </c>
      <c r="LY26" s="10" t="str">
        <f t="shared" si="91"/>
        <v xml:space="preserve"> </v>
      </c>
      <c r="LZ26" s="76"/>
      <c r="MA26" s="27">
        <v>174</v>
      </c>
      <c r="MB26" s="28">
        <v>4.1262044524084063</v>
      </c>
      <c r="MC26" s="29">
        <v>7.1348804672770813E-2</v>
      </c>
      <c r="MD26" s="10"/>
      <c r="ME26" s="42">
        <v>121</v>
      </c>
      <c r="MF26" s="43">
        <v>4.273347409316111</v>
      </c>
      <c r="MG26" s="67">
        <v>8.1363339084973452E-2</v>
      </c>
      <c r="MH26" s="10">
        <f t="shared" si="92"/>
        <v>-1.3597187099077135</v>
      </c>
      <c r="MI26" s="10" t="str">
        <f t="shared" si="93"/>
        <v xml:space="preserve"> </v>
      </c>
      <c r="MJ26" s="10"/>
      <c r="MK26" s="42">
        <v>112.64180991000002</v>
      </c>
      <c r="ML26" s="43">
        <v>4.2123706491320876</v>
      </c>
      <c r="MM26" s="67">
        <v>8.6172406909306484E-2</v>
      </c>
      <c r="MN26" s="10">
        <f t="shared" si="94"/>
        <v>-0.77019079485585296</v>
      </c>
      <c r="MO26" s="10" t="str">
        <f t="shared" si="95"/>
        <v xml:space="preserve"> </v>
      </c>
      <c r="MP26" s="10"/>
      <c r="MQ26" s="53">
        <v>175</v>
      </c>
      <c r="MR26" s="55">
        <v>4.0480652214442525</v>
      </c>
      <c r="MS26" s="56">
        <v>7.3575476194206485E-2</v>
      </c>
      <c r="MT26" s="10">
        <f t="shared" si="96"/>
        <v>0.76241550850734818</v>
      </c>
      <c r="MU26" s="10" t="str">
        <f t="shared" si="97"/>
        <v xml:space="preserve"> </v>
      </c>
      <c r="MV26" s="10"/>
      <c r="MW26" s="54">
        <v>190</v>
      </c>
      <c r="MX26" s="57">
        <v>4.0225051009222765</v>
      </c>
      <c r="MY26" s="58">
        <v>7.0584991675958692E-2</v>
      </c>
      <c r="MZ26" s="10">
        <f t="shared" si="98"/>
        <v>1.0332345751669183</v>
      </c>
      <c r="NA26" s="10" t="str">
        <f t="shared" si="103"/>
        <v xml:space="preserve"> </v>
      </c>
      <c r="NB26" s="58"/>
    </row>
    <row r="27" spans="1:366" x14ac:dyDescent="0.2">
      <c r="B27" s="65" t="s">
        <v>29</v>
      </c>
      <c r="C27" s="27">
        <v>349</v>
      </c>
      <c r="D27" s="28">
        <v>3.289521304911653</v>
      </c>
      <c r="E27" s="29">
        <v>6.710253683802693E-2</v>
      </c>
      <c r="F27" s="10"/>
      <c r="G27" s="42">
        <v>95</v>
      </c>
      <c r="H27" s="43">
        <v>2.8206795674574363</v>
      </c>
      <c r="I27" s="67">
        <v>0.13833942240137279</v>
      </c>
      <c r="J27" s="10">
        <f t="shared" si="1"/>
        <v>3.049281459362795</v>
      </c>
      <c r="K27" s="10" t="str">
        <f t="shared" si="2"/>
        <v>*</v>
      </c>
      <c r="L27" s="10"/>
      <c r="M27" s="42">
        <v>112.29182604000009</v>
      </c>
      <c r="N27" s="43">
        <v>3.268518518518519</v>
      </c>
      <c r="O27" s="67">
        <v>9.959057257277662E-2</v>
      </c>
      <c r="P27" s="10">
        <f t="shared" si="3"/>
        <v>0.17489554060488521</v>
      </c>
      <c r="Q27" s="10" t="str">
        <f t="shared" si="4"/>
        <v xml:space="preserve"> </v>
      </c>
      <c r="R27" s="10"/>
      <c r="S27" s="53">
        <v>105</v>
      </c>
      <c r="T27" s="55">
        <v>3.2571428571428571</v>
      </c>
      <c r="U27" s="56">
        <v>0.11101266666791901</v>
      </c>
      <c r="V27" s="10">
        <f t="shared" si="5"/>
        <v>0.24960789730763172</v>
      </c>
      <c r="W27" s="10" t="str">
        <f t="shared" si="6"/>
        <v xml:space="preserve"> </v>
      </c>
      <c r="X27" s="10"/>
      <c r="Y27" s="54">
        <v>151</v>
      </c>
      <c r="Z27" s="57">
        <v>2.9602649006622515</v>
      </c>
      <c r="AA27" s="58">
        <v>8.2861253920630415E-2</v>
      </c>
      <c r="AB27" s="10">
        <f t="shared" si="7"/>
        <v>3.0880057821620679</v>
      </c>
      <c r="AC27" s="10" t="str">
        <f t="shared" si="8"/>
        <v>*</v>
      </c>
      <c r="AD27" s="76"/>
      <c r="AE27" s="27">
        <v>78</v>
      </c>
      <c r="AF27" s="28">
        <v>3.4886074186093383</v>
      </c>
      <c r="AG27" s="29">
        <v>0.1186992940513656</v>
      </c>
      <c r="AH27" s="67"/>
      <c r="AI27" s="42">
        <v>41</v>
      </c>
      <c r="AJ27" s="43">
        <v>3.3660901008791133</v>
      </c>
      <c r="AK27" s="67">
        <v>0.18665345589141688</v>
      </c>
      <c r="AL27" s="10">
        <f t="shared" si="9"/>
        <v>0.55387805054005135</v>
      </c>
      <c r="AM27" s="10" t="str">
        <f t="shared" si="10"/>
        <v xml:space="preserve"> </v>
      </c>
      <c r="AN27" s="67"/>
      <c r="AO27" s="42">
        <v>84.410128080000007</v>
      </c>
      <c r="AP27" s="43">
        <v>3.6111830420527897</v>
      </c>
      <c r="AQ27" s="67">
        <v>8.9472811293270491E-2</v>
      </c>
      <c r="AR27" s="10">
        <f t="shared" si="11"/>
        <v>-0.82462790700063093</v>
      </c>
      <c r="AS27" s="10" t="str">
        <f t="shared" si="12"/>
        <v xml:space="preserve"> </v>
      </c>
      <c r="AT27" s="10"/>
      <c r="AU27" s="53">
        <v>105</v>
      </c>
      <c r="AV27" s="55">
        <v>3.4876271180943572</v>
      </c>
      <c r="AW27" s="56">
        <v>0.11293240609406731</v>
      </c>
      <c r="AX27" s="10">
        <f t="shared" si="13"/>
        <v>5.9833123703794937E-3</v>
      </c>
      <c r="AY27" s="10" t="str">
        <f t="shared" si="14"/>
        <v xml:space="preserve"> </v>
      </c>
      <c r="AZ27" s="10"/>
      <c r="BA27" s="54">
        <v>72</v>
      </c>
      <c r="BB27" s="57">
        <v>3.0720555252795587</v>
      </c>
      <c r="BC27" s="58">
        <v>0.11913835132554802</v>
      </c>
      <c r="BD27" s="10">
        <f t="shared" si="15"/>
        <v>2.4768674962103119</v>
      </c>
      <c r="BE27" s="10" t="str">
        <f t="shared" si="16"/>
        <v>*</v>
      </c>
      <c r="BF27" s="76"/>
      <c r="BG27" s="27">
        <v>931</v>
      </c>
      <c r="BH27" s="28">
        <v>3.6193053957558834</v>
      </c>
      <c r="BI27" s="29">
        <v>3.6859986252267794E-2</v>
      </c>
      <c r="BJ27" s="10"/>
      <c r="BK27" s="42">
        <v>291</v>
      </c>
      <c r="BL27" s="43">
        <v>3.5811346190965434</v>
      </c>
      <c r="BM27" s="67">
        <v>6.6837814687841335E-2</v>
      </c>
      <c r="BN27" s="10">
        <f t="shared" si="17"/>
        <v>0.50008927805188041</v>
      </c>
      <c r="BO27" s="10" t="str">
        <f t="shared" si="18"/>
        <v xml:space="preserve"> </v>
      </c>
      <c r="BP27" s="10"/>
      <c r="BQ27" s="42">
        <v>334.50837281999924</v>
      </c>
      <c r="BR27" s="43">
        <v>3.9167519341736035</v>
      </c>
      <c r="BS27" s="67">
        <v>3.5111906192857319E-2</v>
      </c>
      <c r="BT27" s="10">
        <f t="shared" si="19"/>
        <v>-5.8429602509730261</v>
      </c>
      <c r="BU27" s="10" t="str">
        <f t="shared" si="20"/>
        <v>*</v>
      </c>
      <c r="BV27" s="10"/>
      <c r="BW27" s="53">
        <v>332</v>
      </c>
      <c r="BX27" s="55">
        <v>4.0110244818248093</v>
      </c>
      <c r="BY27" s="56">
        <v>2.4044347628357433E-2</v>
      </c>
      <c r="BZ27" s="10">
        <f t="shared" si="21"/>
        <v>-8.9008923953987633</v>
      </c>
      <c r="CA27" s="10" t="str">
        <f t="shared" si="22"/>
        <v>*</v>
      </c>
      <c r="CB27" s="10"/>
      <c r="CC27" s="54">
        <v>335</v>
      </c>
      <c r="CD27" s="57">
        <v>3.7207056438321446</v>
      </c>
      <c r="CE27" s="58">
        <v>5.3164807768217789E-2</v>
      </c>
      <c r="CF27" s="10">
        <f t="shared" si="23"/>
        <v>-1.5674122069628555</v>
      </c>
      <c r="CG27" s="10" t="str">
        <f t="shared" si="24"/>
        <v xml:space="preserve"> </v>
      </c>
      <c r="CH27" s="76"/>
      <c r="CI27" s="27">
        <v>532</v>
      </c>
      <c r="CJ27" s="28">
        <v>3.7580222826199035</v>
      </c>
      <c r="CK27" s="29">
        <v>4.7703711753063302E-2</v>
      </c>
      <c r="CL27" s="67"/>
      <c r="CM27" s="42">
        <v>179</v>
      </c>
      <c r="CN27" s="43">
        <v>3.771864328795806</v>
      </c>
      <c r="CO27" s="67">
        <v>8.6520242444047657E-2</v>
      </c>
      <c r="CP27" s="10">
        <f t="shared" si="25"/>
        <v>-0.14010199434416168</v>
      </c>
      <c r="CQ27" s="10" t="str">
        <f t="shared" si="26"/>
        <v xml:space="preserve"> </v>
      </c>
      <c r="CR27" s="10"/>
      <c r="CS27" s="42">
        <v>179.81062382999963</v>
      </c>
      <c r="CT27" s="43">
        <v>4.0203144185932729</v>
      </c>
      <c r="CU27" s="67">
        <v>6.9653934925978947E-2</v>
      </c>
      <c r="CV27" s="10">
        <f t="shared" si="27"/>
        <v>-3.1068644106448557</v>
      </c>
      <c r="CW27" s="10" t="str">
        <f t="shared" si="28"/>
        <v>*</v>
      </c>
      <c r="CX27" s="10"/>
      <c r="CY27" s="53">
        <v>153</v>
      </c>
      <c r="CZ27" s="55">
        <v>3.921921435181583</v>
      </c>
      <c r="DA27" s="56">
        <v>8.2870236252920254E-2</v>
      </c>
      <c r="DB27" s="10">
        <f t="shared" si="29"/>
        <v>-1.7140737109186108</v>
      </c>
      <c r="DC27" s="10" t="str">
        <f t="shared" si="0"/>
        <v xml:space="preserve"> </v>
      </c>
      <c r="DD27" s="10"/>
      <c r="DE27" s="54">
        <v>213</v>
      </c>
      <c r="DF27" s="57">
        <v>3.7490472350714321</v>
      </c>
      <c r="DG27" s="58">
        <v>6.4659968425539449E-2</v>
      </c>
      <c r="DH27" s="10">
        <f t="shared" si="30"/>
        <v>0.11169566275314895</v>
      </c>
      <c r="DI27" s="10" t="str">
        <f t="shared" si="31"/>
        <v xml:space="preserve"> </v>
      </c>
      <c r="DJ27" s="76"/>
      <c r="DK27" s="27">
        <v>166</v>
      </c>
      <c r="DL27" s="28">
        <v>3.202832285992725</v>
      </c>
      <c r="DM27" s="29">
        <v>9.5316430153405587E-2</v>
      </c>
      <c r="DN27" s="10"/>
      <c r="DO27" s="42">
        <v>68</v>
      </c>
      <c r="DP27" s="43">
        <v>2.8388078095846012</v>
      </c>
      <c r="DQ27" s="67">
        <v>0.15365474926214071</v>
      </c>
      <c r="DR27" s="10">
        <f t="shared" si="32"/>
        <v>2.0132137578464868</v>
      </c>
      <c r="DS27" s="10" t="str">
        <f t="shared" si="33"/>
        <v>*</v>
      </c>
      <c r="DT27" s="10"/>
      <c r="DU27" s="42">
        <v>81.519092250000028</v>
      </c>
      <c r="DV27" s="43">
        <v>3.2361267121445416</v>
      </c>
      <c r="DW27" s="67">
        <v>0.12753470129694477</v>
      </c>
      <c r="DX27" s="10">
        <f t="shared" si="34"/>
        <v>-0.20911240402720715</v>
      </c>
      <c r="DY27" s="10" t="str">
        <f t="shared" si="35"/>
        <v xml:space="preserve"> </v>
      </c>
      <c r="DZ27" s="10"/>
      <c r="EA27" s="53">
        <v>70</v>
      </c>
      <c r="EB27" s="55">
        <v>2.8041306926679681</v>
      </c>
      <c r="EC27" s="56">
        <v>0.13833924310926388</v>
      </c>
      <c r="ED27" s="10">
        <f t="shared" si="36"/>
        <v>2.373267157266064</v>
      </c>
      <c r="EE27" s="10" t="str">
        <f t="shared" si="37"/>
        <v>*</v>
      </c>
      <c r="EF27" s="10"/>
      <c r="EG27" s="54">
        <v>53</v>
      </c>
      <c r="EH27" s="57">
        <v>3.0754716981132084</v>
      </c>
      <c r="EI27" s="58">
        <v>0.15074467547121076</v>
      </c>
      <c r="EJ27" s="10">
        <f t="shared" si="38"/>
        <v>0.71409965745492276</v>
      </c>
      <c r="EK27" s="10" t="str">
        <f t="shared" si="39"/>
        <v xml:space="preserve"> </v>
      </c>
      <c r="EL27" s="76"/>
      <c r="EM27" s="27">
        <v>373</v>
      </c>
      <c r="EN27" s="28">
        <v>3.7221463255736356</v>
      </c>
      <c r="EO27" s="29">
        <v>5.7927436460235113E-2</v>
      </c>
      <c r="EP27" s="10"/>
      <c r="EQ27" s="42">
        <v>117</v>
      </c>
      <c r="ER27" s="43">
        <v>3.7177792348268879</v>
      </c>
      <c r="ES27" s="67">
        <v>9.6180398596741379E-2</v>
      </c>
      <c r="ET27" s="10">
        <f t="shared" si="40"/>
        <v>3.8895480296224659E-2</v>
      </c>
      <c r="EU27" s="10" t="str">
        <f t="shared" si="41"/>
        <v xml:space="preserve"> </v>
      </c>
      <c r="EV27" s="10"/>
      <c r="EW27" s="42">
        <v>144.9681017399999</v>
      </c>
      <c r="EX27" s="43">
        <v>3.4973811053918542</v>
      </c>
      <c r="EY27" s="67">
        <v>7.2923743711675218E-2</v>
      </c>
      <c r="EZ27" s="10">
        <f t="shared" si="42"/>
        <v>2.4134200297519772</v>
      </c>
      <c r="FA27" s="10" t="str">
        <f t="shared" si="43"/>
        <v>*</v>
      </c>
      <c r="FB27" s="10"/>
      <c r="FC27" s="53">
        <v>123</v>
      </c>
      <c r="FD27" s="55">
        <v>3.586442430086191</v>
      </c>
      <c r="FE27" s="56">
        <v>8.8788421373866611E-2</v>
      </c>
      <c r="FF27" s="10">
        <f t="shared" si="44"/>
        <v>1.2800561675333761</v>
      </c>
      <c r="FG27" s="10" t="str">
        <f t="shared" si="45"/>
        <v xml:space="preserve"> </v>
      </c>
      <c r="FH27" s="10"/>
      <c r="FI27" s="54">
        <v>156</v>
      </c>
      <c r="FJ27" s="57">
        <v>3.229449287915386</v>
      </c>
      <c r="FK27" s="58">
        <v>6.844858238057476E-2</v>
      </c>
      <c r="FL27" s="10">
        <f t="shared" si="46"/>
        <v>5.4945283728083298</v>
      </c>
      <c r="FM27" s="10" t="str">
        <f t="shared" si="99"/>
        <v>*</v>
      </c>
      <c r="FN27" s="76"/>
      <c r="FO27" s="27">
        <v>155</v>
      </c>
      <c r="FP27" s="28">
        <v>3.0966653815061425</v>
      </c>
      <c r="FQ27" s="29">
        <v>9.9115532285024011E-2</v>
      </c>
      <c r="FR27" s="67"/>
      <c r="FS27" s="42">
        <v>123</v>
      </c>
      <c r="FT27" s="43">
        <v>3.3015323483774401</v>
      </c>
      <c r="FU27" s="67">
        <v>0.11448145527106611</v>
      </c>
      <c r="FV27" s="10">
        <f t="shared" si="47"/>
        <v>-1.3529163017322055</v>
      </c>
      <c r="FW27" s="10" t="str">
        <f t="shared" si="48"/>
        <v xml:space="preserve"> </v>
      </c>
      <c r="FX27" s="67"/>
      <c r="FY27" s="42">
        <v>136.43983407999991</v>
      </c>
      <c r="FZ27" s="43">
        <v>3.379781522891748</v>
      </c>
      <c r="GA27" s="67">
        <v>0.10432900707911996</v>
      </c>
      <c r="GB27" s="10">
        <f t="shared" si="49"/>
        <v>-1.9673926232838912</v>
      </c>
      <c r="GC27" s="10" t="str">
        <f t="shared" si="50"/>
        <v>*</v>
      </c>
      <c r="GD27" s="10"/>
      <c r="GE27" s="53">
        <v>171</v>
      </c>
      <c r="GF27" s="55">
        <v>3.0855460522723011</v>
      </c>
      <c r="GG27" s="56">
        <v>0.10082609305432343</v>
      </c>
      <c r="GH27" s="10">
        <f t="shared" si="51"/>
        <v>7.8645608320310728E-2</v>
      </c>
      <c r="GI27" s="10" t="str">
        <f t="shared" si="52"/>
        <v xml:space="preserve"> </v>
      </c>
      <c r="GJ27" s="10"/>
      <c r="GK27" s="54">
        <v>137</v>
      </c>
      <c r="GL27" s="57">
        <v>3.2625411936698296</v>
      </c>
      <c r="GM27" s="58">
        <v>0.10511329263127164</v>
      </c>
      <c r="GN27" s="10">
        <f t="shared" si="53"/>
        <v>-1.1481372814467874</v>
      </c>
      <c r="GO27" s="10" t="str">
        <f t="shared" si="100"/>
        <v xml:space="preserve"> </v>
      </c>
      <c r="GP27" s="76"/>
      <c r="GQ27" s="27">
        <v>153</v>
      </c>
      <c r="GR27" s="28">
        <v>3.1390256826249261</v>
      </c>
      <c r="GS27" s="29">
        <v>0.10041207206803085</v>
      </c>
      <c r="GT27" s="10"/>
      <c r="GU27" s="42">
        <v>95</v>
      </c>
      <c r="GV27" s="43">
        <v>3.1531678916988266</v>
      </c>
      <c r="GW27" s="67">
        <v>0.13444176002356306</v>
      </c>
      <c r="GX27" s="10">
        <f t="shared" si="54"/>
        <v>-8.4279653967968382E-2</v>
      </c>
      <c r="GY27" s="10" t="str">
        <f t="shared" si="55"/>
        <v xml:space="preserve"> </v>
      </c>
      <c r="GZ27" s="10"/>
      <c r="HA27" s="42">
        <v>91.545438269999934</v>
      </c>
      <c r="HB27" s="43">
        <v>3.0600967803963521</v>
      </c>
      <c r="HC27" s="67">
        <v>0.13809431488584042</v>
      </c>
      <c r="HD27" s="10">
        <f t="shared" si="56"/>
        <v>0.46227162519756587</v>
      </c>
      <c r="HE27" s="10" t="str">
        <f t="shared" si="57"/>
        <v xml:space="preserve"> </v>
      </c>
      <c r="HF27" s="10"/>
      <c r="HG27" s="53">
        <v>65</v>
      </c>
      <c r="HH27" s="55">
        <v>3.5033915987875646</v>
      </c>
      <c r="HI27" s="56">
        <v>0.12055292678638091</v>
      </c>
      <c r="HJ27" s="10">
        <f t="shared" si="58"/>
        <v>-2.3223763451306993</v>
      </c>
      <c r="HK27" s="10" t="str">
        <f t="shared" si="59"/>
        <v>*</v>
      </c>
      <c r="HL27" s="10"/>
      <c r="HM27" s="54">
        <v>107</v>
      </c>
      <c r="HN27" s="57">
        <v>3.309283309406867</v>
      </c>
      <c r="HO27" s="58">
        <v>0.11608411496278864</v>
      </c>
      <c r="HP27" s="10">
        <f t="shared" si="60"/>
        <v>-1.1092677581737853</v>
      </c>
      <c r="HQ27" s="10" t="str">
        <f t="shared" si="101"/>
        <v xml:space="preserve"> </v>
      </c>
      <c r="HR27" s="76"/>
      <c r="HS27" s="27">
        <v>458</v>
      </c>
      <c r="HT27" s="28">
        <v>3.8161596147432841</v>
      </c>
      <c r="HU27" s="29">
        <v>5.2044751650581741E-2</v>
      </c>
      <c r="HV27" s="10"/>
      <c r="HW27" s="42">
        <v>333</v>
      </c>
      <c r="HX27" s="43">
        <v>3.6454958838353444</v>
      </c>
      <c r="HY27" s="67">
        <v>6.5458193586432595E-2</v>
      </c>
      <c r="HZ27" s="10">
        <f t="shared" si="61"/>
        <v>2.0407794840916531</v>
      </c>
      <c r="IA27" s="10" t="str">
        <f t="shared" si="62"/>
        <v>*</v>
      </c>
      <c r="IB27" s="10"/>
      <c r="IC27" s="42">
        <v>310.33227129000085</v>
      </c>
      <c r="ID27" s="43">
        <v>3.7867009779716283</v>
      </c>
      <c r="IE27" s="67">
        <v>6.2169173162205098E-2</v>
      </c>
      <c r="IF27" s="10">
        <f t="shared" si="63"/>
        <v>0.36333643590860037</v>
      </c>
      <c r="IG27" s="10" t="str">
        <f t="shared" si="64"/>
        <v xml:space="preserve"> </v>
      </c>
      <c r="IH27" s="10"/>
      <c r="II27" s="53">
        <v>309</v>
      </c>
      <c r="IJ27" s="55">
        <v>3.9336875368398907</v>
      </c>
      <c r="IK27" s="56">
        <v>6.1390387623338261E-2</v>
      </c>
      <c r="IL27" s="10">
        <f t="shared" si="65"/>
        <v>-1.460291297237811</v>
      </c>
      <c r="IM27" s="10" t="str">
        <f t="shared" si="66"/>
        <v xml:space="preserve"> </v>
      </c>
      <c r="IN27" s="10"/>
      <c r="IO27" s="54">
        <v>330</v>
      </c>
      <c r="IP27" s="57">
        <v>3.8361642989220064</v>
      </c>
      <c r="IQ27" s="58">
        <v>6.1211011134756667E-2</v>
      </c>
      <c r="IR27" s="10">
        <f t="shared" si="67"/>
        <v>-0.24898239399461472</v>
      </c>
      <c r="IS27" s="10" t="str">
        <f t="shared" si="68"/>
        <v xml:space="preserve"> </v>
      </c>
      <c r="IT27" s="76"/>
      <c r="IU27" s="27">
        <v>33</v>
      </c>
      <c r="IV27" s="28">
        <v>3.6363636363636371</v>
      </c>
      <c r="IW27" s="29">
        <v>0.21689700645826218</v>
      </c>
      <c r="IX27" s="10"/>
      <c r="IY27" s="42">
        <v>24</v>
      </c>
      <c r="IZ27" s="43">
        <v>3.1685761043261542</v>
      </c>
      <c r="JA27" s="67">
        <v>0.29293467233427772</v>
      </c>
      <c r="JB27" s="10" t="str">
        <f t="shared" si="69"/>
        <v>NV</v>
      </c>
      <c r="JC27" s="10" t="str">
        <f t="shared" si="70"/>
        <v xml:space="preserve"> </v>
      </c>
      <c r="JD27" s="10"/>
      <c r="JE27" s="42">
        <v>26.733223530000004</v>
      </c>
      <c r="JF27" s="43">
        <v>3.7037037037037037</v>
      </c>
      <c r="JG27" s="67">
        <v>0.2725966575855609</v>
      </c>
      <c r="JH27" s="10" t="str">
        <f t="shared" si="71"/>
        <v>NV</v>
      </c>
      <c r="JI27" s="10" t="str">
        <f t="shared" si="72"/>
        <v xml:space="preserve"> </v>
      </c>
      <c r="JJ27" s="10"/>
      <c r="JK27" s="53">
        <v>25</v>
      </c>
      <c r="JL27" s="55">
        <v>2.92</v>
      </c>
      <c r="JM27" s="56">
        <v>0.25417931452859988</v>
      </c>
      <c r="JN27" s="10" t="str">
        <f t="shared" si="73"/>
        <v>NV</v>
      </c>
      <c r="JO27" s="10" t="str">
        <f t="shared" si="74"/>
        <v xml:space="preserve"> </v>
      </c>
      <c r="JP27" s="10"/>
      <c r="JQ27" s="54">
        <v>43</v>
      </c>
      <c r="JR27" s="57">
        <v>2.8837209302325579</v>
      </c>
      <c r="JS27" s="58">
        <v>0.21005792597765358</v>
      </c>
      <c r="JT27" s="10">
        <f t="shared" si="75"/>
        <v>2.4926775961658802</v>
      </c>
      <c r="JU27" s="10" t="str">
        <f t="shared" si="76"/>
        <v>*</v>
      </c>
      <c r="JV27" s="76"/>
      <c r="JW27" s="27">
        <v>390</v>
      </c>
      <c r="JX27" s="28">
        <v>2.9585499046657731</v>
      </c>
      <c r="JY27" s="29">
        <v>6.6412675339074412E-2</v>
      </c>
      <c r="JZ27" s="10"/>
      <c r="KA27" s="42">
        <v>242</v>
      </c>
      <c r="KB27" s="43">
        <v>2.7320399381669258</v>
      </c>
      <c r="KC27" s="67">
        <v>8.5438403713718372E-2</v>
      </c>
      <c r="KD27" s="10">
        <f t="shared" si="77"/>
        <v>2.0931584892846469</v>
      </c>
      <c r="KE27" s="10" t="str">
        <f t="shared" si="78"/>
        <v>*</v>
      </c>
      <c r="KF27" s="10"/>
      <c r="KG27" s="42">
        <v>264.72944648999913</v>
      </c>
      <c r="KH27" s="43">
        <v>3.1286900829571564</v>
      </c>
      <c r="KI27" s="67">
        <v>7.6429788098215018E-2</v>
      </c>
      <c r="KJ27" s="10">
        <f t="shared" si="79"/>
        <v>-1.6803481863549692</v>
      </c>
      <c r="KK27" s="10" t="str">
        <f t="shared" si="80"/>
        <v xml:space="preserve"> </v>
      </c>
      <c r="KL27" s="10"/>
      <c r="KM27" s="53">
        <v>531</v>
      </c>
      <c r="KN27" s="55">
        <v>2.8655823724858198</v>
      </c>
      <c r="KO27" s="56">
        <v>5.7084406861109147E-2</v>
      </c>
      <c r="KP27" s="10">
        <f t="shared" si="81"/>
        <v>1.0615836115977741</v>
      </c>
      <c r="KQ27" s="10" t="str">
        <f t="shared" si="82"/>
        <v xml:space="preserve"> </v>
      </c>
      <c r="KR27" s="10"/>
      <c r="KS27" s="54">
        <v>541</v>
      </c>
      <c r="KT27" s="57">
        <v>2.881435503520676</v>
      </c>
      <c r="KU27" s="58">
        <v>5.5411601623006498E-2</v>
      </c>
      <c r="KV27" s="10">
        <f t="shared" si="83"/>
        <v>0.89156513813435234</v>
      </c>
      <c r="KW27" s="10" t="str">
        <f t="shared" si="102"/>
        <v xml:space="preserve"> </v>
      </c>
      <c r="KX27" s="76"/>
      <c r="KY27" s="27">
        <v>145</v>
      </c>
      <c r="KZ27" s="28">
        <v>3.5518313205701944</v>
      </c>
      <c r="LA27" s="29">
        <v>0.10899546191105482</v>
      </c>
      <c r="LB27" s="10"/>
      <c r="LC27" s="42">
        <v>159</v>
      </c>
      <c r="LD27" s="43">
        <v>3.5661238588510455</v>
      </c>
      <c r="LE27" s="67">
        <v>9.5442315346271206E-2</v>
      </c>
      <c r="LF27" s="10">
        <f t="shared" si="84"/>
        <v>-9.8653146721870699E-2</v>
      </c>
      <c r="LG27" s="10" t="str">
        <f t="shared" si="85"/>
        <v xml:space="preserve"> </v>
      </c>
      <c r="LH27" s="10"/>
      <c r="LI27" s="42">
        <v>157.74688086999987</v>
      </c>
      <c r="LJ27" s="43">
        <v>3.768772172870666</v>
      </c>
      <c r="LK27" s="67">
        <v>8.7372243716608539E-2</v>
      </c>
      <c r="LL27" s="10">
        <f t="shared" si="86"/>
        <v>-1.5529915239327137</v>
      </c>
      <c r="LM27" s="10" t="str">
        <f t="shared" si="87"/>
        <v xml:space="preserve"> </v>
      </c>
      <c r="LN27" s="10"/>
      <c r="LO27" s="53">
        <v>395</v>
      </c>
      <c r="LP27" s="55">
        <v>3.6303797468354428</v>
      </c>
      <c r="LQ27" s="56">
        <v>5.6768603084260003E-2</v>
      </c>
      <c r="LR27" s="10">
        <f t="shared" si="88"/>
        <v>-0.63916120364936424</v>
      </c>
      <c r="LS27" s="10" t="str">
        <f t="shared" si="89"/>
        <v xml:space="preserve"> </v>
      </c>
      <c r="LT27" s="10"/>
      <c r="LU27" s="54">
        <v>391</v>
      </c>
      <c r="LV27" s="57">
        <v>3.6569667574695375</v>
      </c>
      <c r="LW27" s="58">
        <v>5.9995384752119178E-2</v>
      </c>
      <c r="LX27" s="10">
        <f t="shared" si="90"/>
        <v>-0.84502832004330897</v>
      </c>
      <c r="LY27" s="10" t="str">
        <f t="shared" si="91"/>
        <v xml:space="preserve"> </v>
      </c>
      <c r="LZ27" s="76"/>
      <c r="MA27" s="27">
        <v>169</v>
      </c>
      <c r="MB27" s="28">
        <v>3.6031028271566004</v>
      </c>
      <c r="MC27" s="29">
        <v>8.4446042662630061E-2</v>
      </c>
      <c r="MD27" s="10"/>
      <c r="ME27" s="42">
        <v>113</v>
      </c>
      <c r="MF27" s="43">
        <v>3.7162232656491225</v>
      </c>
      <c r="MG27" s="67">
        <v>0.11898465487595407</v>
      </c>
      <c r="MH27" s="10">
        <f t="shared" si="92"/>
        <v>-0.77529811913172475</v>
      </c>
      <c r="MI27" s="10" t="str">
        <f t="shared" si="93"/>
        <v xml:space="preserve"> </v>
      </c>
      <c r="MJ27" s="10"/>
      <c r="MK27" s="42">
        <v>100.95575197000001</v>
      </c>
      <c r="ML27" s="43">
        <v>3.7520254536122004</v>
      </c>
      <c r="MM27" s="67">
        <v>0.10893334793291756</v>
      </c>
      <c r="MN27" s="10">
        <f t="shared" si="94"/>
        <v>-1.0804662888748284</v>
      </c>
      <c r="MO27" s="10" t="str">
        <f t="shared" si="95"/>
        <v xml:space="preserve"> </v>
      </c>
      <c r="MP27" s="10"/>
      <c r="MQ27" s="53">
        <v>160</v>
      </c>
      <c r="MR27" s="55">
        <v>3.6014841969678821</v>
      </c>
      <c r="MS27" s="56">
        <v>9.1870074293392792E-2</v>
      </c>
      <c r="MT27" s="10">
        <f t="shared" si="96"/>
        <v>1.2971373708212596E-2</v>
      </c>
      <c r="MU27" s="10" t="str">
        <f t="shared" si="97"/>
        <v xml:space="preserve"> </v>
      </c>
      <c r="MV27" s="10"/>
      <c r="MW27" s="54">
        <v>172</v>
      </c>
      <c r="MX27" s="57">
        <v>3.5204458356877493</v>
      </c>
      <c r="MY27" s="58">
        <v>8.141730402413079E-2</v>
      </c>
      <c r="MZ27" s="10">
        <f t="shared" si="98"/>
        <v>0.70464726937329092</v>
      </c>
      <c r="NA27" s="10" t="str">
        <f t="shared" si="103"/>
        <v xml:space="preserve"> </v>
      </c>
      <c r="NB27" s="58"/>
    </row>
    <row r="28" spans="1:366" x14ac:dyDescent="0.2">
      <c r="B28" s="65" t="s">
        <v>30</v>
      </c>
      <c r="C28" s="27">
        <v>338</v>
      </c>
      <c r="D28" s="28">
        <v>2.7162058633841242</v>
      </c>
      <c r="E28" s="29">
        <v>7.4724623333032064E-2</v>
      </c>
      <c r="F28" s="10"/>
      <c r="G28" s="42">
        <v>98</v>
      </c>
      <c r="H28" s="43">
        <v>2.4593317255248697</v>
      </c>
      <c r="I28" s="67">
        <v>0.12858151317533292</v>
      </c>
      <c r="J28" s="10">
        <f t="shared" si="1"/>
        <v>1.7272592193733882</v>
      </c>
      <c r="K28" s="10" t="str">
        <f t="shared" si="2"/>
        <v xml:space="preserve"> </v>
      </c>
      <c r="L28" s="10"/>
      <c r="M28" s="42">
        <v>111.25208691000009</v>
      </c>
      <c r="N28" s="43">
        <v>2.3177570093457942</v>
      </c>
      <c r="O28" s="67">
        <v>9.8817507331068227E-2</v>
      </c>
      <c r="P28" s="10">
        <f t="shared" si="3"/>
        <v>3.2161568482997045</v>
      </c>
      <c r="Q28" s="10" t="str">
        <f t="shared" si="4"/>
        <v>*</v>
      </c>
      <c r="R28" s="10"/>
      <c r="S28" s="53">
        <v>103</v>
      </c>
      <c r="T28" s="55">
        <v>2.5242718446601939</v>
      </c>
      <c r="U28" s="56">
        <v>0.11156154422018771</v>
      </c>
      <c r="V28" s="10">
        <f t="shared" si="5"/>
        <v>1.4294110484137283</v>
      </c>
      <c r="W28" s="10" t="str">
        <f t="shared" si="6"/>
        <v xml:space="preserve"> </v>
      </c>
      <c r="X28" s="10"/>
      <c r="Y28" s="54">
        <v>143</v>
      </c>
      <c r="Z28" s="57">
        <v>2.5664335664335653</v>
      </c>
      <c r="AA28" s="58">
        <v>8.7352782191307238E-2</v>
      </c>
      <c r="AB28" s="10">
        <f t="shared" si="7"/>
        <v>1.3028960653204553</v>
      </c>
      <c r="AC28" s="10" t="str">
        <f t="shared" si="8"/>
        <v xml:space="preserve"> </v>
      </c>
      <c r="AD28" s="76"/>
      <c r="AE28" s="27">
        <v>81</v>
      </c>
      <c r="AF28" s="28">
        <v>2.988325018221071</v>
      </c>
      <c r="AG28" s="29">
        <v>0.13005041982013832</v>
      </c>
      <c r="AH28" s="67"/>
      <c r="AI28" s="42">
        <v>41</v>
      </c>
      <c r="AJ28" s="43">
        <v>2.5857441614065815</v>
      </c>
      <c r="AK28" s="67">
        <v>0.2028403807891796</v>
      </c>
      <c r="AL28" s="10">
        <f t="shared" si="9"/>
        <v>1.6708004502038274</v>
      </c>
      <c r="AM28" s="10" t="str">
        <f t="shared" si="10"/>
        <v xml:space="preserve"> </v>
      </c>
      <c r="AN28" s="67"/>
      <c r="AO28" s="42">
        <v>85.365499170000007</v>
      </c>
      <c r="AP28" s="43">
        <v>2.6125695548955115</v>
      </c>
      <c r="AQ28" s="67">
        <v>0.12065262012227175</v>
      </c>
      <c r="AR28" s="10">
        <f t="shared" si="11"/>
        <v>2.118145472892949</v>
      </c>
      <c r="AS28" s="10" t="str">
        <f t="shared" si="12"/>
        <v>*</v>
      </c>
      <c r="AT28" s="10"/>
      <c r="AU28" s="53">
        <v>101</v>
      </c>
      <c r="AV28" s="55">
        <v>2.590282800766063</v>
      </c>
      <c r="AW28" s="56">
        <v>0.10963824584331487</v>
      </c>
      <c r="AX28" s="10">
        <f t="shared" si="13"/>
        <v>2.3400625984589256</v>
      </c>
      <c r="AY28" s="10" t="str">
        <f t="shared" si="14"/>
        <v>*</v>
      </c>
      <c r="AZ28" s="10"/>
      <c r="BA28" s="54">
        <v>70</v>
      </c>
      <c r="BB28" s="57">
        <v>2.1544463753559504</v>
      </c>
      <c r="BC28" s="58">
        <v>0.10802472641950198</v>
      </c>
      <c r="BD28" s="10">
        <f t="shared" si="15"/>
        <v>4.9323410697403425</v>
      </c>
      <c r="BE28" s="10" t="str">
        <f t="shared" si="16"/>
        <v>*</v>
      </c>
      <c r="BF28" s="76"/>
      <c r="BG28" s="27">
        <v>905</v>
      </c>
      <c r="BH28" s="28">
        <v>2.8356179096788345</v>
      </c>
      <c r="BI28" s="29">
        <v>4.2362147508870678E-2</v>
      </c>
      <c r="BJ28" s="10"/>
      <c r="BK28" s="42">
        <v>283</v>
      </c>
      <c r="BL28" s="43">
        <v>2.8367214793795386</v>
      </c>
      <c r="BM28" s="67">
        <v>7.0697045257907487E-2</v>
      </c>
      <c r="BN28" s="10">
        <f t="shared" si="17"/>
        <v>-1.3390012686224155E-2</v>
      </c>
      <c r="BO28" s="10" t="str">
        <f t="shared" si="18"/>
        <v xml:space="preserve"> </v>
      </c>
      <c r="BP28" s="10"/>
      <c r="BQ28" s="42">
        <v>328.35430607999928</v>
      </c>
      <c r="BR28" s="43">
        <v>2.446040758711161</v>
      </c>
      <c r="BS28" s="67">
        <v>4.2880002603001455E-2</v>
      </c>
      <c r="BT28" s="10">
        <f t="shared" si="19"/>
        <v>6.4631772333607884</v>
      </c>
      <c r="BU28" s="10" t="str">
        <f t="shared" si="20"/>
        <v>*</v>
      </c>
      <c r="BV28" s="10"/>
      <c r="BW28" s="53">
        <v>330</v>
      </c>
      <c r="BX28" s="55">
        <v>2.3554088991534345</v>
      </c>
      <c r="BY28" s="56">
        <v>4.0281208535855012E-2</v>
      </c>
      <c r="BZ28" s="10">
        <f t="shared" si="21"/>
        <v>8.2148516604451487</v>
      </c>
      <c r="CA28" s="10" t="str">
        <f t="shared" si="22"/>
        <v>*</v>
      </c>
      <c r="CB28" s="10"/>
      <c r="CC28" s="54">
        <v>329</v>
      </c>
      <c r="CD28" s="57">
        <v>2.6852787293412117</v>
      </c>
      <c r="CE28" s="58">
        <v>6.2423716659708292E-2</v>
      </c>
      <c r="CF28" s="10">
        <f t="shared" si="23"/>
        <v>1.9928174123469298</v>
      </c>
      <c r="CG28" s="10" t="str">
        <f t="shared" si="24"/>
        <v>*</v>
      </c>
      <c r="CH28" s="76"/>
      <c r="CI28" s="27">
        <v>520</v>
      </c>
      <c r="CJ28" s="28">
        <v>3.028651139440806</v>
      </c>
      <c r="CK28" s="29">
        <v>5.373733855806774E-2</v>
      </c>
      <c r="CL28" s="67"/>
      <c r="CM28" s="42">
        <v>186</v>
      </c>
      <c r="CN28" s="43">
        <v>3.0269873782316359</v>
      </c>
      <c r="CO28" s="67">
        <v>9.5190197824942369E-2</v>
      </c>
      <c r="CP28" s="10">
        <f t="shared" si="25"/>
        <v>1.5220449543578068E-2</v>
      </c>
      <c r="CQ28" s="10" t="str">
        <f t="shared" si="26"/>
        <v xml:space="preserve"> </v>
      </c>
      <c r="CR28" s="10"/>
      <c r="CS28" s="42">
        <v>182.67673709999963</v>
      </c>
      <c r="CT28" s="43">
        <v>3.1645839920139451</v>
      </c>
      <c r="CU28" s="67">
        <v>7.8875351541709715E-2</v>
      </c>
      <c r="CV28" s="10">
        <f t="shared" si="27"/>
        <v>-1.4242575819679804</v>
      </c>
      <c r="CW28" s="10" t="str">
        <f t="shared" si="28"/>
        <v xml:space="preserve"> </v>
      </c>
      <c r="CX28" s="10"/>
      <c r="CY28" s="53">
        <v>158</v>
      </c>
      <c r="CZ28" s="55">
        <v>3.2479393687603868</v>
      </c>
      <c r="DA28" s="56">
        <v>9.9697643530139921E-2</v>
      </c>
      <c r="DB28" s="10">
        <f t="shared" si="29"/>
        <v>-1.9361871245227196</v>
      </c>
      <c r="DC28" s="10" t="str">
        <f t="shared" si="0"/>
        <v xml:space="preserve"> </v>
      </c>
      <c r="DD28" s="10"/>
      <c r="DE28" s="54">
        <v>211</v>
      </c>
      <c r="DF28" s="57">
        <v>2.7667339736768137</v>
      </c>
      <c r="DG28" s="58">
        <v>7.5420895358213155E-2</v>
      </c>
      <c r="DH28" s="10">
        <f t="shared" si="30"/>
        <v>2.8282724746680254</v>
      </c>
      <c r="DI28" s="10" t="str">
        <f t="shared" si="31"/>
        <v>*</v>
      </c>
      <c r="DJ28" s="76"/>
      <c r="DK28" s="27">
        <v>167</v>
      </c>
      <c r="DL28" s="28">
        <v>2.8101825531367766</v>
      </c>
      <c r="DM28" s="29">
        <v>0.10138100960851559</v>
      </c>
      <c r="DN28" s="10"/>
      <c r="DO28" s="42">
        <v>66</v>
      </c>
      <c r="DP28" s="43">
        <v>2.3937981885659569</v>
      </c>
      <c r="DQ28" s="67">
        <v>0.12945005472750873</v>
      </c>
      <c r="DR28" s="10">
        <f t="shared" si="32"/>
        <v>2.5323737691995261</v>
      </c>
      <c r="DS28" s="10" t="str">
        <f t="shared" si="33"/>
        <v>*</v>
      </c>
      <c r="DT28" s="10"/>
      <c r="DU28" s="42">
        <v>77.444503770000026</v>
      </c>
      <c r="DV28" s="43">
        <v>2.4085678803491422</v>
      </c>
      <c r="DW28" s="67">
        <v>0.10888873629515643</v>
      </c>
      <c r="DX28" s="10">
        <f t="shared" si="34"/>
        <v>2.6994241103989198</v>
      </c>
      <c r="DY28" s="10" t="str">
        <f t="shared" si="35"/>
        <v>*</v>
      </c>
      <c r="DZ28" s="10"/>
      <c r="EA28" s="53">
        <v>72</v>
      </c>
      <c r="EB28" s="55">
        <v>2.2536374724307993</v>
      </c>
      <c r="EC28" s="56">
        <v>0.11934152156547986</v>
      </c>
      <c r="ED28" s="10">
        <f t="shared" si="36"/>
        <v>3.5541488941209414</v>
      </c>
      <c r="EE28" s="10" t="str">
        <f t="shared" si="37"/>
        <v>*</v>
      </c>
      <c r="EF28" s="10"/>
      <c r="EG28" s="54">
        <v>50</v>
      </c>
      <c r="EH28" s="57">
        <v>2.6199999999999992</v>
      </c>
      <c r="EI28" s="58">
        <v>0.15544033770303692</v>
      </c>
      <c r="EJ28" s="10">
        <f t="shared" si="38"/>
        <v>1.0248028262931719</v>
      </c>
      <c r="EK28" s="10" t="str">
        <f t="shared" si="39"/>
        <v xml:space="preserve"> </v>
      </c>
      <c r="EL28" s="76"/>
      <c r="EM28" s="27">
        <v>360</v>
      </c>
      <c r="EN28" s="28">
        <v>3.1161758325840161</v>
      </c>
      <c r="EO28" s="29">
        <v>6.2779327619649578E-2</v>
      </c>
      <c r="EP28" s="10"/>
      <c r="EQ28" s="42">
        <v>113</v>
      </c>
      <c r="ER28" s="43">
        <v>3.0805829174480288</v>
      </c>
      <c r="ES28" s="67">
        <v>0.11392504190329382</v>
      </c>
      <c r="ET28" s="10">
        <f t="shared" si="40"/>
        <v>0.27362850477929485</v>
      </c>
      <c r="EU28" s="10" t="str">
        <f t="shared" si="41"/>
        <v xml:space="preserve"> </v>
      </c>
      <c r="EV28" s="10"/>
      <c r="EW28" s="42">
        <v>143.84399456999992</v>
      </c>
      <c r="EX28" s="43">
        <v>2.6747458182049293</v>
      </c>
      <c r="EY28" s="67">
        <v>7.8286444480829553E-2</v>
      </c>
      <c r="EZ28" s="10">
        <f t="shared" si="42"/>
        <v>4.398928253280558</v>
      </c>
      <c r="FA28" s="10" t="str">
        <f t="shared" si="43"/>
        <v>*</v>
      </c>
      <c r="FB28" s="10"/>
      <c r="FC28" s="53">
        <v>124</v>
      </c>
      <c r="FD28" s="55">
        <v>2.8277843343016533</v>
      </c>
      <c r="FE28" s="56">
        <v>0.10740839929812734</v>
      </c>
      <c r="FF28" s="10">
        <f t="shared" si="44"/>
        <v>2.3180762788484</v>
      </c>
      <c r="FG28" s="10" t="str">
        <f t="shared" si="45"/>
        <v>*</v>
      </c>
      <c r="FH28" s="10"/>
      <c r="FI28" s="54">
        <v>155</v>
      </c>
      <c r="FJ28" s="57">
        <v>2.5382994157326348</v>
      </c>
      <c r="FK28" s="58">
        <v>8.7988568248562465E-2</v>
      </c>
      <c r="FL28" s="10">
        <f t="shared" si="46"/>
        <v>5.3463017694622694</v>
      </c>
      <c r="FM28" s="10" t="str">
        <f t="shared" si="99"/>
        <v>*</v>
      </c>
      <c r="FN28" s="76"/>
      <c r="FO28" s="27">
        <v>158</v>
      </c>
      <c r="FP28" s="28">
        <v>2.7025142169946172</v>
      </c>
      <c r="FQ28" s="29">
        <v>9.2543201623609905E-2</v>
      </c>
      <c r="FR28" s="67"/>
      <c r="FS28" s="42">
        <v>121</v>
      </c>
      <c r="FT28" s="43">
        <v>2.8760631270433032</v>
      </c>
      <c r="FU28" s="67">
        <v>0.1162103692829788</v>
      </c>
      <c r="FV28" s="10">
        <f t="shared" si="47"/>
        <v>-1.1682334502075857</v>
      </c>
      <c r="FW28" s="10" t="str">
        <f t="shared" si="48"/>
        <v xml:space="preserve"> </v>
      </c>
      <c r="FX28" s="67"/>
      <c r="FY28" s="42">
        <v>141.65669980999991</v>
      </c>
      <c r="FZ28" s="43">
        <v>2.7216377847084621</v>
      </c>
      <c r="GA28" s="67">
        <v>0.1115709896169893</v>
      </c>
      <c r="GB28" s="10">
        <f t="shared" si="49"/>
        <v>-0.13192643070605795</v>
      </c>
      <c r="GC28" s="10" t="str">
        <f t="shared" si="50"/>
        <v xml:space="preserve"> </v>
      </c>
      <c r="GD28" s="10"/>
      <c r="GE28" s="53">
        <v>165</v>
      </c>
      <c r="GF28" s="55">
        <v>2.6205787031814656</v>
      </c>
      <c r="GG28" s="56">
        <v>9.624755445297245E-2</v>
      </c>
      <c r="GH28" s="10">
        <f t="shared" si="51"/>
        <v>0.6136530081582513</v>
      </c>
      <c r="GI28" s="10" t="str">
        <f t="shared" si="52"/>
        <v xml:space="preserve"> </v>
      </c>
      <c r="GJ28" s="10"/>
      <c r="GK28" s="54">
        <v>138</v>
      </c>
      <c r="GL28" s="57">
        <v>2.7465454545687504</v>
      </c>
      <c r="GM28" s="58">
        <v>9.9655964904350358E-2</v>
      </c>
      <c r="GN28" s="10">
        <f t="shared" si="53"/>
        <v>-0.32376299013743148</v>
      </c>
      <c r="GO28" s="10" t="str">
        <f t="shared" si="100"/>
        <v xml:space="preserve"> </v>
      </c>
      <c r="GP28" s="76"/>
      <c r="GQ28" s="27">
        <v>156</v>
      </c>
      <c r="GR28" s="28">
        <v>2.76251889954866</v>
      </c>
      <c r="GS28" s="29">
        <v>0.1001491918267418</v>
      </c>
      <c r="GT28" s="10"/>
      <c r="GU28" s="42">
        <v>93</v>
      </c>
      <c r="GV28" s="43">
        <v>2.7668392626461706</v>
      </c>
      <c r="GW28" s="67">
        <v>0.13343626608639039</v>
      </c>
      <c r="GX28" s="10">
        <f t="shared" si="54"/>
        <v>-2.5895474461323557E-2</v>
      </c>
      <c r="GY28" s="10" t="str">
        <f t="shared" si="55"/>
        <v xml:space="preserve"> </v>
      </c>
      <c r="GZ28" s="10"/>
      <c r="HA28" s="42">
        <v>90.176928219999922</v>
      </c>
      <c r="HB28" s="43">
        <v>2.7139001206931996</v>
      </c>
      <c r="HC28" s="67">
        <v>0.13078551000984898</v>
      </c>
      <c r="HD28" s="10">
        <f t="shared" si="56"/>
        <v>0.29514909258037531</v>
      </c>
      <c r="HE28" s="10" t="str">
        <f t="shared" si="57"/>
        <v xml:space="preserve"> </v>
      </c>
      <c r="HF28" s="10"/>
      <c r="HG28" s="53">
        <v>63</v>
      </c>
      <c r="HH28" s="55">
        <v>3.108318009140234</v>
      </c>
      <c r="HI28" s="56">
        <v>0.12177095052073034</v>
      </c>
      <c r="HJ28" s="10">
        <f t="shared" si="58"/>
        <v>-2.1932622328873141</v>
      </c>
      <c r="HK28" s="10" t="str">
        <f t="shared" si="59"/>
        <v>*</v>
      </c>
      <c r="HL28" s="10"/>
      <c r="HM28" s="54">
        <v>108</v>
      </c>
      <c r="HN28" s="57">
        <v>2.7963757749278151</v>
      </c>
      <c r="HO28" s="58">
        <v>0.11836841863148671</v>
      </c>
      <c r="HP28" s="10">
        <f t="shared" si="60"/>
        <v>-0.21835901381410636</v>
      </c>
      <c r="HQ28" s="10" t="str">
        <f t="shared" si="101"/>
        <v xml:space="preserve"> </v>
      </c>
      <c r="HR28" s="76"/>
      <c r="HS28" s="27">
        <v>466</v>
      </c>
      <c r="HT28" s="28">
        <v>2.9566406916891821</v>
      </c>
      <c r="HU28" s="29">
        <v>5.696843511065227E-2</v>
      </c>
      <c r="HV28" s="10"/>
      <c r="HW28" s="42">
        <v>318</v>
      </c>
      <c r="HX28" s="43">
        <v>2.8760179564594313</v>
      </c>
      <c r="HY28" s="67">
        <v>6.7566697275128512E-2</v>
      </c>
      <c r="HZ28" s="10">
        <f t="shared" si="61"/>
        <v>0.91224948872671652</v>
      </c>
      <c r="IA28" s="10" t="str">
        <f t="shared" si="62"/>
        <v xml:space="preserve"> </v>
      </c>
      <c r="IB28" s="10"/>
      <c r="IC28" s="42">
        <v>312.39192284000086</v>
      </c>
      <c r="ID28" s="43">
        <v>2.9295994235380269</v>
      </c>
      <c r="IE28" s="67">
        <v>7.3707182312188674E-2</v>
      </c>
      <c r="IF28" s="10">
        <f t="shared" si="63"/>
        <v>0.29027754767644393</v>
      </c>
      <c r="IG28" s="10" t="str">
        <f t="shared" si="64"/>
        <v xml:space="preserve"> </v>
      </c>
      <c r="IH28" s="10"/>
      <c r="II28" s="53">
        <v>301</v>
      </c>
      <c r="IJ28" s="55">
        <v>3.0299863854910747</v>
      </c>
      <c r="IK28" s="56">
        <v>7.1270234158762755E-2</v>
      </c>
      <c r="IL28" s="10">
        <f t="shared" si="65"/>
        <v>-0.80387114866546416</v>
      </c>
      <c r="IM28" s="10" t="str">
        <f t="shared" si="66"/>
        <v xml:space="preserve"> </v>
      </c>
      <c r="IN28" s="10"/>
      <c r="IO28" s="54">
        <v>325</v>
      </c>
      <c r="IP28" s="57">
        <v>2.9075090139263224</v>
      </c>
      <c r="IQ28" s="58">
        <v>6.6127102948268374E-2</v>
      </c>
      <c r="IR28" s="10">
        <f t="shared" si="67"/>
        <v>0.56290552850109365</v>
      </c>
      <c r="IS28" s="10" t="str">
        <f t="shared" si="68"/>
        <v xml:space="preserve"> </v>
      </c>
      <c r="IT28" s="76"/>
      <c r="IU28" s="27">
        <v>34</v>
      </c>
      <c r="IV28" s="28">
        <v>2.9117647058823528</v>
      </c>
      <c r="IW28" s="29">
        <v>0.21689004843637164</v>
      </c>
      <c r="IX28" s="10"/>
      <c r="IY28" s="42">
        <v>21</v>
      </c>
      <c r="IZ28" s="43">
        <v>2.8570093458237507</v>
      </c>
      <c r="JA28" s="67">
        <v>0.34706961547476345</v>
      </c>
      <c r="JB28" s="10" t="str">
        <f t="shared" si="69"/>
        <v>NV</v>
      </c>
      <c r="JC28" s="10" t="str">
        <f t="shared" si="70"/>
        <v xml:space="preserve"> </v>
      </c>
      <c r="JD28" s="10"/>
      <c r="JE28" s="42">
        <v>25.743104140000003</v>
      </c>
      <c r="JF28" s="43">
        <v>3.384615384615385</v>
      </c>
      <c r="JG28" s="67">
        <v>0.27359094843543746</v>
      </c>
      <c r="JH28" s="10" t="str">
        <f t="shared" si="71"/>
        <v>NV</v>
      </c>
      <c r="JI28" s="10" t="str">
        <f t="shared" si="72"/>
        <v xml:space="preserve"> </v>
      </c>
      <c r="JJ28" s="10"/>
      <c r="JK28" s="53">
        <v>24</v>
      </c>
      <c r="JL28" s="55">
        <v>2.8749999999999996</v>
      </c>
      <c r="JM28" s="56">
        <v>0.25349817799571206</v>
      </c>
      <c r="JN28" s="10" t="str">
        <f t="shared" si="73"/>
        <v>NV</v>
      </c>
      <c r="JO28" s="10" t="str">
        <f t="shared" si="74"/>
        <v xml:space="preserve"> </v>
      </c>
      <c r="JP28" s="10"/>
      <c r="JQ28" s="54">
        <v>42</v>
      </c>
      <c r="JR28" s="57">
        <v>2.5952380952380945</v>
      </c>
      <c r="JS28" s="58">
        <v>0.18681187509710659</v>
      </c>
      <c r="JT28" s="10">
        <f t="shared" si="75"/>
        <v>1.1057636969574212</v>
      </c>
      <c r="JU28" s="10" t="str">
        <f t="shared" si="76"/>
        <v xml:space="preserve"> </v>
      </c>
      <c r="JV28" s="76"/>
      <c r="JW28" s="27">
        <v>392</v>
      </c>
      <c r="JX28" s="28">
        <v>2.6043463966879812</v>
      </c>
      <c r="JY28" s="29">
        <v>5.9547730171282474E-2</v>
      </c>
      <c r="JZ28" s="10"/>
      <c r="KA28" s="42">
        <v>240</v>
      </c>
      <c r="KB28" s="43">
        <v>2.496111975055312</v>
      </c>
      <c r="KC28" s="67">
        <v>7.9908820396441316E-2</v>
      </c>
      <c r="KD28" s="10">
        <f t="shared" si="77"/>
        <v>1.0860785058476858</v>
      </c>
      <c r="KE28" s="10" t="str">
        <f t="shared" si="78"/>
        <v xml:space="preserve"> </v>
      </c>
      <c r="KF28" s="10"/>
      <c r="KG28" s="42">
        <v>262.7492077099991</v>
      </c>
      <c r="KH28" s="43">
        <v>2.8019559901111752</v>
      </c>
      <c r="KI28" s="67">
        <v>7.3503911616735862E-2</v>
      </c>
      <c r="KJ28" s="10">
        <f t="shared" si="79"/>
        <v>-2.088943349389635</v>
      </c>
      <c r="KK28" s="10" t="str">
        <f t="shared" si="80"/>
        <v>*</v>
      </c>
      <c r="KL28" s="10"/>
      <c r="KM28" s="53">
        <v>517</v>
      </c>
      <c r="KN28" s="55">
        <v>2.6480183143401397</v>
      </c>
      <c r="KO28" s="56">
        <v>5.1330638620546043E-2</v>
      </c>
      <c r="KP28" s="10">
        <f t="shared" si="81"/>
        <v>-0.55549619613936696</v>
      </c>
      <c r="KQ28" s="10" t="str">
        <f t="shared" si="82"/>
        <v xml:space="preserve"> </v>
      </c>
      <c r="KR28" s="10"/>
      <c r="KS28" s="54">
        <v>520</v>
      </c>
      <c r="KT28" s="57">
        <v>2.6498578161298907</v>
      </c>
      <c r="KU28" s="58">
        <v>5.1365051123098381E-2</v>
      </c>
      <c r="KV28" s="10">
        <f t="shared" si="83"/>
        <v>-0.57872878452582266</v>
      </c>
      <c r="KW28" s="10" t="str">
        <f t="shared" si="102"/>
        <v xml:space="preserve"> </v>
      </c>
      <c r="KX28" s="76"/>
      <c r="KY28" s="27">
        <v>146</v>
      </c>
      <c r="KZ28" s="28">
        <v>2.8630972673506361</v>
      </c>
      <c r="LA28" s="29">
        <v>0.10180811780142789</v>
      </c>
      <c r="LB28" s="10"/>
      <c r="LC28" s="42">
        <v>162</v>
      </c>
      <c r="LD28" s="43">
        <v>2.7839932195087385</v>
      </c>
      <c r="LE28" s="67">
        <v>0.10008037123006232</v>
      </c>
      <c r="LF28" s="10">
        <f t="shared" si="84"/>
        <v>0.55409756883865613</v>
      </c>
      <c r="LG28" s="10" t="str">
        <f t="shared" si="85"/>
        <v xml:space="preserve"> </v>
      </c>
      <c r="LH28" s="10"/>
      <c r="LI28" s="42">
        <v>147.84568696999997</v>
      </c>
      <c r="LJ28" s="43">
        <v>3.0401818711235413</v>
      </c>
      <c r="LK28" s="67">
        <v>9.5999837829510673E-2</v>
      </c>
      <c r="LL28" s="10">
        <f t="shared" si="86"/>
        <v>-1.2655080261907181</v>
      </c>
      <c r="LM28" s="10" t="str">
        <f t="shared" si="87"/>
        <v xml:space="preserve"> </v>
      </c>
      <c r="LN28" s="10"/>
      <c r="LO28" s="53">
        <v>389</v>
      </c>
      <c r="LP28" s="55">
        <v>2.9537275064267328</v>
      </c>
      <c r="LQ28" s="56">
        <v>5.9902792942813247E-2</v>
      </c>
      <c r="LR28" s="10">
        <f t="shared" si="88"/>
        <v>-0.76724776699168729</v>
      </c>
      <c r="LS28" s="10" t="str">
        <f t="shared" si="89"/>
        <v xml:space="preserve"> </v>
      </c>
      <c r="LT28" s="10"/>
      <c r="LU28" s="54">
        <v>383</v>
      </c>
      <c r="LV28" s="57">
        <v>2.879818358963965</v>
      </c>
      <c r="LW28" s="58">
        <v>6.3669425721740044E-2</v>
      </c>
      <c r="LX28" s="10">
        <f t="shared" si="90"/>
        <v>-0.13925209726438184</v>
      </c>
      <c r="LY28" s="10" t="str">
        <f t="shared" si="91"/>
        <v xml:space="preserve"> </v>
      </c>
      <c r="LZ28" s="76"/>
      <c r="MA28" s="27">
        <v>167</v>
      </c>
      <c r="MB28" s="28">
        <v>2.7126590413716074</v>
      </c>
      <c r="MC28" s="29">
        <v>9.1132507658321552E-2</v>
      </c>
      <c r="MD28" s="10"/>
      <c r="ME28" s="42">
        <v>107</v>
      </c>
      <c r="MF28" s="43">
        <v>2.8591368229220797</v>
      </c>
      <c r="MG28" s="67">
        <v>0.13114471141206538</v>
      </c>
      <c r="MH28" s="10">
        <f t="shared" si="92"/>
        <v>-0.91720626826081841</v>
      </c>
      <c r="MI28" s="10" t="str">
        <f t="shared" si="93"/>
        <v xml:space="preserve"> </v>
      </c>
      <c r="MJ28" s="10"/>
      <c r="MK28" s="42">
        <v>101.94587136000001</v>
      </c>
      <c r="ML28" s="43">
        <v>2.8255375821234239</v>
      </c>
      <c r="MM28" s="67">
        <v>0.12214848714552791</v>
      </c>
      <c r="MN28" s="10">
        <f t="shared" si="94"/>
        <v>-0.74067878933043174</v>
      </c>
      <c r="MO28" s="10" t="str">
        <f t="shared" si="95"/>
        <v xml:space="preserve"> </v>
      </c>
      <c r="MP28" s="10"/>
      <c r="MQ28" s="53">
        <v>156</v>
      </c>
      <c r="MR28" s="55">
        <v>2.8636971655563204</v>
      </c>
      <c r="MS28" s="56">
        <v>0.10163521672121374</v>
      </c>
      <c r="MT28" s="10">
        <f t="shared" si="96"/>
        <v>-1.1064291732357596</v>
      </c>
      <c r="MU28" s="10" t="str">
        <f t="shared" si="97"/>
        <v xml:space="preserve"> </v>
      </c>
      <c r="MV28" s="10"/>
      <c r="MW28" s="54">
        <v>166</v>
      </c>
      <c r="MX28" s="57">
        <v>2.6718776688503305</v>
      </c>
      <c r="MY28" s="58">
        <v>9.2575565239061547E-2</v>
      </c>
      <c r="MZ28" s="10">
        <f t="shared" si="98"/>
        <v>0.31393171758711408</v>
      </c>
      <c r="NA28" s="10" t="str">
        <f t="shared" si="103"/>
        <v xml:space="preserve"> </v>
      </c>
      <c r="NB28" s="58"/>
    </row>
    <row r="29" spans="1:366" x14ac:dyDescent="0.2">
      <c r="B29" s="65" t="s">
        <v>31</v>
      </c>
      <c r="C29" s="27">
        <v>143</v>
      </c>
      <c r="D29" s="28">
        <v>3.2307692307692313</v>
      </c>
      <c r="E29" s="29">
        <v>9.9814503043521033E-2</v>
      </c>
      <c r="F29" s="10"/>
      <c r="G29" s="42">
        <v>33</v>
      </c>
      <c r="H29" s="43">
        <v>3.3939393939393936</v>
      </c>
      <c r="I29" s="67">
        <v>0.23071358830738847</v>
      </c>
      <c r="J29" s="10">
        <f t="shared" si="1"/>
        <v>-0.64909870999079633</v>
      </c>
      <c r="K29" s="10" t="str">
        <f t="shared" si="2"/>
        <v xml:space="preserve"> </v>
      </c>
      <c r="L29" s="10"/>
      <c r="M29" s="42">
        <v>18.71530434000001</v>
      </c>
      <c r="N29" s="43">
        <v>3.7777777777777777</v>
      </c>
      <c r="O29" s="67">
        <v>0.18666727339375477</v>
      </c>
      <c r="P29" s="10" t="str">
        <f t="shared" si="3"/>
        <v>NV</v>
      </c>
      <c r="Q29" s="10" t="str">
        <f t="shared" si="4"/>
        <v xml:space="preserve"> </v>
      </c>
      <c r="R29" s="10"/>
      <c r="S29" s="53">
        <v>40</v>
      </c>
      <c r="T29" s="55">
        <v>3.4750000000000001</v>
      </c>
      <c r="U29" s="56">
        <v>0.16028987219174692</v>
      </c>
      <c r="V29" s="10">
        <f t="shared" si="5"/>
        <v>-1.2934076279493683</v>
      </c>
      <c r="W29" s="10" t="str">
        <f t="shared" si="6"/>
        <v xml:space="preserve"> </v>
      </c>
      <c r="X29" s="10"/>
      <c r="Y29" s="54">
        <v>53</v>
      </c>
      <c r="Z29" s="57">
        <v>3.358490566037736</v>
      </c>
      <c r="AA29" s="58">
        <v>0.13105162203995091</v>
      </c>
      <c r="AB29" s="10">
        <f t="shared" si="7"/>
        <v>-0.77531615055255187</v>
      </c>
      <c r="AC29" s="10" t="str">
        <f t="shared" si="8"/>
        <v xml:space="preserve"> </v>
      </c>
      <c r="AD29" s="76"/>
      <c r="AE29" s="27">
        <v>25</v>
      </c>
      <c r="AF29" s="28">
        <v>3.2422084685238501</v>
      </c>
      <c r="AG29" s="29">
        <v>0.17271970241597923</v>
      </c>
      <c r="AH29" s="67"/>
      <c r="AI29" s="42">
        <v>15</v>
      </c>
      <c r="AJ29" s="43">
        <v>3.1333333333333333</v>
      </c>
      <c r="AK29" s="67">
        <v>0.32039407530810959</v>
      </c>
      <c r="AL29" s="10" t="str">
        <f t="shared" si="9"/>
        <v>NV</v>
      </c>
      <c r="AM29" s="10" t="str">
        <f t="shared" si="10"/>
        <v xml:space="preserve"> </v>
      </c>
      <c r="AN29" s="67"/>
      <c r="AO29" s="42">
        <v>17.196679620000001</v>
      </c>
      <c r="AP29" s="43">
        <v>4.0555555555555554</v>
      </c>
      <c r="AQ29" s="67">
        <v>0.25491282653242964</v>
      </c>
      <c r="AR29" s="10" t="str">
        <f t="shared" si="11"/>
        <v>NV</v>
      </c>
      <c r="AS29" s="10" t="str">
        <f t="shared" si="12"/>
        <v xml:space="preserve"> </v>
      </c>
      <c r="AT29" s="10"/>
      <c r="AU29" s="53">
        <v>20</v>
      </c>
      <c r="AV29" s="55">
        <v>3.4752448247144549</v>
      </c>
      <c r="AW29" s="56">
        <v>0.27726818748368032</v>
      </c>
      <c r="AX29" s="10" t="str">
        <f t="shared" si="13"/>
        <v>NV</v>
      </c>
      <c r="AY29" s="10" t="str">
        <f t="shared" si="14"/>
        <v xml:space="preserve"> </v>
      </c>
      <c r="AZ29" s="10"/>
      <c r="BA29" s="54">
        <v>11</v>
      </c>
      <c r="BB29" s="57">
        <v>3.4005482878493121</v>
      </c>
      <c r="BC29" s="58">
        <v>0.34054016056685932</v>
      </c>
      <c r="BD29" s="10" t="str">
        <f t="shared" si="15"/>
        <v>NV</v>
      </c>
      <c r="BE29" s="10" t="str">
        <f t="shared" si="16"/>
        <v xml:space="preserve"> </v>
      </c>
      <c r="BF29" s="76"/>
      <c r="BG29" s="27">
        <v>375</v>
      </c>
      <c r="BH29" s="28">
        <v>3.7363333592057559</v>
      </c>
      <c r="BI29" s="29">
        <v>5.4335118637248887E-2</v>
      </c>
      <c r="BJ29" s="10"/>
      <c r="BK29" s="42">
        <v>110</v>
      </c>
      <c r="BL29" s="43">
        <v>3.7086577506656488</v>
      </c>
      <c r="BM29" s="67">
        <v>0.10044948556012993</v>
      </c>
      <c r="BN29" s="10">
        <f t="shared" si="17"/>
        <v>0.24233623163120069</v>
      </c>
      <c r="BO29" s="10" t="str">
        <f t="shared" si="18"/>
        <v xml:space="preserve"> </v>
      </c>
      <c r="BP29" s="10"/>
      <c r="BQ29" s="42">
        <v>21.328313490000006</v>
      </c>
      <c r="BR29" s="43">
        <v>3.540197352003569</v>
      </c>
      <c r="BS29" s="67">
        <v>0.22054991689267731</v>
      </c>
      <c r="BT29" s="10" t="str">
        <f t="shared" si="19"/>
        <v>NV</v>
      </c>
      <c r="BU29" s="10" t="str">
        <f t="shared" si="20"/>
        <v xml:space="preserve"> </v>
      </c>
      <c r="BV29" s="10"/>
      <c r="BW29" s="53">
        <v>16</v>
      </c>
      <c r="BX29" s="55">
        <v>3.6126452379348399</v>
      </c>
      <c r="BY29" s="56">
        <v>0.26843969251288052</v>
      </c>
      <c r="BZ29" s="10" t="str">
        <f t="shared" si="21"/>
        <v>NV</v>
      </c>
      <c r="CA29" s="10" t="str">
        <f t="shared" si="22"/>
        <v xml:space="preserve"> </v>
      </c>
      <c r="CB29" s="10"/>
      <c r="CC29" s="54">
        <v>104</v>
      </c>
      <c r="CD29" s="57">
        <v>3.558450042004031</v>
      </c>
      <c r="CE29" s="58">
        <v>0.10647439813371443</v>
      </c>
      <c r="CF29" s="10">
        <f t="shared" si="23"/>
        <v>1.4881021451294774</v>
      </c>
      <c r="CG29" s="10" t="str">
        <f t="shared" si="24"/>
        <v xml:space="preserve"> </v>
      </c>
      <c r="CH29" s="76"/>
      <c r="CI29" s="27">
        <v>216</v>
      </c>
      <c r="CJ29" s="28">
        <v>3.6511073183602516</v>
      </c>
      <c r="CK29" s="29">
        <v>6.9114033748126427E-2</v>
      </c>
      <c r="CL29" s="67"/>
      <c r="CM29" s="42">
        <v>77</v>
      </c>
      <c r="CN29" s="43">
        <v>3.6491486624395817</v>
      </c>
      <c r="CO29" s="67">
        <v>0.13279011800742285</v>
      </c>
      <c r="CP29" s="10">
        <f t="shared" si="25"/>
        <v>1.3083910346041061E-2</v>
      </c>
      <c r="CQ29" s="10" t="str">
        <f t="shared" si="26"/>
        <v xml:space="preserve"> </v>
      </c>
      <c r="CR29" s="10"/>
      <c r="CS29" s="42">
        <v>47.376437040000013</v>
      </c>
      <c r="CT29" s="43">
        <v>3.5219463344008366</v>
      </c>
      <c r="CU29" s="67">
        <v>0.14137111528124771</v>
      </c>
      <c r="CV29" s="10">
        <f t="shared" si="27"/>
        <v>0.82079316858779461</v>
      </c>
      <c r="CW29" s="10" t="str">
        <f t="shared" si="28"/>
        <v xml:space="preserve"> </v>
      </c>
      <c r="CX29" s="10"/>
      <c r="CY29" s="53">
        <v>57</v>
      </c>
      <c r="CZ29" s="55">
        <v>3.9636529541633663</v>
      </c>
      <c r="DA29" s="56">
        <v>0.11741400053630824</v>
      </c>
      <c r="DB29" s="10">
        <f t="shared" si="29"/>
        <v>-2.2939911032952249</v>
      </c>
      <c r="DC29" s="10" t="str">
        <f t="shared" si="0"/>
        <v>*</v>
      </c>
      <c r="DD29" s="10"/>
      <c r="DE29" s="54">
        <v>58</v>
      </c>
      <c r="DF29" s="57">
        <v>3.3603254689757378</v>
      </c>
      <c r="DG29" s="58">
        <v>0.13664575103364543</v>
      </c>
      <c r="DH29" s="10">
        <f t="shared" si="30"/>
        <v>1.8989209322361389</v>
      </c>
      <c r="DI29" s="10" t="str">
        <f t="shared" si="31"/>
        <v xml:space="preserve"> </v>
      </c>
      <c r="DJ29" s="76"/>
      <c r="DK29" s="27">
        <v>65</v>
      </c>
      <c r="DL29" s="28">
        <v>3.522342030827994</v>
      </c>
      <c r="DM29" s="29">
        <v>0.14361145574809131</v>
      </c>
      <c r="DN29" s="10"/>
      <c r="DO29" s="42">
        <v>26</v>
      </c>
      <c r="DP29" s="43">
        <v>2.96116269293513</v>
      </c>
      <c r="DQ29" s="67">
        <v>0.21842437715117166</v>
      </c>
      <c r="DR29" s="10" t="str">
        <f t="shared" si="32"/>
        <v>NV</v>
      </c>
      <c r="DS29" s="10" t="str">
        <f t="shared" si="33"/>
        <v xml:space="preserve"> </v>
      </c>
      <c r="DT29" s="10"/>
      <c r="DU29" s="42">
        <v>18.377832180000009</v>
      </c>
      <c r="DV29" s="43">
        <v>3.3302728330823181</v>
      </c>
      <c r="DW29" s="67">
        <v>0.2660852535378273</v>
      </c>
      <c r="DX29" s="10" t="str">
        <f t="shared" si="34"/>
        <v>NV</v>
      </c>
      <c r="DY29" s="10" t="str">
        <f t="shared" si="35"/>
        <v xml:space="preserve"> </v>
      </c>
      <c r="DZ29" s="10"/>
      <c r="EA29" s="53">
        <v>14</v>
      </c>
      <c r="EB29" s="55">
        <v>3.3571428571428572</v>
      </c>
      <c r="EC29" s="56">
        <v>0.28623900315189332</v>
      </c>
      <c r="ED29" s="10" t="str">
        <f t="shared" si="36"/>
        <v>NV</v>
      </c>
      <c r="EE29" s="10" t="str">
        <f t="shared" si="37"/>
        <v xml:space="preserve"> </v>
      </c>
      <c r="EF29" s="10"/>
      <c r="EG29" s="54">
        <v>21</v>
      </c>
      <c r="EH29" s="57">
        <v>3.6190476190476191</v>
      </c>
      <c r="EI29" s="58">
        <v>0.1361897996815459</v>
      </c>
      <c r="EJ29" s="10" t="str">
        <f t="shared" si="38"/>
        <v>NV</v>
      </c>
      <c r="EK29" s="10" t="str">
        <f t="shared" si="39"/>
        <v xml:space="preserve"> </v>
      </c>
      <c r="EL29" s="76"/>
      <c r="EM29" s="27">
        <v>164</v>
      </c>
      <c r="EN29" s="28">
        <v>3.7781848794643662</v>
      </c>
      <c r="EO29" s="29">
        <v>8.2529747973604808E-2</v>
      </c>
      <c r="EP29" s="10"/>
      <c r="EQ29" s="42">
        <v>54</v>
      </c>
      <c r="ER29" s="43">
        <v>3.7764333112715174</v>
      </c>
      <c r="ES29" s="67">
        <v>0.15562667237754332</v>
      </c>
      <c r="ET29" s="10">
        <f t="shared" si="40"/>
        <v>9.9432972100563129E-3</v>
      </c>
      <c r="EU29" s="10" t="str">
        <f t="shared" si="41"/>
        <v xml:space="preserve"> </v>
      </c>
      <c r="EV29" s="10"/>
      <c r="EW29" s="42">
        <v>24.025690680000004</v>
      </c>
      <c r="EX29" s="43">
        <v>3.7906424569851325</v>
      </c>
      <c r="EY29" s="67">
        <v>0.20797395101854649</v>
      </c>
      <c r="EZ29" s="10" t="str">
        <f t="shared" si="42"/>
        <v>NV</v>
      </c>
      <c r="FA29" s="10" t="str">
        <f t="shared" si="43"/>
        <v xml:space="preserve"> </v>
      </c>
      <c r="FB29" s="10"/>
      <c r="FC29" s="53">
        <v>41</v>
      </c>
      <c r="FD29" s="55">
        <v>3.8483060347553733</v>
      </c>
      <c r="FE29" s="56">
        <v>0.16339169755236202</v>
      </c>
      <c r="FF29" s="10">
        <f t="shared" si="44"/>
        <v>-0.38306702570496987</v>
      </c>
      <c r="FG29" s="10" t="str">
        <f t="shared" si="45"/>
        <v xml:space="preserve"> </v>
      </c>
      <c r="FH29" s="10"/>
      <c r="FI29" s="54">
        <v>34</v>
      </c>
      <c r="FJ29" s="57">
        <v>3.3917402562987018</v>
      </c>
      <c r="FK29" s="58">
        <v>0.22211356129703722</v>
      </c>
      <c r="FL29" s="10">
        <f t="shared" si="46"/>
        <v>1.6309078793110705</v>
      </c>
      <c r="FM29" s="10" t="str">
        <f t="shared" si="99"/>
        <v xml:space="preserve"> </v>
      </c>
      <c r="FN29" s="76"/>
      <c r="FO29" s="27">
        <v>41</v>
      </c>
      <c r="FP29" s="28">
        <v>3.1543987065229264</v>
      </c>
      <c r="FQ29" s="29">
        <v>0.17255057600565812</v>
      </c>
      <c r="FR29" s="67"/>
      <c r="FS29" s="42">
        <v>31</v>
      </c>
      <c r="FT29" s="43">
        <v>3.2300952663400935</v>
      </c>
      <c r="FU29" s="67">
        <v>0.199850321875613</v>
      </c>
      <c r="FV29" s="10">
        <f t="shared" si="47"/>
        <v>-0.28669267783773822</v>
      </c>
      <c r="FW29" s="10" t="str">
        <f t="shared" si="48"/>
        <v xml:space="preserve"> </v>
      </c>
      <c r="FX29" s="67"/>
      <c r="FY29" s="42">
        <v>47.128584129999972</v>
      </c>
      <c r="FZ29" s="43">
        <v>3.4956881674094116</v>
      </c>
      <c r="GA29" s="67">
        <v>0.1784231660142413</v>
      </c>
      <c r="GB29" s="10">
        <f t="shared" si="49"/>
        <v>-1.3749992557180537</v>
      </c>
      <c r="GC29" s="10" t="str">
        <f t="shared" si="50"/>
        <v xml:space="preserve"> </v>
      </c>
      <c r="GD29" s="10"/>
      <c r="GE29" s="53">
        <v>50</v>
      </c>
      <c r="GF29" s="55">
        <v>3.1866274420781413</v>
      </c>
      <c r="GG29" s="56">
        <v>0.15888439694215883</v>
      </c>
      <c r="GH29" s="10">
        <f t="shared" si="51"/>
        <v>-0.13740136699005781</v>
      </c>
      <c r="GI29" s="10" t="str">
        <f t="shared" si="52"/>
        <v xml:space="preserve"> </v>
      </c>
      <c r="GJ29" s="10"/>
      <c r="GK29" s="54">
        <v>47</v>
      </c>
      <c r="GL29" s="57">
        <v>3.3833865815258455</v>
      </c>
      <c r="GM29" s="58">
        <v>0.16128101318676791</v>
      </c>
      <c r="GN29" s="10">
        <f t="shared" si="53"/>
        <v>-0.96951097749095849</v>
      </c>
      <c r="GO29" s="10" t="str">
        <f t="shared" si="100"/>
        <v xml:space="preserve"> </v>
      </c>
      <c r="GP29" s="76"/>
      <c r="GQ29" s="27">
        <v>69</v>
      </c>
      <c r="GR29" s="28">
        <v>3.5812473320485227</v>
      </c>
      <c r="GS29" s="29">
        <v>0.13622674294197262</v>
      </c>
      <c r="GT29" s="10"/>
      <c r="GU29" s="42">
        <v>34</v>
      </c>
      <c r="GV29" s="43">
        <v>3.6812924648054643</v>
      </c>
      <c r="GW29" s="67">
        <v>0.21925291569455377</v>
      </c>
      <c r="GX29" s="10">
        <f t="shared" si="54"/>
        <v>-0.38758099284428082</v>
      </c>
      <c r="GY29" s="10" t="str">
        <f t="shared" si="55"/>
        <v xml:space="preserve"> </v>
      </c>
      <c r="GZ29" s="10"/>
      <c r="HA29" s="42">
        <v>42.683241809999977</v>
      </c>
      <c r="HB29" s="43">
        <v>3.588573844550726</v>
      </c>
      <c r="HC29" s="67">
        <v>0.13811766409715145</v>
      </c>
      <c r="HD29" s="10">
        <f t="shared" si="56"/>
        <v>-3.7766424151902546E-2</v>
      </c>
      <c r="HE29" s="10" t="str">
        <f t="shared" si="57"/>
        <v xml:space="preserve"> </v>
      </c>
      <c r="HF29" s="10"/>
      <c r="HG29" s="53">
        <v>19</v>
      </c>
      <c r="HH29" s="55">
        <v>3.4060756362851663</v>
      </c>
      <c r="HI29" s="56">
        <v>0.18850415430747014</v>
      </c>
      <c r="HJ29" s="10" t="str">
        <f t="shared" si="58"/>
        <v>NV</v>
      </c>
      <c r="HK29" s="10" t="str">
        <f t="shared" si="59"/>
        <v xml:space="preserve"> </v>
      </c>
      <c r="HL29" s="10"/>
      <c r="HM29" s="54">
        <v>40</v>
      </c>
      <c r="HN29" s="57">
        <v>3.4054404152837523</v>
      </c>
      <c r="HO29" s="58">
        <v>0.18674467674265549</v>
      </c>
      <c r="HP29" s="10">
        <f t="shared" si="60"/>
        <v>0.76056806818377543</v>
      </c>
      <c r="HQ29" s="10" t="str">
        <f t="shared" si="101"/>
        <v xml:space="preserve"> </v>
      </c>
      <c r="HR29" s="76"/>
      <c r="HS29" s="27">
        <v>169</v>
      </c>
      <c r="HT29" s="28">
        <v>3.5120135941280872</v>
      </c>
      <c r="HU29" s="29">
        <v>8.5520757253216104E-2</v>
      </c>
      <c r="HV29" s="10"/>
      <c r="HW29" s="42">
        <v>93</v>
      </c>
      <c r="HX29" s="43">
        <v>3.6646100501193604</v>
      </c>
      <c r="HY29" s="67">
        <v>0.11586554154973325</v>
      </c>
      <c r="HZ29" s="10">
        <f t="shared" si="61"/>
        <v>-1.05963057784739</v>
      </c>
      <c r="IA29" s="10" t="str">
        <f t="shared" si="62"/>
        <v xml:space="preserve"> </v>
      </c>
      <c r="IB29" s="10"/>
      <c r="IC29" s="42">
        <v>122.52284921999993</v>
      </c>
      <c r="ID29" s="43">
        <v>3.6008620790217689</v>
      </c>
      <c r="IE29" s="67">
        <v>9.2425367275101297E-2</v>
      </c>
      <c r="IF29" s="10">
        <f t="shared" si="63"/>
        <v>-0.70558575686539315</v>
      </c>
      <c r="IG29" s="10" t="str">
        <f t="shared" si="64"/>
        <v xml:space="preserve"> </v>
      </c>
      <c r="IH29" s="10"/>
      <c r="II29" s="53">
        <v>107</v>
      </c>
      <c r="IJ29" s="55">
        <v>3.7080310596296835</v>
      </c>
      <c r="IK29" s="56">
        <v>9.9045191062792359E-2</v>
      </c>
      <c r="IL29" s="10">
        <f t="shared" si="65"/>
        <v>-1.4979431549816571</v>
      </c>
      <c r="IM29" s="10" t="str">
        <f t="shared" si="66"/>
        <v xml:space="preserve"> </v>
      </c>
      <c r="IN29" s="10"/>
      <c r="IO29" s="54">
        <v>137</v>
      </c>
      <c r="IP29" s="57">
        <v>3.6530993273165393</v>
      </c>
      <c r="IQ29" s="58">
        <v>9.0154802261457778E-2</v>
      </c>
      <c r="IR29" s="10">
        <f t="shared" si="67"/>
        <v>-1.1353655401950367</v>
      </c>
      <c r="IS29" s="10" t="str">
        <f t="shared" si="68"/>
        <v xml:space="preserve"> </v>
      </c>
      <c r="IT29" s="76"/>
      <c r="IU29" s="27">
        <v>8</v>
      </c>
      <c r="IV29" s="28">
        <v>3.25</v>
      </c>
      <c r="IW29" s="29">
        <v>0.49122277994821373</v>
      </c>
      <c r="IX29" s="10"/>
      <c r="IY29" s="42">
        <v>9</v>
      </c>
      <c r="IZ29" s="43">
        <v>3.7777777777777777</v>
      </c>
      <c r="JA29" s="67">
        <v>0.40029527199971493</v>
      </c>
      <c r="JB29" s="10" t="str">
        <f t="shared" si="69"/>
        <v>NV</v>
      </c>
      <c r="JC29" s="10" t="str">
        <f t="shared" si="70"/>
        <v xml:space="preserve"> </v>
      </c>
      <c r="JD29" s="10"/>
      <c r="JE29" s="42">
        <v>12.871552070000002</v>
      </c>
      <c r="JF29" s="43">
        <v>3.9230769230769225</v>
      </c>
      <c r="JG29" s="67">
        <v>0.21179912010800389</v>
      </c>
      <c r="JH29" s="10" t="str">
        <f t="shared" si="71"/>
        <v>NV</v>
      </c>
      <c r="JI29" s="10" t="str">
        <f t="shared" si="72"/>
        <v xml:space="preserve"> </v>
      </c>
      <c r="JJ29" s="10"/>
      <c r="JK29" s="53">
        <v>9</v>
      </c>
      <c r="JL29" s="55">
        <v>3.6666666666666665</v>
      </c>
      <c r="JM29" s="56">
        <v>0.53396617992955542</v>
      </c>
      <c r="JN29" s="10" t="str">
        <f t="shared" si="73"/>
        <v>NV</v>
      </c>
      <c r="JO29" s="10" t="str">
        <f t="shared" si="74"/>
        <v xml:space="preserve"> </v>
      </c>
      <c r="JP29" s="10"/>
      <c r="JQ29" s="54">
        <v>12</v>
      </c>
      <c r="JR29" s="57">
        <v>2.8333333333333339</v>
      </c>
      <c r="JS29" s="58">
        <v>0.37945273132532009</v>
      </c>
      <c r="JT29" s="10" t="str">
        <f t="shared" si="75"/>
        <v>NV</v>
      </c>
      <c r="JU29" s="10" t="str">
        <f t="shared" si="76"/>
        <v xml:space="preserve"> </v>
      </c>
      <c r="JV29" s="76"/>
      <c r="JW29" s="27">
        <v>138</v>
      </c>
      <c r="JX29" s="28">
        <v>3.3329709851871487</v>
      </c>
      <c r="JY29" s="29">
        <v>0.10606372595419622</v>
      </c>
      <c r="JZ29" s="10"/>
      <c r="KA29" s="42">
        <v>84</v>
      </c>
      <c r="KB29" s="43">
        <v>3.3215622076413087</v>
      </c>
      <c r="KC29" s="67">
        <v>0.13774447075766713</v>
      </c>
      <c r="KD29" s="10">
        <f t="shared" si="77"/>
        <v>6.5625094893429159E-2</v>
      </c>
      <c r="KE29" s="10" t="str">
        <f t="shared" si="78"/>
        <v xml:space="preserve"> </v>
      </c>
      <c r="KF29" s="10"/>
      <c r="KG29" s="42">
        <v>110.66157113000001</v>
      </c>
      <c r="KH29" s="43">
        <v>3.4634927284716222</v>
      </c>
      <c r="KI29" s="67">
        <v>0.10652351016472242</v>
      </c>
      <c r="KJ29" s="10">
        <f t="shared" si="79"/>
        <v>-0.86827972925102614</v>
      </c>
      <c r="KK29" s="10" t="str">
        <f t="shared" si="80"/>
        <v xml:space="preserve"> </v>
      </c>
      <c r="KL29" s="10"/>
      <c r="KM29" s="53">
        <v>188</v>
      </c>
      <c r="KN29" s="55">
        <v>3.2404694401619101</v>
      </c>
      <c r="KO29" s="56">
        <v>8.3165368542258034E-2</v>
      </c>
      <c r="KP29" s="10">
        <f t="shared" si="81"/>
        <v>0.68630856929774853</v>
      </c>
      <c r="KQ29" s="10" t="str">
        <f t="shared" si="82"/>
        <v xml:space="preserve"> </v>
      </c>
      <c r="KR29" s="10"/>
      <c r="KS29" s="54">
        <v>186</v>
      </c>
      <c r="KT29" s="57">
        <v>3.2364407568910569</v>
      </c>
      <c r="KU29" s="58">
        <v>8.7907867287839586E-2</v>
      </c>
      <c r="KV29" s="10">
        <f t="shared" si="83"/>
        <v>0.7007224641388341</v>
      </c>
      <c r="KW29" s="10" t="str">
        <f t="shared" si="102"/>
        <v xml:space="preserve"> </v>
      </c>
      <c r="KX29" s="76"/>
      <c r="KY29" s="27">
        <v>31</v>
      </c>
      <c r="KZ29" s="28">
        <v>3.870967741935484</v>
      </c>
      <c r="LA29" s="29">
        <v>0.18982887281072972</v>
      </c>
      <c r="LB29" s="10"/>
      <c r="LC29" s="42">
        <v>32</v>
      </c>
      <c r="LD29" s="43">
        <v>3.4377682402843832</v>
      </c>
      <c r="LE29" s="67">
        <v>0.20542467099760894</v>
      </c>
      <c r="LF29" s="10">
        <f t="shared" si="84"/>
        <v>1.5487786662194745</v>
      </c>
      <c r="LG29" s="10" t="str">
        <f t="shared" si="85"/>
        <v xml:space="preserve"> </v>
      </c>
      <c r="LH29" s="10"/>
      <c r="LI29" s="42">
        <v>51.486208279999943</v>
      </c>
      <c r="LJ29" s="43">
        <v>3.7499999999999996</v>
      </c>
      <c r="LK29" s="67">
        <v>0.1582558706123442</v>
      </c>
      <c r="LL29" s="10">
        <f t="shared" si="86"/>
        <v>0.48946353073587939</v>
      </c>
      <c r="LM29" s="10" t="str">
        <f t="shared" si="87"/>
        <v xml:space="preserve"> </v>
      </c>
      <c r="LN29" s="10"/>
      <c r="LO29" s="53">
        <v>99</v>
      </c>
      <c r="LP29" s="55">
        <v>3.2929292929292924</v>
      </c>
      <c r="LQ29" s="56">
        <v>0.10399731305569591</v>
      </c>
      <c r="LR29" s="10">
        <f t="shared" si="88"/>
        <v>2.6705448771576612</v>
      </c>
      <c r="LS29" s="10" t="str">
        <f t="shared" si="89"/>
        <v>*</v>
      </c>
      <c r="LT29" s="10"/>
      <c r="LU29" s="54">
        <v>97</v>
      </c>
      <c r="LV29" s="57">
        <v>3.3598463169307275</v>
      </c>
      <c r="LW29" s="58">
        <v>0.11601300713064826</v>
      </c>
      <c r="LX29" s="10">
        <f t="shared" si="90"/>
        <v>2.2974587713234502</v>
      </c>
      <c r="LY29" s="10" t="str">
        <f t="shared" si="91"/>
        <v>*</v>
      </c>
      <c r="LZ29" s="76"/>
      <c r="MA29" s="27">
        <v>46</v>
      </c>
      <c r="MB29" s="28">
        <v>3.7180193219533857</v>
      </c>
      <c r="MC29" s="29">
        <v>0.15431499128998619</v>
      </c>
      <c r="MD29" s="10"/>
      <c r="ME29" s="42">
        <v>37</v>
      </c>
      <c r="MF29" s="43">
        <v>3.5135278514557324</v>
      </c>
      <c r="MG29" s="67">
        <v>0.18434272429847814</v>
      </c>
      <c r="MH29" s="10">
        <f t="shared" si="92"/>
        <v>0.85060655334716484</v>
      </c>
      <c r="MI29" s="10" t="str">
        <f t="shared" si="93"/>
        <v xml:space="preserve"> </v>
      </c>
      <c r="MJ29" s="10"/>
      <c r="MK29" s="42">
        <v>26.219950930000007</v>
      </c>
      <c r="ML29" s="43">
        <v>3.7990654206765901</v>
      </c>
      <c r="MM29" s="67">
        <v>0.1982603911782112</v>
      </c>
      <c r="MN29" s="10" t="str">
        <f t="shared" si="94"/>
        <v>NV</v>
      </c>
      <c r="MO29" s="10" t="str">
        <f t="shared" si="95"/>
        <v xml:space="preserve"> </v>
      </c>
      <c r="MP29" s="10"/>
      <c r="MQ29" s="53">
        <v>49</v>
      </c>
      <c r="MR29" s="55">
        <v>3.3216709693030646</v>
      </c>
      <c r="MS29" s="56">
        <v>0.16936669418832939</v>
      </c>
      <c r="MT29" s="10">
        <f t="shared" si="96"/>
        <v>1.7298357856872326</v>
      </c>
      <c r="MU29" s="10" t="str">
        <f t="shared" si="97"/>
        <v xml:space="preserve"> </v>
      </c>
      <c r="MV29" s="10"/>
      <c r="MW29" s="54">
        <v>37</v>
      </c>
      <c r="MX29" s="57">
        <v>3.7445247661584049</v>
      </c>
      <c r="MY29" s="58">
        <v>0.17398529478547076</v>
      </c>
      <c r="MZ29" s="10">
        <f t="shared" si="98"/>
        <v>-0.11397266084103334</v>
      </c>
      <c r="NA29" s="10" t="str">
        <f t="shared" si="103"/>
        <v xml:space="preserve"> </v>
      </c>
      <c r="NB29" s="58"/>
    </row>
    <row r="30" spans="1:366" x14ac:dyDescent="0.2">
      <c r="B30" s="65" t="s">
        <v>32</v>
      </c>
      <c r="C30" s="27">
        <v>264</v>
      </c>
      <c r="D30" s="28">
        <v>3.4053030303030303</v>
      </c>
      <c r="E30" s="29">
        <v>7.0595025614418619E-2</v>
      </c>
      <c r="F30" s="10"/>
      <c r="G30" s="42">
        <v>85</v>
      </c>
      <c r="H30" s="43">
        <v>3.2937555643012875</v>
      </c>
      <c r="I30" s="67">
        <v>0.12316375775009873</v>
      </c>
      <c r="J30" s="10">
        <f t="shared" si="1"/>
        <v>0.78576049793501435</v>
      </c>
      <c r="K30" s="10" t="str">
        <f t="shared" si="2"/>
        <v xml:space="preserve"> </v>
      </c>
      <c r="L30" s="10"/>
      <c r="M30" s="42">
        <v>91.49704344000007</v>
      </c>
      <c r="N30" s="43">
        <v>3.329545454545455</v>
      </c>
      <c r="O30" s="67">
        <v>9.202598911396502E-2</v>
      </c>
      <c r="P30" s="10">
        <f t="shared" si="3"/>
        <v>0.65316895087622739</v>
      </c>
      <c r="Q30" s="10" t="str">
        <f t="shared" si="4"/>
        <v xml:space="preserve"> </v>
      </c>
      <c r="R30" s="10"/>
      <c r="S30" s="53">
        <v>92</v>
      </c>
      <c r="T30" s="55">
        <v>3.3913043478260869</v>
      </c>
      <c r="U30" s="56">
        <v>0.10708178093210231</v>
      </c>
      <c r="V30" s="10">
        <f t="shared" si="5"/>
        <v>0.10914454323279521</v>
      </c>
      <c r="W30" s="10" t="str">
        <f t="shared" si="6"/>
        <v xml:space="preserve"> </v>
      </c>
      <c r="X30" s="10"/>
      <c r="Y30" s="54">
        <v>107</v>
      </c>
      <c r="Z30" s="57">
        <v>3.4392523364485985</v>
      </c>
      <c r="AA30" s="58">
        <v>9.7921711976334119E-2</v>
      </c>
      <c r="AB30" s="10">
        <f t="shared" si="7"/>
        <v>-0.28123318350225285</v>
      </c>
      <c r="AC30" s="10" t="str">
        <f t="shared" si="8"/>
        <v xml:space="preserve"> </v>
      </c>
      <c r="AD30" s="76"/>
      <c r="AE30" s="27">
        <v>51</v>
      </c>
      <c r="AF30" s="28">
        <v>3.2157744067421419</v>
      </c>
      <c r="AG30" s="29">
        <v>0.13871865303361236</v>
      </c>
      <c r="AH30" s="67"/>
      <c r="AI30" s="42">
        <v>20</v>
      </c>
      <c r="AJ30" s="43">
        <v>3.2007949319992099</v>
      </c>
      <c r="AK30" s="67">
        <v>0.23530849424187258</v>
      </c>
      <c r="AL30" s="10" t="str">
        <f t="shared" si="9"/>
        <v>NV</v>
      </c>
      <c r="AM30" s="10" t="str">
        <f t="shared" si="10"/>
        <v xml:space="preserve"> </v>
      </c>
      <c r="AN30" s="67"/>
      <c r="AO30" s="42">
        <v>50.803403850000002</v>
      </c>
      <c r="AP30" s="43">
        <v>3.0907049335435421</v>
      </c>
      <c r="AQ30" s="67">
        <v>0.15144130898453192</v>
      </c>
      <c r="AR30" s="10">
        <f t="shared" si="11"/>
        <v>0.60899223366975164</v>
      </c>
      <c r="AS30" s="10" t="str">
        <f t="shared" si="12"/>
        <v xml:space="preserve"> </v>
      </c>
      <c r="AT30" s="10"/>
      <c r="AU30" s="53">
        <v>59</v>
      </c>
      <c r="AV30" s="55">
        <v>3.3444089879689196</v>
      </c>
      <c r="AW30" s="56">
        <v>0.14553337181014572</v>
      </c>
      <c r="AX30" s="10">
        <f t="shared" si="13"/>
        <v>-0.63980023530063179</v>
      </c>
      <c r="AY30" s="10" t="str">
        <f t="shared" si="14"/>
        <v xml:space="preserve"> </v>
      </c>
      <c r="AZ30" s="10"/>
      <c r="BA30" s="54">
        <v>41</v>
      </c>
      <c r="BB30" s="57">
        <v>3.0540685365880842</v>
      </c>
      <c r="BC30" s="58">
        <v>0.1365405696217882</v>
      </c>
      <c r="BD30" s="10">
        <f t="shared" si="15"/>
        <v>0.83077861452544144</v>
      </c>
      <c r="BE30" s="10" t="str">
        <f t="shared" si="16"/>
        <v xml:space="preserve"> </v>
      </c>
      <c r="BF30" s="76"/>
      <c r="BG30" s="27">
        <v>696</v>
      </c>
      <c r="BH30" s="28">
        <v>3.8100872110102362</v>
      </c>
      <c r="BI30" s="29">
        <v>3.6376930187584443E-2</v>
      </c>
      <c r="BJ30" s="10"/>
      <c r="BK30" s="42">
        <v>217</v>
      </c>
      <c r="BL30" s="43">
        <v>3.8617457548160412</v>
      </c>
      <c r="BM30" s="67">
        <v>6.729141314649896E-2</v>
      </c>
      <c r="BN30" s="10">
        <f t="shared" si="17"/>
        <v>-0.67532324254159004</v>
      </c>
      <c r="BO30" s="10" t="str">
        <f t="shared" si="18"/>
        <v xml:space="preserve"> </v>
      </c>
      <c r="BP30" s="10"/>
      <c r="BQ30" s="42">
        <v>237.36587096999895</v>
      </c>
      <c r="BR30" s="43">
        <v>3.6256651759290621</v>
      </c>
      <c r="BS30" s="67">
        <v>4.1954636998015944E-2</v>
      </c>
      <c r="BT30" s="10">
        <f t="shared" si="19"/>
        <v>3.3211826632878507</v>
      </c>
      <c r="BU30" s="10" t="str">
        <f t="shared" si="20"/>
        <v>*</v>
      </c>
      <c r="BV30" s="10"/>
      <c r="BW30" s="53">
        <v>268</v>
      </c>
      <c r="BX30" s="55">
        <v>3.7022184245953484</v>
      </c>
      <c r="BY30" s="56">
        <v>3.6389480534822785E-2</v>
      </c>
      <c r="BZ30" s="10">
        <f t="shared" si="21"/>
        <v>2.0964274164577881</v>
      </c>
      <c r="CA30" s="10" t="str">
        <f t="shared" si="22"/>
        <v>*</v>
      </c>
      <c r="CB30" s="10"/>
      <c r="CC30" s="54">
        <v>219</v>
      </c>
      <c r="CD30" s="57">
        <v>3.6275917956986188</v>
      </c>
      <c r="CE30" s="58">
        <v>6.5316339132155052E-2</v>
      </c>
      <c r="CF30" s="10">
        <f t="shared" si="23"/>
        <v>2.4409859289749369</v>
      </c>
      <c r="CG30" s="10" t="str">
        <f t="shared" si="24"/>
        <v>*</v>
      </c>
      <c r="CH30" s="76"/>
      <c r="CI30" s="27">
        <v>379</v>
      </c>
      <c r="CJ30" s="28">
        <v>3.6816438009894066</v>
      </c>
      <c r="CK30" s="29">
        <v>5.1779157852817059E-2</v>
      </c>
      <c r="CL30" s="67"/>
      <c r="CM30" s="42">
        <v>127</v>
      </c>
      <c r="CN30" s="43">
        <v>3.6211973649067284</v>
      </c>
      <c r="CO30" s="67">
        <v>9.5257858288854774E-2</v>
      </c>
      <c r="CP30" s="10">
        <f t="shared" si="25"/>
        <v>0.55751529081689821</v>
      </c>
      <c r="CQ30" s="10" t="str">
        <f t="shared" si="26"/>
        <v xml:space="preserve"> </v>
      </c>
      <c r="CR30" s="10"/>
      <c r="CS30" s="42">
        <v>145.16416046999984</v>
      </c>
      <c r="CT30" s="43">
        <v>3.786098990484521</v>
      </c>
      <c r="CU30" s="67">
        <v>7.4021498049563053E-2</v>
      </c>
      <c r="CV30" s="10">
        <f t="shared" si="27"/>
        <v>-1.1563197238316119</v>
      </c>
      <c r="CW30" s="10" t="str">
        <f t="shared" si="28"/>
        <v xml:space="preserve"> </v>
      </c>
      <c r="CX30" s="10"/>
      <c r="CY30" s="53">
        <v>108</v>
      </c>
      <c r="CZ30" s="55">
        <v>3.7955228718862029</v>
      </c>
      <c r="DA30" s="56">
        <v>0.10312246880770745</v>
      </c>
      <c r="DB30" s="10">
        <f t="shared" si="29"/>
        <v>-0.98688837565501331</v>
      </c>
      <c r="DC30" s="10" t="str">
        <f t="shared" si="0"/>
        <v xml:space="preserve"> </v>
      </c>
      <c r="DD30" s="10"/>
      <c r="DE30" s="54">
        <v>153</v>
      </c>
      <c r="DF30" s="57">
        <v>3.5771816160274703</v>
      </c>
      <c r="DG30" s="58">
        <v>7.4612593592398316E-2</v>
      </c>
      <c r="DH30" s="10">
        <f t="shared" si="30"/>
        <v>1.1502218460875473</v>
      </c>
      <c r="DI30" s="10" t="str">
        <f t="shared" si="31"/>
        <v xml:space="preserve"> </v>
      </c>
      <c r="DJ30" s="76"/>
      <c r="DK30" s="27">
        <v>130</v>
      </c>
      <c r="DL30" s="28">
        <v>3.1064673264660199</v>
      </c>
      <c r="DM30" s="29">
        <v>0.1082166083171595</v>
      </c>
      <c r="DN30" s="10"/>
      <c r="DO30" s="42">
        <v>62</v>
      </c>
      <c r="DP30" s="43">
        <v>2.7579844928108415</v>
      </c>
      <c r="DQ30" s="67">
        <v>0.15737229770042552</v>
      </c>
      <c r="DR30" s="10">
        <f t="shared" si="32"/>
        <v>1.8246206288955236</v>
      </c>
      <c r="DS30" s="10" t="str">
        <f t="shared" si="33"/>
        <v xml:space="preserve"> </v>
      </c>
      <c r="DT30" s="10"/>
      <c r="DU30" s="42">
        <v>60.443882880000025</v>
      </c>
      <c r="DV30" s="43">
        <v>3.018597534050413</v>
      </c>
      <c r="DW30" s="67">
        <v>0.14410595969508094</v>
      </c>
      <c r="DX30" s="10">
        <f t="shared" si="34"/>
        <v>0.48758375518898306</v>
      </c>
      <c r="DY30" s="10" t="str">
        <f t="shared" si="35"/>
        <v xml:space="preserve"> </v>
      </c>
      <c r="DZ30" s="10"/>
      <c r="EA30" s="53">
        <v>70</v>
      </c>
      <c r="EB30" s="55">
        <v>2.8352457748926008</v>
      </c>
      <c r="EC30" s="56">
        <v>0.13464180563118508</v>
      </c>
      <c r="ED30" s="10">
        <f t="shared" si="36"/>
        <v>1.5701105926404217</v>
      </c>
      <c r="EE30" s="10" t="str">
        <f t="shared" si="37"/>
        <v xml:space="preserve"> </v>
      </c>
      <c r="EF30" s="10"/>
      <c r="EG30" s="54">
        <v>43</v>
      </c>
      <c r="EH30" s="57">
        <v>3.3255813953488365</v>
      </c>
      <c r="EI30" s="58">
        <v>0.13453156074930622</v>
      </c>
      <c r="EJ30" s="10">
        <f t="shared" si="38"/>
        <v>-1.2690898491225922</v>
      </c>
      <c r="EK30" s="10" t="str">
        <f t="shared" si="39"/>
        <v xml:space="preserve"> </v>
      </c>
      <c r="EL30" s="76"/>
      <c r="EM30" s="27">
        <v>281</v>
      </c>
      <c r="EN30" s="28">
        <v>3.7635469211617929</v>
      </c>
      <c r="EO30" s="29">
        <v>6.115300237179077E-2</v>
      </c>
      <c r="EP30" s="10"/>
      <c r="EQ30" s="42">
        <v>90</v>
      </c>
      <c r="ER30" s="43">
        <v>3.7556379512195219</v>
      </c>
      <c r="ES30" s="67">
        <v>0.10981816376990691</v>
      </c>
      <c r="ET30" s="10">
        <f t="shared" si="40"/>
        <v>6.2920946412453896E-2</v>
      </c>
      <c r="EU30" s="10" t="str">
        <f t="shared" si="41"/>
        <v xml:space="preserve"> </v>
      </c>
      <c r="EV30" s="10"/>
      <c r="EW30" s="42">
        <v>93.517076220000021</v>
      </c>
      <c r="EX30" s="43">
        <v>3.2596188394821475</v>
      </c>
      <c r="EY30" s="67">
        <v>8.7914655397111685E-2</v>
      </c>
      <c r="EZ30" s="10">
        <f t="shared" si="42"/>
        <v>4.705566465840004</v>
      </c>
      <c r="FA30" s="10" t="str">
        <f t="shared" si="43"/>
        <v>*</v>
      </c>
      <c r="FB30" s="10"/>
      <c r="FC30" s="53">
        <v>104</v>
      </c>
      <c r="FD30" s="55">
        <v>3.6944746884781665</v>
      </c>
      <c r="FE30" s="56">
        <v>8.9470364539923408E-2</v>
      </c>
      <c r="FF30" s="10">
        <f t="shared" si="44"/>
        <v>0.6373584042538637</v>
      </c>
      <c r="FG30" s="10" t="str">
        <f t="shared" si="45"/>
        <v xml:space="preserve"> </v>
      </c>
      <c r="FH30" s="10"/>
      <c r="FI30" s="54">
        <v>93</v>
      </c>
      <c r="FJ30" s="57">
        <v>3.3151323123420053</v>
      </c>
      <c r="FK30" s="58">
        <v>9.8622021948907193E-2</v>
      </c>
      <c r="FL30" s="10">
        <f t="shared" si="46"/>
        <v>3.8642085952291549</v>
      </c>
      <c r="FM30" s="10" t="str">
        <f t="shared" si="99"/>
        <v>*</v>
      </c>
      <c r="FN30" s="76"/>
      <c r="FO30" s="27">
        <v>89</v>
      </c>
      <c r="FP30" s="28">
        <v>3.0203175865317133</v>
      </c>
      <c r="FQ30" s="29">
        <v>0.1382436073893949</v>
      </c>
      <c r="FR30" s="67"/>
      <c r="FS30" s="42">
        <v>68</v>
      </c>
      <c r="FT30" s="43">
        <v>3.0897489070444171</v>
      </c>
      <c r="FU30" s="67">
        <v>0.15600383649734748</v>
      </c>
      <c r="FV30" s="10">
        <f t="shared" si="47"/>
        <v>-0.3330949675971121</v>
      </c>
      <c r="FW30" s="10" t="str">
        <f t="shared" si="48"/>
        <v xml:space="preserve"> </v>
      </c>
      <c r="FX30" s="67"/>
      <c r="FY30" s="42">
        <v>86.695930609999948</v>
      </c>
      <c r="FZ30" s="43">
        <v>3.3360436275960521</v>
      </c>
      <c r="GA30" s="67">
        <v>0.12661362486305994</v>
      </c>
      <c r="GB30" s="10">
        <f t="shared" si="49"/>
        <v>-1.6842062792594257</v>
      </c>
      <c r="GC30" s="10" t="str">
        <f t="shared" si="50"/>
        <v xml:space="preserve"> </v>
      </c>
      <c r="GD30" s="10"/>
      <c r="GE30" s="53">
        <v>91</v>
      </c>
      <c r="GF30" s="55">
        <v>3.0465434623978016</v>
      </c>
      <c r="GG30" s="56">
        <v>0.12758851326874482</v>
      </c>
      <c r="GH30" s="10">
        <f t="shared" si="51"/>
        <v>-0.13940840581542524</v>
      </c>
      <c r="GI30" s="10" t="str">
        <f t="shared" si="52"/>
        <v xml:space="preserve"> </v>
      </c>
      <c r="GJ30" s="10"/>
      <c r="GK30" s="54">
        <v>82</v>
      </c>
      <c r="GL30" s="57">
        <v>3.293937538446543</v>
      </c>
      <c r="GM30" s="58">
        <v>0.13732931571128509</v>
      </c>
      <c r="GN30" s="10">
        <f t="shared" si="53"/>
        <v>-1.4041833749289143</v>
      </c>
      <c r="GO30" s="10" t="str">
        <f t="shared" si="100"/>
        <v xml:space="preserve"> </v>
      </c>
      <c r="GP30" s="76"/>
      <c r="GQ30" s="27">
        <v>112</v>
      </c>
      <c r="GR30" s="28">
        <v>2.8841510019017469</v>
      </c>
      <c r="GS30" s="29">
        <v>0.12062604246801958</v>
      </c>
      <c r="GT30" s="10"/>
      <c r="GU30" s="42">
        <v>71</v>
      </c>
      <c r="GV30" s="43">
        <v>2.889970201555494</v>
      </c>
      <c r="GW30" s="67">
        <v>0.1583783522500147</v>
      </c>
      <c r="GX30" s="10">
        <f t="shared" si="54"/>
        <v>-2.9229905914653333E-2</v>
      </c>
      <c r="GY30" s="10" t="str">
        <f t="shared" si="55"/>
        <v xml:space="preserve"> </v>
      </c>
      <c r="GZ30" s="10"/>
      <c r="HA30" s="42">
        <v>64.783741069999948</v>
      </c>
      <c r="HB30" s="43">
        <v>2.9811794846999877</v>
      </c>
      <c r="HC30" s="67">
        <v>0.16830609365871885</v>
      </c>
      <c r="HD30" s="10">
        <f t="shared" si="56"/>
        <v>-0.46858036996750135</v>
      </c>
      <c r="HE30" s="10" t="str">
        <f t="shared" si="57"/>
        <v xml:space="preserve"> </v>
      </c>
      <c r="HF30" s="10"/>
      <c r="HG30" s="53">
        <v>47</v>
      </c>
      <c r="HH30" s="55">
        <v>2.9469601439332487</v>
      </c>
      <c r="HI30" s="56">
        <v>0.1469413434502348</v>
      </c>
      <c r="HJ30" s="10">
        <f t="shared" si="58"/>
        <v>-0.3303804677809335</v>
      </c>
      <c r="HK30" s="10" t="str">
        <f t="shared" si="59"/>
        <v xml:space="preserve"> </v>
      </c>
      <c r="HL30" s="10"/>
      <c r="HM30" s="54">
        <v>69</v>
      </c>
      <c r="HN30" s="57">
        <v>3.2349849854271779</v>
      </c>
      <c r="HO30" s="58">
        <v>0.15190765014857749</v>
      </c>
      <c r="HP30" s="10">
        <f t="shared" si="60"/>
        <v>-1.8086490441290159</v>
      </c>
      <c r="HQ30" s="10" t="str">
        <f t="shared" si="101"/>
        <v xml:space="preserve"> </v>
      </c>
      <c r="HR30" s="76"/>
      <c r="HS30" s="27">
        <v>291</v>
      </c>
      <c r="HT30" s="28">
        <v>3.6971086015043348</v>
      </c>
      <c r="HU30" s="29">
        <v>5.5913493228317998E-2</v>
      </c>
      <c r="HV30" s="10"/>
      <c r="HW30" s="42">
        <v>221</v>
      </c>
      <c r="HX30" s="43">
        <v>3.6786503372903891</v>
      </c>
      <c r="HY30" s="67">
        <v>6.8221247525229123E-2</v>
      </c>
      <c r="HZ30" s="10">
        <f t="shared" si="61"/>
        <v>0.20926099951613847</v>
      </c>
      <c r="IA30" s="10" t="str">
        <f t="shared" si="62"/>
        <v xml:space="preserve"> </v>
      </c>
      <c r="IB30" s="10"/>
      <c r="IC30" s="42">
        <v>223.48709402000088</v>
      </c>
      <c r="ID30" s="43">
        <v>3.4856622968585675</v>
      </c>
      <c r="IE30" s="67">
        <v>6.9180398648154312E-2</v>
      </c>
      <c r="IF30" s="10">
        <f t="shared" si="63"/>
        <v>2.3771150469433318</v>
      </c>
      <c r="IG30" s="10" t="str">
        <f t="shared" si="64"/>
        <v>*</v>
      </c>
      <c r="IH30" s="10"/>
      <c r="II30" s="53">
        <v>204</v>
      </c>
      <c r="IJ30" s="55">
        <v>3.7801606137193691</v>
      </c>
      <c r="IK30" s="56">
        <v>7.2013526263677685E-2</v>
      </c>
      <c r="IL30" s="10">
        <f t="shared" si="65"/>
        <v>-0.91094136796875769</v>
      </c>
      <c r="IM30" s="10" t="str">
        <f t="shared" si="66"/>
        <v xml:space="preserve"> </v>
      </c>
      <c r="IN30" s="10"/>
      <c r="IO30" s="54">
        <v>220</v>
      </c>
      <c r="IP30" s="57">
        <v>3.6249419417884927</v>
      </c>
      <c r="IQ30" s="58">
        <v>6.9417767604289846E-2</v>
      </c>
      <c r="IR30" s="10">
        <f t="shared" si="67"/>
        <v>0.80962830951884013</v>
      </c>
      <c r="IS30" s="10" t="str">
        <f t="shared" si="68"/>
        <v xml:space="preserve"> </v>
      </c>
      <c r="IT30" s="76"/>
      <c r="IU30" s="27">
        <v>15</v>
      </c>
      <c r="IV30" s="28">
        <v>2.0666666666666673</v>
      </c>
      <c r="IW30" s="29">
        <v>0.24827806869579727</v>
      </c>
      <c r="IX30" s="10"/>
      <c r="IY30" s="42">
        <v>17</v>
      </c>
      <c r="IZ30" s="43">
        <v>2.64971098207497</v>
      </c>
      <c r="JA30" s="67">
        <v>0.38324428592385495</v>
      </c>
      <c r="JB30" s="10" t="str">
        <f t="shared" si="69"/>
        <v>NV</v>
      </c>
      <c r="JC30" s="10" t="str">
        <f t="shared" si="70"/>
        <v xml:space="preserve"> </v>
      </c>
      <c r="JD30" s="10"/>
      <c r="JE30" s="42">
        <v>19.802387800000002</v>
      </c>
      <c r="JF30" s="43">
        <v>3.6500000000000004</v>
      </c>
      <c r="JG30" s="67">
        <v>0.20978648112287893</v>
      </c>
      <c r="JH30" s="10" t="str">
        <f t="shared" si="71"/>
        <v>NV</v>
      </c>
      <c r="JI30" s="10" t="str">
        <f t="shared" si="72"/>
        <v xml:space="preserve"> </v>
      </c>
      <c r="JJ30" s="10"/>
      <c r="JK30" s="53">
        <v>19</v>
      </c>
      <c r="JL30" s="55">
        <v>2.1052631578947363</v>
      </c>
      <c r="JM30" s="56">
        <v>0.23087637436506903</v>
      </c>
      <c r="JN30" s="10" t="str">
        <f t="shared" si="73"/>
        <v>NV</v>
      </c>
      <c r="JO30" s="10" t="str">
        <f t="shared" si="74"/>
        <v xml:space="preserve"> </v>
      </c>
      <c r="JP30" s="10"/>
      <c r="JQ30" s="54">
        <v>25</v>
      </c>
      <c r="JR30" s="57">
        <v>1.8399999999999996</v>
      </c>
      <c r="JS30" s="58">
        <v>0.22110979378641227</v>
      </c>
      <c r="JT30" s="10" t="str">
        <f t="shared" si="75"/>
        <v>NV</v>
      </c>
      <c r="JU30" s="10" t="str">
        <f t="shared" si="76"/>
        <v xml:space="preserve"> </v>
      </c>
      <c r="JV30" s="76"/>
      <c r="JW30" s="27">
        <v>237</v>
      </c>
      <c r="JX30" s="28">
        <v>2.7927700492478906</v>
      </c>
      <c r="JY30" s="29">
        <v>8.0729801285099059E-2</v>
      </c>
      <c r="JZ30" s="10"/>
      <c r="KA30" s="42">
        <v>133</v>
      </c>
      <c r="KB30" s="43">
        <v>2.6936604103919666</v>
      </c>
      <c r="KC30" s="67">
        <v>0.11411926513736199</v>
      </c>
      <c r="KD30" s="10">
        <f t="shared" si="77"/>
        <v>0.70900283913133566</v>
      </c>
      <c r="KE30" s="10" t="str">
        <f t="shared" si="78"/>
        <v xml:space="preserve"> </v>
      </c>
      <c r="KF30" s="10"/>
      <c r="KG30" s="42">
        <v>174.02921208999979</v>
      </c>
      <c r="KH30" s="43">
        <v>3.0484644366236542</v>
      </c>
      <c r="KI30" s="67">
        <v>9.0729690947281297E-2</v>
      </c>
      <c r="KJ30" s="10">
        <f t="shared" si="79"/>
        <v>-2.1054129605886596</v>
      </c>
      <c r="KK30" s="10" t="str">
        <f t="shared" si="80"/>
        <v>*</v>
      </c>
      <c r="KL30" s="10"/>
      <c r="KM30" s="53">
        <v>314</v>
      </c>
      <c r="KN30" s="55">
        <v>2.71684107490722</v>
      </c>
      <c r="KO30" s="56">
        <v>7.0500305940613892E-2</v>
      </c>
      <c r="KP30" s="10">
        <f t="shared" si="81"/>
        <v>0.70842355863335593</v>
      </c>
      <c r="KQ30" s="10" t="str">
        <f t="shared" si="82"/>
        <v xml:space="preserve"> </v>
      </c>
      <c r="KR30" s="10"/>
      <c r="KS30" s="54">
        <v>302</v>
      </c>
      <c r="KT30" s="57">
        <v>2.7908379746368706</v>
      </c>
      <c r="KU30" s="58">
        <v>6.8520149230802976E-2</v>
      </c>
      <c r="KV30" s="10">
        <f t="shared" si="83"/>
        <v>1.8246363097538347E-2</v>
      </c>
      <c r="KW30" s="10" t="str">
        <f t="shared" si="102"/>
        <v xml:space="preserve"> </v>
      </c>
      <c r="KX30" s="76"/>
      <c r="KY30" s="27">
        <v>65</v>
      </c>
      <c r="KZ30" s="28">
        <v>3.3999999999999995</v>
      </c>
      <c r="LA30" s="29">
        <v>0.15006312460997331</v>
      </c>
      <c r="LB30" s="10"/>
      <c r="LC30" s="42">
        <v>74</v>
      </c>
      <c r="LD30" s="43">
        <v>3.2296473084243802</v>
      </c>
      <c r="LE30" s="67">
        <v>0.13948197152435093</v>
      </c>
      <c r="LF30" s="10">
        <f t="shared" si="84"/>
        <v>0.83149182544694855</v>
      </c>
      <c r="LG30" s="10" t="str">
        <f t="shared" si="85"/>
        <v xml:space="preserve"> </v>
      </c>
      <c r="LH30" s="10"/>
      <c r="LI30" s="42">
        <v>100.00205839000004</v>
      </c>
      <c r="LJ30" s="43">
        <v>3.5445544554455455</v>
      </c>
      <c r="LK30" s="67">
        <v>0.11792392461692267</v>
      </c>
      <c r="LL30" s="10">
        <f t="shared" si="86"/>
        <v>-0.75741123226370599</v>
      </c>
      <c r="LM30" s="10" t="str">
        <f t="shared" si="87"/>
        <v xml:space="preserve"> </v>
      </c>
      <c r="LN30" s="10"/>
      <c r="LO30" s="53">
        <v>203</v>
      </c>
      <c r="LP30" s="55">
        <v>3.3103448275862073</v>
      </c>
      <c r="LQ30" s="56">
        <v>6.8036362922288277E-2</v>
      </c>
      <c r="LR30" s="10">
        <f t="shared" si="88"/>
        <v>0.54413583152492817</v>
      </c>
      <c r="LS30" s="10" t="str">
        <f t="shared" si="89"/>
        <v xml:space="preserve"> </v>
      </c>
      <c r="LT30" s="10"/>
      <c r="LU30" s="54">
        <v>198</v>
      </c>
      <c r="LV30" s="57">
        <v>3.1369868471017077</v>
      </c>
      <c r="LW30" s="58">
        <v>8.5938695518949129E-2</v>
      </c>
      <c r="LX30" s="10">
        <f t="shared" si="90"/>
        <v>1.5209324130859478</v>
      </c>
      <c r="LY30" s="10" t="str">
        <f t="shared" si="91"/>
        <v xml:space="preserve"> </v>
      </c>
      <c r="LZ30" s="76"/>
      <c r="MA30" s="27">
        <v>82</v>
      </c>
      <c r="MB30" s="28">
        <v>3.2925235516016778</v>
      </c>
      <c r="MC30" s="29">
        <v>0.12805770727292606</v>
      </c>
      <c r="MD30" s="10"/>
      <c r="ME30" s="42">
        <v>63</v>
      </c>
      <c r="MF30" s="43">
        <v>3.2236431687451725</v>
      </c>
      <c r="MG30" s="67">
        <v>0.15423160325592583</v>
      </c>
      <c r="MH30" s="10">
        <f t="shared" si="92"/>
        <v>0.3436032611960167</v>
      </c>
      <c r="MI30" s="10" t="str">
        <f t="shared" si="93"/>
        <v xml:space="preserve"> </v>
      </c>
      <c r="MJ30" s="10"/>
      <c r="MK30" s="42">
        <v>64.993556069999912</v>
      </c>
      <c r="ML30" s="43">
        <v>3.5002802263193664</v>
      </c>
      <c r="MM30" s="67">
        <v>0.13918186481592806</v>
      </c>
      <c r="MN30" s="10">
        <f t="shared" si="94"/>
        <v>-1.09848285310358</v>
      </c>
      <c r="MO30" s="10" t="str">
        <f t="shared" si="95"/>
        <v xml:space="preserve"> </v>
      </c>
      <c r="MP30" s="10"/>
      <c r="MQ30" s="53">
        <v>98</v>
      </c>
      <c r="MR30" s="55">
        <v>3.0735155146745781</v>
      </c>
      <c r="MS30" s="56">
        <v>0.11423300036975235</v>
      </c>
      <c r="MT30" s="10">
        <f t="shared" si="96"/>
        <v>1.2762403866263246</v>
      </c>
      <c r="MU30" s="10" t="str">
        <f t="shared" si="97"/>
        <v xml:space="preserve"> </v>
      </c>
      <c r="MV30" s="10"/>
      <c r="MW30" s="54">
        <v>87</v>
      </c>
      <c r="MX30" s="57">
        <v>3.395143699556491</v>
      </c>
      <c r="MY30" s="58">
        <v>0.11994946624106317</v>
      </c>
      <c r="MZ30" s="10">
        <f t="shared" si="98"/>
        <v>-0.58485931775959765</v>
      </c>
      <c r="NA30" s="10" t="str">
        <f t="shared" si="103"/>
        <v xml:space="preserve"> </v>
      </c>
      <c r="NB30" s="58"/>
    </row>
    <row r="31" spans="1:366" x14ac:dyDescent="0.2">
      <c r="B31" s="65" t="s">
        <v>33</v>
      </c>
      <c r="C31" s="27">
        <v>252</v>
      </c>
      <c r="D31" s="28">
        <v>2.8531746031746024</v>
      </c>
      <c r="E31" s="29">
        <v>7.439330592399275E-2</v>
      </c>
      <c r="F31" s="10"/>
      <c r="G31" s="42">
        <v>75</v>
      </c>
      <c r="H31" s="43">
        <v>2.7866666666666666</v>
      </c>
      <c r="I31" s="67">
        <v>0.13230359191403634</v>
      </c>
      <c r="J31" s="10">
        <f t="shared" si="1"/>
        <v>0.43817277474518046</v>
      </c>
      <c r="K31" s="10" t="str">
        <f t="shared" si="2"/>
        <v xml:space="preserve"> </v>
      </c>
      <c r="L31" s="10"/>
      <c r="M31" s="42">
        <v>61.344608670000049</v>
      </c>
      <c r="N31" s="43">
        <v>2.7966101694915255</v>
      </c>
      <c r="O31" s="67">
        <v>0.11798245664657253</v>
      </c>
      <c r="P31" s="10">
        <f t="shared" si="3"/>
        <v>0.40554260529100267</v>
      </c>
      <c r="Q31" s="10" t="str">
        <f t="shared" si="4"/>
        <v xml:space="preserve"> </v>
      </c>
      <c r="R31" s="10"/>
      <c r="S31" s="53">
        <v>83</v>
      </c>
      <c r="T31" s="55">
        <v>2.9156626506024095</v>
      </c>
      <c r="U31" s="56">
        <v>0.10888936039421468</v>
      </c>
      <c r="V31" s="10">
        <f t="shared" si="5"/>
        <v>-0.47383972848928668</v>
      </c>
      <c r="W31" s="10" t="str">
        <f t="shared" si="6"/>
        <v xml:space="preserve"> </v>
      </c>
      <c r="X31" s="10"/>
      <c r="Y31" s="54">
        <v>96</v>
      </c>
      <c r="Z31" s="57">
        <v>2.895833333333333</v>
      </c>
      <c r="AA31" s="58">
        <v>0.11290751091600544</v>
      </c>
      <c r="AB31" s="10">
        <f t="shared" si="7"/>
        <v>-0.31549355290875769</v>
      </c>
      <c r="AC31" s="10" t="str">
        <f t="shared" si="8"/>
        <v xml:space="preserve"> </v>
      </c>
      <c r="AD31" s="76"/>
      <c r="AE31" s="27">
        <v>45</v>
      </c>
      <c r="AF31" s="28">
        <v>2.9119313879012818</v>
      </c>
      <c r="AG31" s="29">
        <v>0.16233201432436076</v>
      </c>
      <c r="AH31" s="67"/>
      <c r="AI31" s="42">
        <v>19</v>
      </c>
      <c r="AJ31" s="43">
        <v>2.7380532627249474</v>
      </c>
      <c r="AK31" s="67">
        <v>0.33934788938143606</v>
      </c>
      <c r="AL31" s="10" t="str">
        <f t="shared" si="9"/>
        <v>NV</v>
      </c>
      <c r="AM31" s="10" t="str">
        <f t="shared" si="10"/>
        <v xml:space="preserve"> </v>
      </c>
      <c r="AN31" s="67"/>
      <c r="AO31" s="42">
        <v>33.437988150000002</v>
      </c>
      <c r="AP31" s="43">
        <v>2.8571428571428577</v>
      </c>
      <c r="AQ31" s="67">
        <v>0.2019121752218829</v>
      </c>
      <c r="AR31" s="10">
        <f t="shared" si="11"/>
        <v>0.21147693285205663</v>
      </c>
      <c r="AS31" s="10" t="str">
        <f t="shared" si="12"/>
        <v xml:space="preserve"> </v>
      </c>
      <c r="AT31" s="10"/>
      <c r="AU31" s="53">
        <v>44</v>
      </c>
      <c r="AV31" s="55">
        <v>2.866647103755724</v>
      </c>
      <c r="AW31" s="56">
        <v>0.17040523569805113</v>
      </c>
      <c r="AX31" s="10">
        <f t="shared" si="13"/>
        <v>0.19241250143566666</v>
      </c>
      <c r="AY31" s="10" t="str">
        <f t="shared" si="14"/>
        <v xml:space="preserve"> </v>
      </c>
      <c r="AZ31" s="10"/>
      <c r="BA31" s="54">
        <v>29</v>
      </c>
      <c r="BB31" s="57">
        <v>2.2483609055377234</v>
      </c>
      <c r="BC31" s="58">
        <v>0.2015212432821305</v>
      </c>
      <c r="BD31" s="10" t="str">
        <f t="shared" si="15"/>
        <v>NV</v>
      </c>
      <c r="BE31" s="10" t="str">
        <f t="shared" si="16"/>
        <v xml:space="preserve"> </v>
      </c>
      <c r="BF31" s="76"/>
      <c r="BG31" s="27">
        <v>638</v>
      </c>
      <c r="BH31" s="28">
        <v>3.0828974476940463</v>
      </c>
      <c r="BI31" s="29">
        <v>4.708285106398119E-2</v>
      </c>
      <c r="BJ31" s="10"/>
      <c r="BK31" s="42">
        <v>196</v>
      </c>
      <c r="BL31" s="43">
        <v>3.0707852252645322</v>
      </c>
      <c r="BM31" s="67">
        <v>8.5834338082430059E-2</v>
      </c>
      <c r="BN31" s="10">
        <f t="shared" si="17"/>
        <v>0.12372087797388462</v>
      </c>
      <c r="BO31" s="10" t="str">
        <f t="shared" si="18"/>
        <v xml:space="preserve"> </v>
      </c>
      <c r="BP31" s="10"/>
      <c r="BQ31" s="42">
        <v>163.93891028999977</v>
      </c>
      <c r="BR31" s="43">
        <v>2.6741541529371844</v>
      </c>
      <c r="BS31" s="67">
        <v>6.2232969119844911E-2</v>
      </c>
      <c r="BT31" s="10">
        <f t="shared" si="19"/>
        <v>5.2378295539643211</v>
      </c>
      <c r="BU31" s="10" t="str">
        <f t="shared" si="20"/>
        <v>*</v>
      </c>
      <c r="BV31" s="10"/>
      <c r="BW31" s="53">
        <v>175</v>
      </c>
      <c r="BX31" s="55">
        <v>2.5367117697105939</v>
      </c>
      <c r="BY31" s="56">
        <v>5.2361309539777315E-2</v>
      </c>
      <c r="BZ31" s="10">
        <f t="shared" si="21"/>
        <v>7.7564871802418018</v>
      </c>
      <c r="CA31" s="10" t="str">
        <f t="shared" si="22"/>
        <v>*</v>
      </c>
      <c r="CB31" s="10"/>
      <c r="CC31" s="54">
        <v>182</v>
      </c>
      <c r="CD31" s="57">
        <v>2.7269467665446414</v>
      </c>
      <c r="CE31" s="58">
        <v>8.4361248989362453E-2</v>
      </c>
      <c r="CF31" s="10">
        <f t="shared" si="23"/>
        <v>3.6843839554233115</v>
      </c>
      <c r="CG31" s="10" t="str">
        <f t="shared" si="24"/>
        <v>*</v>
      </c>
      <c r="CH31" s="76"/>
      <c r="CI31" s="27">
        <v>362</v>
      </c>
      <c r="CJ31" s="28">
        <v>3.0570323361356797</v>
      </c>
      <c r="CK31" s="29">
        <v>5.912925430384796E-2</v>
      </c>
      <c r="CL31" s="67"/>
      <c r="CM31" s="42">
        <v>124</v>
      </c>
      <c r="CN31" s="43">
        <v>2.9026275698139385</v>
      </c>
      <c r="CO31" s="67">
        <v>0.11106513434436627</v>
      </c>
      <c r="CP31" s="10">
        <f t="shared" si="25"/>
        <v>1.2271466806236877</v>
      </c>
      <c r="CQ31" s="10" t="str">
        <f t="shared" si="26"/>
        <v xml:space="preserve"> </v>
      </c>
      <c r="CR31" s="10"/>
      <c r="CS31" s="42">
        <v>124.00458306000003</v>
      </c>
      <c r="CT31" s="43">
        <v>3.1778797409393116</v>
      </c>
      <c r="CU31" s="67">
        <v>8.6092837650793147E-2</v>
      </c>
      <c r="CV31" s="10">
        <f t="shared" si="27"/>
        <v>-1.1570706523663625</v>
      </c>
      <c r="CW31" s="10" t="str">
        <f t="shared" si="28"/>
        <v xml:space="preserve"> </v>
      </c>
      <c r="CX31" s="10"/>
      <c r="CY31" s="53">
        <v>101</v>
      </c>
      <c r="CZ31" s="55">
        <v>3.1880008993212861</v>
      </c>
      <c r="DA31" s="56">
        <v>0.11674222636534541</v>
      </c>
      <c r="DB31" s="10">
        <f t="shared" si="29"/>
        <v>-1.0008098439157531</v>
      </c>
      <c r="DC31" s="10" t="str">
        <f t="shared" si="0"/>
        <v xml:space="preserve"> </v>
      </c>
      <c r="DD31" s="10"/>
      <c r="DE31" s="54">
        <v>139</v>
      </c>
      <c r="DF31" s="57">
        <v>2.8236543723657417</v>
      </c>
      <c r="DG31" s="58">
        <v>9.496809541275722E-2</v>
      </c>
      <c r="DH31" s="10">
        <f t="shared" si="30"/>
        <v>2.0861273301410845</v>
      </c>
      <c r="DI31" s="10" t="str">
        <f t="shared" si="31"/>
        <v>*</v>
      </c>
      <c r="DJ31" s="76"/>
      <c r="DK31" s="27">
        <v>122</v>
      </c>
      <c r="DL31" s="28">
        <v>2.8367627207201482</v>
      </c>
      <c r="DM31" s="29">
        <v>0.10495546712827007</v>
      </c>
      <c r="DN31" s="10"/>
      <c r="DO31" s="42">
        <v>57</v>
      </c>
      <c r="DP31" s="43">
        <v>2.6309735755532757</v>
      </c>
      <c r="DQ31" s="67">
        <v>0.1579043691253755</v>
      </c>
      <c r="DR31" s="10">
        <f t="shared" si="32"/>
        <v>1.0853664656654642</v>
      </c>
      <c r="DS31" s="10" t="str">
        <f t="shared" si="33"/>
        <v xml:space="preserve"> </v>
      </c>
      <c r="DT31" s="10"/>
      <c r="DU31" s="42">
        <v>54.880392420000028</v>
      </c>
      <c r="DV31" s="43">
        <v>2.4736387096337027</v>
      </c>
      <c r="DW31" s="67">
        <v>0.13609081867380315</v>
      </c>
      <c r="DX31" s="10">
        <f t="shared" si="34"/>
        <v>2.112887983754804</v>
      </c>
      <c r="DY31" s="10" t="str">
        <f t="shared" si="35"/>
        <v>*</v>
      </c>
      <c r="DZ31" s="10"/>
      <c r="EA31" s="53">
        <v>62</v>
      </c>
      <c r="EB31" s="55">
        <v>2.4350651939404275</v>
      </c>
      <c r="EC31" s="56">
        <v>0.14073360840195095</v>
      </c>
      <c r="ED31" s="10">
        <f t="shared" si="36"/>
        <v>2.2880819633387004</v>
      </c>
      <c r="EE31" s="10" t="str">
        <f t="shared" si="37"/>
        <v>*</v>
      </c>
      <c r="EF31" s="10"/>
      <c r="EG31" s="54">
        <v>35</v>
      </c>
      <c r="EH31" s="57">
        <v>2.7714285714285718</v>
      </c>
      <c r="EI31" s="58">
        <v>0.14872293064770406</v>
      </c>
      <c r="EJ31" s="10">
        <f t="shared" si="38"/>
        <v>0.35892379982974709</v>
      </c>
      <c r="EK31" s="10" t="str">
        <f t="shared" si="39"/>
        <v xml:space="preserve"> </v>
      </c>
      <c r="EL31" s="76"/>
      <c r="EM31" s="27">
        <v>259</v>
      </c>
      <c r="EN31" s="28">
        <v>3.1540550617961278</v>
      </c>
      <c r="EO31" s="29">
        <v>6.8868708392330363E-2</v>
      </c>
      <c r="EP31" s="10"/>
      <c r="EQ31" s="42">
        <v>84</v>
      </c>
      <c r="ER31" s="43">
        <v>3.215159372928639</v>
      </c>
      <c r="ES31" s="67">
        <v>0.13456548694038467</v>
      </c>
      <c r="ET31" s="10">
        <f t="shared" si="40"/>
        <v>-0.40422338986754386</v>
      </c>
      <c r="EU31" s="10" t="str">
        <f t="shared" si="41"/>
        <v xml:space="preserve"> </v>
      </c>
      <c r="EV31" s="10"/>
      <c r="EW31" s="42">
        <v>67.833747480000028</v>
      </c>
      <c r="EX31" s="43">
        <v>2.6570088018967279</v>
      </c>
      <c r="EY31" s="67">
        <v>0.13150360014385881</v>
      </c>
      <c r="EZ31" s="10">
        <f t="shared" si="42"/>
        <v>3.3483394821314723</v>
      </c>
      <c r="FA31" s="10" t="str">
        <f t="shared" si="43"/>
        <v>*</v>
      </c>
      <c r="FB31" s="10"/>
      <c r="FC31" s="53">
        <v>89</v>
      </c>
      <c r="FD31" s="55">
        <v>3.1503837158723962</v>
      </c>
      <c r="FE31" s="56">
        <v>0.12232659389459137</v>
      </c>
      <c r="FF31" s="10">
        <f t="shared" si="44"/>
        <v>2.6152813331392473E-2</v>
      </c>
      <c r="FG31" s="10" t="str">
        <f t="shared" si="45"/>
        <v xml:space="preserve"> </v>
      </c>
      <c r="FH31" s="10"/>
      <c r="FI31" s="54">
        <v>77</v>
      </c>
      <c r="FJ31" s="57">
        <v>2.7702372400721775</v>
      </c>
      <c r="FK31" s="58">
        <v>0.13582348857785825</v>
      </c>
      <c r="FL31" s="10">
        <f t="shared" si="46"/>
        <v>2.5203807645181073</v>
      </c>
      <c r="FM31" s="10" t="str">
        <f t="shared" si="99"/>
        <v>*</v>
      </c>
      <c r="FN31" s="76"/>
      <c r="FO31" s="27">
        <v>82</v>
      </c>
      <c r="FP31" s="28">
        <v>2.6906986194161422</v>
      </c>
      <c r="FQ31" s="29">
        <v>0.13481293617495368</v>
      </c>
      <c r="FR31" s="67"/>
      <c r="FS31" s="42">
        <v>56</v>
      </c>
      <c r="FT31" s="43">
        <v>2.8400048324564935</v>
      </c>
      <c r="FU31" s="67">
        <v>0.16041744862406898</v>
      </c>
      <c r="FV31" s="10">
        <f t="shared" si="47"/>
        <v>-0.71253243768021368</v>
      </c>
      <c r="FW31" s="10" t="str">
        <f t="shared" si="48"/>
        <v xml:space="preserve"> </v>
      </c>
      <c r="FX31" s="67"/>
      <c r="FY31" s="42">
        <v>77.901656619999955</v>
      </c>
      <c r="FZ31" s="43">
        <v>2.947121752235724</v>
      </c>
      <c r="GA31" s="67">
        <v>0.12546955431297466</v>
      </c>
      <c r="GB31" s="10">
        <f t="shared" si="49"/>
        <v>-1.3923474063623369</v>
      </c>
      <c r="GC31" s="10" t="str">
        <f t="shared" si="50"/>
        <v xml:space="preserve"> </v>
      </c>
      <c r="GD31" s="10"/>
      <c r="GE31" s="53">
        <v>85</v>
      </c>
      <c r="GF31" s="55">
        <v>2.5076753577374093</v>
      </c>
      <c r="GG31" s="56">
        <v>0.11999215713617913</v>
      </c>
      <c r="GH31" s="10">
        <f t="shared" si="51"/>
        <v>1.0140976448433627</v>
      </c>
      <c r="GI31" s="10" t="str">
        <f t="shared" si="52"/>
        <v xml:space="preserve"> </v>
      </c>
      <c r="GJ31" s="10"/>
      <c r="GK31" s="54">
        <v>79</v>
      </c>
      <c r="GL31" s="57">
        <v>2.8367217282579911</v>
      </c>
      <c r="GM31" s="58">
        <v>0.13687485797520882</v>
      </c>
      <c r="GN31" s="10">
        <f t="shared" si="53"/>
        <v>-0.76007063428028276</v>
      </c>
      <c r="GO31" s="10" t="str">
        <f t="shared" si="100"/>
        <v xml:space="preserve"> </v>
      </c>
      <c r="GP31" s="76"/>
      <c r="GQ31" s="27">
        <v>108</v>
      </c>
      <c r="GR31" s="28">
        <v>2.7971786913949384</v>
      </c>
      <c r="GS31" s="29">
        <v>0.11473860381510606</v>
      </c>
      <c r="GT31" s="10"/>
      <c r="GU31" s="42">
        <v>60</v>
      </c>
      <c r="GV31" s="43">
        <v>2.7034205424650501</v>
      </c>
      <c r="GW31" s="67">
        <v>0.16300654342469587</v>
      </c>
      <c r="GX31" s="10">
        <f t="shared" si="54"/>
        <v>0.47034497830076499</v>
      </c>
      <c r="GY31" s="10" t="str">
        <f t="shared" si="55"/>
        <v xml:space="preserve"> </v>
      </c>
      <c r="GZ31" s="10"/>
      <c r="HA31" s="42">
        <v>53.94358847999996</v>
      </c>
      <c r="HB31" s="43">
        <v>3.1198228594376229</v>
      </c>
      <c r="HC31" s="67">
        <v>0.16801574983239542</v>
      </c>
      <c r="HD31" s="10">
        <f t="shared" si="56"/>
        <v>-1.5858199092297904</v>
      </c>
      <c r="HE31" s="10" t="str">
        <f t="shared" si="57"/>
        <v xml:space="preserve"> </v>
      </c>
      <c r="HF31" s="10"/>
      <c r="HG31" s="53">
        <v>30</v>
      </c>
      <c r="HH31" s="55">
        <v>2.6172084704269478</v>
      </c>
      <c r="HI31" s="56">
        <v>0.1545532458118361</v>
      </c>
      <c r="HJ31" s="10">
        <f t="shared" si="58"/>
        <v>0.93496823421566977</v>
      </c>
      <c r="HK31" s="10" t="str">
        <f t="shared" si="59"/>
        <v xml:space="preserve"> </v>
      </c>
      <c r="HL31" s="10"/>
      <c r="HM31" s="54">
        <v>69</v>
      </c>
      <c r="HN31" s="57">
        <v>2.8404494381837115</v>
      </c>
      <c r="HO31" s="58">
        <v>0.14810980795003328</v>
      </c>
      <c r="HP31" s="10">
        <f t="shared" si="60"/>
        <v>-0.23095734861539918</v>
      </c>
      <c r="HQ31" s="10" t="str">
        <f t="shared" si="101"/>
        <v xml:space="preserve"> </v>
      </c>
      <c r="HR31" s="76"/>
      <c r="HS31" s="27">
        <v>273</v>
      </c>
      <c r="HT31" s="28">
        <v>3.119410159787444</v>
      </c>
      <c r="HU31" s="29">
        <v>6.9510313133438445E-2</v>
      </c>
      <c r="HV31" s="10"/>
      <c r="HW31" s="42">
        <v>208</v>
      </c>
      <c r="HX31" s="43">
        <v>3.0095840551646726</v>
      </c>
      <c r="HY31" s="67">
        <v>7.2170759282297089E-2</v>
      </c>
      <c r="HZ31" s="10">
        <f t="shared" si="61"/>
        <v>1.0960546005023069</v>
      </c>
      <c r="IA31" s="10" t="str">
        <f t="shared" si="62"/>
        <v xml:space="preserve"> </v>
      </c>
      <c r="IB31" s="10"/>
      <c r="IC31" s="42">
        <v>202.33491073000062</v>
      </c>
      <c r="ID31" s="43">
        <v>2.9409321499345795</v>
      </c>
      <c r="IE31" s="67">
        <v>8.3665171910723007E-2</v>
      </c>
      <c r="IF31" s="10">
        <f t="shared" si="63"/>
        <v>1.6408315256301742</v>
      </c>
      <c r="IG31" s="10" t="str">
        <f t="shared" si="64"/>
        <v xml:space="preserve"> </v>
      </c>
      <c r="IH31" s="10"/>
      <c r="II31" s="53">
        <v>193</v>
      </c>
      <c r="IJ31" s="55">
        <v>3.0800086295901976</v>
      </c>
      <c r="IK31" s="56">
        <v>8.3111155723425659E-2</v>
      </c>
      <c r="IL31" s="10">
        <f t="shared" si="65"/>
        <v>0.36365938708005141</v>
      </c>
      <c r="IM31" s="10" t="str">
        <f t="shared" si="66"/>
        <v xml:space="preserve"> </v>
      </c>
      <c r="IN31" s="10"/>
      <c r="IO31" s="54">
        <v>210</v>
      </c>
      <c r="IP31" s="57">
        <v>3.1059683314731839</v>
      </c>
      <c r="IQ31" s="58">
        <v>7.9915007395703688E-2</v>
      </c>
      <c r="IR31" s="10">
        <f t="shared" si="67"/>
        <v>0.12691087682214358</v>
      </c>
      <c r="IS31" s="10" t="str">
        <f t="shared" si="68"/>
        <v xml:space="preserve"> </v>
      </c>
      <c r="IT31" s="76"/>
      <c r="IU31" s="27">
        <v>13</v>
      </c>
      <c r="IV31" s="28">
        <v>2</v>
      </c>
      <c r="IW31" s="29">
        <v>0.32040007227095452</v>
      </c>
      <c r="IX31" s="10"/>
      <c r="IY31" s="42">
        <v>11</v>
      </c>
      <c r="IZ31" s="43">
        <v>3.0017857138927173</v>
      </c>
      <c r="JA31" s="67">
        <v>0.44750059755499705</v>
      </c>
      <c r="JB31" s="10" t="str">
        <f t="shared" si="69"/>
        <v>NV</v>
      </c>
      <c r="JC31" s="10" t="str">
        <f t="shared" si="70"/>
        <v xml:space="preserve"> </v>
      </c>
      <c r="JD31" s="10"/>
      <c r="JE31" s="42">
        <v>19.802387800000002</v>
      </c>
      <c r="JF31" s="43">
        <v>3.4499999999999997</v>
      </c>
      <c r="JG31" s="67">
        <v>0.28688565036067165</v>
      </c>
      <c r="JH31" s="10" t="str">
        <f t="shared" si="71"/>
        <v>NV</v>
      </c>
      <c r="JI31" s="10" t="str">
        <f t="shared" si="72"/>
        <v xml:space="preserve"> </v>
      </c>
      <c r="JJ31" s="10"/>
      <c r="JK31" s="53">
        <v>14</v>
      </c>
      <c r="JL31" s="55">
        <v>2.2142857142857144</v>
      </c>
      <c r="JM31" s="56">
        <v>0.26384155609346704</v>
      </c>
      <c r="JN31" s="10" t="str">
        <f t="shared" si="73"/>
        <v>NV</v>
      </c>
      <c r="JO31" s="10" t="str">
        <f t="shared" si="74"/>
        <v xml:space="preserve"> </v>
      </c>
      <c r="JP31" s="10"/>
      <c r="JQ31" s="54">
        <v>18</v>
      </c>
      <c r="JR31" s="57">
        <v>2.3888888888888888</v>
      </c>
      <c r="JS31" s="58">
        <v>0.33649205964133988</v>
      </c>
      <c r="JT31" s="10" t="str">
        <f t="shared" si="75"/>
        <v>NV</v>
      </c>
      <c r="JU31" s="10" t="str">
        <f t="shared" si="76"/>
        <v xml:space="preserve"> </v>
      </c>
      <c r="JV31" s="76"/>
      <c r="JW31" s="27">
        <v>214</v>
      </c>
      <c r="JX31" s="28">
        <v>2.7194543955139752</v>
      </c>
      <c r="JY31" s="29">
        <v>8.365849264452678E-2</v>
      </c>
      <c r="JZ31" s="10"/>
      <c r="KA31" s="42">
        <v>116</v>
      </c>
      <c r="KB31" s="43">
        <v>2.5788582074109483</v>
      </c>
      <c r="KC31" s="67">
        <v>0.11695947440460257</v>
      </c>
      <c r="KD31" s="10">
        <f t="shared" si="77"/>
        <v>0.97772456941180008</v>
      </c>
      <c r="KE31" s="10" t="str">
        <f t="shared" si="78"/>
        <v xml:space="preserve"> </v>
      </c>
      <c r="KF31" s="10"/>
      <c r="KG31" s="42">
        <v>160.32648955999994</v>
      </c>
      <c r="KH31" s="43">
        <v>2.7932295109125183</v>
      </c>
      <c r="KI31" s="67">
        <v>9.451886510295536E-2</v>
      </c>
      <c r="KJ31" s="10">
        <f t="shared" si="79"/>
        <v>-0.58447659710965372</v>
      </c>
      <c r="KK31" s="10" t="str">
        <f t="shared" si="80"/>
        <v xml:space="preserve"> </v>
      </c>
      <c r="KL31" s="10"/>
      <c r="KM31" s="53">
        <v>276</v>
      </c>
      <c r="KN31" s="55">
        <v>2.6430796978740907</v>
      </c>
      <c r="KO31" s="56">
        <v>7.2764601938434245E-2</v>
      </c>
      <c r="KP31" s="10">
        <f t="shared" si="81"/>
        <v>0.68883143091854859</v>
      </c>
      <c r="KQ31" s="10" t="str">
        <f t="shared" si="82"/>
        <v xml:space="preserve"> </v>
      </c>
      <c r="KR31" s="10"/>
      <c r="KS31" s="54">
        <v>288</v>
      </c>
      <c r="KT31" s="57">
        <v>2.6386475442453592</v>
      </c>
      <c r="KU31" s="58">
        <v>6.5736880228623548E-2</v>
      </c>
      <c r="KV31" s="10">
        <f t="shared" si="83"/>
        <v>0.75949237954138249</v>
      </c>
      <c r="KW31" s="10" t="str">
        <f t="shared" si="102"/>
        <v xml:space="preserve"> </v>
      </c>
      <c r="KX31" s="76"/>
      <c r="KY31" s="27">
        <v>63</v>
      </c>
      <c r="KZ31" s="28">
        <v>3.1587301587301586</v>
      </c>
      <c r="LA31" s="29">
        <v>0.1362147265870812</v>
      </c>
      <c r="LB31" s="10"/>
      <c r="LC31" s="42">
        <v>71</v>
      </c>
      <c r="LD31" s="43">
        <v>2.732522796324353</v>
      </c>
      <c r="LE31" s="67">
        <v>0.15136229820844621</v>
      </c>
      <c r="LF31" s="10">
        <f t="shared" si="84"/>
        <v>2.0930525299684084</v>
      </c>
      <c r="LG31" s="10" t="str">
        <f t="shared" si="85"/>
        <v>*</v>
      </c>
      <c r="LH31" s="10"/>
      <c r="LI31" s="42">
        <v>83.328977689999974</v>
      </c>
      <c r="LJ31" s="43">
        <v>3.1307025910064303</v>
      </c>
      <c r="LK31" s="67">
        <v>0.13245513448110383</v>
      </c>
      <c r="LL31" s="10">
        <f t="shared" si="86"/>
        <v>0.14751593674351046</v>
      </c>
      <c r="LM31" s="10" t="str">
        <f t="shared" si="87"/>
        <v xml:space="preserve"> </v>
      </c>
      <c r="LN31" s="10"/>
      <c r="LO31" s="53">
        <v>174</v>
      </c>
      <c r="LP31" s="55">
        <v>2.8793103448275859</v>
      </c>
      <c r="LQ31" s="56">
        <v>8.1734066523106816E-2</v>
      </c>
      <c r="LR31" s="10">
        <f t="shared" si="88"/>
        <v>1.7589614621353045</v>
      </c>
      <c r="LS31" s="10" t="str">
        <f t="shared" si="89"/>
        <v xml:space="preserve"> </v>
      </c>
      <c r="LT31" s="10"/>
      <c r="LU31" s="54">
        <v>181</v>
      </c>
      <c r="LV31" s="57">
        <v>2.9064883389658269</v>
      </c>
      <c r="LW31" s="58">
        <v>8.7091016477760699E-2</v>
      </c>
      <c r="LX31" s="10">
        <f t="shared" si="90"/>
        <v>1.5601635962302134</v>
      </c>
      <c r="LY31" s="10" t="str">
        <f t="shared" si="91"/>
        <v xml:space="preserve"> </v>
      </c>
      <c r="LZ31" s="76"/>
      <c r="MA31" s="27">
        <v>80</v>
      </c>
      <c r="MB31" s="28">
        <v>2.8880526180402897</v>
      </c>
      <c r="MC31" s="29">
        <v>0.13775659496788731</v>
      </c>
      <c r="MD31" s="10"/>
      <c r="ME31" s="42">
        <v>62</v>
      </c>
      <c r="MF31" s="43">
        <v>2.8396704687365619</v>
      </c>
      <c r="MG31" s="67">
        <v>0.16133950982342968</v>
      </c>
      <c r="MH31" s="10">
        <f t="shared" si="92"/>
        <v>0.22805709907089705</v>
      </c>
      <c r="MI31" s="10" t="str">
        <f t="shared" si="93"/>
        <v xml:space="preserve"> </v>
      </c>
      <c r="MJ31" s="10"/>
      <c r="MK31" s="42">
        <v>57.903771409999926</v>
      </c>
      <c r="ML31" s="43">
        <v>3.0512981814080424</v>
      </c>
      <c r="MM31" s="67">
        <v>0.15227763888525647</v>
      </c>
      <c r="MN31" s="10">
        <f t="shared" si="94"/>
        <v>-0.79499333391317617</v>
      </c>
      <c r="MO31" s="10" t="str">
        <f t="shared" si="95"/>
        <v xml:space="preserve"> </v>
      </c>
      <c r="MP31" s="10"/>
      <c r="MQ31" s="53">
        <v>89</v>
      </c>
      <c r="MR31" s="55">
        <v>2.673929005673588</v>
      </c>
      <c r="MS31" s="56">
        <v>0.10965638903415292</v>
      </c>
      <c r="MT31" s="10">
        <f t="shared" si="96"/>
        <v>1.2161128749884038</v>
      </c>
      <c r="MU31" s="10" t="str">
        <f t="shared" si="97"/>
        <v xml:space="preserve"> </v>
      </c>
      <c r="MV31" s="10"/>
      <c r="MW31" s="54">
        <v>85</v>
      </c>
      <c r="MX31" s="57">
        <v>2.8010080411812623</v>
      </c>
      <c r="MY31" s="58">
        <v>0.124969487084319</v>
      </c>
      <c r="MZ31" s="10">
        <f t="shared" si="98"/>
        <v>0.46799341802303501</v>
      </c>
      <c r="NA31" s="10" t="str">
        <f t="shared" si="103"/>
        <v xml:space="preserve"> </v>
      </c>
      <c r="NB31" s="58"/>
    </row>
    <row r="32" spans="1:366" x14ac:dyDescent="0.2">
      <c r="B32" s="65" t="s">
        <v>34</v>
      </c>
      <c r="C32" s="27">
        <v>314</v>
      </c>
      <c r="D32" s="28">
        <v>3.0545145507483924</v>
      </c>
      <c r="E32" s="29">
        <v>8.1568612046323846E-2</v>
      </c>
      <c r="F32" s="10"/>
      <c r="G32" s="42">
        <v>88</v>
      </c>
      <c r="H32" s="43">
        <v>2.7273558697787119</v>
      </c>
      <c r="I32" s="67">
        <v>0.15605416780752823</v>
      </c>
      <c r="J32" s="10">
        <f t="shared" si="1"/>
        <v>1.8579464122686371</v>
      </c>
      <c r="K32" s="10" t="str">
        <f t="shared" si="2"/>
        <v xml:space="preserve"> </v>
      </c>
      <c r="L32" s="10"/>
      <c r="M32" s="42">
        <v>99.814956480000077</v>
      </c>
      <c r="N32" s="43">
        <v>2.4270833333333321</v>
      </c>
      <c r="O32" s="67">
        <v>0.10444829639971742</v>
      </c>
      <c r="P32" s="10">
        <f t="shared" si="3"/>
        <v>4.7344353768127512</v>
      </c>
      <c r="Q32" s="10" t="str">
        <f t="shared" si="4"/>
        <v>*</v>
      </c>
      <c r="R32" s="10"/>
      <c r="S32" s="53">
        <v>98</v>
      </c>
      <c r="T32" s="55">
        <v>2.0204081632653064</v>
      </c>
      <c r="U32" s="56">
        <v>0.11177107616361243</v>
      </c>
      <c r="V32" s="10">
        <f t="shared" si="5"/>
        <v>7.4734957122627179</v>
      </c>
      <c r="W32" s="10" t="str">
        <f t="shared" si="6"/>
        <v>*</v>
      </c>
      <c r="X32" s="10"/>
      <c r="Y32" s="54">
        <v>165</v>
      </c>
      <c r="Z32" s="57">
        <v>1.9878787878787867</v>
      </c>
      <c r="AA32" s="58">
        <v>8.954116133804059E-2</v>
      </c>
      <c r="AB32" s="10">
        <f t="shared" si="7"/>
        <v>8.806136707790456</v>
      </c>
      <c r="AC32" s="10" t="str">
        <f t="shared" si="8"/>
        <v>*</v>
      </c>
      <c r="AD32" s="76"/>
      <c r="AE32" s="27">
        <v>75</v>
      </c>
      <c r="AF32" s="28">
        <v>3.4665650461582316</v>
      </c>
      <c r="AG32" s="29">
        <v>0.14744666268042092</v>
      </c>
      <c r="AH32" s="67"/>
      <c r="AI32" s="42">
        <v>35</v>
      </c>
      <c r="AJ32" s="43">
        <v>3.6000000000000005</v>
      </c>
      <c r="AK32" s="67">
        <v>0.24227740081400745</v>
      </c>
      <c r="AL32" s="10">
        <f t="shared" si="9"/>
        <v>-0.47047512200772018</v>
      </c>
      <c r="AM32" s="10" t="str">
        <f t="shared" si="10"/>
        <v xml:space="preserve"> </v>
      </c>
      <c r="AN32" s="67"/>
      <c r="AO32" s="42">
        <v>66.089341290000007</v>
      </c>
      <c r="AP32" s="43">
        <v>2.8252544072224333</v>
      </c>
      <c r="AQ32" s="67">
        <v>0.15628389274728297</v>
      </c>
      <c r="AR32" s="10">
        <f t="shared" si="11"/>
        <v>2.9847723216337085</v>
      </c>
      <c r="AS32" s="10" t="str">
        <f t="shared" si="12"/>
        <v>*</v>
      </c>
      <c r="AT32" s="10"/>
      <c r="AU32" s="53">
        <v>83</v>
      </c>
      <c r="AV32" s="55">
        <v>2.5782035844490916</v>
      </c>
      <c r="AW32" s="56">
        <v>0.13721771198899563</v>
      </c>
      <c r="AX32" s="10">
        <f t="shared" si="13"/>
        <v>4.4105361639889793</v>
      </c>
      <c r="AY32" s="10" t="str">
        <f t="shared" si="14"/>
        <v>*</v>
      </c>
      <c r="AZ32" s="10"/>
      <c r="BA32" s="54">
        <v>78</v>
      </c>
      <c r="BB32" s="57">
        <v>2.4393245891369553</v>
      </c>
      <c r="BC32" s="58">
        <v>0.10769435763236763</v>
      </c>
      <c r="BD32" s="10">
        <f t="shared" si="15"/>
        <v>5.6259838583143633</v>
      </c>
      <c r="BE32" s="10" t="str">
        <f t="shared" si="16"/>
        <v>*</v>
      </c>
      <c r="BF32" s="76"/>
      <c r="BG32" s="27">
        <v>813</v>
      </c>
      <c r="BH32" s="28">
        <v>3.3996020234934829</v>
      </c>
      <c r="BI32" s="29">
        <v>4.818014901282152E-2</v>
      </c>
      <c r="BJ32" s="10"/>
      <c r="BK32" s="42">
        <v>238</v>
      </c>
      <c r="BL32" s="43">
        <v>3.0076977597494792</v>
      </c>
      <c r="BM32" s="67">
        <v>9.2320469200231306E-2</v>
      </c>
      <c r="BN32" s="10">
        <f t="shared" si="17"/>
        <v>3.763373379116743</v>
      </c>
      <c r="BO32" s="10" t="str">
        <f t="shared" si="18"/>
        <v>*</v>
      </c>
      <c r="BP32" s="10"/>
      <c r="BQ32" s="42">
        <v>240.68114708999903</v>
      </c>
      <c r="BR32" s="43">
        <v>2.4751884623818623</v>
      </c>
      <c r="BS32" s="67">
        <v>5.58352652588699E-2</v>
      </c>
      <c r="BT32" s="10">
        <f t="shared" si="19"/>
        <v>12.534604259384198</v>
      </c>
      <c r="BU32" s="10" t="str">
        <f t="shared" si="20"/>
        <v>*</v>
      </c>
      <c r="BV32" s="10"/>
      <c r="BW32" s="53">
        <v>276</v>
      </c>
      <c r="BX32" s="55">
        <v>2.9382927552973492</v>
      </c>
      <c r="BY32" s="56">
        <v>3.437546813735079E-2</v>
      </c>
      <c r="BZ32" s="10">
        <f t="shared" si="21"/>
        <v>7.794210634920268</v>
      </c>
      <c r="CA32" s="10" t="str">
        <f t="shared" si="22"/>
        <v>*</v>
      </c>
      <c r="CB32" s="10"/>
      <c r="CC32" s="54">
        <v>310</v>
      </c>
      <c r="CD32" s="57">
        <v>2.4134538582162772</v>
      </c>
      <c r="CE32" s="58">
        <v>6.5104101899184849E-2</v>
      </c>
      <c r="CF32" s="10">
        <f t="shared" si="23"/>
        <v>12.175716480872781</v>
      </c>
      <c r="CG32" s="10" t="str">
        <f t="shared" si="24"/>
        <v>*</v>
      </c>
      <c r="CH32" s="76"/>
      <c r="CI32" s="27">
        <v>475</v>
      </c>
      <c r="CJ32" s="28">
        <v>3.7691683424511568</v>
      </c>
      <c r="CK32" s="29">
        <v>5.4218735618097161E-2</v>
      </c>
      <c r="CL32" s="67"/>
      <c r="CM32" s="42">
        <v>146</v>
      </c>
      <c r="CN32" s="43">
        <v>3.6988971933165189</v>
      </c>
      <c r="CO32" s="67">
        <v>0.10374020189796787</v>
      </c>
      <c r="CP32" s="10">
        <f t="shared" si="25"/>
        <v>0.60032968109141449</v>
      </c>
      <c r="CQ32" s="10" t="str">
        <f t="shared" si="26"/>
        <v xml:space="preserve"> </v>
      </c>
      <c r="CR32" s="10"/>
      <c r="CS32" s="42">
        <v>148.47943658999986</v>
      </c>
      <c r="CT32" s="43">
        <v>3.5777725275647878</v>
      </c>
      <c r="CU32" s="67">
        <v>0.10502129246541105</v>
      </c>
      <c r="CV32" s="10">
        <f t="shared" si="27"/>
        <v>1.6193754574653219</v>
      </c>
      <c r="CW32" s="10" t="str">
        <f t="shared" si="28"/>
        <v xml:space="preserve"> </v>
      </c>
      <c r="CX32" s="10"/>
      <c r="CY32" s="53">
        <v>152</v>
      </c>
      <c r="CZ32" s="55">
        <v>3.7016777545594866</v>
      </c>
      <c r="DA32" s="56">
        <v>0.11102315100264823</v>
      </c>
      <c r="DB32" s="10">
        <f t="shared" si="29"/>
        <v>0.54623970584619375</v>
      </c>
      <c r="DC32" s="10" t="str">
        <f t="shared" si="0"/>
        <v xml:space="preserve"> </v>
      </c>
      <c r="DD32" s="10"/>
      <c r="DE32" s="54">
        <v>196</v>
      </c>
      <c r="DF32" s="57">
        <v>3.2614266346452783</v>
      </c>
      <c r="DG32" s="58">
        <v>8.7888999420235203E-2</v>
      </c>
      <c r="DH32" s="10">
        <f t="shared" si="30"/>
        <v>4.9167685792172495</v>
      </c>
      <c r="DI32" s="10" t="str">
        <f t="shared" si="31"/>
        <v>*</v>
      </c>
      <c r="DJ32" s="76"/>
      <c r="DK32" s="27">
        <v>162</v>
      </c>
      <c r="DL32" s="28">
        <v>3.2897582879150113</v>
      </c>
      <c r="DM32" s="29">
        <v>0.10581928425787587</v>
      </c>
      <c r="DN32" s="10"/>
      <c r="DO32" s="42">
        <v>57</v>
      </c>
      <c r="DP32" s="43">
        <v>3.1590931259455552</v>
      </c>
      <c r="DQ32" s="67">
        <v>0.1921911935180794</v>
      </c>
      <c r="DR32" s="10">
        <f t="shared" si="32"/>
        <v>0.59556412607291653</v>
      </c>
      <c r="DS32" s="10" t="str">
        <f t="shared" si="33"/>
        <v xml:space="preserve"> </v>
      </c>
      <c r="DT32" s="10"/>
      <c r="DU32" s="42">
        <v>73.454283330000038</v>
      </c>
      <c r="DV32" s="43">
        <v>2.689368482876735</v>
      </c>
      <c r="DW32" s="67">
        <v>0.13976705854237537</v>
      </c>
      <c r="DX32" s="10">
        <f t="shared" si="34"/>
        <v>3.4247904161474549</v>
      </c>
      <c r="DY32" s="10" t="str">
        <f t="shared" si="35"/>
        <v>*</v>
      </c>
      <c r="DZ32" s="10"/>
      <c r="EA32" s="53">
        <v>68</v>
      </c>
      <c r="EB32" s="55">
        <v>2.1700735507777802</v>
      </c>
      <c r="EC32" s="56">
        <v>0.14804465105780676</v>
      </c>
      <c r="ED32" s="10">
        <f t="shared" si="36"/>
        <v>6.1529555035382266</v>
      </c>
      <c r="EE32" s="10" t="str">
        <f t="shared" si="37"/>
        <v>*</v>
      </c>
      <c r="EF32" s="10"/>
      <c r="EG32" s="54">
        <v>43</v>
      </c>
      <c r="EH32" s="57">
        <v>2.581395348837209</v>
      </c>
      <c r="EI32" s="58">
        <v>0.19721924505491481</v>
      </c>
      <c r="EJ32" s="10">
        <f t="shared" si="38"/>
        <v>3.1649485425720316</v>
      </c>
      <c r="EK32" s="10" t="str">
        <f t="shared" si="39"/>
        <v>*</v>
      </c>
      <c r="EL32" s="76"/>
      <c r="EM32" s="27">
        <v>344</v>
      </c>
      <c r="EN32" s="28">
        <v>3.4545576210827988</v>
      </c>
      <c r="EO32" s="29">
        <v>7.2444230818719174E-2</v>
      </c>
      <c r="EP32" s="10"/>
      <c r="EQ32" s="42">
        <v>119</v>
      </c>
      <c r="ER32" s="43">
        <v>3.3699758099018782</v>
      </c>
      <c r="ES32" s="67">
        <v>0.13111518191985697</v>
      </c>
      <c r="ET32" s="10">
        <f t="shared" si="40"/>
        <v>0.56464016986344501</v>
      </c>
      <c r="EU32" s="10" t="str">
        <f t="shared" si="41"/>
        <v xml:space="preserve"> </v>
      </c>
      <c r="EV32" s="10"/>
      <c r="EW32" s="42">
        <v>109.47795798000003</v>
      </c>
      <c r="EX32" s="43">
        <v>2.5105174579545069</v>
      </c>
      <c r="EY32" s="67">
        <v>0.10692150329648649</v>
      </c>
      <c r="EZ32" s="10">
        <f t="shared" si="42"/>
        <v>7.3094983679636849</v>
      </c>
      <c r="FA32" s="10" t="str">
        <f t="shared" si="43"/>
        <v>*</v>
      </c>
      <c r="FB32" s="10"/>
      <c r="FC32" s="53">
        <v>130</v>
      </c>
      <c r="FD32" s="55">
        <v>2.3497340611561164</v>
      </c>
      <c r="FE32" s="56">
        <v>0.11971314461235118</v>
      </c>
      <c r="FF32" s="10">
        <f t="shared" si="44"/>
        <v>7.8957465229709953</v>
      </c>
      <c r="FG32" s="10" t="str">
        <f t="shared" si="45"/>
        <v>*</v>
      </c>
      <c r="FH32" s="10"/>
      <c r="FI32" s="54">
        <v>151</v>
      </c>
      <c r="FJ32" s="57">
        <v>2.2349073515572493</v>
      </c>
      <c r="FK32" s="58">
        <v>8.1066495013960821E-2</v>
      </c>
      <c r="FL32" s="10">
        <f t="shared" si="46"/>
        <v>11.218314767595146</v>
      </c>
      <c r="FM32" s="10" t="str">
        <f t="shared" si="99"/>
        <v>*</v>
      </c>
      <c r="FN32" s="76"/>
      <c r="FO32" s="27">
        <v>116</v>
      </c>
      <c r="FP32" s="28">
        <v>3.3704756512163971</v>
      </c>
      <c r="FQ32" s="29">
        <v>0.12150522782462189</v>
      </c>
      <c r="FR32" s="67"/>
      <c r="FS32" s="42">
        <v>88</v>
      </c>
      <c r="FT32" s="43">
        <v>3.1494706174305911</v>
      </c>
      <c r="FU32" s="67">
        <v>0.15253825109932254</v>
      </c>
      <c r="FV32" s="10">
        <f t="shared" si="47"/>
        <v>1.1332632089592352</v>
      </c>
      <c r="FW32" s="10" t="str">
        <f t="shared" si="48"/>
        <v xml:space="preserve"> </v>
      </c>
      <c r="FX32" s="67"/>
      <c r="FY32" s="42">
        <v>117.33352938999992</v>
      </c>
      <c r="FZ32" s="43">
        <v>3.145283732864963</v>
      </c>
      <c r="GA32" s="67">
        <v>0.13489921149811637</v>
      </c>
      <c r="GB32" s="10">
        <f t="shared" si="49"/>
        <v>1.240367899583565</v>
      </c>
      <c r="GC32" s="10" t="str">
        <f t="shared" si="50"/>
        <v xml:space="preserve"> </v>
      </c>
      <c r="GD32" s="10"/>
      <c r="GE32" s="53">
        <v>124</v>
      </c>
      <c r="GF32" s="55">
        <v>2.6747532838868335</v>
      </c>
      <c r="GG32" s="56">
        <v>0.13041737023873973</v>
      </c>
      <c r="GH32" s="10">
        <f t="shared" si="51"/>
        <v>3.9031230948404092</v>
      </c>
      <c r="GI32" s="10" t="str">
        <f t="shared" si="52"/>
        <v>*</v>
      </c>
      <c r="GJ32" s="10"/>
      <c r="GK32" s="54">
        <v>116</v>
      </c>
      <c r="GL32" s="57">
        <v>2.8871037775665811</v>
      </c>
      <c r="GM32" s="58">
        <v>0.12946706610234798</v>
      </c>
      <c r="GN32" s="10">
        <f t="shared" si="53"/>
        <v>2.7224014313425293</v>
      </c>
      <c r="GO32" s="10" t="str">
        <f t="shared" si="100"/>
        <v>*</v>
      </c>
      <c r="GP32" s="76"/>
      <c r="GQ32" s="27">
        <v>140</v>
      </c>
      <c r="GR32" s="28">
        <v>3.3014156597600492</v>
      </c>
      <c r="GS32" s="29">
        <v>0.11627900794865459</v>
      </c>
      <c r="GT32" s="10"/>
      <c r="GU32" s="42">
        <v>84</v>
      </c>
      <c r="GV32" s="43">
        <v>2.9910080360314426</v>
      </c>
      <c r="GW32" s="67">
        <v>0.16627648408521731</v>
      </c>
      <c r="GX32" s="10">
        <f t="shared" si="54"/>
        <v>1.5298502598268069</v>
      </c>
      <c r="GY32" s="10" t="str">
        <f t="shared" si="55"/>
        <v xml:space="preserve"> </v>
      </c>
      <c r="GZ32" s="10"/>
      <c r="HA32" s="42">
        <v>90.868069719999923</v>
      </c>
      <c r="HB32" s="43">
        <v>2.9470612216720031</v>
      </c>
      <c r="HC32" s="67">
        <v>0.15607441670974459</v>
      </c>
      <c r="HD32" s="10">
        <f t="shared" si="56"/>
        <v>1.8206761876273951</v>
      </c>
      <c r="HE32" s="10" t="str">
        <f t="shared" si="57"/>
        <v xml:space="preserve"> </v>
      </c>
      <c r="HF32" s="10"/>
      <c r="HG32" s="53">
        <v>51</v>
      </c>
      <c r="HH32" s="55">
        <v>2.6125010725860434</v>
      </c>
      <c r="HI32" s="56">
        <v>0.16125910449125527</v>
      </c>
      <c r="HJ32" s="10">
        <f t="shared" si="58"/>
        <v>3.4651956268571782</v>
      </c>
      <c r="HK32" s="10" t="str">
        <f t="shared" si="59"/>
        <v>*</v>
      </c>
      <c r="HL32" s="10"/>
      <c r="HM32" s="54">
        <v>104</v>
      </c>
      <c r="HN32" s="57">
        <v>2.6756085448210545</v>
      </c>
      <c r="HO32" s="58">
        <v>0.15673575507518495</v>
      </c>
      <c r="HP32" s="10">
        <f t="shared" si="60"/>
        <v>3.2066581017525988</v>
      </c>
      <c r="HQ32" s="10" t="str">
        <f t="shared" si="101"/>
        <v>*</v>
      </c>
      <c r="HR32" s="76"/>
      <c r="HS32" s="27">
        <v>370</v>
      </c>
      <c r="HT32" s="28">
        <v>3.2771108778059648</v>
      </c>
      <c r="HU32" s="29">
        <v>7.1407802719963359E-2</v>
      </c>
      <c r="HV32" s="10"/>
      <c r="HW32" s="42">
        <v>268</v>
      </c>
      <c r="HX32" s="43">
        <v>3.4171443037810181</v>
      </c>
      <c r="HY32" s="67">
        <v>8.6841509263071409E-2</v>
      </c>
      <c r="HZ32" s="10">
        <f t="shared" si="61"/>
        <v>-1.2455157088327153</v>
      </c>
      <c r="IA32" s="10" t="str">
        <f t="shared" si="62"/>
        <v xml:space="preserve"> </v>
      </c>
      <c r="IB32" s="10"/>
      <c r="IC32" s="42">
        <v>260.03270003000131</v>
      </c>
      <c r="ID32" s="43">
        <v>3.144189257642116</v>
      </c>
      <c r="IE32" s="67">
        <v>8.6789011735426205E-2</v>
      </c>
      <c r="IF32" s="10">
        <f t="shared" si="63"/>
        <v>1.1826868400682733</v>
      </c>
      <c r="IG32" s="10" t="str">
        <f t="shared" si="64"/>
        <v xml:space="preserve"> </v>
      </c>
      <c r="IH32" s="10"/>
      <c r="II32" s="53">
        <v>260</v>
      </c>
      <c r="IJ32" s="55">
        <v>3.065907514400831</v>
      </c>
      <c r="IK32" s="56">
        <v>9.4488900696425529E-2</v>
      </c>
      <c r="IL32" s="10">
        <f t="shared" si="65"/>
        <v>1.7832610465484047</v>
      </c>
      <c r="IM32" s="10" t="str">
        <f t="shared" si="66"/>
        <v xml:space="preserve"> </v>
      </c>
      <c r="IN32" s="10"/>
      <c r="IO32" s="54">
        <v>273</v>
      </c>
      <c r="IP32" s="57">
        <v>2.8204218784178607</v>
      </c>
      <c r="IQ32" s="58">
        <v>9.0491240611612817E-2</v>
      </c>
      <c r="IR32" s="10">
        <f t="shared" si="67"/>
        <v>3.9618224387320384</v>
      </c>
      <c r="IS32" s="10" t="str">
        <f t="shared" si="68"/>
        <v>*</v>
      </c>
      <c r="IT32" s="76"/>
      <c r="IU32" s="27">
        <v>25</v>
      </c>
      <c r="IV32" s="28">
        <v>3.6400000000000006</v>
      </c>
      <c r="IW32" s="29">
        <v>0.25753423877873471</v>
      </c>
      <c r="IX32" s="10"/>
      <c r="IY32" s="42">
        <v>16</v>
      </c>
      <c r="IZ32" s="43">
        <v>3.6233128838066739</v>
      </c>
      <c r="JA32" s="67">
        <v>0.35203547183059747</v>
      </c>
      <c r="JB32" s="10" t="str">
        <f t="shared" si="69"/>
        <v>NV</v>
      </c>
      <c r="JC32" s="10" t="str">
        <f t="shared" si="70"/>
        <v xml:space="preserve"> </v>
      </c>
      <c r="JD32" s="10"/>
      <c r="JE32" s="42">
        <v>20.792507190000002</v>
      </c>
      <c r="JF32" s="43">
        <v>3.5238095238095242</v>
      </c>
      <c r="JG32" s="67">
        <v>0.29931857992544303</v>
      </c>
      <c r="JH32" s="10" t="str">
        <f t="shared" si="71"/>
        <v>NV</v>
      </c>
      <c r="JI32" s="10" t="str">
        <f t="shared" si="72"/>
        <v xml:space="preserve"> </v>
      </c>
      <c r="JJ32" s="10"/>
      <c r="JK32" s="53">
        <v>18</v>
      </c>
      <c r="JL32" s="55">
        <v>2.2222222222222214</v>
      </c>
      <c r="JM32" s="56">
        <v>0.33300734085769418</v>
      </c>
      <c r="JN32" s="10" t="str">
        <f t="shared" si="73"/>
        <v>NV</v>
      </c>
      <c r="JO32" s="10" t="str">
        <f t="shared" si="74"/>
        <v xml:space="preserve"> </v>
      </c>
      <c r="JP32" s="10"/>
      <c r="JQ32" s="54">
        <v>36</v>
      </c>
      <c r="JR32" s="57">
        <v>2.5277777777777772</v>
      </c>
      <c r="JS32" s="58">
        <v>0.22767191364620817</v>
      </c>
      <c r="JT32" s="10" t="str">
        <f t="shared" si="75"/>
        <v>NV</v>
      </c>
      <c r="JU32" s="10" t="str">
        <f t="shared" si="76"/>
        <v xml:space="preserve"> </v>
      </c>
      <c r="JV32" s="76"/>
      <c r="JW32" s="27">
        <v>308</v>
      </c>
      <c r="JX32" s="28">
        <v>3.2362554373480554</v>
      </c>
      <c r="JY32" s="29">
        <v>7.7481882234310864E-2</v>
      </c>
      <c r="JZ32" s="10"/>
      <c r="KA32" s="42">
        <v>161</v>
      </c>
      <c r="KB32" s="43">
        <v>3.1925048828216802</v>
      </c>
      <c r="KC32" s="67">
        <v>0.10704426007918698</v>
      </c>
      <c r="KD32" s="10">
        <f t="shared" si="77"/>
        <v>0.33108356160660618</v>
      </c>
      <c r="KE32" s="10" t="str">
        <f t="shared" si="78"/>
        <v xml:space="preserve"> </v>
      </c>
      <c r="KF32" s="10"/>
      <c r="KG32" s="42">
        <v>211.93522095999947</v>
      </c>
      <c r="KH32" s="43">
        <v>3.0545616475054058</v>
      </c>
      <c r="KI32" s="67">
        <v>9.7264380096297787E-2</v>
      </c>
      <c r="KJ32" s="10">
        <f t="shared" si="79"/>
        <v>1.4611067517259519</v>
      </c>
      <c r="KK32" s="10" t="str">
        <f t="shared" si="80"/>
        <v xml:space="preserve"> </v>
      </c>
      <c r="KL32" s="10"/>
      <c r="KM32" s="53">
        <v>399</v>
      </c>
      <c r="KN32" s="55">
        <v>2.6510605609968834</v>
      </c>
      <c r="KO32" s="56">
        <v>6.8461911559425936E-2</v>
      </c>
      <c r="KP32" s="10">
        <f t="shared" si="81"/>
        <v>5.659811999679822</v>
      </c>
      <c r="KQ32" s="10" t="str">
        <f t="shared" si="82"/>
        <v>*</v>
      </c>
      <c r="KR32" s="10"/>
      <c r="KS32" s="54">
        <v>408</v>
      </c>
      <c r="KT32" s="57">
        <v>2.5094404790746676</v>
      </c>
      <c r="KU32" s="58">
        <v>6.6634252310169714E-2</v>
      </c>
      <c r="KV32" s="10">
        <f t="shared" si="83"/>
        <v>7.1121262291446214</v>
      </c>
      <c r="KW32" s="10" t="str">
        <f t="shared" si="102"/>
        <v>*</v>
      </c>
      <c r="KX32" s="76"/>
      <c r="KY32" s="27">
        <v>97</v>
      </c>
      <c r="KZ32" s="28">
        <v>3.5568606959622371</v>
      </c>
      <c r="LA32" s="29">
        <v>0.12945514450013273</v>
      </c>
      <c r="LB32" s="10"/>
      <c r="LC32" s="42">
        <v>109</v>
      </c>
      <c r="LD32" s="43">
        <v>3.5226781858017611</v>
      </c>
      <c r="LE32" s="67">
        <v>0.13453338482734251</v>
      </c>
      <c r="LF32" s="10">
        <f t="shared" si="84"/>
        <v>0.18308533249743278</v>
      </c>
      <c r="LG32" s="10" t="str">
        <f t="shared" si="85"/>
        <v xml:space="preserve"> </v>
      </c>
      <c r="LH32" s="10"/>
      <c r="LI32" s="42">
        <v>112.87361046000009</v>
      </c>
      <c r="LJ32" s="43">
        <v>3.5964912280701746</v>
      </c>
      <c r="LK32" s="67">
        <v>0.11993035154553247</v>
      </c>
      <c r="LL32" s="10">
        <f t="shared" si="86"/>
        <v>-0.22457281643710847</v>
      </c>
      <c r="LM32" s="10" t="str">
        <f t="shared" si="87"/>
        <v xml:space="preserve"> </v>
      </c>
      <c r="LN32" s="10"/>
      <c r="LO32" s="53">
        <v>274</v>
      </c>
      <c r="LP32" s="55">
        <v>2.9379562043795606</v>
      </c>
      <c r="LQ32" s="56">
        <v>8.8154294847154785E-2</v>
      </c>
      <c r="LR32" s="10">
        <f t="shared" si="88"/>
        <v>3.9516321098652329</v>
      </c>
      <c r="LS32" s="10" t="str">
        <f t="shared" si="89"/>
        <v>*</v>
      </c>
      <c r="LT32" s="10"/>
      <c r="LU32" s="54">
        <v>293</v>
      </c>
      <c r="LV32" s="57">
        <v>2.9095863372522128</v>
      </c>
      <c r="LW32" s="58">
        <v>8.4713313802228268E-2</v>
      </c>
      <c r="LX32" s="10">
        <f t="shared" si="90"/>
        <v>4.1838091837089966</v>
      </c>
      <c r="LY32" s="10" t="str">
        <f t="shared" si="91"/>
        <v>*</v>
      </c>
      <c r="LZ32" s="76"/>
      <c r="MA32" s="27">
        <v>136</v>
      </c>
      <c r="MB32" s="28">
        <v>3.6764079882904372</v>
      </c>
      <c r="MC32" s="29">
        <v>0.10375365958439881</v>
      </c>
      <c r="MD32" s="10"/>
      <c r="ME32" s="42">
        <v>88</v>
      </c>
      <c r="MF32" s="43">
        <v>3.7175078156372798</v>
      </c>
      <c r="MG32" s="67">
        <v>0.1271325952334296</v>
      </c>
      <c r="MH32" s="10">
        <f t="shared" si="92"/>
        <v>-0.25046199170553213</v>
      </c>
      <c r="MI32" s="10" t="str">
        <f t="shared" si="93"/>
        <v xml:space="preserve"> </v>
      </c>
      <c r="MJ32" s="10"/>
      <c r="MK32" s="42">
        <v>77.351835539999911</v>
      </c>
      <c r="ML32" s="43">
        <v>3.3922256945578368</v>
      </c>
      <c r="MM32" s="67">
        <v>0.16909255979324953</v>
      </c>
      <c r="MN32" s="10">
        <f t="shared" si="94"/>
        <v>1.4324694999707026</v>
      </c>
      <c r="MO32" s="10" t="str">
        <f t="shared" si="95"/>
        <v xml:space="preserve"> </v>
      </c>
      <c r="MP32" s="10"/>
      <c r="MQ32" s="53">
        <v>129</v>
      </c>
      <c r="MR32" s="55">
        <v>2.7106306047167754</v>
      </c>
      <c r="MS32" s="56">
        <v>0.12380545063529599</v>
      </c>
      <c r="MT32" s="10">
        <f t="shared" si="96"/>
        <v>5.9788582503535785</v>
      </c>
      <c r="MU32" s="10" t="str">
        <f t="shared" si="97"/>
        <v>*</v>
      </c>
      <c r="MV32" s="10"/>
      <c r="MW32" s="54">
        <v>134</v>
      </c>
      <c r="MX32" s="57">
        <v>2.7743941205452263</v>
      </c>
      <c r="MY32" s="58">
        <v>0.13303809803888889</v>
      </c>
      <c r="MZ32" s="10">
        <f t="shared" si="98"/>
        <v>5.346450793229172</v>
      </c>
      <c r="NA32" s="10" t="str">
        <f t="shared" si="103"/>
        <v>*</v>
      </c>
      <c r="NB32" s="58"/>
    </row>
    <row r="33" spans="1:366" x14ac:dyDescent="0.2">
      <c r="B33" s="65" t="s">
        <v>35</v>
      </c>
      <c r="C33" s="27">
        <v>117</v>
      </c>
      <c r="D33" s="28">
        <v>3.4017094017094029</v>
      </c>
      <c r="E33" s="29">
        <v>0.11200728424060598</v>
      </c>
      <c r="F33" s="10"/>
      <c r="G33" s="42">
        <v>23</v>
      </c>
      <c r="H33" s="43">
        <v>3.3478260869565215</v>
      </c>
      <c r="I33" s="67">
        <v>0.27923087890450615</v>
      </c>
      <c r="J33" s="10" t="str">
        <f t="shared" si="1"/>
        <v>NV</v>
      </c>
      <c r="K33" s="10" t="str">
        <f t="shared" si="2"/>
        <v xml:space="preserve"> </v>
      </c>
      <c r="L33" s="10"/>
      <c r="M33" s="42">
        <v>9.3576521700000015</v>
      </c>
      <c r="N33" s="43">
        <v>4</v>
      </c>
      <c r="O33" s="67">
        <v>0.28243090922396724</v>
      </c>
      <c r="P33" s="10" t="str">
        <f t="shared" si="3"/>
        <v>NV</v>
      </c>
      <c r="Q33" s="10" t="str">
        <f t="shared" si="4"/>
        <v xml:space="preserve"> </v>
      </c>
      <c r="R33" s="10"/>
      <c r="S33" s="53">
        <v>23</v>
      </c>
      <c r="T33" s="55">
        <v>3.3043478260869565</v>
      </c>
      <c r="U33" s="56">
        <v>0.18008438857169573</v>
      </c>
      <c r="V33" s="10" t="str">
        <f t="shared" si="5"/>
        <v>NV</v>
      </c>
      <c r="W33" s="10" t="str">
        <f t="shared" si="6"/>
        <v xml:space="preserve"> </v>
      </c>
      <c r="X33" s="10"/>
      <c r="Y33" s="54">
        <v>41</v>
      </c>
      <c r="Z33" s="57">
        <v>3.3902439024390247</v>
      </c>
      <c r="AA33" s="58">
        <v>0.1490768829933721</v>
      </c>
      <c r="AB33" s="10">
        <f t="shared" si="7"/>
        <v>6.1488435598197805E-2</v>
      </c>
      <c r="AC33" s="10" t="str">
        <f t="shared" si="8"/>
        <v xml:space="preserve"> </v>
      </c>
      <c r="AD33" s="76"/>
      <c r="AE33" s="27">
        <v>20</v>
      </c>
      <c r="AF33" s="28">
        <v>3.504310935771592</v>
      </c>
      <c r="AG33" s="29">
        <v>0.28124474185147291</v>
      </c>
      <c r="AH33" s="67"/>
      <c r="AI33" s="42">
        <v>8</v>
      </c>
      <c r="AJ33" s="43">
        <v>3.875</v>
      </c>
      <c r="AK33" s="67">
        <v>0.34886376670335756</v>
      </c>
      <c r="AL33" s="10" t="str">
        <f t="shared" si="9"/>
        <v>NV</v>
      </c>
      <c r="AM33" s="10" t="str">
        <f t="shared" si="10"/>
        <v xml:space="preserve"> </v>
      </c>
      <c r="AN33" s="67"/>
      <c r="AO33" s="42">
        <v>13.37519526</v>
      </c>
      <c r="AP33" s="43">
        <v>3.8571428571428572</v>
      </c>
      <c r="AQ33" s="67">
        <v>0.23679110732460257</v>
      </c>
      <c r="AR33" s="10" t="str">
        <f t="shared" si="11"/>
        <v>NV</v>
      </c>
      <c r="AS33" s="10" t="str">
        <f t="shared" si="12"/>
        <v xml:space="preserve"> </v>
      </c>
      <c r="AT33" s="10"/>
      <c r="AU33" s="53">
        <v>30</v>
      </c>
      <c r="AV33" s="55">
        <v>3.4788579228601404</v>
      </c>
      <c r="AW33" s="56">
        <v>0.2215082983497316</v>
      </c>
      <c r="AX33" s="10" t="str">
        <f t="shared" si="13"/>
        <v>NV</v>
      </c>
      <c r="AY33" s="10" t="str">
        <f t="shared" si="14"/>
        <v xml:space="preserve"> </v>
      </c>
      <c r="AZ33" s="10"/>
      <c r="BA33" s="54">
        <v>25</v>
      </c>
      <c r="BB33" s="57">
        <v>2.7349187260090484</v>
      </c>
      <c r="BC33" s="58">
        <v>0.14509561272462473</v>
      </c>
      <c r="BD33" s="10" t="str">
        <f t="shared" si="15"/>
        <v>NV</v>
      </c>
      <c r="BE33" s="10" t="str">
        <f t="shared" si="16"/>
        <v xml:space="preserve"> </v>
      </c>
      <c r="BF33" s="76"/>
      <c r="BG33" s="27">
        <v>266</v>
      </c>
      <c r="BH33" s="28">
        <v>3.6455471438635194</v>
      </c>
      <c r="BI33" s="29">
        <v>7.3632281692937632E-2</v>
      </c>
      <c r="BJ33" s="10"/>
      <c r="BK33" s="42">
        <v>69</v>
      </c>
      <c r="BL33" s="43">
        <v>3.797306385405133</v>
      </c>
      <c r="BM33" s="67">
        <v>0.14556777422515815</v>
      </c>
      <c r="BN33" s="10">
        <f t="shared" si="17"/>
        <v>-0.9302912178889855</v>
      </c>
      <c r="BO33" s="10" t="str">
        <f t="shared" si="18"/>
        <v xml:space="preserve"> </v>
      </c>
      <c r="BP33" s="10"/>
      <c r="BQ33" s="42">
        <v>13.263504570000002</v>
      </c>
      <c r="BR33" s="43">
        <v>3.4046767354489633</v>
      </c>
      <c r="BS33" s="67">
        <v>0.262121608706813</v>
      </c>
      <c r="BT33" s="10" t="str">
        <f t="shared" si="19"/>
        <v>NV</v>
      </c>
      <c r="BU33" s="10" t="str">
        <f t="shared" si="20"/>
        <v xml:space="preserve"> </v>
      </c>
      <c r="BV33" s="10"/>
      <c r="BW33" s="53">
        <v>8</v>
      </c>
      <c r="BX33" s="55">
        <v>3.6001322048275406</v>
      </c>
      <c r="BY33" s="56">
        <v>0.37040190572202408</v>
      </c>
      <c r="BZ33" s="10" t="str">
        <f t="shared" si="21"/>
        <v>NV</v>
      </c>
      <c r="CA33" s="10" t="str">
        <f t="shared" si="22"/>
        <v xml:space="preserve"> </v>
      </c>
      <c r="CB33" s="10"/>
      <c r="CC33" s="54">
        <v>80</v>
      </c>
      <c r="CD33" s="57">
        <v>3.336283875946203</v>
      </c>
      <c r="CE33" s="58">
        <v>0.11702768005057998</v>
      </c>
      <c r="CF33" s="10">
        <f t="shared" si="23"/>
        <v>2.2367441145304787</v>
      </c>
      <c r="CG33" s="10" t="str">
        <f t="shared" si="24"/>
        <v>*</v>
      </c>
      <c r="CH33" s="76"/>
      <c r="CI33" s="27">
        <v>153</v>
      </c>
      <c r="CJ33" s="28">
        <v>3.5941590021108674</v>
      </c>
      <c r="CK33" s="29">
        <v>9.0212907553508706E-2</v>
      </c>
      <c r="CL33" s="67"/>
      <c r="CM33" s="42">
        <v>51</v>
      </c>
      <c r="CN33" s="43">
        <v>3.2158601148790926</v>
      </c>
      <c r="CO33" s="67">
        <v>0.16394956148353229</v>
      </c>
      <c r="CP33" s="10">
        <f t="shared" si="25"/>
        <v>2.0215778241951203</v>
      </c>
      <c r="CQ33" s="10" t="str">
        <f t="shared" si="26"/>
        <v>*</v>
      </c>
      <c r="CR33" s="10"/>
      <c r="CS33" s="42">
        <v>37.316517900000008</v>
      </c>
      <c r="CT33" s="43">
        <v>3.5421601507465406</v>
      </c>
      <c r="CU33" s="67">
        <v>0.2180780616519003</v>
      </c>
      <c r="CV33" s="10">
        <f t="shared" si="27"/>
        <v>0.22033330563865858</v>
      </c>
      <c r="CW33" s="10" t="str">
        <f t="shared" si="28"/>
        <v xml:space="preserve"> </v>
      </c>
      <c r="CX33" s="10"/>
      <c r="CY33" s="53">
        <v>34</v>
      </c>
      <c r="CZ33" s="55">
        <v>3.7697050906261351</v>
      </c>
      <c r="DA33" s="56">
        <v>0.1974520785938339</v>
      </c>
      <c r="DB33" s="10">
        <f t="shared" si="29"/>
        <v>-0.80865315750187139</v>
      </c>
      <c r="DC33" s="10" t="str">
        <f t="shared" si="0"/>
        <v xml:space="preserve"> </v>
      </c>
      <c r="DD33" s="10"/>
      <c r="DE33" s="54">
        <v>31</v>
      </c>
      <c r="DF33" s="57">
        <v>3.6401157032675999</v>
      </c>
      <c r="DG33" s="58">
        <v>0.2227987930620812</v>
      </c>
      <c r="DH33" s="10">
        <f t="shared" si="30"/>
        <v>-0.19119161048966685</v>
      </c>
      <c r="DI33" s="10" t="str">
        <f t="shared" si="31"/>
        <v xml:space="preserve"> </v>
      </c>
      <c r="DJ33" s="76"/>
      <c r="DK33" s="27">
        <v>43</v>
      </c>
      <c r="DL33" s="28">
        <v>3.3546871395662339</v>
      </c>
      <c r="DM33" s="29">
        <v>0.18597870608464726</v>
      </c>
      <c r="DN33" s="10"/>
      <c r="DO33" s="42">
        <v>11</v>
      </c>
      <c r="DP33" s="43">
        <v>2.8202785071813192</v>
      </c>
      <c r="DQ33" s="67">
        <v>0.37781618566079322</v>
      </c>
      <c r="DR33" s="10" t="str">
        <f t="shared" si="32"/>
        <v>NV</v>
      </c>
      <c r="DS33" s="10" t="str">
        <f t="shared" si="33"/>
        <v xml:space="preserve"> </v>
      </c>
      <c r="DT33" s="10"/>
      <c r="DU33" s="42">
        <v>9.2732841300000004</v>
      </c>
      <c r="DV33" s="43">
        <v>2.784853974920749</v>
      </c>
      <c r="DW33" s="67">
        <v>0.53986663250579381</v>
      </c>
      <c r="DX33" s="10" t="str">
        <f t="shared" si="34"/>
        <v>NV</v>
      </c>
      <c r="DY33" s="10" t="str">
        <f t="shared" si="35"/>
        <v xml:space="preserve"> </v>
      </c>
      <c r="DZ33" s="10"/>
      <c r="EA33" s="53">
        <v>6</v>
      </c>
      <c r="EB33" s="55">
        <v>3.1666666666666665</v>
      </c>
      <c r="EC33" s="56">
        <v>0.69191084809568271</v>
      </c>
      <c r="ED33" s="10" t="str">
        <f t="shared" si="36"/>
        <v>NV</v>
      </c>
      <c r="EE33" s="10" t="str">
        <f t="shared" si="37"/>
        <v xml:space="preserve"> </v>
      </c>
      <c r="EF33" s="10"/>
      <c r="EG33" s="54">
        <v>12</v>
      </c>
      <c r="EH33" s="57">
        <v>3.1666666666666674</v>
      </c>
      <c r="EI33" s="58">
        <v>0.2517999585553195</v>
      </c>
      <c r="EJ33" s="10" t="str">
        <f t="shared" si="38"/>
        <v>NV</v>
      </c>
      <c r="EK33" s="10" t="str">
        <f t="shared" si="39"/>
        <v xml:space="preserve"> </v>
      </c>
      <c r="EL33" s="76"/>
      <c r="EM33" s="27">
        <v>112</v>
      </c>
      <c r="EN33" s="28">
        <v>3.5602760637872284</v>
      </c>
      <c r="EO33" s="29">
        <v>0.1067996877210083</v>
      </c>
      <c r="EP33" s="10"/>
      <c r="EQ33" s="42">
        <v>36</v>
      </c>
      <c r="ER33" s="43">
        <v>3.5842589118072032</v>
      </c>
      <c r="ES33" s="67">
        <v>0.21201029472977714</v>
      </c>
      <c r="ET33" s="10">
        <f t="shared" si="40"/>
        <v>-0.10102673253888335</v>
      </c>
      <c r="EU33" s="10" t="str">
        <f t="shared" si="41"/>
        <v xml:space="preserve"> </v>
      </c>
      <c r="EV33" s="10"/>
      <c r="EW33" s="42">
        <v>22.199316540000009</v>
      </c>
      <c r="EX33" s="43">
        <v>3.226581731060806</v>
      </c>
      <c r="EY33" s="67">
        <v>0.20625287371685161</v>
      </c>
      <c r="EZ33" s="10" t="str">
        <f t="shared" si="42"/>
        <v>NV</v>
      </c>
      <c r="FA33" s="10" t="str">
        <f t="shared" si="43"/>
        <v xml:space="preserve"> </v>
      </c>
      <c r="FB33" s="10"/>
      <c r="FC33" s="53">
        <v>19</v>
      </c>
      <c r="FD33" s="55">
        <v>3.5652923527602618</v>
      </c>
      <c r="FE33" s="56">
        <v>0.29819314810558145</v>
      </c>
      <c r="FF33" s="10" t="str">
        <f t="shared" si="44"/>
        <v>NV</v>
      </c>
      <c r="FG33" s="10" t="str">
        <f t="shared" si="45"/>
        <v xml:space="preserve"> </v>
      </c>
      <c r="FH33" s="10"/>
      <c r="FI33" s="54">
        <v>22</v>
      </c>
      <c r="FJ33" s="57">
        <v>3.5222075414357468</v>
      </c>
      <c r="FK33" s="58">
        <v>0.21336949560616297</v>
      </c>
      <c r="FL33" s="10" t="str">
        <f t="shared" si="46"/>
        <v>NV</v>
      </c>
      <c r="FM33" s="10" t="str">
        <f t="shared" si="99"/>
        <v xml:space="preserve"> </v>
      </c>
      <c r="FN33" s="76"/>
      <c r="FO33" s="27">
        <v>34</v>
      </c>
      <c r="FP33" s="28">
        <v>3.1706262478901559</v>
      </c>
      <c r="FQ33" s="29">
        <v>0.24531407839534158</v>
      </c>
      <c r="FR33" s="67"/>
      <c r="FS33" s="42">
        <v>17</v>
      </c>
      <c r="FT33" s="43">
        <v>3.0015300743390525</v>
      </c>
      <c r="FU33" s="67">
        <v>0.32116008517032052</v>
      </c>
      <c r="FV33" s="10" t="str">
        <f t="shared" si="47"/>
        <v>NV</v>
      </c>
      <c r="FW33" s="10" t="str">
        <f t="shared" si="48"/>
        <v xml:space="preserve"> </v>
      </c>
      <c r="FX33" s="67"/>
      <c r="FY33" s="42">
        <v>34.215007039999982</v>
      </c>
      <c r="FZ33" s="43">
        <v>3.30930807956952</v>
      </c>
      <c r="GA33" s="67">
        <v>0.2340804537002624</v>
      </c>
      <c r="GB33" s="10">
        <f t="shared" si="49"/>
        <v>-0.40899903870348903</v>
      </c>
      <c r="GC33" s="10" t="str">
        <f t="shared" si="50"/>
        <v xml:space="preserve"> </v>
      </c>
      <c r="GD33" s="10"/>
      <c r="GE33" s="53">
        <v>28</v>
      </c>
      <c r="GF33" s="55">
        <v>3.2191891997770719</v>
      </c>
      <c r="GG33" s="56">
        <v>0.25111963739506976</v>
      </c>
      <c r="GH33" s="10" t="str">
        <f t="shared" si="51"/>
        <v>NV</v>
      </c>
      <c r="GI33" s="10" t="str">
        <f t="shared" si="52"/>
        <v xml:space="preserve"> </v>
      </c>
      <c r="GJ33" s="10"/>
      <c r="GK33" s="54">
        <v>39</v>
      </c>
      <c r="GL33" s="57">
        <v>3.4335483867713639</v>
      </c>
      <c r="GM33" s="58">
        <v>0.2031233720283501</v>
      </c>
      <c r="GN33" s="10">
        <f t="shared" si="53"/>
        <v>-0.82551810172884654</v>
      </c>
      <c r="GO33" s="10" t="str">
        <f t="shared" si="100"/>
        <v xml:space="preserve"> </v>
      </c>
      <c r="GP33" s="76"/>
      <c r="GQ33" s="27">
        <v>42</v>
      </c>
      <c r="GR33" s="28">
        <v>3.3731075152177215</v>
      </c>
      <c r="GS33" s="29">
        <v>0.18226501266241801</v>
      </c>
      <c r="GT33" s="10"/>
      <c r="GU33" s="42">
        <v>24</v>
      </c>
      <c r="GV33" s="43">
        <v>3.2172156773071063</v>
      </c>
      <c r="GW33" s="67">
        <v>0.30823994557885837</v>
      </c>
      <c r="GX33" s="10" t="str">
        <f t="shared" si="54"/>
        <v>NV</v>
      </c>
      <c r="GY33" s="10" t="str">
        <f t="shared" si="55"/>
        <v xml:space="preserve"> </v>
      </c>
      <c r="GZ33" s="10"/>
      <c r="HA33" s="42">
        <v>26.355276069999992</v>
      </c>
      <c r="HB33" s="43">
        <v>3.3234011492561075</v>
      </c>
      <c r="HC33" s="67">
        <v>0.29854775981448967</v>
      </c>
      <c r="HD33" s="10" t="str">
        <f t="shared" si="56"/>
        <v>NV</v>
      </c>
      <c r="HE33" s="10" t="str">
        <f t="shared" si="57"/>
        <v xml:space="preserve"> </v>
      </c>
      <c r="HF33" s="10"/>
      <c r="HG33" s="53">
        <v>21</v>
      </c>
      <c r="HH33" s="55">
        <v>3.178204952069914</v>
      </c>
      <c r="HI33" s="56">
        <v>0.27331292231877108</v>
      </c>
      <c r="HJ33" s="10" t="str">
        <f t="shared" si="58"/>
        <v>NV</v>
      </c>
      <c r="HK33" s="10" t="str">
        <f t="shared" si="59"/>
        <v xml:space="preserve"> </v>
      </c>
      <c r="HL33" s="10"/>
      <c r="HM33" s="54">
        <v>32</v>
      </c>
      <c r="HN33" s="57">
        <v>3.6623586438418569</v>
      </c>
      <c r="HO33" s="58">
        <v>0.21503500082531421</v>
      </c>
      <c r="HP33" s="10">
        <f t="shared" si="60"/>
        <v>-1.0261224260405861</v>
      </c>
      <c r="HQ33" s="10" t="str">
        <f t="shared" si="101"/>
        <v xml:space="preserve"> </v>
      </c>
      <c r="HR33" s="76"/>
      <c r="HS33" s="27">
        <v>118</v>
      </c>
      <c r="HT33" s="28">
        <v>3.7317204731192963</v>
      </c>
      <c r="HU33" s="29">
        <v>0.10600183661077245</v>
      </c>
      <c r="HV33" s="10"/>
      <c r="HW33" s="42">
        <v>86</v>
      </c>
      <c r="HX33" s="43">
        <v>3.3226090283594667</v>
      </c>
      <c r="HY33" s="67">
        <v>0.1481921225880137</v>
      </c>
      <c r="HZ33" s="10">
        <f t="shared" si="61"/>
        <v>2.2453822383175601</v>
      </c>
      <c r="IA33" s="10" t="str">
        <f t="shared" si="62"/>
        <v>*</v>
      </c>
      <c r="IB33" s="10"/>
      <c r="IC33" s="42">
        <v>103.70126489999993</v>
      </c>
      <c r="ID33" s="43">
        <v>3.4743262845196008</v>
      </c>
      <c r="IE33" s="67">
        <v>0.12899421529805805</v>
      </c>
      <c r="IF33" s="10">
        <f t="shared" si="63"/>
        <v>1.5416447635503496</v>
      </c>
      <c r="IG33" s="10" t="str">
        <f t="shared" si="64"/>
        <v xml:space="preserve"> </v>
      </c>
      <c r="IH33" s="10"/>
      <c r="II33" s="53">
        <v>77</v>
      </c>
      <c r="IJ33" s="55">
        <v>3.6254379801901493</v>
      </c>
      <c r="IK33" s="56">
        <v>0.14946248212408111</v>
      </c>
      <c r="IL33" s="10">
        <f t="shared" si="65"/>
        <v>0.58003070797958323</v>
      </c>
      <c r="IM33" s="10" t="str">
        <f t="shared" si="66"/>
        <v xml:space="preserve"> </v>
      </c>
      <c r="IN33" s="10"/>
      <c r="IO33" s="54">
        <v>92</v>
      </c>
      <c r="IP33" s="57">
        <v>3.4309484187625956</v>
      </c>
      <c r="IQ33" s="58">
        <v>0.12687177309097891</v>
      </c>
      <c r="IR33" s="10">
        <f t="shared" si="67"/>
        <v>1.8192615173839219</v>
      </c>
      <c r="IS33" s="10" t="str">
        <f t="shared" si="68"/>
        <v xml:space="preserve"> </v>
      </c>
      <c r="IT33" s="76"/>
      <c r="IU33" s="27">
        <v>10</v>
      </c>
      <c r="IV33" s="28">
        <v>2.5999999999999996</v>
      </c>
      <c r="IW33" s="29">
        <v>0.34009114808087743</v>
      </c>
      <c r="IX33" s="10"/>
      <c r="IY33" s="42">
        <v>8</v>
      </c>
      <c r="IZ33" s="43">
        <v>3.1250000000000004</v>
      </c>
      <c r="JA33" s="67">
        <v>0.51496799303169682</v>
      </c>
      <c r="JB33" s="10" t="str">
        <f t="shared" si="69"/>
        <v>NV</v>
      </c>
      <c r="JC33" s="10" t="str">
        <f t="shared" si="70"/>
        <v xml:space="preserve"> </v>
      </c>
      <c r="JD33" s="10"/>
      <c r="JE33" s="42">
        <v>11.881432680000001</v>
      </c>
      <c r="JF33" s="43">
        <v>3.5</v>
      </c>
      <c r="JG33" s="67">
        <v>0.41969157891322051</v>
      </c>
      <c r="JH33" s="10" t="str">
        <f t="shared" si="71"/>
        <v>NV</v>
      </c>
      <c r="JI33" s="10" t="str">
        <f t="shared" si="72"/>
        <v xml:space="preserve"> </v>
      </c>
      <c r="JJ33" s="10"/>
      <c r="JK33" s="53">
        <v>10</v>
      </c>
      <c r="JL33" s="55">
        <v>2.8</v>
      </c>
      <c r="JM33" s="56">
        <v>0.56095424707187092</v>
      </c>
      <c r="JN33" s="10" t="str">
        <f t="shared" si="73"/>
        <v>NV</v>
      </c>
      <c r="JO33" s="10" t="str">
        <f t="shared" si="74"/>
        <v xml:space="preserve"> </v>
      </c>
      <c r="JP33" s="10"/>
      <c r="JQ33" s="54">
        <v>16</v>
      </c>
      <c r="JR33" s="57">
        <v>2.7500000000000004</v>
      </c>
      <c r="JS33" s="58">
        <v>0.33447697178857566</v>
      </c>
      <c r="JT33" s="10" t="str">
        <f t="shared" si="75"/>
        <v>NV</v>
      </c>
      <c r="JU33" s="10" t="str">
        <f t="shared" si="76"/>
        <v xml:space="preserve"> </v>
      </c>
      <c r="JV33" s="76"/>
      <c r="JW33" s="27">
        <v>92</v>
      </c>
      <c r="JX33" s="28">
        <v>2.9124253019331685</v>
      </c>
      <c r="JY33" s="29">
        <v>0.13966947068702457</v>
      </c>
      <c r="JZ33" s="10"/>
      <c r="KA33" s="42">
        <v>55</v>
      </c>
      <c r="KB33" s="43">
        <v>2.9292351675449271</v>
      </c>
      <c r="KC33" s="67">
        <v>0.19918500671221639</v>
      </c>
      <c r="KD33" s="10">
        <f t="shared" si="77"/>
        <v>-6.9098494673232161E-2</v>
      </c>
      <c r="KE33" s="10" t="str">
        <f t="shared" si="78"/>
        <v xml:space="preserve"> </v>
      </c>
      <c r="KF33" s="10"/>
      <c r="KG33" s="42">
        <v>78.183005999999921</v>
      </c>
      <c r="KH33" s="43">
        <v>3.0694197373275727</v>
      </c>
      <c r="KI33" s="67">
        <v>0.15033560951961</v>
      </c>
      <c r="KJ33" s="10">
        <f t="shared" si="79"/>
        <v>-0.76506813418066888</v>
      </c>
      <c r="KK33" s="10" t="str">
        <f t="shared" si="80"/>
        <v xml:space="preserve"> </v>
      </c>
      <c r="KL33" s="10"/>
      <c r="KM33" s="53">
        <v>125</v>
      </c>
      <c r="KN33" s="55">
        <v>2.8764082353825997</v>
      </c>
      <c r="KO33" s="56">
        <v>0.11316548253862561</v>
      </c>
      <c r="KP33" s="10">
        <f t="shared" si="81"/>
        <v>0.20036094074542737</v>
      </c>
      <c r="KQ33" s="10" t="str">
        <f t="shared" si="82"/>
        <v xml:space="preserve"> </v>
      </c>
      <c r="KR33" s="10"/>
      <c r="KS33" s="54">
        <v>126</v>
      </c>
      <c r="KT33" s="57">
        <v>2.7541034671680942</v>
      </c>
      <c r="KU33" s="58">
        <v>0.11548087084846673</v>
      </c>
      <c r="KV33" s="10">
        <f t="shared" si="83"/>
        <v>0.87360841455133809</v>
      </c>
      <c r="KW33" s="10" t="str">
        <f t="shared" si="102"/>
        <v xml:space="preserve"> </v>
      </c>
      <c r="KX33" s="76"/>
      <c r="KY33" s="27">
        <v>23</v>
      </c>
      <c r="KZ33" s="28">
        <v>3.5652173913043481</v>
      </c>
      <c r="LA33" s="29">
        <v>0.25799981766446989</v>
      </c>
      <c r="LB33" s="10"/>
      <c r="LC33" s="42">
        <v>28</v>
      </c>
      <c r="LD33" s="43">
        <v>3.8927068724033256</v>
      </c>
      <c r="LE33" s="67">
        <v>0.19490048942806998</v>
      </c>
      <c r="LF33" s="10" t="str">
        <f t="shared" si="84"/>
        <v>NV</v>
      </c>
      <c r="LG33" s="10" t="str">
        <f t="shared" si="85"/>
        <v xml:space="preserve"> </v>
      </c>
      <c r="LH33" s="10"/>
      <c r="LI33" s="42">
        <v>46.535611329999959</v>
      </c>
      <c r="LJ33" s="43">
        <v>3.8297872340425543</v>
      </c>
      <c r="LK33" s="67">
        <v>0.15075255080638675</v>
      </c>
      <c r="LL33" s="10" t="str">
        <f t="shared" si="86"/>
        <v>NV</v>
      </c>
      <c r="LM33" s="10" t="str">
        <f t="shared" si="87"/>
        <v xml:space="preserve"> </v>
      </c>
      <c r="LN33" s="10"/>
      <c r="LO33" s="53">
        <v>88</v>
      </c>
      <c r="LP33" s="55">
        <v>3.6022727272727271</v>
      </c>
      <c r="LQ33" s="56">
        <v>0.11035605104292957</v>
      </c>
      <c r="LR33" s="10" t="str">
        <f t="shared" si="88"/>
        <v>NV</v>
      </c>
      <c r="LS33" s="10" t="str">
        <f t="shared" si="89"/>
        <v xml:space="preserve"> </v>
      </c>
      <c r="LT33" s="10"/>
      <c r="LU33" s="54">
        <v>77</v>
      </c>
      <c r="LV33" s="57">
        <v>3.4487106877754994</v>
      </c>
      <c r="LW33" s="58">
        <v>0.13920999541753806</v>
      </c>
      <c r="LX33" s="10" t="str">
        <f t="shared" si="90"/>
        <v>NV</v>
      </c>
      <c r="LY33" s="10" t="str">
        <f t="shared" si="91"/>
        <v xml:space="preserve"> </v>
      </c>
      <c r="LZ33" s="76"/>
      <c r="MA33" s="27">
        <v>41</v>
      </c>
      <c r="MB33" s="28">
        <v>3.8779148527885243</v>
      </c>
      <c r="MC33" s="29">
        <v>0.16821230693290737</v>
      </c>
      <c r="MD33" s="10"/>
      <c r="ME33" s="42">
        <v>27</v>
      </c>
      <c r="MF33" s="43">
        <v>3.5188953487543642</v>
      </c>
      <c r="MG33" s="67">
        <v>0.24673191299705907</v>
      </c>
      <c r="MH33" s="10" t="str">
        <f t="shared" si="92"/>
        <v>NV</v>
      </c>
      <c r="MI33" s="10" t="str">
        <f t="shared" si="93"/>
        <v xml:space="preserve"> </v>
      </c>
      <c r="MJ33" s="10"/>
      <c r="MK33" s="42">
        <v>21.110405050000004</v>
      </c>
      <c r="ML33" s="43">
        <v>3.851764705954801</v>
      </c>
      <c r="MM33" s="67">
        <v>0.24950308004600083</v>
      </c>
      <c r="MN33" s="10" t="str">
        <f t="shared" si="94"/>
        <v>NV</v>
      </c>
      <c r="MO33" s="10" t="str">
        <f t="shared" si="95"/>
        <v xml:space="preserve"> </v>
      </c>
      <c r="MP33" s="10"/>
      <c r="MQ33" s="53">
        <v>58</v>
      </c>
      <c r="MR33" s="55">
        <v>3.5554457613331625</v>
      </c>
      <c r="MS33" s="56">
        <v>0.14938569485409978</v>
      </c>
      <c r="MT33" s="10">
        <f t="shared" si="96"/>
        <v>1.4333875740741802</v>
      </c>
      <c r="MU33" s="10" t="str">
        <f t="shared" si="97"/>
        <v xml:space="preserve"> </v>
      </c>
      <c r="MV33" s="10"/>
      <c r="MW33" s="54">
        <v>34</v>
      </c>
      <c r="MX33" s="57">
        <v>3.7565534355181911</v>
      </c>
      <c r="MY33" s="58">
        <v>0.24131773699489178</v>
      </c>
      <c r="MZ33" s="10">
        <f t="shared" si="98"/>
        <v>0.4125705416079064</v>
      </c>
      <c r="NA33" s="10" t="str">
        <f t="shared" si="103"/>
        <v xml:space="preserve"> </v>
      </c>
      <c r="NB33" s="58"/>
    </row>
    <row r="34" spans="1:366" x14ac:dyDescent="0.2">
      <c r="B34" s="65" t="s">
        <v>36</v>
      </c>
      <c r="C34" s="27">
        <v>392</v>
      </c>
      <c r="D34" s="28">
        <v>3.8571428571428572</v>
      </c>
      <c r="E34" s="29">
        <v>5.2102273966526821E-2</v>
      </c>
      <c r="F34" s="10"/>
      <c r="G34" s="42">
        <v>118</v>
      </c>
      <c r="H34" s="43">
        <v>3.7033435862200008</v>
      </c>
      <c r="I34" s="67">
        <v>0.1019108182541516</v>
      </c>
      <c r="J34" s="10">
        <f t="shared" si="1"/>
        <v>1.3437267833861741</v>
      </c>
      <c r="K34" s="10" t="str">
        <f t="shared" si="2"/>
        <v xml:space="preserve"> </v>
      </c>
      <c r="L34" s="10"/>
      <c r="M34" s="42">
        <v>121.6494782100001</v>
      </c>
      <c r="N34" s="43">
        <v>3.41880341880342</v>
      </c>
      <c r="O34" s="67">
        <v>8.1810895107452264E-2</v>
      </c>
      <c r="P34" s="10">
        <f t="shared" si="3"/>
        <v>4.5192828200429798</v>
      </c>
      <c r="Q34" s="10" t="str">
        <f t="shared" si="4"/>
        <v>*</v>
      </c>
      <c r="R34" s="10"/>
      <c r="S34" s="53">
        <v>118</v>
      </c>
      <c r="T34" s="55">
        <v>3.7372881355932193</v>
      </c>
      <c r="U34" s="56">
        <v>7.4137476992998844E-2</v>
      </c>
      <c r="V34" s="10">
        <f t="shared" si="5"/>
        <v>1.3226861073882843</v>
      </c>
      <c r="W34" s="10" t="str">
        <f t="shared" si="6"/>
        <v xml:space="preserve"> </v>
      </c>
      <c r="X34" s="10"/>
      <c r="Y34" s="54">
        <v>184</v>
      </c>
      <c r="Z34" s="57">
        <v>3.1684782608695667</v>
      </c>
      <c r="AA34" s="58">
        <v>7.3831851167082962E-2</v>
      </c>
      <c r="AB34" s="10">
        <f t="shared" si="7"/>
        <v>7.6209423198629915</v>
      </c>
      <c r="AC34" s="10" t="str">
        <f t="shared" si="8"/>
        <v>*</v>
      </c>
      <c r="AD34" s="76"/>
      <c r="AE34" s="27">
        <v>92</v>
      </c>
      <c r="AF34" s="28">
        <v>3.783041212800387</v>
      </c>
      <c r="AG34" s="29">
        <v>9.590297607420388E-2</v>
      </c>
      <c r="AH34" s="67"/>
      <c r="AI34" s="42">
        <v>50</v>
      </c>
      <c r="AJ34" s="43">
        <v>3.6803603214344678</v>
      </c>
      <c r="AK34" s="67">
        <v>0.14640625461502024</v>
      </c>
      <c r="AL34" s="10">
        <f t="shared" si="9"/>
        <v>0.58667925612092986</v>
      </c>
      <c r="AM34" s="10" t="str">
        <f t="shared" si="10"/>
        <v xml:space="preserve"> </v>
      </c>
      <c r="AN34" s="67"/>
      <c r="AO34" s="42">
        <v>92.053096800000006</v>
      </c>
      <c r="AP34" s="43">
        <v>2.9340630689135065</v>
      </c>
      <c r="AQ34" s="67">
        <v>0.11789149427555072</v>
      </c>
      <c r="AR34" s="10">
        <f t="shared" si="11"/>
        <v>5.5863757475778613</v>
      </c>
      <c r="AS34" s="10" t="str">
        <f t="shared" si="12"/>
        <v>*</v>
      </c>
      <c r="AT34" s="10"/>
      <c r="AU34" s="53">
        <v>117</v>
      </c>
      <c r="AV34" s="55">
        <v>3.5601937848541012</v>
      </c>
      <c r="AW34" s="56">
        <v>9.2018770880776826E-2</v>
      </c>
      <c r="AX34" s="10">
        <f t="shared" si="13"/>
        <v>1.6766902277180931</v>
      </c>
      <c r="AY34" s="10" t="str">
        <f t="shared" si="14"/>
        <v xml:space="preserve"> </v>
      </c>
      <c r="AZ34" s="10"/>
      <c r="BA34" s="54">
        <v>86</v>
      </c>
      <c r="BB34" s="57">
        <v>3.0012152193965784</v>
      </c>
      <c r="BC34" s="58">
        <v>9.0867387072382066E-2</v>
      </c>
      <c r="BD34" s="10">
        <f t="shared" si="15"/>
        <v>5.9177872711797042</v>
      </c>
      <c r="BE34" s="10" t="str">
        <f t="shared" si="16"/>
        <v>*</v>
      </c>
      <c r="BF34" s="76"/>
      <c r="BG34" s="27">
        <v>1065</v>
      </c>
      <c r="BH34" s="28">
        <v>3.9742942727593431</v>
      </c>
      <c r="BI34" s="29">
        <v>2.8764148191406907E-2</v>
      </c>
      <c r="BJ34" s="10"/>
      <c r="BK34" s="42">
        <v>326</v>
      </c>
      <c r="BL34" s="43">
        <v>4.0001229297691419</v>
      </c>
      <c r="BM34" s="67">
        <v>4.9550462501000453E-2</v>
      </c>
      <c r="BN34" s="10">
        <f t="shared" si="17"/>
        <v>-0.4508075887405828</v>
      </c>
      <c r="BO34" s="10" t="str">
        <f t="shared" si="18"/>
        <v xml:space="preserve"> </v>
      </c>
      <c r="BP34" s="10"/>
      <c r="BQ34" s="42">
        <v>344.39955587999924</v>
      </c>
      <c r="BR34" s="43">
        <v>3.3499510057207922</v>
      </c>
      <c r="BS34" s="67">
        <v>3.4967329938545282E-2</v>
      </c>
      <c r="BT34" s="10">
        <f t="shared" si="19"/>
        <v>13.789131977641654</v>
      </c>
      <c r="BU34" s="10" t="str">
        <f t="shared" si="20"/>
        <v>*</v>
      </c>
      <c r="BV34" s="10"/>
      <c r="BW34" s="53">
        <v>357</v>
      </c>
      <c r="BX34" s="55">
        <v>3.8714494148564706</v>
      </c>
      <c r="BY34" s="56">
        <v>2.417294898701566E-2</v>
      </c>
      <c r="BZ34" s="10">
        <f t="shared" si="21"/>
        <v>2.737223079412761</v>
      </c>
      <c r="CA34" s="10" t="str">
        <f t="shared" si="22"/>
        <v>*</v>
      </c>
      <c r="CB34" s="10"/>
      <c r="CC34" s="54">
        <v>396</v>
      </c>
      <c r="CD34" s="57">
        <v>3.6014610756733858</v>
      </c>
      <c r="CE34" s="58">
        <v>5.0140252120454913E-2</v>
      </c>
      <c r="CF34" s="10">
        <f t="shared" si="23"/>
        <v>6.4498404172024282</v>
      </c>
      <c r="CG34" s="10" t="str">
        <f t="shared" si="24"/>
        <v>*</v>
      </c>
      <c r="CH34" s="76"/>
      <c r="CI34" s="27">
        <v>650</v>
      </c>
      <c r="CJ34" s="28">
        <v>4.1224686940240636</v>
      </c>
      <c r="CK34" s="29">
        <v>3.5136217846482791E-2</v>
      </c>
      <c r="CL34" s="67"/>
      <c r="CM34" s="42">
        <v>205</v>
      </c>
      <c r="CN34" s="43">
        <v>4.2196450665402665</v>
      </c>
      <c r="CO34" s="67">
        <v>6.1907562371677424E-2</v>
      </c>
      <c r="CP34" s="10">
        <f t="shared" si="25"/>
        <v>-1.3651517876120105</v>
      </c>
      <c r="CQ34" s="10" t="str">
        <f t="shared" si="26"/>
        <v xml:space="preserve"> </v>
      </c>
      <c r="CR34" s="10"/>
      <c r="CS34" s="42">
        <v>229.80007001999942</v>
      </c>
      <c r="CT34" s="43">
        <v>4.2308598869677576</v>
      </c>
      <c r="CU34" s="67">
        <v>5.6172949827798579E-2</v>
      </c>
      <c r="CV34" s="10">
        <f t="shared" si="27"/>
        <v>-1.6359273251811024</v>
      </c>
      <c r="CW34" s="10" t="str">
        <f t="shared" si="28"/>
        <v xml:space="preserve"> </v>
      </c>
      <c r="CX34" s="10"/>
      <c r="CY34" s="53">
        <v>199</v>
      </c>
      <c r="CZ34" s="55">
        <v>4.2037178603942582</v>
      </c>
      <c r="DA34" s="56">
        <v>6.2518452495071819E-2</v>
      </c>
      <c r="DB34" s="10">
        <f t="shared" si="29"/>
        <v>-1.1329375659486036</v>
      </c>
      <c r="DC34" s="10" t="str">
        <f t="shared" si="0"/>
        <v xml:space="preserve"> </v>
      </c>
      <c r="DD34" s="10"/>
      <c r="DE34" s="54">
        <v>250</v>
      </c>
      <c r="DF34" s="57">
        <v>4.0278833960433928</v>
      </c>
      <c r="DG34" s="58">
        <v>6.0124887276471799E-2</v>
      </c>
      <c r="DH34" s="10">
        <f t="shared" si="30"/>
        <v>1.3582279168304652</v>
      </c>
      <c r="DI34" s="10" t="str">
        <f t="shared" si="31"/>
        <v xml:space="preserve"> </v>
      </c>
      <c r="DJ34" s="76"/>
      <c r="DK34" s="27">
        <v>189</v>
      </c>
      <c r="DL34" s="28">
        <v>3.6854488614315901</v>
      </c>
      <c r="DM34" s="29">
        <v>7.789465564970674E-2</v>
      </c>
      <c r="DN34" s="10"/>
      <c r="DO34" s="42">
        <v>71</v>
      </c>
      <c r="DP34" s="43">
        <v>3.1268241922247082</v>
      </c>
      <c r="DQ34" s="67">
        <v>0.14880935282804897</v>
      </c>
      <c r="DR34" s="10">
        <f t="shared" si="32"/>
        <v>3.3258656801553856</v>
      </c>
      <c r="DS34" s="10" t="str">
        <f t="shared" si="33"/>
        <v>*</v>
      </c>
      <c r="DT34" s="10"/>
      <c r="DU34" s="42">
        <v>85.762416810000033</v>
      </c>
      <c r="DV34" s="43">
        <v>3.4688808385506134</v>
      </c>
      <c r="DW34" s="67">
        <v>0.1094339601372199</v>
      </c>
      <c r="DX34" s="10">
        <f t="shared" si="34"/>
        <v>1.6122616218325887</v>
      </c>
      <c r="DY34" s="10" t="str">
        <f t="shared" si="35"/>
        <v xml:space="preserve"> </v>
      </c>
      <c r="DZ34" s="10"/>
      <c r="EA34" s="53">
        <v>76</v>
      </c>
      <c r="EB34" s="55">
        <v>3.2876589942891918</v>
      </c>
      <c r="EC34" s="56">
        <v>9.9330756552162447E-2</v>
      </c>
      <c r="ED34" s="10">
        <f t="shared" si="36"/>
        <v>3.1512938610990036</v>
      </c>
      <c r="EE34" s="10" t="str">
        <f t="shared" si="37"/>
        <v>*</v>
      </c>
      <c r="EF34" s="10"/>
      <c r="EG34" s="54">
        <v>53</v>
      </c>
      <c r="EH34" s="57">
        <v>3.5094339622641506</v>
      </c>
      <c r="EI34" s="58">
        <v>0.12744272987132663</v>
      </c>
      <c r="EJ34" s="10">
        <f t="shared" si="38"/>
        <v>1.1784391769480764</v>
      </c>
      <c r="EK34" s="10" t="str">
        <f t="shared" si="39"/>
        <v xml:space="preserve"> </v>
      </c>
      <c r="EL34" s="76"/>
      <c r="EM34" s="27">
        <v>439</v>
      </c>
      <c r="EN34" s="28">
        <v>4.120329745968025</v>
      </c>
      <c r="EO34" s="29">
        <v>4.4188644057532388E-2</v>
      </c>
      <c r="EP34" s="10"/>
      <c r="EQ34" s="42">
        <v>138</v>
      </c>
      <c r="ER34" s="43">
        <v>4.1590141689600921</v>
      </c>
      <c r="ES34" s="67">
        <v>7.5006807677808596E-2</v>
      </c>
      <c r="ET34" s="10">
        <f t="shared" si="40"/>
        <v>-0.44436514264143168</v>
      </c>
      <c r="EU34" s="10" t="str">
        <f t="shared" si="41"/>
        <v xml:space="preserve"> </v>
      </c>
      <c r="EV34" s="10"/>
      <c r="EW34" s="42">
        <v>160.84461545999986</v>
      </c>
      <c r="EX34" s="43">
        <v>3.392036076866257</v>
      </c>
      <c r="EY34" s="67">
        <v>7.3511342806514751E-2</v>
      </c>
      <c r="EZ34" s="10">
        <f t="shared" si="42"/>
        <v>8.4912050287546474</v>
      </c>
      <c r="FA34" s="10" t="str">
        <f t="shared" si="43"/>
        <v>*</v>
      </c>
      <c r="FB34" s="10"/>
      <c r="FC34" s="53">
        <v>146</v>
      </c>
      <c r="FD34" s="55">
        <v>3.8970310243009201</v>
      </c>
      <c r="FE34" s="56">
        <v>8.0253381540400501E-2</v>
      </c>
      <c r="FF34" s="10">
        <f t="shared" si="44"/>
        <v>2.4373695257008459</v>
      </c>
      <c r="FG34" s="10" t="str">
        <f t="shared" si="45"/>
        <v>*</v>
      </c>
      <c r="FH34" s="10"/>
      <c r="FI34" s="54">
        <v>185</v>
      </c>
      <c r="FJ34" s="57">
        <v>3.3984821927685309</v>
      </c>
      <c r="FK34" s="58">
        <v>6.9257429773433271E-2</v>
      </c>
      <c r="FL34" s="10">
        <f t="shared" si="46"/>
        <v>8.7865511989580778</v>
      </c>
      <c r="FM34" s="10" t="str">
        <f t="shared" si="99"/>
        <v>*</v>
      </c>
      <c r="FN34" s="76"/>
      <c r="FO34" s="27">
        <v>189</v>
      </c>
      <c r="FP34" s="28">
        <v>3.4526777697062561</v>
      </c>
      <c r="FQ34" s="29">
        <v>8.8874945815706805E-2</v>
      </c>
      <c r="FR34" s="67"/>
      <c r="FS34" s="42">
        <v>150</v>
      </c>
      <c r="FT34" s="43">
        <v>3.7017783609289294</v>
      </c>
      <c r="FU34" s="67">
        <v>8.5773668349204149E-2</v>
      </c>
      <c r="FV34" s="10">
        <f t="shared" si="47"/>
        <v>-2.0167689775164805</v>
      </c>
      <c r="FW34" s="10" t="str">
        <f t="shared" si="48"/>
        <v>*</v>
      </c>
      <c r="FX34" s="67"/>
      <c r="FY34" s="42">
        <v>168.86613699000014</v>
      </c>
      <c r="FZ34" s="43">
        <v>3.5817684907176961</v>
      </c>
      <c r="GA34" s="67">
        <v>9.3376746486285189E-2</v>
      </c>
      <c r="GB34" s="10">
        <f t="shared" si="49"/>
        <v>-1.0013963517713551</v>
      </c>
      <c r="GC34" s="10" t="str">
        <f t="shared" si="50"/>
        <v xml:space="preserve"> </v>
      </c>
      <c r="GD34" s="10"/>
      <c r="GE34" s="53">
        <v>194</v>
      </c>
      <c r="GF34" s="55">
        <v>3.3890640813007713</v>
      </c>
      <c r="GG34" s="56">
        <v>8.1195781500385505E-2</v>
      </c>
      <c r="GH34" s="10">
        <f t="shared" si="51"/>
        <v>0.52843763831585433</v>
      </c>
      <c r="GI34" s="10" t="str">
        <f t="shared" si="52"/>
        <v xml:space="preserve"> </v>
      </c>
      <c r="GJ34" s="10"/>
      <c r="GK34" s="54">
        <v>169</v>
      </c>
      <c r="GL34" s="57">
        <v>3.567945286932062</v>
      </c>
      <c r="GM34" s="58">
        <v>8.6628565417008654E-2</v>
      </c>
      <c r="GN34" s="10">
        <f t="shared" si="53"/>
        <v>-0.92875369506388461</v>
      </c>
      <c r="GO34" s="10" t="str">
        <f t="shared" si="100"/>
        <v xml:space="preserve"> </v>
      </c>
      <c r="GP34" s="76"/>
      <c r="GQ34" s="27">
        <v>206</v>
      </c>
      <c r="GR34" s="28">
        <v>3.8951785750511601</v>
      </c>
      <c r="GS34" s="29">
        <v>6.7938564426122269E-2</v>
      </c>
      <c r="GT34" s="10"/>
      <c r="GU34" s="42">
        <v>124</v>
      </c>
      <c r="GV34" s="43">
        <v>3.8719037214833132</v>
      </c>
      <c r="GW34" s="67">
        <v>8.3017043203682292E-2</v>
      </c>
      <c r="GX34" s="10">
        <f t="shared" si="54"/>
        <v>0.21696859701444721</v>
      </c>
      <c r="GY34" s="10" t="str">
        <f t="shared" si="55"/>
        <v xml:space="preserve"> </v>
      </c>
      <c r="GZ34" s="10"/>
      <c r="HA34" s="42">
        <v>111.3291115099999</v>
      </c>
      <c r="HB34" s="43">
        <v>3.8534597773329522</v>
      </c>
      <c r="HC34" s="67">
        <v>9.7434773679108563E-2</v>
      </c>
      <c r="HD34" s="10">
        <f t="shared" si="56"/>
        <v>0.35122129574580824</v>
      </c>
      <c r="HE34" s="10" t="str">
        <f t="shared" si="57"/>
        <v xml:space="preserve"> </v>
      </c>
      <c r="HF34" s="10"/>
      <c r="HG34" s="53">
        <v>79</v>
      </c>
      <c r="HH34" s="55">
        <v>3.8200606293485695</v>
      </c>
      <c r="HI34" s="56">
        <v>9.2373410033374667E-2</v>
      </c>
      <c r="HJ34" s="10">
        <f t="shared" si="58"/>
        <v>0.65509709386776926</v>
      </c>
      <c r="HK34" s="10" t="str">
        <f t="shared" si="59"/>
        <v xml:space="preserve"> </v>
      </c>
      <c r="HL34" s="10"/>
      <c r="HM34" s="54">
        <v>140</v>
      </c>
      <c r="HN34" s="57">
        <v>3.9127071820963701</v>
      </c>
      <c r="HO34" s="58">
        <v>8.6588240385407009E-2</v>
      </c>
      <c r="HP34" s="10">
        <f t="shared" si="60"/>
        <v>-0.15926431014453901</v>
      </c>
      <c r="HQ34" s="10" t="str">
        <f t="shared" si="101"/>
        <v xml:space="preserve"> </v>
      </c>
      <c r="HR34" s="76"/>
      <c r="HS34" s="27">
        <v>533</v>
      </c>
      <c r="HT34" s="28">
        <v>3.6338811659528307</v>
      </c>
      <c r="HU34" s="29">
        <v>4.7350868441515107E-2</v>
      </c>
      <c r="HV34" s="10"/>
      <c r="HW34" s="42">
        <v>369</v>
      </c>
      <c r="HX34" s="43">
        <v>3.5757218859214395</v>
      </c>
      <c r="HY34" s="67">
        <v>6.0830761906332846E-2</v>
      </c>
      <c r="HZ34" s="10">
        <f t="shared" si="61"/>
        <v>0.75445775285430261</v>
      </c>
      <c r="IA34" s="10" t="str">
        <f t="shared" si="62"/>
        <v xml:space="preserve"> </v>
      </c>
      <c r="IB34" s="10"/>
      <c r="IC34" s="42">
        <v>370.36065956000044</v>
      </c>
      <c r="ID34" s="43">
        <v>3.7614881985982369</v>
      </c>
      <c r="IE34" s="67">
        <v>5.4717990284327417E-2</v>
      </c>
      <c r="IF34" s="10">
        <f t="shared" si="63"/>
        <v>-1.7634697835809789</v>
      </c>
      <c r="IG34" s="10" t="str">
        <f t="shared" si="64"/>
        <v xml:space="preserve"> </v>
      </c>
      <c r="IH34" s="10"/>
      <c r="II34" s="53">
        <v>370</v>
      </c>
      <c r="IJ34" s="55">
        <v>3.6105683095962653</v>
      </c>
      <c r="IK34" s="56">
        <v>5.5953280460783995E-2</v>
      </c>
      <c r="IL34" s="10">
        <f t="shared" si="65"/>
        <v>0.31804761716864943</v>
      </c>
      <c r="IM34" s="10" t="str">
        <f t="shared" si="66"/>
        <v xml:space="preserve"> </v>
      </c>
      <c r="IN34" s="10"/>
      <c r="IO34" s="54">
        <v>395</v>
      </c>
      <c r="IP34" s="57">
        <v>3.7065119274591845</v>
      </c>
      <c r="IQ34" s="58">
        <v>5.5158795637353396E-2</v>
      </c>
      <c r="IR34" s="10">
        <f t="shared" si="67"/>
        <v>-0.99911307167100338</v>
      </c>
      <c r="IS34" s="10" t="str">
        <f t="shared" si="68"/>
        <v xml:space="preserve"> </v>
      </c>
      <c r="IT34" s="76"/>
      <c r="IU34" s="27">
        <v>35</v>
      </c>
      <c r="IV34" s="28">
        <v>4.0571428571428569</v>
      </c>
      <c r="IW34" s="29">
        <v>0.16881850468105872</v>
      </c>
      <c r="IX34" s="10"/>
      <c r="IY34" s="42">
        <v>25</v>
      </c>
      <c r="IZ34" s="43">
        <v>4.2001569858367569</v>
      </c>
      <c r="JA34" s="67">
        <v>0.16330469314756704</v>
      </c>
      <c r="JB34" s="10" t="str">
        <f t="shared" si="69"/>
        <v>NV</v>
      </c>
      <c r="JC34" s="10" t="str">
        <f t="shared" si="70"/>
        <v xml:space="preserve"> </v>
      </c>
      <c r="JD34" s="10"/>
      <c r="JE34" s="42">
        <v>26.733223530000004</v>
      </c>
      <c r="JF34" s="43">
        <v>3.8888888888888888</v>
      </c>
      <c r="JG34" s="67">
        <v>0.18841967665934364</v>
      </c>
      <c r="JH34" s="10" t="str">
        <f t="shared" si="71"/>
        <v>NV</v>
      </c>
      <c r="JI34" s="10" t="str">
        <f t="shared" si="72"/>
        <v xml:space="preserve"> </v>
      </c>
      <c r="JJ34" s="10"/>
      <c r="JK34" s="53">
        <v>30</v>
      </c>
      <c r="JL34" s="55">
        <v>3.5666666666666673</v>
      </c>
      <c r="JM34" s="56">
        <v>0.22595506651590194</v>
      </c>
      <c r="JN34" s="10">
        <f t="shared" si="73"/>
        <v>1.7389342194691404</v>
      </c>
      <c r="JO34" s="10" t="str">
        <f t="shared" si="74"/>
        <v xml:space="preserve"> </v>
      </c>
      <c r="JP34" s="10"/>
      <c r="JQ34" s="54">
        <v>42</v>
      </c>
      <c r="JR34" s="57">
        <v>3.3333333333333335</v>
      </c>
      <c r="JS34" s="58">
        <v>0.19529791991359827</v>
      </c>
      <c r="JT34" s="10">
        <f t="shared" si="75"/>
        <v>2.8038427584287429</v>
      </c>
      <c r="JU34" s="10" t="str">
        <f t="shared" si="76"/>
        <v>*</v>
      </c>
      <c r="JV34" s="76"/>
      <c r="JW34" s="27">
        <v>442</v>
      </c>
      <c r="JX34" s="28">
        <v>3.3597171476351386</v>
      </c>
      <c r="JY34" s="29">
        <v>5.7285441569451798E-2</v>
      </c>
      <c r="JZ34" s="10"/>
      <c r="KA34" s="42">
        <v>276</v>
      </c>
      <c r="KB34" s="43">
        <v>3.3223234624454636</v>
      </c>
      <c r="KC34" s="67">
        <v>7.265355399444054E-2</v>
      </c>
      <c r="KD34" s="10">
        <f t="shared" si="77"/>
        <v>0.40416370302575488</v>
      </c>
      <c r="KE34" s="10" t="str">
        <f t="shared" si="78"/>
        <v xml:space="preserve"> </v>
      </c>
      <c r="KF34" s="10"/>
      <c r="KG34" s="42">
        <v>295.89999436999966</v>
      </c>
      <c r="KH34" s="43">
        <v>3.5059704331484083</v>
      </c>
      <c r="KI34" s="67">
        <v>6.6200208740662528E-2</v>
      </c>
      <c r="KJ34" s="10">
        <f t="shared" si="79"/>
        <v>-1.6706110457898147</v>
      </c>
      <c r="KK34" s="10" t="str">
        <f t="shared" si="80"/>
        <v xml:space="preserve"> </v>
      </c>
      <c r="KL34" s="10"/>
      <c r="KM34" s="53">
        <v>575</v>
      </c>
      <c r="KN34" s="55">
        <v>3.3220639786581159</v>
      </c>
      <c r="KO34" s="56">
        <v>4.8085479471800044E-2</v>
      </c>
      <c r="KP34" s="10">
        <f t="shared" si="81"/>
        <v>0.50343882071958657</v>
      </c>
      <c r="KQ34" s="10" t="str">
        <f t="shared" si="82"/>
        <v xml:space="preserve"> </v>
      </c>
      <c r="KR34" s="10"/>
      <c r="KS34" s="54">
        <v>608</v>
      </c>
      <c r="KT34" s="57">
        <v>3.2844474699196642</v>
      </c>
      <c r="KU34" s="58">
        <v>4.74593414948399E-2</v>
      </c>
      <c r="KV34" s="10">
        <f t="shared" si="83"/>
        <v>1.0118125246109855</v>
      </c>
      <c r="KW34" s="10" t="str">
        <f t="shared" si="102"/>
        <v xml:space="preserve"> </v>
      </c>
      <c r="KX34" s="76"/>
      <c r="KY34" s="27">
        <v>151</v>
      </c>
      <c r="KZ34" s="28">
        <v>3.8146537809263004</v>
      </c>
      <c r="LA34" s="29">
        <v>8.5334566211698742E-2</v>
      </c>
      <c r="LB34" s="10"/>
      <c r="LC34" s="42">
        <v>167</v>
      </c>
      <c r="LD34" s="43">
        <v>3.7244214730696763</v>
      </c>
      <c r="LE34" s="67">
        <v>8.0381564016477225E-2</v>
      </c>
      <c r="LF34" s="10">
        <f t="shared" si="84"/>
        <v>0.76969450218725166</v>
      </c>
      <c r="LG34" s="10" t="str">
        <f t="shared" si="85"/>
        <v xml:space="preserve"> </v>
      </c>
      <c r="LH34" s="10"/>
      <c r="LI34" s="42">
        <v>168.63819415999976</v>
      </c>
      <c r="LJ34" s="43">
        <v>3.8541609393856202</v>
      </c>
      <c r="LK34" s="67">
        <v>7.090269217783958E-2</v>
      </c>
      <c r="LL34" s="10">
        <f t="shared" si="86"/>
        <v>-0.35609119406461776</v>
      </c>
      <c r="LM34" s="10" t="str">
        <f t="shared" si="87"/>
        <v xml:space="preserve"> </v>
      </c>
      <c r="LN34" s="10"/>
      <c r="LO34" s="53">
        <v>431</v>
      </c>
      <c r="LP34" s="55">
        <v>3.6798143851508143</v>
      </c>
      <c r="LQ34" s="56">
        <v>4.768896891672738E-2</v>
      </c>
      <c r="LR34" s="10">
        <f t="shared" si="88"/>
        <v>1.3793471851061898</v>
      </c>
      <c r="LS34" s="10" t="str">
        <f t="shared" si="89"/>
        <v xml:space="preserve"> </v>
      </c>
      <c r="LT34" s="10"/>
      <c r="LU34" s="54">
        <v>432</v>
      </c>
      <c r="LV34" s="57">
        <v>3.7383346142436338</v>
      </c>
      <c r="LW34" s="58">
        <v>5.0943517103949475E-2</v>
      </c>
      <c r="LX34" s="10">
        <f t="shared" si="90"/>
        <v>0.76792009706369735</v>
      </c>
      <c r="LY34" s="10" t="str">
        <f t="shared" si="91"/>
        <v xml:space="preserve"> </v>
      </c>
      <c r="LZ34" s="76"/>
      <c r="MA34" s="27">
        <v>185</v>
      </c>
      <c r="MB34" s="28">
        <v>3.8810754421155491</v>
      </c>
      <c r="MC34" s="29">
        <v>6.7133819739572068E-2</v>
      </c>
      <c r="MD34" s="10"/>
      <c r="ME34" s="42">
        <v>124</v>
      </c>
      <c r="MF34" s="43">
        <v>4.0164713334691866</v>
      </c>
      <c r="MG34" s="67">
        <v>8.7963887885567651E-2</v>
      </c>
      <c r="MH34" s="10">
        <f t="shared" si="92"/>
        <v>-1.2235825294367728</v>
      </c>
      <c r="MI34" s="10" t="str">
        <f t="shared" si="93"/>
        <v xml:space="preserve"> </v>
      </c>
      <c r="MJ34" s="10"/>
      <c r="MK34" s="42">
        <v>105.23412739000001</v>
      </c>
      <c r="ML34" s="43">
        <v>3.9329746060053292</v>
      </c>
      <c r="MM34" s="67">
        <v>9.0934929230412229E-2</v>
      </c>
      <c r="MN34" s="10">
        <f t="shared" si="94"/>
        <v>-0.45915680086254024</v>
      </c>
      <c r="MO34" s="10" t="str">
        <f t="shared" si="95"/>
        <v xml:space="preserve"> </v>
      </c>
      <c r="MP34" s="10"/>
      <c r="MQ34" s="53">
        <v>194</v>
      </c>
      <c r="MR34" s="55">
        <v>3.7941647705643744</v>
      </c>
      <c r="MS34" s="56">
        <v>6.7962386387037457E-2</v>
      </c>
      <c r="MT34" s="10">
        <f t="shared" si="96"/>
        <v>0.90978083202480642</v>
      </c>
      <c r="MU34" s="10" t="str">
        <f t="shared" si="97"/>
        <v xml:space="preserve"> </v>
      </c>
      <c r="MV34" s="10"/>
      <c r="MW34" s="54">
        <v>198</v>
      </c>
      <c r="MX34" s="57">
        <v>3.9240847333128994</v>
      </c>
      <c r="MY34" s="58">
        <v>7.153422459586338E-2</v>
      </c>
      <c r="MZ34" s="10">
        <f t="shared" si="98"/>
        <v>-0.43841189988459323</v>
      </c>
      <c r="NA34" s="10" t="str">
        <f t="shared" si="103"/>
        <v xml:space="preserve"> </v>
      </c>
      <c r="NB34" s="58"/>
    </row>
    <row r="35" spans="1:366" x14ac:dyDescent="0.2">
      <c r="B35" s="65" t="s">
        <v>37</v>
      </c>
      <c r="C35" s="27">
        <v>382</v>
      </c>
      <c r="D35" s="28">
        <v>3.4607329842931929</v>
      </c>
      <c r="E35" s="29">
        <v>6.3625553350523056E-2</v>
      </c>
      <c r="F35" s="10"/>
      <c r="G35" s="42">
        <v>115</v>
      </c>
      <c r="H35" s="43">
        <v>3.3652914466042909</v>
      </c>
      <c r="I35" s="67">
        <v>0.11901321432324659</v>
      </c>
      <c r="J35" s="10">
        <f t="shared" si="1"/>
        <v>0.70721971621443058</v>
      </c>
      <c r="K35" s="10" t="str">
        <f t="shared" si="2"/>
        <v xml:space="preserve"> </v>
      </c>
      <c r="L35" s="10"/>
      <c r="M35" s="42">
        <v>121.6494782100001</v>
      </c>
      <c r="N35" s="43">
        <v>3.0085470085470076</v>
      </c>
      <c r="O35" s="67">
        <v>9.633094592296633E-2</v>
      </c>
      <c r="P35" s="10">
        <f t="shared" si="3"/>
        <v>3.9168491176151443</v>
      </c>
      <c r="Q35" s="10" t="str">
        <f t="shared" si="4"/>
        <v>*</v>
      </c>
      <c r="R35" s="10"/>
      <c r="S35" s="53">
        <v>118</v>
      </c>
      <c r="T35" s="55">
        <v>3.4322033898305078</v>
      </c>
      <c r="U35" s="56">
        <v>9.0336149669639626E-2</v>
      </c>
      <c r="V35" s="10">
        <f t="shared" si="5"/>
        <v>0.25820137920094838</v>
      </c>
      <c r="W35" s="10" t="str">
        <f t="shared" si="6"/>
        <v xml:space="preserve"> </v>
      </c>
      <c r="X35" s="10"/>
      <c r="Y35" s="54">
        <v>185</v>
      </c>
      <c r="Z35" s="57">
        <v>2.9081081081081086</v>
      </c>
      <c r="AA35" s="58">
        <v>7.5103622081489602E-2</v>
      </c>
      <c r="AB35" s="10">
        <f t="shared" si="7"/>
        <v>5.6143077829524559</v>
      </c>
      <c r="AC35" s="10" t="str">
        <f t="shared" si="8"/>
        <v>*</v>
      </c>
      <c r="AD35" s="76"/>
      <c r="AE35" s="27">
        <v>88</v>
      </c>
      <c r="AF35" s="28">
        <v>3.6254875860263618</v>
      </c>
      <c r="AG35" s="29">
        <v>0.10709514605809414</v>
      </c>
      <c r="AH35" s="67"/>
      <c r="AI35" s="42">
        <v>50</v>
      </c>
      <c r="AJ35" s="43">
        <v>3.3608162383281832</v>
      </c>
      <c r="AK35" s="67">
        <v>0.17023924187851444</v>
      </c>
      <c r="AL35" s="10">
        <f t="shared" si="9"/>
        <v>1.3159625598367879</v>
      </c>
      <c r="AM35" s="10" t="str">
        <f t="shared" si="10"/>
        <v xml:space="preserve"> </v>
      </c>
      <c r="AN35" s="67"/>
      <c r="AO35" s="42">
        <v>92.053096800000006</v>
      </c>
      <c r="AP35" s="43">
        <v>3.0283858907612542</v>
      </c>
      <c r="AQ35" s="67">
        <v>0.10632796396420577</v>
      </c>
      <c r="AR35" s="10">
        <f t="shared" si="11"/>
        <v>3.9565718064180686</v>
      </c>
      <c r="AS35" s="10" t="str">
        <f t="shared" si="12"/>
        <v>*</v>
      </c>
      <c r="AT35" s="10"/>
      <c r="AU35" s="53">
        <v>117</v>
      </c>
      <c r="AV35" s="55">
        <v>3.1904048576822226</v>
      </c>
      <c r="AW35" s="56">
        <v>8.629122169327888E-2</v>
      </c>
      <c r="AX35" s="10">
        <f t="shared" si="13"/>
        <v>3.1634604628227896</v>
      </c>
      <c r="AY35" s="10" t="str">
        <f t="shared" si="14"/>
        <v>*</v>
      </c>
      <c r="AZ35" s="10"/>
      <c r="BA35" s="54">
        <v>84</v>
      </c>
      <c r="BB35" s="57">
        <v>2.7836225213048436</v>
      </c>
      <c r="BC35" s="58">
        <v>9.2260140024160983E-2</v>
      </c>
      <c r="BD35" s="10">
        <f t="shared" si="15"/>
        <v>5.9556693295455689</v>
      </c>
      <c r="BE35" s="10" t="str">
        <f t="shared" si="16"/>
        <v>*</v>
      </c>
      <c r="BF35" s="76"/>
      <c r="BG35" s="27">
        <v>1051</v>
      </c>
      <c r="BH35" s="28">
        <v>3.7130999294258498</v>
      </c>
      <c r="BI35" s="29">
        <v>3.2692404663190427E-2</v>
      </c>
      <c r="BJ35" s="10"/>
      <c r="BK35" s="42">
        <v>319</v>
      </c>
      <c r="BL35" s="43">
        <v>3.796263317127881</v>
      </c>
      <c r="BM35" s="67">
        <v>5.6524245355294281E-2</v>
      </c>
      <c r="BN35" s="10">
        <f t="shared" si="17"/>
        <v>-1.2736045238162841</v>
      </c>
      <c r="BO35" s="10" t="str">
        <f t="shared" si="18"/>
        <v xml:space="preserve"> </v>
      </c>
      <c r="BP35" s="10"/>
      <c r="BQ35" s="42">
        <v>344.39955587999924</v>
      </c>
      <c r="BR35" s="43">
        <v>2.9738883015193736</v>
      </c>
      <c r="BS35" s="67">
        <v>3.8417541922082701E-2</v>
      </c>
      <c r="BT35" s="10">
        <f t="shared" si="19"/>
        <v>14.653805482979186</v>
      </c>
      <c r="BU35" s="10" t="str">
        <f t="shared" si="20"/>
        <v>*</v>
      </c>
      <c r="BV35" s="10"/>
      <c r="BW35" s="53">
        <v>354</v>
      </c>
      <c r="BX35" s="55">
        <v>3.1247867683140145</v>
      </c>
      <c r="BY35" s="56">
        <v>3.4206422755815459E-2</v>
      </c>
      <c r="BZ35" s="10">
        <f t="shared" si="21"/>
        <v>12.433513367075655</v>
      </c>
      <c r="CA35" s="10" t="str">
        <f t="shared" si="22"/>
        <v>*</v>
      </c>
      <c r="CB35" s="10"/>
      <c r="CC35" s="54">
        <v>393</v>
      </c>
      <c r="CD35" s="57">
        <v>3.2722426525100778</v>
      </c>
      <c r="CE35" s="58">
        <v>5.3526974372980027E-2</v>
      </c>
      <c r="CF35" s="10">
        <f t="shared" si="23"/>
        <v>7.0288565957464009</v>
      </c>
      <c r="CG35" s="10" t="str">
        <f t="shared" si="24"/>
        <v>*</v>
      </c>
      <c r="CH35" s="76"/>
      <c r="CI35" s="27">
        <v>631</v>
      </c>
      <c r="CJ35" s="28">
        <v>3.8170777516135979</v>
      </c>
      <c r="CK35" s="29">
        <v>4.2150305116947215E-2</v>
      </c>
      <c r="CL35" s="67"/>
      <c r="CM35" s="42">
        <v>205</v>
      </c>
      <c r="CN35" s="43">
        <v>4.0390566590169232</v>
      </c>
      <c r="CO35" s="67">
        <v>6.6105399772147272E-2</v>
      </c>
      <c r="CP35" s="10">
        <f t="shared" si="25"/>
        <v>-2.8313608278462223</v>
      </c>
      <c r="CQ35" s="10" t="str">
        <f t="shared" si="26"/>
        <v>*</v>
      </c>
      <c r="CR35" s="10"/>
      <c r="CS35" s="42">
        <v>217.12714172999941</v>
      </c>
      <c r="CT35" s="43">
        <v>3.8934846892206618</v>
      </c>
      <c r="CU35" s="67">
        <v>7.5054058691812559E-2</v>
      </c>
      <c r="CV35" s="10">
        <f t="shared" si="27"/>
        <v>-0.88762744975274122</v>
      </c>
      <c r="CW35" s="10" t="str">
        <f t="shared" si="28"/>
        <v xml:space="preserve"> </v>
      </c>
      <c r="CX35" s="10"/>
      <c r="CY35" s="53">
        <v>195</v>
      </c>
      <c r="CZ35" s="55">
        <v>4.0660825174929647</v>
      </c>
      <c r="DA35" s="56">
        <v>6.7784520220218317E-2</v>
      </c>
      <c r="DB35" s="10">
        <f t="shared" si="29"/>
        <v>-3.1195401890400238</v>
      </c>
      <c r="DC35" s="10" t="str">
        <f t="shared" si="0"/>
        <v>*</v>
      </c>
      <c r="DD35" s="10"/>
      <c r="DE35" s="54">
        <v>249</v>
      </c>
      <c r="DF35" s="57">
        <v>3.6414628913887128</v>
      </c>
      <c r="DG35" s="58">
        <v>6.83529278772564E-2</v>
      </c>
      <c r="DH35" s="10">
        <f t="shared" si="30"/>
        <v>2.1868690881595167</v>
      </c>
      <c r="DI35" s="10" t="str">
        <f t="shared" si="31"/>
        <v>*</v>
      </c>
      <c r="DJ35" s="76"/>
      <c r="DK35" s="27">
        <v>179</v>
      </c>
      <c r="DL35" s="28">
        <v>3.4152842620601063</v>
      </c>
      <c r="DM35" s="29">
        <v>8.1063117874351054E-2</v>
      </c>
      <c r="DN35" s="10"/>
      <c r="DO35" s="42">
        <v>69</v>
      </c>
      <c r="DP35" s="43">
        <v>3.3333979022509319</v>
      </c>
      <c r="DQ35" s="67">
        <v>0.12861460217434656</v>
      </c>
      <c r="DR35" s="10">
        <f t="shared" si="32"/>
        <v>0.53862179474053007</v>
      </c>
      <c r="DS35" s="10" t="str">
        <f t="shared" si="33"/>
        <v xml:space="preserve"> </v>
      </c>
      <c r="DT35" s="10"/>
      <c r="DU35" s="42">
        <v>83.682938550000031</v>
      </c>
      <c r="DV35" s="43">
        <v>3.1188800085462587</v>
      </c>
      <c r="DW35" s="67">
        <v>0.12500996497447484</v>
      </c>
      <c r="DX35" s="10">
        <f t="shared" si="34"/>
        <v>1.9893924291226277</v>
      </c>
      <c r="DY35" s="10" t="str">
        <f t="shared" si="35"/>
        <v>*</v>
      </c>
      <c r="DZ35" s="10"/>
      <c r="EA35" s="53">
        <v>69</v>
      </c>
      <c r="EB35" s="55">
        <v>3.0311169958609119</v>
      </c>
      <c r="EC35" s="56">
        <v>0.11103388288489953</v>
      </c>
      <c r="ED35" s="10">
        <f t="shared" si="36"/>
        <v>2.7944239945817704</v>
      </c>
      <c r="EE35" s="10" t="str">
        <f t="shared" si="37"/>
        <v>*</v>
      </c>
      <c r="EF35" s="10"/>
      <c r="EG35" s="54">
        <v>53</v>
      </c>
      <c r="EH35" s="57">
        <v>3.2264150943396221</v>
      </c>
      <c r="EI35" s="58">
        <v>0.15851786225319969</v>
      </c>
      <c r="EJ35" s="10">
        <f t="shared" si="38"/>
        <v>1.06080929074965</v>
      </c>
      <c r="EK35" s="10" t="str">
        <f t="shared" si="39"/>
        <v xml:space="preserve"> </v>
      </c>
      <c r="EL35" s="76"/>
      <c r="EM35" s="27">
        <v>437</v>
      </c>
      <c r="EN35" s="28">
        <v>3.8402033706565684</v>
      </c>
      <c r="EO35" s="29">
        <v>5.3536999428417616E-2</v>
      </c>
      <c r="EP35" s="10"/>
      <c r="EQ35" s="42">
        <v>142</v>
      </c>
      <c r="ER35" s="43">
        <v>3.782198024380985</v>
      </c>
      <c r="ES35" s="67">
        <v>9.2667867688445441E-2</v>
      </c>
      <c r="ET35" s="10">
        <f t="shared" si="40"/>
        <v>0.54199849335636729</v>
      </c>
      <c r="EU35" s="10" t="str">
        <f t="shared" si="41"/>
        <v xml:space="preserve"> </v>
      </c>
      <c r="EV35" s="10"/>
      <c r="EW35" s="42">
        <v>162.92409371999986</v>
      </c>
      <c r="EX35" s="43">
        <v>3.1091751102852165</v>
      </c>
      <c r="EY35" s="67">
        <v>7.7959385970902878E-2</v>
      </c>
      <c r="EZ35" s="10">
        <f t="shared" si="42"/>
        <v>7.7298537592114371</v>
      </c>
      <c r="FA35" s="10" t="str">
        <f t="shared" si="43"/>
        <v>*</v>
      </c>
      <c r="FB35" s="10"/>
      <c r="FC35" s="53">
        <v>145</v>
      </c>
      <c r="FD35" s="55">
        <v>3.639216405373995</v>
      </c>
      <c r="FE35" s="56">
        <v>9.4978707638670487E-2</v>
      </c>
      <c r="FF35" s="10">
        <f t="shared" si="44"/>
        <v>1.8434388819606735</v>
      </c>
      <c r="FG35" s="10" t="str">
        <f t="shared" si="45"/>
        <v xml:space="preserve"> </v>
      </c>
      <c r="FH35" s="10"/>
      <c r="FI35" s="54">
        <v>183</v>
      </c>
      <c r="FJ35" s="57">
        <v>3.0977990310263901</v>
      </c>
      <c r="FK35" s="58">
        <v>7.564542559120771E-2</v>
      </c>
      <c r="FL35" s="10">
        <f t="shared" si="46"/>
        <v>8.0109374478698587</v>
      </c>
      <c r="FM35" s="10" t="str">
        <f t="shared" si="99"/>
        <v>*</v>
      </c>
      <c r="FN35" s="76"/>
      <c r="FO35" s="27">
        <v>178</v>
      </c>
      <c r="FP35" s="28">
        <v>3.4248750126771754</v>
      </c>
      <c r="FQ35" s="29">
        <v>8.4643966971336915E-2</v>
      </c>
      <c r="FR35" s="67"/>
      <c r="FS35" s="42">
        <v>143</v>
      </c>
      <c r="FT35" s="43">
        <v>3.5605398504567454</v>
      </c>
      <c r="FU35" s="67">
        <v>9.7763734426076179E-2</v>
      </c>
      <c r="FV35" s="10">
        <f t="shared" si="47"/>
        <v>-1.0491042815656209</v>
      </c>
      <c r="FW35" s="10" t="str">
        <f t="shared" si="48"/>
        <v xml:space="preserve"> </v>
      </c>
      <c r="FX35" s="67"/>
      <c r="FY35" s="42">
        <v>166.67101173000012</v>
      </c>
      <c r="FZ35" s="43">
        <v>3.4773168784075987</v>
      </c>
      <c r="GA35" s="67">
        <v>9.5077307296768443E-2</v>
      </c>
      <c r="GB35" s="10">
        <f t="shared" si="49"/>
        <v>-0.41196759576523723</v>
      </c>
      <c r="GC35" s="10" t="str">
        <f t="shared" si="50"/>
        <v xml:space="preserve"> </v>
      </c>
      <c r="GD35" s="10"/>
      <c r="GE35" s="53">
        <v>188</v>
      </c>
      <c r="GF35" s="55">
        <v>3.3313258317866081</v>
      </c>
      <c r="GG35" s="56">
        <v>8.29799490708268E-2</v>
      </c>
      <c r="GH35" s="10">
        <f t="shared" si="51"/>
        <v>0.78921913500966845</v>
      </c>
      <c r="GI35" s="10" t="str">
        <f t="shared" si="52"/>
        <v xml:space="preserve"> </v>
      </c>
      <c r="GJ35" s="10"/>
      <c r="GK35" s="54">
        <v>168</v>
      </c>
      <c r="GL35" s="57">
        <v>3.3881578949101492</v>
      </c>
      <c r="GM35" s="58">
        <v>8.727382249925536E-2</v>
      </c>
      <c r="GN35" s="10">
        <f t="shared" si="53"/>
        <v>0.30200348510395048</v>
      </c>
      <c r="GO35" s="10" t="str">
        <f t="shared" si="100"/>
        <v xml:space="preserve"> </v>
      </c>
      <c r="GP35" s="76"/>
      <c r="GQ35" s="27">
        <v>198</v>
      </c>
      <c r="GR35" s="28">
        <v>3.6900283561266143</v>
      </c>
      <c r="GS35" s="29">
        <v>7.6979857610544239E-2</v>
      </c>
      <c r="GT35" s="10"/>
      <c r="GU35" s="42">
        <v>120</v>
      </c>
      <c r="GV35" s="43">
        <v>3.7672792669646658</v>
      </c>
      <c r="GW35" s="67">
        <v>9.9327759754853778E-2</v>
      </c>
      <c r="GX35" s="10">
        <f t="shared" si="54"/>
        <v>-0.61473279692939564</v>
      </c>
      <c r="GY35" s="10" t="str">
        <f t="shared" si="55"/>
        <v xml:space="preserve"> </v>
      </c>
      <c r="GZ35" s="10"/>
      <c r="HA35" s="42">
        <v>106.38319319999991</v>
      </c>
      <c r="HB35" s="43">
        <v>3.6659040101082425</v>
      </c>
      <c r="HC35" s="67">
        <v>9.7124501505631511E-2</v>
      </c>
      <c r="HD35" s="10">
        <f t="shared" si="56"/>
        <v>0.1946583902960603</v>
      </c>
      <c r="HE35" s="10" t="str">
        <f t="shared" si="57"/>
        <v xml:space="preserve"> </v>
      </c>
      <c r="HF35" s="10"/>
      <c r="HG35" s="53">
        <v>78</v>
      </c>
      <c r="HH35" s="55">
        <v>3.5873348384746664</v>
      </c>
      <c r="HI35" s="56">
        <v>0.10689012507129725</v>
      </c>
      <c r="HJ35" s="10">
        <f t="shared" si="58"/>
        <v>0.77960713142866678</v>
      </c>
      <c r="HK35" s="10" t="str">
        <f t="shared" si="59"/>
        <v xml:space="preserve"> </v>
      </c>
      <c r="HL35" s="10"/>
      <c r="HM35" s="54">
        <v>136</v>
      </c>
      <c r="HN35" s="57">
        <v>3.7437452617176459</v>
      </c>
      <c r="HO35" s="58">
        <v>9.5276450225508708E-2</v>
      </c>
      <c r="HP35" s="10">
        <f t="shared" si="60"/>
        <v>-0.43854553036102095</v>
      </c>
      <c r="HQ35" s="10" t="str">
        <f t="shared" si="101"/>
        <v xml:space="preserve"> </v>
      </c>
      <c r="HR35" s="76"/>
      <c r="HS35" s="27">
        <v>524</v>
      </c>
      <c r="HT35" s="28">
        <v>3.3072353476051028</v>
      </c>
      <c r="HU35" s="29">
        <v>5.0806602768368833E-2</v>
      </c>
      <c r="HV35" s="10"/>
      <c r="HW35" s="42">
        <v>371</v>
      </c>
      <c r="HX35" s="43">
        <v>3.2005605040217469</v>
      </c>
      <c r="HY35" s="67">
        <v>6.6742753277736558E-2</v>
      </c>
      <c r="HZ35" s="10">
        <f t="shared" si="61"/>
        <v>1.2717507441158915</v>
      </c>
      <c r="IA35" s="10" t="str">
        <f t="shared" si="62"/>
        <v xml:space="preserve"> </v>
      </c>
      <c r="IB35" s="10"/>
      <c r="IC35" s="42">
        <v>372.55578482000038</v>
      </c>
      <c r="ID35" s="43">
        <v>3.4100165212675555</v>
      </c>
      <c r="IE35" s="67">
        <v>6.1925996955686721E-2</v>
      </c>
      <c r="IF35" s="10">
        <f t="shared" si="63"/>
        <v>-1.2831477221145995</v>
      </c>
      <c r="IG35" s="10" t="str">
        <f t="shared" si="64"/>
        <v xml:space="preserve"> </v>
      </c>
      <c r="IH35" s="10"/>
      <c r="II35" s="53">
        <v>370</v>
      </c>
      <c r="IJ35" s="55">
        <v>3.4139243921627398</v>
      </c>
      <c r="IK35" s="56">
        <v>5.9938216958514978E-2</v>
      </c>
      <c r="IL35" s="10">
        <f t="shared" si="65"/>
        <v>-1.357813131737837</v>
      </c>
      <c r="IM35" s="10" t="str">
        <f t="shared" si="66"/>
        <v xml:space="preserve"> </v>
      </c>
      <c r="IN35" s="10"/>
      <c r="IO35" s="54">
        <v>394</v>
      </c>
      <c r="IP35" s="57">
        <v>3.4470451309480095</v>
      </c>
      <c r="IQ35" s="58">
        <v>5.84780492149478E-2</v>
      </c>
      <c r="IR35" s="10">
        <f t="shared" si="67"/>
        <v>-1.804787183010218</v>
      </c>
      <c r="IS35" s="10" t="str">
        <f t="shared" si="68"/>
        <v xml:space="preserve"> </v>
      </c>
      <c r="IT35" s="76"/>
      <c r="IU35" s="27">
        <v>36</v>
      </c>
      <c r="IV35" s="28">
        <v>4.0277777777777768</v>
      </c>
      <c r="IW35" s="29">
        <v>0.16667152087925843</v>
      </c>
      <c r="IX35" s="10"/>
      <c r="IY35" s="42">
        <v>26</v>
      </c>
      <c r="IZ35" s="43">
        <v>4.1539622641254148</v>
      </c>
      <c r="JA35" s="67">
        <v>0.15384801611220764</v>
      </c>
      <c r="JB35" s="10" t="str">
        <f t="shared" si="69"/>
        <v>NV</v>
      </c>
      <c r="JC35" s="10" t="str">
        <f t="shared" si="70"/>
        <v xml:space="preserve"> </v>
      </c>
      <c r="JD35" s="10"/>
      <c r="JE35" s="42">
        <v>25.743104140000003</v>
      </c>
      <c r="JF35" s="43">
        <v>3.8846153846153846</v>
      </c>
      <c r="JG35" s="67">
        <v>0.15092530019739248</v>
      </c>
      <c r="JH35" s="10" t="str">
        <f t="shared" si="71"/>
        <v>NV</v>
      </c>
      <c r="JI35" s="10" t="str">
        <f t="shared" si="72"/>
        <v xml:space="preserve"> </v>
      </c>
      <c r="JJ35" s="10"/>
      <c r="JK35" s="53">
        <v>29</v>
      </c>
      <c r="JL35" s="55">
        <v>3.6551724137931028</v>
      </c>
      <c r="JM35" s="56">
        <v>0.20263709116194215</v>
      </c>
      <c r="JN35" s="10" t="str">
        <f t="shared" si="73"/>
        <v>NV</v>
      </c>
      <c r="JO35" s="10" t="str">
        <f t="shared" si="74"/>
        <v xml:space="preserve"> </v>
      </c>
      <c r="JP35" s="10"/>
      <c r="JQ35" s="54">
        <v>42</v>
      </c>
      <c r="JR35" s="57">
        <v>3.1428571428571428</v>
      </c>
      <c r="JS35" s="58">
        <v>0.19177875022960447</v>
      </c>
      <c r="JT35" s="10">
        <f t="shared" si="75"/>
        <v>3.4827929563174442</v>
      </c>
      <c r="JU35" s="10" t="str">
        <f t="shared" si="76"/>
        <v>*</v>
      </c>
      <c r="JV35" s="76"/>
      <c r="JW35" s="27">
        <v>427</v>
      </c>
      <c r="JX35" s="28">
        <v>3.2386801950051267</v>
      </c>
      <c r="JY35" s="29">
        <v>5.9856850322853268E-2</v>
      </c>
      <c r="JZ35" s="10"/>
      <c r="KA35" s="42">
        <v>266</v>
      </c>
      <c r="KB35" s="43">
        <v>3.1879615952750986</v>
      </c>
      <c r="KC35" s="67">
        <v>7.4652540028784006E-2</v>
      </c>
      <c r="KD35" s="10">
        <f t="shared" si="77"/>
        <v>0.5300514859043659</v>
      </c>
      <c r="KE35" s="10" t="str">
        <f t="shared" si="78"/>
        <v xml:space="preserve"> </v>
      </c>
      <c r="KF35" s="10"/>
      <c r="KG35" s="42">
        <v>280.73030565999937</v>
      </c>
      <c r="KH35" s="43">
        <v>3.2342172312156214</v>
      </c>
      <c r="KI35" s="67">
        <v>6.9435298319047767E-2</v>
      </c>
      <c r="KJ35" s="10">
        <f t="shared" si="79"/>
        <v>4.8683038364975867E-2</v>
      </c>
      <c r="KK35" s="10" t="str">
        <f t="shared" si="80"/>
        <v xml:space="preserve"> </v>
      </c>
      <c r="KL35" s="10"/>
      <c r="KM35" s="53">
        <v>582</v>
      </c>
      <c r="KN35" s="55">
        <v>3.0709849809888787</v>
      </c>
      <c r="KO35" s="56">
        <v>4.9907279457895089E-2</v>
      </c>
      <c r="KP35" s="10">
        <f t="shared" si="81"/>
        <v>2.1517822618053373</v>
      </c>
      <c r="KQ35" s="10" t="str">
        <f t="shared" si="82"/>
        <v>*</v>
      </c>
      <c r="KR35" s="10"/>
      <c r="KS35" s="54">
        <v>593</v>
      </c>
      <c r="KT35" s="57">
        <v>2.9948276410725887</v>
      </c>
      <c r="KU35" s="58">
        <v>4.810785581826741E-2</v>
      </c>
      <c r="KV35" s="10">
        <f t="shared" si="83"/>
        <v>3.1754411875497848</v>
      </c>
      <c r="KW35" s="10" t="str">
        <f t="shared" si="102"/>
        <v>*</v>
      </c>
      <c r="KX35" s="76"/>
      <c r="KY35" s="27">
        <v>150</v>
      </c>
      <c r="KZ35" s="28">
        <v>3.693355272369351</v>
      </c>
      <c r="LA35" s="29">
        <v>8.670201961958536E-2</v>
      </c>
      <c r="LB35" s="10"/>
      <c r="LC35" s="42">
        <v>165</v>
      </c>
      <c r="LD35" s="43">
        <v>3.6665081441318583</v>
      </c>
      <c r="LE35" s="67">
        <v>8.6074524573112876E-2</v>
      </c>
      <c r="LF35" s="10">
        <f t="shared" si="84"/>
        <v>0.2197481298423361</v>
      </c>
      <c r="LG35" s="10" t="str">
        <f t="shared" si="85"/>
        <v xml:space="preserve"> </v>
      </c>
      <c r="LH35" s="10"/>
      <c r="LI35" s="42">
        <v>165.66783598999979</v>
      </c>
      <c r="LJ35" s="43">
        <v>3.789861880117142</v>
      </c>
      <c r="LK35" s="67">
        <v>7.3393548421398142E-2</v>
      </c>
      <c r="LL35" s="10">
        <f t="shared" si="86"/>
        <v>-0.84956643174292112</v>
      </c>
      <c r="LM35" s="10" t="str">
        <f t="shared" si="87"/>
        <v xml:space="preserve"> </v>
      </c>
      <c r="LN35" s="10"/>
      <c r="LO35" s="53">
        <v>431</v>
      </c>
      <c r="LP35" s="55">
        <v>3.5034802784222752</v>
      </c>
      <c r="LQ35" s="56">
        <v>5.0387821179947744E-2</v>
      </c>
      <c r="LR35" s="10">
        <f t="shared" si="88"/>
        <v>1.8934394037483024</v>
      </c>
      <c r="LS35" s="10" t="str">
        <f t="shared" si="89"/>
        <v xml:space="preserve"> </v>
      </c>
      <c r="LT35" s="10"/>
      <c r="LU35" s="54">
        <v>423</v>
      </c>
      <c r="LV35" s="57">
        <v>3.5284869905608951</v>
      </c>
      <c r="LW35" s="58">
        <v>5.4613929282615437E-2</v>
      </c>
      <c r="LX35" s="10">
        <f t="shared" si="90"/>
        <v>1.6089556985793796</v>
      </c>
      <c r="LY35" s="10" t="str">
        <f t="shared" si="91"/>
        <v xml:space="preserve"> </v>
      </c>
      <c r="LZ35" s="76"/>
      <c r="MA35" s="27">
        <v>174</v>
      </c>
      <c r="MB35" s="28">
        <v>3.7760830378006367</v>
      </c>
      <c r="MC35" s="29">
        <v>6.8738903575189733E-2</v>
      </c>
      <c r="MD35" s="10"/>
      <c r="ME35" s="42">
        <v>121</v>
      </c>
      <c r="MF35" s="43">
        <v>3.9173835416266516</v>
      </c>
      <c r="MG35" s="67">
        <v>9.2867688302628745E-2</v>
      </c>
      <c r="MH35" s="10">
        <f t="shared" si="92"/>
        <v>-1.2229596126901907</v>
      </c>
      <c r="MI35" s="10" t="str">
        <f t="shared" si="93"/>
        <v xml:space="preserve"> </v>
      </c>
      <c r="MJ35" s="10"/>
      <c r="MK35" s="42">
        <v>102.26376922</v>
      </c>
      <c r="ML35" s="43">
        <v>3.7389417784653807</v>
      </c>
      <c r="MM35" s="67">
        <v>9.9835295932540397E-2</v>
      </c>
      <c r="MN35" s="10">
        <f t="shared" si="94"/>
        <v>0.30641805017873036</v>
      </c>
      <c r="MO35" s="10" t="str">
        <f t="shared" si="95"/>
        <v xml:space="preserve"> </v>
      </c>
      <c r="MP35" s="10"/>
      <c r="MQ35" s="53">
        <v>193</v>
      </c>
      <c r="MR35" s="55">
        <v>3.7284671454178655</v>
      </c>
      <c r="MS35" s="56">
        <v>7.4724274190992632E-2</v>
      </c>
      <c r="MT35" s="10">
        <f t="shared" si="96"/>
        <v>0.46897407940353891</v>
      </c>
      <c r="MU35" s="10" t="str">
        <f t="shared" si="97"/>
        <v xml:space="preserve"> </v>
      </c>
      <c r="MV35" s="10"/>
      <c r="MW35" s="54">
        <v>188</v>
      </c>
      <c r="MX35" s="57">
        <v>3.6781926870313724</v>
      </c>
      <c r="MY35" s="58">
        <v>7.914489950861095E-2</v>
      </c>
      <c r="MZ35" s="10">
        <f t="shared" si="98"/>
        <v>0.93381693748513694</v>
      </c>
      <c r="NA35" s="10" t="str">
        <f t="shared" si="103"/>
        <v xml:space="preserve"> </v>
      </c>
      <c r="NB35" s="58"/>
    </row>
    <row r="36" spans="1:366" x14ac:dyDescent="0.2">
      <c r="B36" s="65" t="s">
        <v>38</v>
      </c>
      <c r="C36" s="27">
        <v>412</v>
      </c>
      <c r="D36" s="28">
        <v>3.5122074711582898</v>
      </c>
      <c r="E36" s="29">
        <v>5.4833892193421219E-2</v>
      </c>
      <c r="F36" s="10"/>
      <c r="G36" s="42">
        <v>128</v>
      </c>
      <c r="H36" s="43">
        <v>3.1873558942460667</v>
      </c>
      <c r="I36" s="67">
        <v>9.488438980104065E-2</v>
      </c>
      <c r="J36" s="10">
        <f t="shared" si="1"/>
        <v>2.9642650571331295</v>
      </c>
      <c r="K36" s="10" t="str">
        <f t="shared" si="2"/>
        <v>*</v>
      </c>
      <c r="L36" s="10"/>
      <c r="M36" s="42">
        <v>126.8481738600001</v>
      </c>
      <c r="N36" s="43">
        <v>3.2295081967213122</v>
      </c>
      <c r="O36" s="67">
        <v>7.8068114490296422E-2</v>
      </c>
      <c r="P36" s="10">
        <f t="shared" si="3"/>
        <v>2.9632679338294827</v>
      </c>
      <c r="Q36" s="10" t="str">
        <f t="shared" si="4"/>
        <v>*</v>
      </c>
      <c r="R36" s="10"/>
      <c r="S36" s="53">
        <v>134</v>
      </c>
      <c r="T36" s="55">
        <v>3.5149253731343277</v>
      </c>
      <c r="U36" s="56">
        <v>7.5890166369266626E-2</v>
      </c>
      <c r="V36" s="10">
        <f t="shared" si="5"/>
        <v>-2.9028944551396218E-2</v>
      </c>
      <c r="W36" s="10" t="str">
        <f t="shared" si="6"/>
        <v xml:space="preserve"> </v>
      </c>
      <c r="X36" s="10"/>
      <c r="Y36" s="54">
        <v>202</v>
      </c>
      <c r="Z36" s="57">
        <v>3.1584158415841568</v>
      </c>
      <c r="AA36" s="58">
        <v>6.6457209690411481E-2</v>
      </c>
      <c r="AB36" s="10">
        <f t="shared" si="7"/>
        <v>4.1062800609443126</v>
      </c>
      <c r="AC36" s="10" t="str">
        <f t="shared" si="8"/>
        <v>*</v>
      </c>
      <c r="AD36" s="76"/>
      <c r="AE36" s="27">
        <v>97</v>
      </c>
      <c r="AF36" s="28">
        <v>3.6609486645979525</v>
      </c>
      <c r="AG36" s="29">
        <v>0.1008351464510796</v>
      </c>
      <c r="AH36" s="67"/>
      <c r="AI36" s="42">
        <v>55</v>
      </c>
      <c r="AJ36" s="43">
        <v>3.654777597428942</v>
      </c>
      <c r="AK36" s="67">
        <v>0.13739981701363654</v>
      </c>
      <c r="AL36" s="10">
        <f t="shared" si="9"/>
        <v>3.6208775980159827E-2</v>
      </c>
      <c r="AM36" s="10" t="str">
        <f t="shared" si="10"/>
        <v xml:space="preserve"> </v>
      </c>
      <c r="AN36" s="67"/>
      <c r="AO36" s="42">
        <v>96.829952250000005</v>
      </c>
      <c r="AP36" s="43">
        <v>2.9660440453227634</v>
      </c>
      <c r="AQ36" s="67">
        <v>0.10714465844444444</v>
      </c>
      <c r="AR36" s="10">
        <f t="shared" si="11"/>
        <v>4.7230144268232586</v>
      </c>
      <c r="AS36" s="10" t="str">
        <f t="shared" si="12"/>
        <v>*</v>
      </c>
      <c r="AT36" s="10"/>
      <c r="AU36" s="53">
        <v>127</v>
      </c>
      <c r="AV36" s="55">
        <v>3.2247780328429476</v>
      </c>
      <c r="AW36" s="56">
        <v>8.6978482032487009E-2</v>
      </c>
      <c r="AX36" s="10">
        <f t="shared" si="13"/>
        <v>3.2754088660519431</v>
      </c>
      <c r="AY36" s="10" t="str">
        <f t="shared" si="14"/>
        <v>*</v>
      </c>
      <c r="AZ36" s="10"/>
      <c r="BA36" s="54">
        <v>86</v>
      </c>
      <c r="BB36" s="57">
        <v>3.0969374862417891</v>
      </c>
      <c r="BC36" s="58">
        <v>9.0746968180601739E-2</v>
      </c>
      <c r="BD36" s="10">
        <f t="shared" si="15"/>
        <v>4.1576361335748482</v>
      </c>
      <c r="BE36" s="10" t="str">
        <f t="shared" si="16"/>
        <v>*</v>
      </c>
      <c r="BF36" s="76"/>
      <c r="BG36" s="27">
        <v>1125</v>
      </c>
      <c r="BH36" s="28">
        <v>3.6007256258088982</v>
      </c>
      <c r="BI36" s="29">
        <v>3.1839705442349889E-2</v>
      </c>
      <c r="BJ36" s="10"/>
      <c r="BK36" s="42">
        <v>342</v>
      </c>
      <c r="BL36" s="43">
        <v>3.7048606355231115</v>
      </c>
      <c r="BM36" s="67">
        <v>5.3957234389891688E-2</v>
      </c>
      <c r="BN36" s="10">
        <f t="shared" si="17"/>
        <v>-1.6621439519634111</v>
      </c>
      <c r="BO36" s="10" t="str">
        <f t="shared" si="18"/>
        <v xml:space="preserve"> </v>
      </c>
      <c r="BP36" s="10"/>
      <c r="BQ36" s="42">
        <v>348.47414435999923</v>
      </c>
      <c r="BR36" s="43">
        <v>3.1611977146056747</v>
      </c>
      <c r="BS36" s="67">
        <v>3.2174704211125837E-2</v>
      </c>
      <c r="BT36" s="10">
        <f t="shared" si="19"/>
        <v>9.7099672585810133</v>
      </c>
      <c r="BU36" s="10" t="str">
        <f t="shared" si="20"/>
        <v>*</v>
      </c>
      <c r="BV36" s="10"/>
      <c r="BW36" s="53">
        <v>356</v>
      </c>
      <c r="BX36" s="55">
        <v>3.2189573786924703</v>
      </c>
      <c r="BY36" s="56">
        <v>2.9015324751962068E-2</v>
      </c>
      <c r="BZ36" s="10">
        <f t="shared" si="21"/>
        <v>8.8623945141954614</v>
      </c>
      <c r="CA36" s="10" t="str">
        <f t="shared" si="22"/>
        <v>*</v>
      </c>
      <c r="CB36" s="10"/>
      <c r="CC36" s="54">
        <v>409</v>
      </c>
      <c r="CD36" s="57">
        <v>3.3688865369255394</v>
      </c>
      <c r="CE36" s="58">
        <v>4.9113460872131497E-2</v>
      </c>
      <c r="CF36" s="10">
        <f t="shared" si="23"/>
        <v>3.9609502829504963</v>
      </c>
      <c r="CG36" s="10" t="str">
        <f t="shared" si="24"/>
        <v>*</v>
      </c>
      <c r="CH36" s="76"/>
      <c r="CI36" s="27">
        <v>694</v>
      </c>
      <c r="CJ36" s="28">
        <v>3.7890628734488749</v>
      </c>
      <c r="CK36" s="29">
        <v>3.7575226187641531E-2</v>
      </c>
      <c r="CL36" s="67"/>
      <c r="CM36" s="42">
        <v>217</v>
      </c>
      <c r="CN36" s="43">
        <v>3.9627916810731478</v>
      </c>
      <c r="CO36" s="67">
        <v>6.2813375618201286E-2</v>
      </c>
      <c r="CP36" s="10">
        <f t="shared" si="25"/>
        <v>-2.3735264819181183</v>
      </c>
      <c r="CQ36" s="10" t="str">
        <f t="shared" si="26"/>
        <v>*</v>
      </c>
      <c r="CR36" s="10"/>
      <c r="CS36" s="42">
        <v>230.67107306999944</v>
      </c>
      <c r="CT36" s="43">
        <v>3.8944998180044239</v>
      </c>
      <c r="CU36" s="67">
        <v>6.0428623571600018E-2</v>
      </c>
      <c r="CV36" s="10">
        <f t="shared" si="27"/>
        <v>-1.4817219396588373</v>
      </c>
      <c r="CW36" s="10" t="str">
        <f t="shared" si="28"/>
        <v xml:space="preserve"> </v>
      </c>
      <c r="CX36" s="10"/>
      <c r="CY36" s="53">
        <v>203</v>
      </c>
      <c r="CZ36" s="55">
        <v>3.8701316892710342</v>
      </c>
      <c r="DA36" s="56">
        <v>7.2450244496816502E-2</v>
      </c>
      <c r="DB36" s="10">
        <f t="shared" si="29"/>
        <v>-0.99331321537211181</v>
      </c>
      <c r="DC36" s="10" t="str">
        <f t="shared" si="0"/>
        <v xml:space="preserve"> </v>
      </c>
      <c r="DD36" s="10"/>
      <c r="DE36" s="54">
        <v>268</v>
      </c>
      <c r="DF36" s="57">
        <v>3.7130425813113526</v>
      </c>
      <c r="DG36" s="58">
        <v>5.6822700590252906E-2</v>
      </c>
      <c r="DH36" s="10">
        <f t="shared" si="30"/>
        <v>1.1159301081811543</v>
      </c>
      <c r="DI36" s="10" t="str">
        <f t="shared" si="31"/>
        <v xml:space="preserve"> </v>
      </c>
      <c r="DJ36" s="76"/>
      <c r="DK36" s="27">
        <v>207</v>
      </c>
      <c r="DL36" s="28">
        <v>3.3167141994417593</v>
      </c>
      <c r="DM36" s="29">
        <v>7.7803963549236563E-2</v>
      </c>
      <c r="DN36" s="10"/>
      <c r="DO36" s="42">
        <v>78</v>
      </c>
      <c r="DP36" s="43">
        <v>3.1037375553955613</v>
      </c>
      <c r="DQ36" s="67">
        <v>0.14217048945387381</v>
      </c>
      <c r="DR36" s="10">
        <f t="shared" si="32"/>
        <v>1.314122334013627</v>
      </c>
      <c r="DS36" s="10" t="str">
        <f t="shared" si="33"/>
        <v xml:space="preserve"> </v>
      </c>
      <c r="DT36" s="10"/>
      <c r="DU36" s="42">
        <v>91.832115510000037</v>
      </c>
      <c r="DV36" s="43">
        <v>3.1643202775651709</v>
      </c>
      <c r="DW36" s="67">
        <v>0.11548391620295634</v>
      </c>
      <c r="DX36" s="10">
        <f t="shared" si="34"/>
        <v>1.0944069310599707</v>
      </c>
      <c r="DY36" s="10" t="str">
        <f t="shared" si="35"/>
        <v xml:space="preserve"> </v>
      </c>
      <c r="DZ36" s="10"/>
      <c r="EA36" s="53">
        <v>85</v>
      </c>
      <c r="EB36" s="55">
        <v>3.0062790495123783</v>
      </c>
      <c r="EC36" s="56">
        <v>0.11632775673008054</v>
      </c>
      <c r="ED36" s="10">
        <f t="shared" si="36"/>
        <v>2.2182087188342279</v>
      </c>
      <c r="EE36" s="10" t="str">
        <f t="shared" si="37"/>
        <v>*</v>
      </c>
      <c r="EF36" s="10"/>
      <c r="EG36" s="54">
        <v>60</v>
      </c>
      <c r="EH36" s="57">
        <v>3.0999999999999996</v>
      </c>
      <c r="EI36" s="58">
        <v>0.14687345698560725</v>
      </c>
      <c r="EJ36" s="10">
        <f t="shared" si="38"/>
        <v>1.3038694481308373</v>
      </c>
      <c r="EK36" s="10" t="str">
        <f t="shared" si="39"/>
        <v xml:space="preserve"> </v>
      </c>
      <c r="EL36" s="76"/>
      <c r="EM36" s="27">
        <v>455</v>
      </c>
      <c r="EN36" s="28">
        <v>3.9579913164395819</v>
      </c>
      <c r="EO36" s="29">
        <v>4.6487110202811668E-2</v>
      </c>
      <c r="EP36" s="10"/>
      <c r="EQ36" s="42">
        <v>149</v>
      </c>
      <c r="ER36" s="43">
        <v>4.0867017853012211</v>
      </c>
      <c r="ES36" s="67">
        <v>7.1220469587689364E-2</v>
      </c>
      <c r="ET36" s="10">
        <f t="shared" si="40"/>
        <v>-1.5133606250083966</v>
      </c>
      <c r="EU36" s="10" t="str">
        <f t="shared" si="41"/>
        <v xml:space="preserve"> </v>
      </c>
      <c r="EV36" s="10"/>
      <c r="EW36" s="42">
        <v>162.75535763999989</v>
      </c>
      <c r="EX36" s="43">
        <v>3.3016252196046603</v>
      </c>
      <c r="EY36" s="67">
        <v>6.1104264506942473E-2</v>
      </c>
      <c r="EZ36" s="10">
        <f t="shared" si="42"/>
        <v>8.54893953847548</v>
      </c>
      <c r="FA36" s="10" t="str">
        <f t="shared" si="43"/>
        <v>*</v>
      </c>
      <c r="FB36" s="10"/>
      <c r="FC36" s="53">
        <v>154</v>
      </c>
      <c r="FD36" s="55">
        <v>3.8121556254532196</v>
      </c>
      <c r="FE36" s="56">
        <v>7.736848661360754E-2</v>
      </c>
      <c r="FF36" s="10">
        <f t="shared" si="44"/>
        <v>1.6157223074030689</v>
      </c>
      <c r="FG36" s="10" t="str">
        <f t="shared" si="45"/>
        <v xml:space="preserve"> </v>
      </c>
      <c r="FH36" s="10"/>
      <c r="FI36" s="54">
        <v>197</v>
      </c>
      <c r="FJ36" s="57">
        <v>3.5420504643544906</v>
      </c>
      <c r="FK36" s="58">
        <v>6.5474998512881355E-2</v>
      </c>
      <c r="FL36" s="10">
        <f t="shared" si="46"/>
        <v>5.179861631772245</v>
      </c>
      <c r="FM36" s="10" t="str">
        <f t="shared" si="99"/>
        <v>*</v>
      </c>
      <c r="FN36" s="76"/>
      <c r="FO36" s="27">
        <v>214</v>
      </c>
      <c r="FP36" s="28">
        <v>3.360200616576444</v>
      </c>
      <c r="FQ36" s="29">
        <v>7.3459413887652425E-2</v>
      </c>
      <c r="FR36" s="67"/>
      <c r="FS36" s="42">
        <v>164</v>
      </c>
      <c r="FT36" s="43">
        <v>3.5129421318638459</v>
      </c>
      <c r="FU36" s="67">
        <v>8.6432401154358823E-2</v>
      </c>
      <c r="FV36" s="10">
        <f t="shared" si="47"/>
        <v>-1.3465455604662049</v>
      </c>
      <c r="FW36" s="10" t="str">
        <f t="shared" si="48"/>
        <v xml:space="preserve"> </v>
      </c>
      <c r="FX36" s="67"/>
      <c r="FY36" s="42">
        <v>183.7038919200003</v>
      </c>
      <c r="FZ36" s="43">
        <v>3.4981938444714906</v>
      </c>
      <c r="GA36" s="67">
        <v>8.0735791227824344E-2</v>
      </c>
      <c r="GB36" s="10">
        <f t="shared" si="49"/>
        <v>-1.264209030514919</v>
      </c>
      <c r="GC36" s="10" t="str">
        <f t="shared" si="50"/>
        <v xml:space="preserve"> </v>
      </c>
      <c r="GD36" s="10"/>
      <c r="GE36" s="53">
        <v>210</v>
      </c>
      <c r="GF36" s="55">
        <v>3.3709194475598792</v>
      </c>
      <c r="GG36" s="56">
        <v>7.6785238256861107E-2</v>
      </c>
      <c r="GH36" s="10">
        <f t="shared" si="51"/>
        <v>-0.10086883874835559</v>
      </c>
      <c r="GI36" s="10" t="str">
        <f t="shared" si="52"/>
        <v xml:space="preserve"> </v>
      </c>
      <c r="GJ36" s="10"/>
      <c r="GK36" s="54">
        <v>188</v>
      </c>
      <c r="GL36" s="57">
        <v>3.4104756815784096</v>
      </c>
      <c r="GM36" s="58">
        <v>7.5980103826856007E-2</v>
      </c>
      <c r="GN36" s="10">
        <f t="shared" si="53"/>
        <v>-0.47570794855906701</v>
      </c>
      <c r="GO36" s="10" t="str">
        <f t="shared" si="100"/>
        <v xml:space="preserve"> </v>
      </c>
      <c r="GP36" s="76"/>
      <c r="GQ36" s="27">
        <v>213</v>
      </c>
      <c r="GR36" s="28">
        <v>3.6311794450255017</v>
      </c>
      <c r="GS36" s="29">
        <v>7.5316582802570184E-2</v>
      </c>
      <c r="GT36" s="10"/>
      <c r="GU36" s="42">
        <v>134</v>
      </c>
      <c r="GV36" s="43">
        <v>3.53231247004152</v>
      </c>
      <c r="GW36" s="67">
        <v>8.9436124039697959E-2</v>
      </c>
      <c r="GX36" s="10">
        <f t="shared" si="54"/>
        <v>0.84556038013247481</v>
      </c>
      <c r="GY36" s="10" t="str">
        <f t="shared" si="55"/>
        <v xml:space="preserve"> </v>
      </c>
      <c r="GZ36" s="10"/>
      <c r="HA36" s="42">
        <v>120.5298066299999</v>
      </c>
      <c r="HB36" s="43">
        <v>3.5548083116509024</v>
      </c>
      <c r="HC36" s="67">
        <v>9.8143317062184626E-2</v>
      </c>
      <c r="HD36" s="10">
        <f t="shared" si="56"/>
        <v>0.61732924136714951</v>
      </c>
      <c r="HE36" s="10" t="str">
        <f t="shared" si="57"/>
        <v xml:space="preserve"> </v>
      </c>
      <c r="HF36" s="10"/>
      <c r="HG36" s="53">
        <v>86</v>
      </c>
      <c r="HH36" s="55">
        <v>3.5814687434291592</v>
      </c>
      <c r="HI36" s="56">
        <v>9.1761162169320981E-2</v>
      </c>
      <c r="HJ36" s="10">
        <f t="shared" si="58"/>
        <v>0.41874806369259965</v>
      </c>
      <c r="HK36" s="10" t="str">
        <f t="shared" si="59"/>
        <v xml:space="preserve"> </v>
      </c>
      <c r="HL36" s="10"/>
      <c r="HM36" s="54">
        <v>145</v>
      </c>
      <c r="HN36" s="57">
        <v>3.7758436949801317</v>
      </c>
      <c r="HO36" s="58">
        <v>9.0581609554348047E-2</v>
      </c>
      <c r="HP36" s="10">
        <f t="shared" si="60"/>
        <v>-1.228015341084115</v>
      </c>
      <c r="HQ36" s="10" t="str">
        <f t="shared" si="101"/>
        <v xml:space="preserve"> </v>
      </c>
      <c r="HR36" s="76"/>
      <c r="HS36" s="27">
        <v>558</v>
      </c>
      <c r="HT36" s="28">
        <v>3.6289813767597368</v>
      </c>
      <c r="HU36" s="29">
        <v>4.6812347114484419E-2</v>
      </c>
      <c r="HV36" s="10"/>
      <c r="HW36" s="42">
        <v>394</v>
      </c>
      <c r="HX36" s="43">
        <v>3.5387315082093691</v>
      </c>
      <c r="HY36" s="67">
        <v>5.8285014408116467E-2</v>
      </c>
      <c r="HZ36" s="10">
        <f t="shared" si="61"/>
        <v>1.2072506414946547</v>
      </c>
      <c r="IA36" s="10" t="str">
        <f t="shared" si="62"/>
        <v xml:space="preserve"> </v>
      </c>
      <c r="IB36" s="10"/>
      <c r="IC36" s="42">
        <v>393.72174106000051</v>
      </c>
      <c r="ID36" s="43">
        <v>3.5994284752846135</v>
      </c>
      <c r="IE36" s="67">
        <v>5.3950052734915599E-2</v>
      </c>
      <c r="IF36" s="10">
        <f t="shared" si="63"/>
        <v>0.41374211211951734</v>
      </c>
      <c r="IG36" s="10" t="str">
        <f t="shared" si="64"/>
        <v xml:space="preserve"> </v>
      </c>
      <c r="IH36" s="10"/>
      <c r="II36" s="53">
        <v>390</v>
      </c>
      <c r="IJ36" s="55">
        <v>3.674656358725982</v>
      </c>
      <c r="IK36" s="56">
        <v>5.3448109833241213E-2</v>
      </c>
      <c r="IL36" s="10">
        <f t="shared" si="65"/>
        <v>-0.6428572846336037</v>
      </c>
      <c r="IM36" s="10" t="str">
        <f t="shared" si="66"/>
        <v xml:space="preserve"> </v>
      </c>
      <c r="IN36" s="10"/>
      <c r="IO36" s="54">
        <v>421</v>
      </c>
      <c r="IP36" s="57">
        <v>3.5852980290626451</v>
      </c>
      <c r="IQ36" s="58">
        <v>5.0614170848293789E-2</v>
      </c>
      <c r="IR36" s="10">
        <f t="shared" si="67"/>
        <v>0.63361189222686953</v>
      </c>
      <c r="IS36" s="10" t="str">
        <f t="shared" si="68"/>
        <v xml:space="preserve"> </v>
      </c>
      <c r="IT36" s="76"/>
      <c r="IU36" s="27">
        <v>41</v>
      </c>
      <c r="IV36" s="28">
        <v>3.8536585365853657</v>
      </c>
      <c r="IW36" s="29">
        <v>0.15841611053546742</v>
      </c>
      <c r="IX36" s="10"/>
      <c r="IY36" s="42">
        <v>34</v>
      </c>
      <c r="IZ36" s="43">
        <v>3.6478060044546021</v>
      </c>
      <c r="JA36" s="67">
        <v>0.18830076874516899</v>
      </c>
      <c r="JB36" s="10">
        <f t="shared" si="69"/>
        <v>0.83654429576789124</v>
      </c>
      <c r="JC36" s="10" t="str">
        <f t="shared" si="70"/>
        <v xml:space="preserve"> </v>
      </c>
      <c r="JD36" s="10"/>
      <c r="JE36" s="42">
        <v>32.673939870000005</v>
      </c>
      <c r="JF36" s="43">
        <v>3.7272727272727275</v>
      </c>
      <c r="JG36" s="67">
        <v>0.1709484952044395</v>
      </c>
      <c r="JH36" s="10">
        <f t="shared" si="71"/>
        <v>0.54227829577147002</v>
      </c>
      <c r="JI36" s="10" t="str">
        <f t="shared" si="72"/>
        <v xml:space="preserve"> </v>
      </c>
      <c r="JJ36" s="10"/>
      <c r="JK36" s="53">
        <v>31</v>
      </c>
      <c r="JL36" s="55">
        <v>3.838709677419355</v>
      </c>
      <c r="JM36" s="56">
        <v>0.18235322178154323</v>
      </c>
      <c r="JN36" s="10">
        <f t="shared" si="73"/>
        <v>6.1886185910666497E-2</v>
      </c>
      <c r="JO36" s="10" t="str">
        <f t="shared" si="74"/>
        <v xml:space="preserve"> </v>
      </c>
      <c r="JP36" s="10"/>
      <c r="JQ36" s="54">
        <v>51</v>
      </c>
      <c r="JR36" s="57">
        <v>3.8235294117647056</v>
      </c>
      <c r="JS36" s="58">
        <v>0.15793053647518504</v>
      </c>
      <c r="JT36" s="10">
        <f t="shared" si="75"/>
        <v>0.13469074874682677</v>
      </c>
      <c r="JU36" s="10" t="str">
        <f t="shared" si="76"/>
        <v xml:space="preserve"> </v>
      </c>
      <c r="JV36" s="76"/>
      <c r="JW36" s="27">
        <v>494</v>
      </c>
      <c r="JX36" s="28">
        <v>3.0079361305272805</v>
      </c>
      <c r="JY36" s="29">
        <v>5.3065974376737317E-2</v>
      </c>
      <c r="JZ36" s="10"/>
      <c r="KA36" s="42">
        <v>300</v>
      </c>
      <c r="KB36" s="43">
        <v>3.0176828866713148</v>
      </c>
      <c r="KC36" s="67">
        <v>7.1860281272192586E-2</v>
      </c>
      <c r="KD36" s="10">
        <f t="shared" si="77"/>
        <v>-0.10910921711932385</v>
      </c>
      <c r="KE36" s="10" t="str">
        <f t="shared" si="78"/>
        <v xml:space="preserve"> </v>
      </c>
      <c r="KF36" s="10"/>
      <c r="KG36" s="42">
        <v>351.15130547000069</v>
      </c>
      <c r="KH36" s="43">
        <v>3.2685633993693282</v>
      </c>
      <c r="KI36" s="67">
        <v>6.0809209895839204E-2</v>
      </c>
      <c r="KJ36" s="10">
        <f t="shared" si="79"/>
        <v>-3.2292677475216873</v>
      </c>
      <c r="KK36" s="10" t="str">
        <f t="shared" si="80"/>
        <v>*</v>
      </c>
      <c r="KL36" s="10"/>
      <c r="KM36" s="53">
        <v>683</v>
      </c>
      <c r="KN36" s="55">
        <v>3.00528919794391</v>
      </c>
      <c r="KO36" s="56">
        <v>4.3571155811815893E-2</v>
      </c>
      <c r="KP36" s="10">
        <f t="shared" si="81"/>
        <v>3.8550292152545344E-2</v>
      </c>
      <c r="KQ36" s="10" t="str">
        <f t="shared" si="82"/>
        <v xml:space="preserve"> </v>
      </c>
      <c r="KR36" s="10"/>
      <c r="KS36" s="54">
        <v>671</v>
      </c>
      <c r="KT36" s="57">
        <v>2.9416562597178508</v>
      </c>
      <c r="KU36" s="58">
        <v>4.3224191627186832E-2</v>
      </c>
      <c r="KV36" s="10">
        <f t="shared" si="83"/>
        <v>0.96840714970518826</v>
      </c>
      <c r="KW36" s="10" t="str">
        <f t="shared" si="102"/>
        <v xml:space="preserve"> </v>
      </c>
      <c r="KX36" s="76"/>
      <c r="KY36" s="27">
        <v>184</v>
      </c>
      <c r="KZ36" s="28">
        <v>3.554373817277618</v>
      </c>
      <c r="LA36" s="29">
        <v>8.4006916103678345E-2</v>
      </c>
      <c r="LB36" s="10"/>
      <c r="LC36" s="42">
        <v>189</v>
      </c>
      <c r="LD36" s="43">
        <v>3.4492994292603329</v>
      </c>
      <c r="LE36" s="67">
        <v>8.1932244708705568E-2</v>
      </c>
      <c r="LF36" s="10">
        <f t="shared" si="84"/>
        <v>0.89542463154430108</v>
      </c>
      <c r="LG36" s="10" t="str">
        <f t="shared" si="85"/>
        <v xml:space="preserve"> </v>
      </c>
      <c r="LH36" s="10"/>
      <c r="LI36" s="42">
        <v>193.5501278399995</v>
      </c>
      <c r="LJ36" s="43">
        <v>3.63003644203638</v>
      </c>
      <c r="LK36" s="67">
        <v>7.5551311370563881E-2</v>
      </c>
      <c r="LL36" s="10">
        <f t="shared" si="86"/>
        <v>-0.66968138546015477</v>
      </c>
      <c r="LM36" s="10" t="str">
        <f t="shared" si="87"/>
        <v xml:space="preserve"> </v>
      </c>
      <c r="LN36" s="10"/>
      <c r="LO36" s="53">
        <v>477</v>
      </c>
      <c r="LP36" s="55">
        <v>3.4633123689727472</v>
      </c>
      <c r="LQ36" s="56">
        <v>4.9999916797820648E-2</v>
      </c>
      <c r="LR36" s="10">
        <f t="shared" si="88"/>
        <v>0.93147299749224255</v>
      </c>
      <c r="LS36" s="10" t="str">
        <f t="shared" si="89"/>
        <v xml:space="preserve"> </v>
      </c>
      <c r="LT36" s="10"/>
      <c r="LU36" s="54">
        <v>464</v>
      </c>
      <c r="LV36" s="57">
        <v>3.420973239558236</v>
      </c>
      <c r="LW36" s="58">
        <v>5.4883377598707164E-2</v>
      </c>
      <c r="LX36" s="10">
        <f t="shared" si="90"/>
        <v>1.329404225301009</v>
      </c>
      <c r="LY36" s="10" t="str">
        <f t="shared" si="91"/>
        <v xml:space="preserve"> </v>
      </c>
      <c r="LZ36" s="76"/>
      <c r="MA36" s="27">
        <v>198</v>
      </c>
      <c r="MB36" s="28">
        <v>3.3582751560595447</v>
      </c>
      <c r="MC36" s="29">
        <v>7.8393052119438131E-2</v>
      </c>
      <c r="MD36" s="10"/>
      <c r="ME36" s="42">
        <v>136</v>
      </c>
      <c r="MF36" s="43">
        <v>3.6049400544495489</v>
      </c>
      <c r="MG36" s="67">
        <v>0.10075015848408292</v>
      </c>
      <c r="MH36" s="10">
        <f t="shared" si="92"/>
        <v>-1.9322618385724373</v>
      </c>
      <c r="MI36" s="10" t="str">
        <f t="shared" si="93"/>
        <v xml:space="preserve"> </v>
      </c>
      <c r="MJ36" s="10"/>
      <c r="MK36" s="42">
        <v>120.24486717000006</v>
      </c>
      <c r="ML36" s="43">
        <v>3.4199438202930486</v>
      </c>
      <c r="MM36" s="67">
        <v>9.6016616913821046E-2</v>
      </c>
      <c r="MN36" s="10">
        <f t="shared" si="94"/>
        <v>-0.49751141001931343</v>
      </c>
      <c r="MO36" s="10" t="str">
        <f t="shared" si="95"/>
        <v xml:space="preserve"> </v>
      </c>
      <c r="MP36" s="10"/>
      <c r="MQ36" s="53">
        <v>213</v>
      </c>
      <c r="MR36" s="55">
        <v>3.4648105905761235</v>
      </c>
      <c r="MS36" s="56">
        <v>7.6295790876637001E-2</v>
      </c>
      <c r="MT36" s="10">
        <f t="shared" si="96"/>
        <v>-0.97389060531886007</v>
      </c>
      <c r="MU36" s="10" t="str">
        <f t="shared" si="97"/>
        <v xml:space="preserve"> </v>
      </c>
      <c r="MV36" s="10"/>
      <c r="MW36" s="54">
        <v>218</v>
      </c>
      <c r="MX36" s="57">
        <v>3.3938403921754192</v>
      </c>
      <c r="MY36" s="58">
        <v>7.6739505683625711E-2</v>
      </c>
      <c r="MZ36" s="10">
        <f t="shared" si="98"/>
        <v>-0.32420004568914174</v>
      </c>
      <c r="NA36" s="10" t="str">
        <f t="shared" si="103"/>
        <v xml:space="preserve"> </v>
      </c>
      <c r="NB36" s="58"/>
    </row>
    <row r="37" spans="1:366" x14ac:dyDescent="0.2">
      <c r="A37" s="73"/>
      <c r="B37" s="65" t="s">
        <v>39</v>
      </c>
      <c r="C37" s="27">
        <v>424</v>
      </c>
      <c r="D37" s="28">
        <v>3.7407455161595076</v>
      </c>
      <c r="E37" s="29">
        <v>5.1124853721905131E-2</v>
      </c>
      <c r="F37" s="10"/>
      <c r="G37" s="42">
        <v>132</v>
      </c>
      <c r="H37" s="43">
        <v>3.5757421774324523</v>
      </c>
      <c r="I37" s="67">
        <v>9.7125299870145204E-2</v>
      </c>
      <c r="J37" s="10">
        <f t="shared" si="1"/>
        <v>1.5033217232793998</v>
      </c>
      <c r="K37" s="10" t="str">
        <f t="shared" si="2"/>
        <v xml:space="preserve"> </v>
      </c>
      <c r="L37" s="10"/>
      <c r="M37" s="42">
        <v>128.92765212000009</v>
      </c>
      <c r="N37" s="43">
        <v>3.5080645161290325</v>
      </c>
      <c r="O37" s="67">
        <v>7.1454211568761805E-2</v>
      </c>
      <c r="P37" s="10">
        <f t="shared" si="3"/>
        <v>2.6483025652419596</v>
      </c>
      <c r="Q37" s="10" t="str">
        <f t="shared" si="4"/>
        <v>*</v>
      </c>
      <c r="R37" s="10"/>
      <c r="S37" s="53">
        <v>134</v>
      </c>
      <c r="T37" s="55">
        <v>3.6791044776119399</v>
      </c>
      <c r="U37" s="56">
        <v>7.0439327892497794E-2</v>
      </c>
      <c r="V37" s="10">
        <f t="shared" si="5"/>
        <v>0.70821601153641411</v>
      </c>
      <c r="W37" s="10" t="str">
        <f t="shared" si="6"/>
        <v xml:space="preserve"> </v>
      </c>
      <c r="X37" s="10"/>
      <c r="Y37" s="54">
        <v>212</v>
      </c>
      <c r="Z37" s="57">
        <v>3.4103773584905648</v>
      </c>
      <c r="AA37" s="58">
        <v>5.9553190420277395E-2</v>
      </c>
      <c r="AB37" s="10">
        <f t="shared" si="7"/>
        <v>4.209166269715686</v>
      </c>
      <c r="AC37" s="10" t="str">
        <f t="shared" si="8"/>
        <v>*</v>
      </c>
      <c r="AD37" s="76"/>
      <c r="AE37" s="27">
        <v>105</v>
      </c>
      <c r="AF37" s="28">
        <v>3.8864299328872476</v>
      </c>
      <c r="AG37" s="29">
        <v>8.9562523420660595E-2</v>
      </c>
      <c r="AH37" s="67"/>
      <c r="AI37" s="42">
        <v>56</v>
      </c>
      <c r="AJ37" s="43">
        <v>3.9108875093230164</v>
      </c>
      <c r="AK37" s="67">
        <v>0.13503284442326152</v>
      </c>
      <c r="AL37" s="10">
        <f t="shared" si="9"/>
        <v>-0.15094015985456605</v>
      </c>
      <c r="AM37" s="10" t="str">
        <f t="shared" si="10"/>
        <v xml:space="preserve"> </v>
      </c>
      <c r="AN37" s="67"/>
      <c r="AO37" s="42">
        <v>99.696065520000005</v>
      </c>
      <c r="AP37" s="43">
        <v>3.4120619670969732</v>
      </c>
      <c r="AQ37" s="67">
        <v>9.2057210129942849E-2</v>
      </c>
      <c r="AR37" s="10">
        <f t="shared" si="11"/>
        <v>3.6934000552152515</v>
      </c>
      <c r="AS37" s="10" t="str">
        <f t="shared" si="12"/>
        <v>*</v>
      </c>
      <c r="AT37" s="10"/>
      <c r="AU37" s="53">
        <v>132</v>
      </c>
      <c r="AV37" s="55">
        <v>3.5148534268337239</v>
      </c>
      <c r="AW37" s="56">
        <v>8.1925308428162424E-2</v>
      </c>
      <c r="AX37" s="10">
        <f t="shared" si="13"/>
        <v>3.0612562060718549</v>
      </c>
      <c r="AY37" s="10" t="str">
        <f t="shared" si="14"/>
        <v>*</v>
      </c>
      <c r="AZ37" s="10"/>
      <c r="BA37" s="54">
        <v>87</v>
      </c>
      <c r="BB37" s="57">
        <v>3.0050284977637021</v>
      </c>
      <c r="BC37" s="58">
        <v>8.1900819630619973E-2</v>
      </c>
      <c r="BD37" s="10">
        <f t="shared" si="15"/>
        <v>7.2624695282758607</v>
      </c>
      <c r="BE37" s="10" t="str">
        <f t="shared" si="16"/>
        <v>*</v>
      </c>
      <c r="BF37" s="76"/>
      <c r="BG37" s="27">
        <v>1160</v>
      </c>
      <c r="BH37" s="28">
        <v>4.0046778330160206</v>
      </c>
      <c r="BI37" s="29">
        <v>2.7286044800862094E-2</v>
      </c>
      <c r="BJ37" s="10"/>
      <c r="BK37" s="42">
        <v>355</v>
      </c>
      <c r="BL37" s="43">
        <v>4.0398184521814011</v>
      </c>
      <c r="BM37" s="67">
        <v>4.8324972364178605E-2</v>
      </c>
      <c r="BN37" s="10">
        <f t="shared" si="17"/>
        <v>-0.63320735765922309</v>
      </c>
      <c r="BO37" s="10" t="str">
        <f t="shared" si="18"/>
        <v xml:space="preserve"> </v>
      </c>
      <c r="BP37" s="10"/>
      <c r="BQ37" s="42">
        <v>348.47414435999917</v>
      </c>
      <c r="BR37" s="43">
        <v>3.2462721082438253</v>
      </c>
      <c r="BS37" s="67">
        <v>3.4165650167204631E-2</v>
      </c>
      <c r="BT37" s="10">
        <f t="shared" si="19"/>
        <v>17.345152180566501</v>
      </c>
      <c r="BU37" s="10" t="str">
        <f t="shared" si="20"/>
        <v>*</v>
      </c>
      <c r="BV37" s="10"/>
      <c r="BW37" s="53">
        <v>360</v>
      </c>
      <c r="BX37" s="55">
        <v>3.2704713226190831</v>
      </c>
      <c r="BY37" s="56">
        <v>2.9724379601778279E-2</v>
      </c>
      <c r="BZ37" s="10">
        <f t="shared" si="21"/>
        <v>18.196258447590726</v>
      </c>
      <c r="CA37" s="10" t="str">
        <f t="shared" si="22"/>
        <v>*</v>
      </c>
      <c r="CB37" s="10"/>
      <c r="CC37" s="54">
        <v>413</v>
      </c>
      <c r="CD37" s="57">
        <v>3.6373126775080733</v>
      </c>
      <c r="CE37" s="58">
        <v>4.5946022752763251E-2</v>
      </c>
      <c r="CF37" s="10">
        <f t="shared" si="23"/>
        <v>6.8746709713738774</v>
      </c>
      <c r="CG37" s="10" t="str">
        <f t="shared" si="24"/>
        <v>*</v>
      </c>
      <c r="CH37" s="76"/>
      <c r="CI37" s="27">
        <v>704</v>
      </c>
      <c r="CJ37" s="28">
        <v>3.994831425262714</v>
      </c>
      <c r="CK37" s="29">
        <v>3.632520030936856E-2</v>
      </c>
      <c r="CL37" s="67"/>
      <c r="CM37" s="42">
        <v>224</v>
      </c>
      <c r="CN37" s="43">
        <v>4.1384765775358776</v>
      </c>
      <c r="CO37" s="67">
        <v>6.16495331126483E-2</v>
      </c>
      <c r="CP37" s="10">
        <f t="shared" si="25"/>
        <v>-2.0074657429760876</v>
      </c>
      <c r="CQ37" s="10" t="str">
        <f t="shared" si="26"/>
        <v>*</v>
      </c>
      <c r="CR37" s="10"/>
      <c r="CS37" s="42">
        <v>242.30426222999932</v>
      </c>
      <c r="CT37" s="43">
        <v>4.0498643808359036</v>
      </c>
      <c r="CU37" s="67">
        <v>5.9387297724317376E-2</v>
      </c>
      <c r="CV37" s="10">
        <f t="shared" si="27"/>
        <v>-0.79052297251332515</v>
      </c>
      <c r="CW37" s="10" t="str">
        <f t="shared" si="28"/>
        <v xml:space="preserve"> </v>
      </c>
      <c r="CX37" s="10"/>
      <c r="CY37" s="53">
        <v>212</v>
      </c>
      <c r="CZ37" s="55">
        <v>4.1302284662107391</v>
      </c>
      <c r="DA37" s="56">
        <v>6.4428505662839308E-2</v>
      </c>
      <c r="DB37" s="10">
        <f t="shared" si="29"/>
        <v>-1.8306005023929335</v>
      </c>
      <c r="DC37" s="10" t="str">
        <f t="shared" si="0"/>
        <v xml:space="preserve"> </v>
      </c>
      <c r="DD37" s="10"/>
      <c r="DE37" s="54">
        <v>268</v>
      </c>
      <c r="DF37" s="57">
        <v>3.7474464663735532</v>
      </c>
      <c r="DG37" s="58">
        <v>5.9942300103453069E-2</v>
      </c>
      <c r="DH37" s="10">
        <f t="shared" si="30"/>
        <v>3.5295359529400501</v>
      </c>
      <c r="DI37" s="10" t="str">
        <f t="shared" si="31"/>
        <v>*</v>
      </c>
      <c r="DJ37" s="76"/>
      <c r="DK37" s="27">
        <v>211</v>
      </c>
      <c r="DL37" s="28">
        <v>3.665341882239578</v>
      </c>
      <c r="DM37" s="29">
        <v>6.6502445691039469E-2</v>
      </c>
      <c r="DN37" s="10"/>
      <c r="DO37" s="42">
        <v>80</v>
      </c>
      <c r="DP37" s="43">
        <v>3.5258314875793073</v>
      </c>
      <c r="DQ37" s="67">
        <v>0.11403133352691763</v>
      </c>
      <c r="DR37" s="10">
        <f t="shared" si="32"/>
        <v>1.0568447582595804</v>
      </c>
      <c r="DS37" s="10" t="str">
        <f t="shared" si="33"/>
        <v xml:space="preserve"> </v>
      </c>
      <c r="DT37" s="10"/>
      <c r="DU37" s="42">
        <v>93.911593770000039</v>
      </c>
      <c r="DV37" s="43">
        <v>3.5299246111388825</v>
      </c>
      <c r="DW37" s="67">
        <v>0.10114377085281376</v>
      </c>
      <c r="DX37" s="10">
        <f t="shared" si="34"/>
        <v>1.1187064770510531</v>
      </c>
      <c r="DY37" s="10" t="str">
        <f t="shared" si="35"/>
        <v xml:space="preserve"> </v>
      </c>
      <c r="DZ37" s="10"/>
      <c r="EA37" s="53">
        <v>88</v>
      </c>
      <c r="EB37" s="55">
        <v>3.6221906952882925</v>
      </c>
      <c r="EC37" s="56">
        <v>8.6845508347884473E-2</v>
      </c>
      <c r="ED37" s="10">
        <f t="shared" si="36"/>
        <v>0.39449501526137054</v>
      </c>
      <c r="EE37" s="10" t="str">
        <f t="shared" si="37"/>
        <v xml:space="preserve"> </v>
      </c>
      <c r="EF37" s="10"/>
      <c r="EG37" s="54">
        <v>60</v>
      </c>
      <c r="EH37" s="57">
        <v>3.6666666666666674</v>
      </c>
      <c r="EI37" s="58">
        <v>0.13081532992266562</v>
      </c>
      <c r="EJ37" s="10">
        <f t="shared" si="38"/>
        <v>-9.0275624031454522E-3</v>
      </c>
      <c r="EK37" s="10" t="str">
        <f t="shared" si="39"/>
        <v xml:space="preserve"> </v>
      </c>
      <c r="EL37" s="76"/>
      <c r="EM37" s="27">
        <v>463</v>
      </c>
      <c r="EN37" s="28">
        <v>4.1699115047842934</v>
      </c>
      <c r="EO37" s="29">
        <v>4.2084760102042831E-2</v>
      </c>
      <c r="EP37" s="10"/>
      <c r="EQ37" s="42">
        <v>156</v>
      </c>
      <c r="ER37" s="43">
        <v>4.2108843085733598</v>
      </c>
      <c r="ES37" s="67">
        <v>6.8687009999259321E-2</v>
      </c>
      <c r="ET37" s="10">
        <f t="shared" si="40"/>
        <v>-0.50863438172714071</v>
      </c>
      <c r="EU37" s="10" t="str">
        <f t="shared" si="41"/>
        <v xml:space="preserve"> </v>
      </c>
      <c r="EV37" s="10"/>
      <c r="EW37" s="42">
        <v>164.75046785999987</v>
      </c>
      <c r="EX37" s="43">
        <v>3.4432912639256412</v>
      </c>
      <c r="EY37" s="67">
        <v>6.7442882268797064E-2</v>
      </c>
      <c r="EZ37" s="10">
        <f t="shared" si="42"/>
        <v>9.1402970816461959</v>
      </c>
      <c r="FA37" s="10" t="str">
        <f t="shared" si="43"/>
        <v>*</v>
      </c>
      <c r="FB37" s="10"/>
      <c r="FC37" s="53">
        <v>153</v>
      </c>
      <c r="FD37" s="55">
        <v>3.9095808504448684</v>
      </c>
      <c r="FE37" s="56">
        <v>7.5603148848614465E-2</v>
      </c>
      <c r="FF37" s="10">
        <f t="shared" si="44"/>
        <v>3.0086554975057753</v>
      </c>
      <c r="FG37" s="10" t="str">
        <f t="shared" si="45"/>
        <v>*</v>
      </c>
      <c r="FH37" s="10"/>
      <c r="FI37" s="54">
        <v>202</v>
      </c>
      <c r="FJ37" s="57">
        <v>3.4152848260994189</v>
      </c>
      <c r="FK37" s="58">
        <v>6.7249981521949276E-2</v>
      </c>
      <c r="FL37" s="10">
        <f t="shared" si="46"/>
        <v>9.5121695551326919</v>
      </c>
      <c r="FM37" s="10" t="str">
        <f t="shared" si="99"/>
        <v>*</v>
      </c>
      <c r="FN37" s="76"/>
      <c r="FO37" s="27">
        <v>219</v>
      </c>
      <c r="FP37" s="28">
        <v>3.5432049176357605</v>
      </c>
      <c r="FQ37" s="29">
        <v>7.2474584081305596E-2</v>
      </c>
      <c r="FR37" s="67"/>
      <c r="FS37" s="42">
        <v>169</v>
      </c>
      <c r="FT37" s="43">
        <v>3.5868277867417366</v>
      </c>
      <c r="FU37" s="67">
        <v>8.34206936541486E-2</v>
      </c>
      <c r="FV37" s="10">
        <f t="shared" si="47"/>
        <v>-0.39475563814760195</v>
      </c>
      <c r="FW37" s="10" t="str">
        <f t="shared" si="48"/>
        <v xml:space="preserve"> </v>
      </c>
      <c r="FX37" s="67"/>
      <c r="FY37" s="42">
        <v>197.44408422000046</v>
      </c>
      <c r="FZ37" s="43">
        <v>3.6695507274489874</v>
      </c>
      <c r="GA37" s="67">
        <v>7.4337836800473775E-2</v>
      </c>
      <c r="GB37" s="10">
        <f t="shared" si="49"/>
        <v>-1.2169649431105385</v>
      </c>
      <c r="GC37" s="10" t="str">
        <f t="shared" si="50"/>
        <v xml:space="preserve"> </v>
      </c>
      <c r="GD37" s="10"/>
      <c r="GE37" s="53">
        <v>217</v>
      </c>
      <c r="GF37" s="55">
        <v>3.5315543685423942</v>
      </c>
      <c r="GG37" s="56">
        <v>7.1758923436892788E-2</v>
      </c>
      <c r="GH37" s="10">
        <f t="shared" si="51"/>
        <v>0.11423255249757712</v>
      </c>
      <c r="GI37" s="10" t="str">
        <f t="shared" si="52"/>
        <v xml:space="preserve"> </v>
      </c>
      <c r="GJ37" s="10"/>
      <c r="GK37" s="54">
        <v>194</v>
      </c>
      <c r="GL37" s="57">
        <v>3.5729085730114298</v>
      </c>
      <c r="GM37" s="58">
        <v>7.7108255764595179E-2</v>
      </c>
      <c r="GN37" s="10">
        <f t="shared" si="53"/>
        <v>-0.28069511091461219</v>
      </c>
      <c r="GO37" s="10" t="str">
        <f t="shared" si="100"/>
        <v xml:space="preserve"> </v>
      </c>
      <c r="GP37" s="76"/>
      <c r="GQ37" s="27">
        <v>220</v>
      </c>
      <c r="GR37" s="28">
        <v>3.8503661667428708</v>
      </c>
      <c r="GS37" s="29">
        <v>7.0106646946378595E-2</v>
      </c>
      <c r="GT37" s="10"/>
      <c r="GU37" s="42">
        <v>129</v>
      </c>
      <c r="GV37" s="43">
        <v>3.8698840423555225</v>
      </c>
      <c r="GW37" s="67">
        <v>8.3716360247750143E-2</v>
      </c>
      <c r="GX37" s="10">
        <f t="shared" si="54"/>
        <v>-0.17874463636746377</v>
      </c>
      <c r="GY37" s="10" t="str">
        <f t="shared" si="55"/>
        <v xml:space="preserve"> </v>
      </c>
      <c r="GZ37" s="10"/>
      <c r="HA37" s="42">
        <v>122.86040559999989</v>
      </c>
      <c r="HB37" s="43">
        <v>3.8492346585578918</v>
      </c>
      <c r="HC37" s="67">
        <v>9.2367875899736301E-2</v>
      </c>
      <c r="HD37" s="10">
        <f t="shared" si="56"/>
        <v>9.7577293740584419E-3</v>
      </c>
      <c r="HE37" s="10" t="str">
        <f t="shared" si="57"/>
        <v xml:space="preserve"> </v>
      </c>
      <c r="HF37" s="10"/>
      <c r="HG37" s="53">
        <v>91</v>
      </c>
      <c r="HH37" s="55">
        <v>3.7389123851660151</v>
      </c>
      <c r="HI37" s="56">
        <v>8.4924637466383221E-2</v>
      </c>
      <c r="HJ37" s="10">
        <f t="shared" si="58"/>
        <v>1.0120819618455608</v>
      </c>
      <c r="HK37" s="10" t="str">
        <f t="shared" si="59"/>
        <v xml:space="preserve"> </v>
      </c>
      <c r="HL37" s="10"/>
      <c r="HM37" s="54">
        <v>155</v>
      </c>
      <c r="HN37" s="57">
        <v>3.8736282012421617</v>
      </c>
      <c r="HO37" s="58">
        <v>8.0220854893212665E-2</v>
      </c>
      <c r="HP37" s="10">
        <f t="shared" si="60"/>
        <v>-0.21834512456612298</v>
      </c>
      <c r="HQ37" s="10" t="str">
        <f t="shared" si="101"/>
        <v xml:space="preserve"> </v>
      </c>
      <c r="HR37" s="76"/>
      <c r="HS37" s="27">
        <v>571</v>
      </c>
      <c r="HT37" s="28">
        <v>3.9320459332519091</v>
      </c>
      <c r="HU37" s="29">
        <v>4.0561504560699929E-2</v>
      </c>
      <c r="HV37" s="10"/>
      <c r="HW37" s="42">
        <v>404</v>
      </c>
      <c r="HX37" s="43">
        <v>3.8149466527337239</v>
      </c>
      <c r="HY37" s="67">
        <v>4.8491442968412922E-2</v>
      </c>
      <c r="HZ37" s="10">
        <f t="shared" si="61"/>
        <v>1.8522766785814726</v>
      </c>
      <c r="IA37" s="10" t="str">
        <f t="shared" si="62"/>
        <v xml:space="preserve"> </v>
      </c>
      <c r="IB37" s="10"/>
      <c r="IC37" s="42">
        <v>412.54332538000034</v>
      </c>
      <c r="ID37" s="43">
        <v>3.8251598834290643</v>
      </c>
      <c r="IE37" s="67">
        <v>4.7930531674511972E-2</v>
      </c>
      <c r="IF37" s="10">
        <f t="shared" si="63"/>
        <v>1.7022809422705056</v>
      </c>
      <c r="IG37" s="10" t="str">
        <f t="shared" si="64"/>
        <v xml:space="preserve"> </v>
      </c>
      <c r="IH37" s="10"/>
      <c r="II37" s="53">
        <v>403</v>
      </c>
      <c r="IJ37" s="55">
        <v>3.8631701733595967</v>
      </c>
      <c r="IK37" s="56">
        <v>4.9096980240654391E-2</v>
      </c>
      <c r="IL37" s="10">
        <f t="shared" si="65"/>
        <v>1.0815108033115761</v>
      </c>
      <c r="IM37" s="10" t="str">
        <f t="shared" si="66"/>
        <v xml:space="preserve"> </v>
      </c>
      <c r="IN37" s="10"/>
      <c r="IO37" s="54">
        <v>436</v>
      </c>
      <c r="IP37" s="57">
        <v>3.8287415360914365</v>
      </c>
      <c r="IQ37" s="58">
        <v>4.4503030806038638E-2</v>
      </c>
      <c r="IR37" s="10">
        <f t="shared" si="67"/>
        <v>1.7156139000680033</v>
      </c>
      <c r="IS37" s="10" t="str">
        <f t="shared" si="68"/>
        <v xml:space="preserve"> </v>
      </c>
      <c r="IT37" s="76"/>
      <c r="IU37" s="27">
        <v>46</v>
      </c>
      <c r="IV37" s="28">
        <v>4.1739130434782608</v>
      </c>
      <c r="IW37" s="29">
        <v>0.14353171053321942</v>
      </c>
      <c r="IX37" s="10"/>
      <c r="IY37" s="42">
        <v>35</v>
      </c>
      <c r="IZ37" s="43">
        <v>3.9439147501880365</v>
      </c>
      <c r="JA37" s="67">
        <v>0.15844536322755176</v>
      </c>
      <c r="JB37" s="10">
        <f t="shared" si="69"/>
        <v>1.0758126617559745</v>
      </c>
      <c r="JC37" s="10" t="str">
        <f t="shared" si="70"/>
        <v xml:space="preserve"> </v>
      </c>
      <c r="JD37" s="10"/>
      <c r="JE37" s="42">
        <v>32.673939870000005</v>
      </c>
      <c r="JF37" s="43">
        <v>3.9090909090909092</v>
      </c>
      <c r="JG37" s="67">
        <v>0.14745708620248163</v>
      </c>
      <c r="JH37" s="10">
        <f t="shared" si="71"/>
        <v>1.2869257747098002</v>
      </c>
      <c r="JI37" s="10" t="str">
        <f t="shared" si="72"/>
        <v xml:space="preserve"> </v>
      </c>
      <c r="JJ37" s="10"/>
      <c r="JK37" s="53">
        <v>32</v>
      </c>
      <c r="JL37" s="55">
        <v>3.71875</v>
      </c>
      <c r="JM37" s="56">
        <v>0.20440730982609009</v>
      </c>
      <c r="JN37" s="10">
        <f t="shared" si="73"/>
        <v>1.8223484729330557</v>
      </c>
      <c r="JO37" s="10" t="str">
        <f t="shared" si="74"/>
        <v xml:space="preserve"> </v>
      </c>
      <c r="JP37" s="10"/>
      <c r="JQ37" s="54">
        <v>54</v>
      </c>
      <c r="JR37" s="57">
        <v>3.6666666666666674</v>
      </c>
      <c r="JS37" s="58">
        <v>0.14211667616821921</v>
      </c>
      <c r="JT37" s="10">
        <f t="shared" si="75"/>
        <v>2.5112898838280868</v>
      </c>
      <c r="JU37" s="10" t="str">
        <f t="shared" si="76"/>
        <v>*</v>
      </c>
      <c r="JV37" s="76"/>
      <c r="JW37" s="27">
        <v>513</v>
      </c>
      <c r="JX37" s="28">
        <v>3.190938965274317</v>
      </c>
      <c r="JY37" s="29">
        <v>5.2099186815970186E-2</v>
      </c>
      <c r="JZ37" s="10"/>
      <c r="KA37" s="42">
        <v>316</v>
      </c>
      <c r="KB37" s="43">
        <v>3.3013179160496549</v>
      </c>
      <c r="KC37" s="67">
        <v>6.6849962515703354E-2</v>
      </c>
      <c r="KD37" s="10">
        <f t="shared" si="77"/>
        <v>-1.3023448282215626</v>
      </c>
      <c r="KE37" s="10" t="str">
        <f t="shared" si="78"/>
        <v xml:space="preserve"> </v>
      </c>
      <c r="KF37" s="10"/>
      <c r="KG37" s="42">
        <v>364.18180647000094</v>
      </c>
      <c r="KH37" s="43">
        <v>3.4559135091326358</v>
      </c>
      <c r="KI37" s="67">
        <v>5.7462853635567898E-2</v>
      </c>
      <c r="KJ37" s="10">
        <f t="shared" si="79"/>
        <v>-3.4161681351536366</v>
      </c>
      <c r="KK37" s="10" t="str">
        <f t="shared" si="80"/>
        <v>*</v>
      </c>
      <c r="KL37" s="10"/>
      <c r="KM37" s="53">
        <v>712</v>
      </c>
      <c r="KN37" s="55">
        <v>3.1514100763777306</v>
      </c>
      <c r="KO37" s="56">
        <v>4.1741978634623776E-2</v>
      </c>
      <c r="KP37" s="10">
        <f t="shared" si="81"/>
        <v>0.59211631457205927</v>
      </c>
      <c r="KQ37" s="10" t="str">
        <f t="shared" si="82"/>
        <v xml:space="preserve"> </v>
      </c>
      <c r="KR37" s="10"/>
      <c r="KS37" s="54">
        <v>696</v>
      </c>
      <c r="KT37" s="57">
        <v>3.1120835823913526</v>
      </c>
      <c r="KU37" s="58">
        <v>4.122022478204148E-2</v>
      </c>
      <c r="KV37" s="10">
        <f t="shared" si="83"/>
        <v>1.1869792180316183</v>
      </c>
      <c r="KW37" s="10" t="str">
        <f t="shared" si="102"/>
        <v xml:space="preserve"> </v>
      </c>
      <c r="KX37" s="76"/>
      <c r="KY37" s="27">
        <v>192</v>
      </c>
      <c r="KZ37" s="28">
        <v>3.7760541840923687</v>
      </c>
      <c r="LA37" s="29">
        <v>7.8073196925048202E-2</v>
      </c>
      <c r="LB37" s="10"/>
      <c r="LC37" s="42">
        <v>193</v>
      </c>
      <c r="LD37" s="43">
        <v>3.8028254904576313</v>
      </c>
      <c r="LE37" s="67">
        <v>7.9179111197541646E-2</v>
      </c>
      <c r="LF37" s="10">
        <f t="shared" si="84"/>
        <v>-0.24075581945924932</v>
      </c>
      <c r="LG37" s="10" t="str">
        <f t="shared" si="85"/>
        <v xml:space="preserve"> </v>
      </c>
      <c r="LH37" s="10"/>
      <c r="LI37" s="42">
        <v>199.49084417999944</v>
      </c>
      <c r="LJ37" s="43">
        <v>3.9041050412682647</v>
      </c>
      <c r="LK37" s="67">
        <v>6.483497872140917E-2</v>
      </c>
      <c r="LL37" s="10">
        <f t="shared" si="86"/>
        <v>-1.2617839290209252</v>
      </c>
      <c r="LM37" s="10" t="str">
        <f t="shared" si="87"/>
        <v xml:space="preserve"> </v>
      </c>
      <c r="LN37" s="10"/>
      <c r="LO37" s="53">
        <v>496</v>
      </c>
      <c r="LP37" s="55">
        <v>3.6975806451612931</v>
      </c>
      <c r="LQ37" s="56">
        <v>4.2955517172010863E-2</v>
      </c>
      <c r="LR37" s="10">
        <f t="shared" si="88"/>
        <v>0.8806362614541976</v>
      </c>
      <c r="LS37" s="10" t="str">
        <f t="shared" si="89"/>
        <v xml:space="preserve"> </v>
      </c>
      <c r="LT37" s="10"/>
      <c r="LU37" s="54">
        <v>479</v>
      </c>
      <c r="LV37" s="57">
        <v>3.7194139493016309</v>
      </c>
      <c r="LW37" s="58">
        <v>4.8084504512043956E-2</v>
      </c>
      <c r="LX37" s="10">
        <f t="shared" si="90"/>
        <v>0.61771831701744717</v>
      </c>
      <c r="LY37" s="10" t="str">
        <f t="shared" si="91"/>
        <v xml:space="preserve"> </v>
      </c>
      <c r="LZ37" s="76"/>
      <c r="MA37" s="27">
        <v>206</v>
      </c>
      <c r="MB37" s="28">
        <v>3.6357570750412851</v>
      </c>
      <c r="MC37" s="29">
        <v>6.6663619114877545E-2</v>
      </c>
      <c r="MD37" s="10"/>
      <c r="ME37" s="42">
        <v>141</v>
      </c>
      <c r="MF37" s="43">
        <v>3.8160791415978212</v>
      </c>
      <c r="MG37" s="67">
        <v>8.6942959024060879E-2</v>
      </c>
      <c r="MH37" s="10">
        <f t="shared" si="92"/>
        <v>-1.6458940301695293</v>
      </c>
      <c r="MI37" s="10" t="str">
        <f t="shared" si="93"/>
        <v xml:space="preserve"> </v>
      </c>
      <c r="MJ37" s="10"/>
      <c r="MK37" s="42">
        <v>126.50348137000007</v>
      </c>
      <c r="ML37" s="43">
        <v>3.7823935920033249</v>
      </c>
      <c r="MM37" s="67">
        <v>9.0287738781256635E-2</v>
      </c>
      <c r="MN37" s="10">
        <f t="shared" si="94"/>
        <v>-1.3065537924641855</v>
      </c>
      <c r="MO37" s="10" t="str">
        <f t="shared" si="95"/>
        <v xml:space="preserve"> </v>
      </c>
      <c r="MP37" s="10"/>
      <c r="MQ37" s="53">
        <v>212</v>
      </c>
      <c r="MR37" s="55">
        <v>3.7669127822381276</v>
      </c>
      <c r="MS37" s="56">
        <v>6.5352362474843995E-2</v>
      </c>
      <c r="MT37" s="10">
        <f t="shared" si="96"/>
        <v>-1.4049286222965625</v>
      </c>
      <c r="MU37" s="10" t="str">
        <f t="shared" si="97"/>
        <v xml:space="preserve"> </v>
      </c>
      <c r="MV37" s="10"/>
      <c r="MW37" s="54">
        <v>233</v>
      </c>
      <c r="MX37" s="57">
        <v>3.7519172732371744</v>
      </c>
      <c r="MY37" s="58">
        <v>6.7116861490478644E-2</v>
      </c>
      <c r="MZ37" s="10">
        <f t="shared" si="98"/>
        <v>-1.2279398621164694</v>
      </c>
      <c r="NA37" s="10" t="str">
        <f t="shared" si="103"/>
        <v xml:space="preserve"> </v>
      </c>
      <c r="NB37" s="58"/>
    </row>
    <row r="38" spans="1:366" x14ac:dyDescent="0.2">
      <c r="B38" s="65" t="s">
        <v>40</v>
      </c>
      <c r="C38" s="27">
        <v>417</v>
      </c>
      <c r="D38" s="28">
        <v>3.460654736703197</v>
      </c>
      <c r="E38" s="29">
        <v>5.3229166181337682E-2</v>
      </c>
      <c r="F38" s="10"/>
      <c r="G38" s="42">
        <v>130</v>
      </c>
      <c r="H38" s="43">
        <v>3.2920409803011825</v>
      </c>
      <c r="I38" s="67">
        <v>0.10064515267715843</v>
      </c>
      <c r="J38" s="10">
        <f t="shared" si="1"/>
        <v>1.4809614238905509</v>
      </c>
      <c r="K38" s="10" t="str">
        <f t="shared" si="2"/>
        <v xml:space="preserve"> </v>
      </c>
      <c r="L38" s="10"/>
      <c r="M38" s="42">
        <v>125.8084347300001</v>
      </c>
      <c r="N38" s="43">
        <v>3.4958677685950406</v>
      </c>
      <c r="O38" s="67">
        <v>8.0657927677993471E-2</v>
      </c>
      <c r="P38" s="10">
        <f t="shared" si="3"/>
        <v>-0.36437802372783001</v>
      </c>
      <c r="Q38" s="10" t="str">
        <f t="shared" si="4"/>
        <v xml:space="preserve"> </v>
      </c>
      <c r="R38" s="10"/>
      <c r="S38" s="53">
        <v>136</v>
      </c>
      <c r="T38" s="55">
        <v>3.4926470588235285</v>
      </c>
      <c r="U38" s="56">
        <v>7.8654948299226146E-2</v>
      </c>
      <c r="V38" s="10">
        <f t="shared" si="5"/>
        <v>-0.33685563647752637</v>
      </c>
      <c r="W38" s="10" t="str">
        <f t="shared" si="6"/>
        <v xml:space="preserve"> </v>
      </c>
      <c r="X38" s="10"/>
      <c r="Y38" s="54">
        <v>204</v>
      </c>
      <c r="Z38" s="57">
        <v>3.2303921568627429</v>
      </c>
      <c r="AA38" s="58">
        <v>6.170120738469765E-2</v>
      </c>
      <c r="AB38" s="10">
        <f t="shared" si="7"/>
        <v>2.8257048531901972</v>
      </c>
      <c r="AC38" s="10" t="str">
        <f t="shared" si="8"/>
        <v>*</v>
      </c>
      <c r="AD38" s="76"/>
      <c r="AE38" s="27">
        <v>100</v>
      </c>
      <c r="AF38" s="28">
        <v>3.7302172966435125</v>
      </c>
      <c r="AG38" s="29">
        <v>9.9704263715892805E-2</v>
      </c>
      <c r="AH38" s="67"/>
      <c r="AI38" s="42">
        <v>57</v>
      </c>
      <c r="AJ38" s="43">
        <v>3.6317869239022635</v>
      </c>
      <c r="AK38" s="67">
        <v>0.16480779401069309</v>
      </c>
      <c r="AL38" s="10">
        <f t="shared" si="9"/>
        <v>0.51100747740171926</v>
      </c>
      <c r="AM38" s="10" t="str">
        <f t="shared" si="10"/>
        <v xml:space="preserve"> </v>
      </c>
      <c r="AN38" s="67"/>
      <c r="AO38" s="42">
        <v>99.696065520000005</v>
      </c>
      <c r="AP38" s="43">
        <v>3.4024791306528583</v>
      </c>
      <c r="AQ38" s="67">
        <v>9.1959354683753158E-2</v>
      </c>
      <c r="AR38" s="10">
        <f t="shared" si="11"/>
        <v>2.4162843922462351</v>
      </c>
      <c r="AS38" s="10" t="str">
        <f t="shared" si="12"/>
        <v>*</v>
      </c>
      <c r="AT38" s="10"/>
      <c r="AU38" s="53">
        <v>129</v>
      </c>
      <c r="AV38" s="55">
        <v>3.3898586916582616</v>
      </c>
      <c r="AW38" s="56">
        <v>9.6463900697199734E-2</v>
      </c>
      <c r="AX38" s="10">
        <f t="shared" si="13"/>
        <v>2.4533751558721613</v>
      </c>
      <c r="AY38" s="10" t="str">
        <f t="shared" si="14"/>
        <v>*</v>
      </c>
      <c r="AZ38" s="10"/>
      <c r="BA38" s="54">
        <v>87</v>
      </c>
      <c r="BB38" s="57">
        <v>3.202043399386282</v>
      </c>
      <c r="BC38" s="58">
        <v>9.3516548888046683E-2</v>
      </c>
      <c r="BD38" s="10">
        <f t="shared" si="15"/>
        <v>3.8638072111620185</v>
      </c>
      <c r="BE38" s="10" t="str">
        <f t="shared" si="16"/>
        <v>*</v>
      </c>
      <c r="BF38" s="76"/>
      <c r="BG38" s="27">
        <v>1141</v>
      </c>
      <c r="BH38" s="28">
        <v>3.7651005468389953</v>
      </c>
      <c r="BI38" s="29">
        <v>2.9986639601985568E-2</v>
      </c>
      <c r="BJ38" s="10"/>
      <c r="BK38" s="42">
        <v>353</v>
      </c>
      <c r="BL38" s="43">
        <v>3.7822037613247113</v>
      </c>
      <c r="BM38" s="67">
        <v>5.187221270199719E-2</v>
      </c>
      <c r="BN38" s="10">
        <f t="shared" si="17"/>
        <v>-0.28545329078883142</v>
      </c>
      <c r="BO38" s="10" t="str">
        <f t="shared" si="18"/>
        <v xml:space="preserve"> </v>
      </c>
      <c r="BP38" s="10"/>
      <c r="BQ38" s="42">
        <v>346.3946660999992</v>
      </c>
      <c r="BR38" s="43">
        <v>3.6229439263297007</v>
      </c>
      <c r="BS38" s="67">
        <v>3.3391946176442991E-2</v>
      </c>
      <c r="BT38" s="10">
        <f t="shared" si="19"/>
        <v>3.1674777378035999</v>
      </c>
      <c r="BU38" s="10" t="str">
        <f t="shared" si="20"/>
        <v>*</v>
      </c>
      <c r="BV38" s="10"/>
      <c r="BW38" s="53">
        <v>358</v>
      </c>
      <c r="BX38" s="55">
        <v>3.9063966198178441</v>
      </c>
      <c r="BY38" s="56">
        <v>2.5844992863811488E-2</v>
      </c>
      <c r="BZ38" s="10">
        <f t="shared" si="21"/>
        <v>-3.5692183432494566</v>
      </c>
      <c r="CA38" s="10" t="str">
        <f t="shared" si="22"/>
        <v>*</v>
      </c>
      <c r="CB38" s="10"/>
      <c r="CC38" s="54">
        <v>409</v>
      </c>
      <c r="CD38" s="57">
        <v>3.6731904681893246</v>
      </c>
      <c r="CE38" s="58">
        <v>4.8846157897600065E-2</v>
      </c>
      <c r="CF38" s="10">
        <f t="shared" si="23"/>
        <v>1.6035622362947932</v>
      </c>
      <c r="CG38" s="10" t="str">
        <f t="shared" si="24"/>
        <v xml:space="preserve"> </v>
      </c>
      <c r="CH38" s="76"/>
      <c r="CI38" s="27">
        <v>693</v>
      </c>
      <c r="CJ38" s="28">
        <v>3.8887010417885319</v>
      </c>
      <c r="CK38" s="29">
        <v>3.6920456833692022E-2</v>
      </c>
      <c r="CL38" s="67"/>
      <c r="CM38" s="42">
        <v>224</v>
      </c>
      <c r="CN38" s="43">
        <v>4.0086694159713412</v>
      </c>
      <c r="CO38" s="67">
        <v>6.5049534450231136E-2</v>
      </c>
      <c r="CP38" s="10">
        <f t="shared" si="25"/>
        <v>-1.6039237758290028</v>
      </c>
      <c r="CQ38" s="10" t="str">
        <f t="shared" si="26"/>
        <v xml:space="preserve"> </v>
      </c>
      <c r="CR38" s="10"/>
      <c r="CS38" s="42">
        <v>231.45770807999946</v>
      </c>
      <c r="CT38" s="43">
        <v>4.048684463539689</v>
      </c>
      <c r="CU38" s="67">
        <v>5.4804011956118365E-2</v>
      </c>
      <c r="CV38" s="10">
        <f t="shared" si="27"/>
        <v>-2.4210473488106055</v>
      </c>
      <c r="CW38" s="10" t="str">
        <f t="shared" si="28"/>
        <v>*</v>
      </c>
      <c r="CX38" s="10"/>
      <c r="CY38" s="53">
        <v>210</v>
      </c>
      <c r="CZ38" s="55">
        <v>4.0511479908712316</v>
      </c>
      <c r="DA38" s="56">
        <v>6.718383108729048E-2</v>
      </c>
      <c r="DB38" s="10">
        <f t="shared" si="29"/>
        <v>-2.1190518009348258</v>
      </c>
      <c r="DC38" s="10" t="str">
        <f t="shared" si="0"/>
        <v>*</v>
      </c>
      <c r="DD38" s="10"/>
      <c r="DE38" s="54">
        <v>264</v>
      </c>
      <c r="DF38" s="57">
        <v>3.8181416135408224</v>
      </c>
      <c r="DG38" s="58">
        <v>5.7140371425338954E-2</v>
      </c>
      <c r="DH38" s="10">
        <f t="shared" si="30"/>
        <v>1.0371742043387067</v>
      </c>
      <c r="DI38" s="10" t="str">
        <f t="shared" si="31"/>
        <v xml:space="preserve"> </v>
      </c>
      <c r="DJ38" s="76"/>
      <c r="DK38" s="27">
        <v>199</v>
      </c>
      <c r="DL38" s="28">
        <v>3.3047100091310506</v>
      </c>
      <c r="DM38" s="29">
        <v>7.7516005373632998E-2</v>
      </c>
      <c r="DN38" s="10"/>
      <c r="DO38" s="42">
        <v>78</v>
      </c>
      <c r="DP38" s="43">
        <v>3.1037375553955608</v>
      </c>
      <c r="DQ38" s="67">
        <v>0.13746191074998371</v>
      </c>
      <c r="DR38" s="10">
        <f t="shared" si="32"/>
        <v>1.2734959020036962</v>
      </c>
      <c r="DS38" s="10" t="str">
        <f t="shared" si="33"/>
        <v xml:space="preserve"> </v>
      </c>
      <c r="DT38" s="10"/>
      <c r="DU38" s="42">
        <v>92.871854640000038</v>
      </c>
      <c r="DV38" s="43">
        <v>3.2895581665106293</v>
      </c>
      <c r="DW38" s="67">
        <v>0.11341895282795808</v>
      </c>
      <c r="DX38" s="10">
        <f t="shared" si="34"/>
        <v>0.11029344416169841</v>
      </c>
      <c r="DY38" s="10" t="str">
        <f t="shared" si="35"/>
        <v xml:space="preserve"> </v>
      </c>
      <c r="DZ38" s="10"/>
      <c r="EA38" s="53">
        <v>85</v>
      </c>
      <c r="EB38" s="55">
        <v>3.2821949962368002</v>
      </c>
      <c r="EC38" s="56">
        <v>0.10813779960348777</v>
      </c>
      <c r="ED38" s="10">
        <f t="shared" si="36"/>
        <v>0.16922117919226984</v>
      </c>
      <c r="EE38" s="10" t="str">
        <f t="shared" si="37"/>
        <v xml:space="preserve"> </v>
      </c>
      <c r="EF38" s="10"/>
      <c r="EG38" s="54">
        <v>60</v>
      </c>
      <c r="EH38" s="57">
        <v>3.3166666666666664</v>
      </c>
      <c r="EI38" s="58">
        <v>0.13962247425769284</v>
      </c>
      <c r="EJ38" s="10">
        <f t="shared" si="38"/>
        <v>-7.4870845572145864E-2</v>
      </c>
      <c r="EK38" s="10" t="str">
        <f t="shared" si="39"/>
        <v xml:space="preserve"> </v>
      </c>
      <c r="EL38" s="76"/>
      <c r="EM38" s="27">
        <v>457</v>
      </c>
      <c r="EN38" s="28">
        <v>4.0077794511896716</v>
      </c>
      <c r="EO38" s="29">
        <v>4.4219062025032167E-2</v>
      </c>
      <c r="EP38" s="10"/>
      <c r="EQ38" s="42">
        <v>152</v>
      </c>
      <c r="ER38" s="43">
        <v>4.1043862940773863</v>
      </c>
      <c r="ES38" s="67">
        <v>6.6101411168959415E-2</v>
      </c>
      <c r="ET38" s="10">
        <f t="shared" si="40"/>
        <v>-1.2147507304717942</v>
      </c>
      <c r="EU38" s="10" t="str">
        <f t="shared" si="41"/>
        <v xml:space="preserve"> </v>
      </c>
      <c r="EV38" s="10"/>
      <c r="EW38" s="42">
        <v>162.67098959999987</v>
      </c>
      <c r="EX38" s="43">
        <v>3.5577843425746267</v>
      </c>
      <c r="EY38" s="67">
        <v>6.9263195094181898E-2</v>
      </c>
      <c r="EZ38" s="10">
        <f t="shared" si="42"/>
        <v>5.4760645923237004</v>
      </c>
      <c r="FA38" s="10" t="str">
        <f t="shared" si="43"/>
        <v>*</v>
      </c>
      <c r="FB38" s="10"/>
      <c r="FC38" s="53">
        <v>153</v>
      </c>
      <c r="FD38" s="55">
        <v>3.7602151265863135</v>
      </c>
      <c r="FE38" s="56">
        <v>7.8235037123216833E-2</v>
      </c>
      <c r="FF38" s="10">
        <f t="shared" si="44"/>
        <v>2.7547910016453589</v>
      </c>
      <c r="FG38" s="10" t="str">
        <f t="shared" si="45"/>
        <v>*</v>
      </c>
      <c r="FH38" s="10"/>
      <c r="FI38" s="54">
        <v>198</v>
      </c>
      <c r="FJ38" s="57">
        <v>3.4676593708424943</v>
      </c>
      <c r="FK38" s="58">
        <v>6.5437513639958006E-2</v>
      </c>
      <c r="FL38" s="10">
        <f t="shared" si="46"/>
        <v>6.8389392686467367</v>
      </c>
      <c r="FM38" s="10" t="str">
        <f t="shared" si="99"/>
        <v>*</v>
      </c>
      <c r="FN38" s="76"/>
      <c r="FO38" s="27">
        <v>217</v>
      </c>
      <c r="FP38" s="28">
        <v>3.1194925494626196</v>
      </c>
      <c r="FQ38" s="29">
        <v>7.6269763986625175E-2</v>
      </c>
      <c r="FR38" s="67"/>
      <c r="FS38" s="42">
        <v>166</v>
      </c>
      <c r="FT38" s="43">
        <v>3.1516725584973591</v>
      </c>
      <c r="FU38" s="67">
        <v>9.000176571273813E-2</v>
      </c>
      <c r="FV38" s="10">
        <f t="shared" si="47"/>
        <v>-0.27277664856889999</v>
      </c>
      <c r="FW38" s="10" t="str">
        <f t="shared" si="48"/>
        <v xml:space="preserve"> </v>
      </c>
      <c r="FX38" s="67"/>
      <c r="FY38" s="42">
        <v>195.38443267000045</v>
      </c>
      <c r="FZ38" s="43">
        <v>3.3664621599149225</v>
      </c>
      <c r="GA38" s="67">
        <v>8.5362704006787332E-2</v>
      </c>
      <c r="GB38" s="10">
        <f t="shared" si="49"/>
        <v>-2.1574650034243557</v>
      </c>
      <c r="GC38" s="10" t="str">
        <f t="shared" si="50"/>
        <v>*</v>
      </c>
      <c r="GD38" s="10"/>
      <c r="GE38" s="53">
        <v>218</v>
      </c>
      <c r="GF38" s="55">
        <v>3.1475020057979424</v>
      </c>
      <c r="GG38" s="56">
        <v>8.0858780200650002E-2</v>
      </c>
      <c r="GH38" s="10">
        <f t="shared" si="51"/>
        <v>-0.25198776304485598</v>
      </c>
      <c r="GI38" s="10" t="str">
        <f t="shared" si="52"/>
        <v xml:space="preserve"> </v>
      </c>
      <c r="GJ38" s="10"/>
      <c r="GK38" s="54">
        <v>192</v>
      </c>
      <c r="GL38" s="57">
        <v>3.2566718997314377</v>
      </c>
      <c r="GM38" s="58">
        <v>8.1167542222723002E-2</v>
      </c>
      <c r="GN38" s="10">
        <f t="shared" si="53"/>
        <v>-1.2316463862802642</v>
      </c>
      <c r="GO38" s="10" t="str">
        <f t="shared" si="100"/>
        <v xml:space="preserve"> </v>
      </c>
      <c r="GP38" s="76"/>
      <c r="GQ38" s="27">
        <v>214</v>
      </c>
      <c r="GR38" s="28">
        <v>3.4298476384035439</v>
      </c>
      <c r="GS38" s="29">
        <v>8.2188403215591732E-2</v>
      </c>
      <c r="GT38" s="10"/>
      <c r="GU38" s="42">
        <v>128</v>
      </c>
      <c r="GV38" s="43">
        <v>3.5653964899354471</v>
      </c>
      <c r="GW38" s="67">
        <v>9.5631327093727875E-2</v>
      </c>
      <c r="GX38" s="10">
        <f t="shared" si="54"/>
        <v>-1.074962704586816</v>
      </c>
      <c r="GY38" s="10" t="str">
        <f t="shared" si="55"/>
        <v xml:space="preserve"> </v>
      </c>
      <c r="GZ38" s="10"/>
      <c r="HA38" s="42">
        <v>123.82249451999989</v>
      </c>
      <c r="HB38" s="43">
        <v>3.4868708466397647</v>
      </c>
      <c r="HC38" s="67">
        <v>0.10395521434830403</v>
      </c>
      <c r="HD38" s="10">
        <f t="shared" si="56"/>
        <v>-0.43029802967792735</v>
      </c>
      <c r="HE38" s="10" t="str">
        <f t="shared" si="57"/>
        <v xml:space="preserve"> </v>
      </c>
      <c r="HF38" s="10"/>
      <c r="HG38" s="53">
        <v>88</v>
      </c>
      <c r="HH38" s="55">
        <v>3.3477909388941041</v>
      </c>
      <c r="HI38" s="56">
        <v>9.1636204907564869E-2</v>
      </c>
      <c r="HJ38" s="10">
        <f t="shared" si="58"/>
        <v>0.66661830381366449</v>
      </c>
      <c r="HK38" s="10" t="str">
        <f t="shared" si="59"/>
        <v xml:space="preserve"> </v>
      </c>
      <c r="HL38" s="10"/>
      <c r="HM38" s="54">
        <v>151</v>
      </c>
      <c r="HN38" s="57">
        <v>3.5312393310337118</v>
      </c>
      <c r="HO38" s="58">
        <v>8.6696646858718793E-2</v>
      </c>
      <c r="HP38" s="10">
        <f t="shared" si="60"/>
        <v>-0.8487337745834086</v>
      </c>
      <c r="HQ38" s="10" t="str">
        <f t="shared" si="101"/>
        <v xml:space="preserve"> </v>
      </c>
      <c r="HR38" s="76"/>
      <c r="HS38" s="27">
        <v>561</v>
      </c>
      <c r="HT38" s="28">
        <v>3.783649350449394</v>
      </c>
      <c r="HU38" s="29">
        <v>4.2743680872856543E-2</v>
      </c>
      <c r="HV38" s="10"/>
      <c r="HW38" s="42">
        <v>389</v>
      </c>
      <c r="HX38" s="43">
        <v>3.6969807095100213</v>
      </c>
      <c r="HY38" s="67">
        <v>5.3755327448066222E-2</v>
      </c>
      <c r="HZ38" s="10">
        <f t="shared" si="61"/>
        <v>1.2619577543824068</v>
      </c>
      <c r="IA38" s="10" t="str">
        <f t="shared" si="62"/>
        <v xml:space="preserve"> </v>
      </c>
      <c r="IB38" s="10"/>
      <c r="IC38" s="42">
        <v>404.57566660000043</v>
      </c>
      <c r="ID38" s="43">
        <v>3.6845292545332731</v>
      </c>
      <c r="IE38" s="67">
        <v>4.9002192312822206E-2</v>
      </c>
      <c r="IF38" s="10">
        <f t="shared" si="63"/>
        <v>1.5243407054938121</v>
      </c>
      <c r="IG38" s="10" t="str">
        <f t="shared" si="64"/>
        <v xml:space="preserve"> </v>
      </c>
      <c r="IH38" s="10"/>
      <c r="II38" s="53">
        <v>394</v>
      </c>
      <c r="IJ38" s="55">
        <v>3.7379138284409392</v>
      </c>
      <c r="IK38" s="56">
        <v>5.1941844155763299E-2</v>
      </c>
      <c r="IL38" s="10">
        <f t="shared" si="65"/>
        <v>0.67990061139598712</v>
      </c>
      <c r="IM38" s="10" t="str">
        <f t="shared" si="66"/>
        <v xml:space="preserve"> </v>
      </c>
      <c r="IN38" s="10"/>
      <c r="IO38" s="54">
        <v>427</v>
      </c>
      <c r="IP38" s="57">
        <v>3.7074740728929392</v>
      </c>
      <c r="IQ38" s="58">
        <v>4.8317664027130648E-2</v>
      </c>
      <c r="IR38" s="10">
        <f t="shared" si="67"/>
        <v>1.1808177997173628</v>
      </c>
      <c r="IS38" s="10" t="str">
        <f t="shared" si="68"/>
        <v xml:space="preserve"> </v>
      </c>
      <c r="IT38" s="76"/>
      <c r="IU38" s="27">
        <v>44</v>
      </c>
      <c r="IV38" s="28">
        <v>3.6363636363636354</v>
      </c>
      <c r="IW38" s="29">
        <v>0.17842519727556164</v>
      </c>
      <c r="IX38" s="10"/>
      <c r="IY38" s="42">
        <v>35</v>
      </c>
      <c r="IZ38" s="43">
        <v>3.5154234433841016</v>
      </c>
      <c r="JA38" s="67">
        <v>0.19816446377578451</v>
      </c>
      <c r="JB38" s="10">
        <f t="shared" si="69"/>
        <v>0.45354615088197897</v>
      </c>
      <c r="JC38" s="10" t="str">
        <f t="shared" si="70"/>
        <v xml:space="preserve"> </v>
      </c>
      <c r="JD38" s="10"/>
      <c r="JE38" s="42">
        <v>32.673939870000005</v>
      </c>
      <c r="JF38" s="43">
        <v>3.5151515151515156</v>
      </c>
      <c r="JG38" s="67">
        <v>0.19127785530100283</v>
      </c>
      <c r="JH38" s="10">
        <f t="shared" si="71"/>
        <v>0.46338900911974085</v>
      </c>
      <c r="JI38" s="10" t="str">
        <f t="shared" si="72"/>
        <v xml:space="preserve"> </v>
      </c>
      <c r="JJ38" s="10"/>
      <c r="JK38" s="53">
        <v>32</v>
      </c>
      <c r="JL38" s="55">
        <v>3.3124999999999996</v>
      </c>
      <c r="JM38" s="56">
        <v>0.2152478183399627</v>
      </c>
      <c r="JN38" s="10">
        <f t="shared" si="73"/>
        <v>1.158377148203712</v>
      </c>
      <c r="JO38" s="10" t="str">
        <f t="shared" si="74"/>
        <v xml:space="preserve"> </v>
      </c>
      <c r="JP38" s="10"/>
      <c r="JQ38" s="54">
        <v>54</v>
      </c>
      <c r="JR38" s="57">
        <v>3.2962962962962954</v>
      </c>
      <c r="JS38" s="58">
        <v>0.16094855536315125</v>
      </c>
      <c r="JT38" s="10">
        <f t="shared" si="75"/>
        <v>1.4152285394446362</v>
      </c>
      <c r="JU38" s="10" t="str">
        <f t="shared" si="76"/>
        <v xml:space="preserve"> </v>
      </c>
      <c r="JV38" s="76"/>
      <c r="JW38" s="27">
        <v>513</v>
      </c>
      <c r="JX38" s="28">
        <v>2.8361913222018784</v>
      </c>
      <c r="JY38" s="29">
        <v>5.4906558957239095E-2</v>
      </c>
      <c r="JZ38" s="10"/>
      <c r="KA38" s="42">
        <v>315</v>
      </c>
      <c r="KB38" s="43">
        <v>2.7717974303790824</v>
      </c>
      <c r="KC38" s="67">
        <v>7.3333771480827495E-2</v>
      </c>
      <c r="KD38" s="10">
        <f t="shared" si="77"/>
        <v>0.70290580367813293</v>
      </c>
      <c r="KE38" s="10" t="str">
        <f t="shared" si="78"/>
        <v xml:space="preserve"> </v>
      </c>
      <c r="KF38" s="10"/>
      <c r="KG38" s="42">
        <v>355.27073196000077</v>
      </c>
      <c r="KH38" s="43">
        <v>3.0953432879289724</v>
      </c>
      <c r="KI38" s="67">
        <v>6.5283270078225611E-2</v>
      </c>
      <c r="KJ38" s="10">
        <f t="shared" si="79"/>
        <v>-3.0380099710949415</v>
      </c>
      <c r="KK38" s="10" t="str">
        <f t="shared" si="80"/>
        <v>*</v>
      </c>
      <c r="KL38" s="10"/>
      <c r="KM38" s="53">
        <v>697</v>
      </c>
      <c r="KN38" s="55">
        <v>2.7087134705802618</v>
      </c>
      <c r="KO38" s="56">
        <v>4.7360836601690735E-2</v>
      </c>
      <c r="KP38" s="10">
        <f t="shared" si="81"/>
        <v>1.7580595007757578</v>
      </c>
      <c r="KQ38" s="10" t="str">
        <f t="shared" si="82"/>
        <v xml:space="preserve"> </v>
      </c>
      <c r="KR38" s="10"/>
      <c r="KS38" s="54">
        <v>670</v>
      </c>
      <c r="KT38" s="57">
        <v>2.7281175038774657</v>
      </c>
      <c r="KU38" s="58">
        <v>4.5148297362567813E-2</v>
      </c>
      <c r="KV38" s="10">
        <f t="shared" si="83"/>
        <v>1.5203430509056344</v>
      </c>
      <c r="KW38" s="10" t="str">
        <f t="shared" si="102"/>
        <v xml:space="preserve"> </v>
      </c>
      <c r="KX38" s="76"/>
      <c r="KY38" s="27">
        <v>190</v>
      </c>
      <c r="KZ38" s="28">
        <v>3.5000282400311864</v>
      </c>
      <c r="LA38" s="29">
        <v>8.4381317329146083E-2</v>
      </c>
      <c r="LB38" s="10"/>
      <c r="LC38" s="42">
        <v>193</v>
      </c>
      <c r="LD38" s="43">
        <v>3.4866348207023572</v>
      </c>
      <c r="LE38" s="67">
        <v>8.3756958468030385E-2</v>
      </c>
      <c r="LF38" s="10">
        <f t="shared" si="84"/>
        <v>0.11265147440312587</v>
      </c>
      <c r="LG38" s="10" t="str">
        <f t="shared" si="85"/>
        <v xml:space="preserve"> </v>
      </c>
      <c r="LH38" s="10"/>
      <c r="LI38" s="42">
        <v>194.54024722999949</v>
      </c>
      <c r="LJ38" s="43">
        <v>3.6632736433579578</v>
      </c>
      <c r="LK38" s="67">
        <v>7.7126419554210457E-2</v>
      </c>
      <c r="LL38" s="10">
        <f t="shared" si="86"/>
        <v>-1.4279891622725918</v>
      </c>
      <c r="LM38" s="10" t="str">
        <f t="shared" si="87"/>
        <v xml:space="preserve"> </v>
      </c>
      <c r="LN38" s="10"/>
      <c r="LO38" s="53">
        <v>493</v>
      </c>
      <c r="LP38" s="55">
        <v>3.4158215010141992</v>
      </c>
      <c r="LQ38" s="56">
        <v>5.0389838395114891E-2</v>
      </c>
      <c r="LR38" s="10">
        <f t="shared" si="88"/>
        <v>0.85678738965746681</v>
      </c>
      <c r="LS38" s="10" t="str">
        <f t="shared" si="89"/>
        <v xml:space="preserve"> </v>
      </c>
      <c r="LT38" s="10"/>
      <c r="LU38" s="54">
        <v>478</v>
      </c>
      <c r="LV38" s="57">
        <v>3.4586586811806739</v>
      </c>
      <c r="LW38" s="58">
        <v>5.2920598831714148E-2</v>
      </c>
      <c r="LX38" s="10">
        <f t="shared" si="90"/>
        <v>0.41534369219431916</v>
      </c>
      <c r="LY38" s="10" t="str">
        <f t="shared" si="91"/>
        <v xml:space="preserve"> </v>
      </c>
      <c r="LZ38" s="76"/>
      <c r="MA38" s="27">
        <v>201</v>
      </c>
      <c r="MB38" s="28">
        <v>3.4424614784137386</v>
      </c>
      <c r="MC38" s="29">
        <v>7.4249997728316947E-2</v>
      </c>
      <c r="MD38" s="10"/>
      <c r="ME38" s="42">
        <v>134</v>
      </c>
      <c r="MF38" s="43">
        <v>3.5229438497530516</v>
      </c>
      <c r="MG38" s="67">
        <v>0.10147835494762358</v>
      </c>
      <c r="MH38" s="10">
        <f t="shared" si="92"/>
        <v>-0.64006224641977449</v>
      </c>
      <c r="MI38" s="10" t="str">
        <f t="shared" si="93"/>
        <v xml:space="preserve"> </v>
      </c>
      <c r="MJ38" s="10"/>
      <c r="MK38" s="42">
        <v>125.67231091000006</v>
      </c>
      <c r="ML38" s="43">
        <v>3.576111301413484</v>
      </c>
      <c r="MM38" s="67">
        <v>0.10179051771449792</v>
      </c>
      <c r="MN38" s="10">
        <f t="shared" si="94"/>
        <v>-1.0607672817721614</v>
      </c>
      <c r="MO38" s="10" t="str">
        <f t="shared" si="95"/>
        <v xml:space="preserve"> </v>
      </c>
      <c r="MP38" s="10"/>
      <c r="MQ38" s="53">
        <v>215</v>
      </c>
      <c r="MR38" s="55">
        <v>3.3815247916405395</v>
      </c>
      <c r="MS38" s="56">
        <v>7.6272076167168426E-2</v>
      </c>
      <c r="MT38" s="10">
        <f t="shared" si="96"/>
        <v>0.57247227363907216</v>
      </c>
      <c r="MU38" s="10" t="str">
        <f t="shared" si="97"/>
        <v xml:space="preserve"> </v>
      </c>
      <c r="MV38" s="10"/>
      <c r="MW38" s="54">
        <v>224</v>
      </c>
      <c r="MX38" s="57">
        <v>3.4366995000584026</v>
      </c>
      <c r="MY38" s="58">
        <v>7.8032420956751267E-2</v>
      </c>
      <c r="MZ38" s="10">
        <f t="shared" si="98"/>
        <v>5.3493735929906555E-2</v>
      </c>
      <c r="NA38" s="10" t="str">
        <f t="shared" si="103"/>
        <v xml:space="preserve"> </v>
      </c>
      <c r="NB38" s="58"/>
    </row>
    <row r="39" spans="1:366" x14ac:dyDescent="0.2">
      <c r="A39" s="73"/>
      <c r="B39" s="65" t="s">
        <v>41</v>
      </c>
      <c r="C39" s="27">
        <v>285</v>
      </c>
      <c r="D39" s="28">
        <v>3.7368421052631575</v>
      </c>
      <c r="E39" s="29">
        <v>6.4959445277766939E-2</v>
      </c>
      <c r="F39" s="10"/>
      <c r="G39" s="42">
        <v>86</v>
      </c>
      <c r="H39" s="43">
        <v>3.720930232558139</v>
      </c>
      <c r="I39" s="67">
        <v>0.116890274651923</v>
      </c>
      <c r="J39" s="10">
        <f t="shared" si="1"/>
        <v>0.11898721731237462</v>
      </c>
      <c r="K39" s="10" t="str">
        <f t="shared" si="2"/>
        <v xml:space="preserve"> </v>
      </c>
      <c r="L39" s="10"/>
      <c r="M39" s="42">
        <v>61.344608670000049</v>
      </c>
      <c r="N39" s="43">
        <v>3.3389830508474567</v>
      </c>
      <c r="O39" s="67">
        <v>0.13943494105823101</v>
      </c>
      <c r="P39" s="10">
        <f t="shared" si="3"/>
        <v>2.5864557927876839</v>
      </c>
      <c r="Q39" s="10" t="str">
        <f t="shared" si="4"/>
        <v>*</v>
      </c>
      <c r="R39" s="10"/>
      <c r="S39" s="53">
        <v>84</v>
      </c>
      <c r="T39" s="55">
        <v>3.6428571428571428</v>
      </c>
      <c r="U39" s="56">
        <v>0.11038819319877613</v>
      </c>
      <c r="V39" s="10">
        <f t="shared" si="5"/>
        <v>0.73378108461341673</v>
      </c>
      <c r="W39" s="10" t="str">
        <f t="shared" si="6"/>
        <v xml:space="preserve"> </v>
      </c>
      <c r="X39" s="10"/>
      <c r="Y39" s="54">
        <v>165</v>
      </c>
      <c r="Z39" s="57">
        <v>3.1030303030303044</v>
      </c>
      <c r="AA39" s="58">
        <v>7.8635220976646159E-2</v>
      </c>
      <c r="AB39" s="10">
        <f t="shared" si="7"/>
        <v>6.2140718983185472</v>
      </c>
      <c r="AC39" s="10" t="str">
        <f t="shared" si="8"/>
        <v>*</v>
      </c>
      <c r="AD39" s="76"/>
      <c r="AE39" s="27">
        <v>69</v>
      </c>
      <c r="AF39" s="28">
        <v>3.8869882615376272</v>
      </c>
      <c r="AG39" s="29">
        <v>0.11201970562783503</v>
      </c>
      <c r="AH39" s="67"/>
      <c r="AI39" s="42">
        <v>37</v>
      </c>
      <c r="AJ39" s="43">
        <v>3.8377797888880445</v>
      </c>
      <c r="AK39" s="67">
        <v>0.19503244329591832</v>
      </c>
      <c r="AL39" s="10">
        <f t="shared" si="9"/>
        <v>0.21878846536699245</v>
      </c>
      <c r="AM39" s="10" t="str">
        <f t="shared" si="10"/>
        <v xml:space="preserve"> </v>
      </c>
      <c r="AN39" s="67"/>
      <c r="AO39" s="42">
        <v>38.214843600000002</v>
      </c>
      <c r="AP39" s="43">
        <v>3.7500000000000004</v>
      </c>
      <c r="AQ39" s="67">
        <v>0.17863177351646495</v>
      </c>
      <c r="AR39" s="10">
        <f t="shared" si="11"/>
        <v>0.64969531776044576</v>
      </c>
      <c r="AS39" s="10" t="str">
        <f t="shared" si="12"/>
        <v xml:space="preserve"> </v>
      </c>
      <c r="AT39" s="10"/>
      <c r="AU39" s="53">
        <v>55</v>
      </c>
      <c r="AV39" s="55">
        <v>3.5857731563127975</v>
      </c>
      <c r="AW39" s="56">
        <v>0.15282635281635329</v>
      </c>
      <c r="AX39" s="10">
        <f t="shared" si="13"/>
        <v>1.5896571329477889</v>
      </c>
      <c r="AY39" s="10" t="str">
        <f t="shared" si="14"/>
        <v xml:space="preserve"> </v>
      </c>
      <c r="AZ39" s="10"/>
      <c r="BA39" s="54">
        <v>22</v>
      </c>
      <c r="BB39" s="57">
        <v>2.6927939141002817</v>
      </c>
      <c r="BC39" s="58">
        <v>0.20093108935621193</v>
      </c>
      <c r="BD39" s="10" t="str">
        <f t="shared" si="15"/>
        <v>NV</v>
      </c>
      <c r="BE39" s="10" t="str">
        <f t="shared" si="16"/>
        <v xml:space="preserve"> </v>
      </c>
      <c r="BF39" s="76"/>
      <c r="BG39" s="27">
        <v>769</v>
      </c>
      <c r="BH39" s="28">
        <v>3.8602277046409075</v>
      </c>
      <c r="BI39" s="29">
        <v>3.788932587588429E-2</v>
      </c>
      <c r="BJ39" s="10"/>
      <c r="BK39" s="42">
        <v>227</v>
      </c>
      <c r="BL39" s="43">
        <v>3.7580458672410444</v>
      </c>
      <c r="BM39" s="67">
        <v>7.1720956912276632E-2</v>
      </c>
      <c r="BN39" s="10">
        <f t="shared" si="17"/>
        <v>1.2597297093462441</v>
      </c>
      <c r="BO39" s="10" t="str">
        <f t="shared" si="18"/>
        <v xml:space="preserve"> </v>
      </c>
      <c r="BP39" s="10"/>
      <c r="BQ39" s="42">
        <v>94.55921544000006</v>
      </c>
      <c r="BR39" s="43">
        <v>3.0451637335412314</v>
      </c>
      <c r="BS39" s="67">
        <v>0.10460832853755898</v>
      </c>
      <c r="BT39" s="10">
        <f t="shared" si="19"/>
        <v>7.3258433143184574</v>
      </c>
      <c r="BU39" s="10" t="str">
        <f t="shared" si="20"/>
        <v>*</v>
      </c>
      <c r="BV39" s="10"/>
      <c r="BW39" s="53">
        <v>163</v>
      </c>
      <c r="BX39" s="55">
        <v>2.7831310985096716</v>
      </c>
      <c r="BY39" s="56">
        <v>5.8284699648030153E-2</v>
      </c>
      <c r="BZ39" s="10">
        <f t="shared" si="21"/>
        <v>15.493852405047987</v>
      </c>
      <c r="CA39" s="10" t="str">
        <f t="shared" si="22"/>
        <v>*</v>
      </c>
      <c r="CB39" s="10"/>
      <c r="CC39" s="54">
        <v>252</v>
      </c>
      <c r="CD39" s="57">
        <v>3.3939728956493744</v>
      </c>
      <c r="CE39" s="58">
        <v>7.5664816711692867E-2</v>
      </c>
      <c r="CF39" s="10">
        <f t="shared" si="23"/>
        <v>5.5098984950190548</v>
      </c>
      <c r="CG39" s="10" t="str">
        <f t="shared" si="24"/>
        <v>*</v>
      </c>
      <c r="CH39" s="76"/>
      <c r="CI39" s="27">
        <v>449</v>
      </c>
      <c r="CJ39" s="28">
        <v>4.0114747955205621</v>
      </c>
      <c r="CK39" s="29">
        <v>4.754528501811521E-2</v>
      </c>
      <c r="CL39" s="67"/>
      <c r="CM39" s="42">
        <v>129</v>
      </c>
      <c r="CN39" s="43">
        <v>3.9926214997900336</v>
      </c>
      <c r="CO39" s="67">
        <v>8.8249059565692914E-2</v>
      </c>
      <c r="CP39" s="10">
        <f t="shared" si="25"/>
        <v>0.18807788314885365</v>
      </c>
      <c r="CQ39" s="10" t="str">
        <f t="shared" si="26"/>
        <v xml:space="preserve"> </v>
      </c>
      <c r="CR39" s="10"/>
      <c r="CS39" s="42">
        <v>131.84361051000002</v>
      </c>
      <c r="CT39" s="43">
        <v>4.0100131200510445</v>
      </c>
      <c r="CU39" s="67">
        <v>8.9289682510826834E-2</v>
      </c>
      <c r="CV39" s="10">
        <f t="shared" si="27"/>
        <v>1.4449246329477963E-2</v>
      </c>
      <c r="CW39" s="10" t="str">
        <f t="shared" si="28"/>
        <v xml:space="preserve"> </v>
      </c>
      <c r="CX39" s="10"/>
      <c r="CY39" s="53">
        <v>156</v>
      </c>
      <c r="CZ39" s="55">
        <v>4.1136578392962244</v>
      </c>
      <c r="DA39" s="56">
        <v>7.9354038507210706E-2</v>
      </c>
      <c r="DB39" s="10">
        <f t="shared" si="29"/>
        <v>-1.1045932836781147</v>
      </c>
      <c r="DC39" s="10" t="str">
        <f t="shared" si="0"/>
        <v xml:space="preserve"> </v>
      </c>
      <c r="DD39" s="10"/>
      <c r="DE39" s="54">
        <v>126</v>
      </c>
      <c r="DF39" s="57">
        <v>3.7399872203255691</v>
      </c>
      <c r="DG39" s="58">
        <v>9.9102835101431183E-2</v>
      </c>
      <c r="DH39" s="10">
        <f t="shared" si="30"/>
        <v>2.4699142283257727</v>
      </c>
      <c r="DI39" s="10" t="str">
        <f t="shared" si="31"/>
        <v>*</v>
      </c>
      <c r="DJ39" s="76"/>
      <c r="DK39" s="27">
        <v>134</v>
      </c>
      <c r="DL39" s="28">
        <v>3.8353920362949703</v>
      </c>
      <c r="DM39" s="29">
        <v>9.0628181220795689E-2</v>
      </c>
      <c r="DN39" s="10"/>
      <c r="DO39" s="42">
        <v>53</v>
      </c>
      <c r="DP39" s="43">
        <v>3.5671336023188505</v>
      </c>
      <c r="DQ39" s="67">
        <v>0.16076518759973019</v>
      </c>
      <c r="DR39" s="10">
        <f t="shared" si="32"/>
        <v>1.4535768403047025</v>
      </c>
      <c r="DS39" s="10" t="str">
        <f t="shared" si="33"/>
        <v xml:space="preserve"> </v>
      </c>
      <c r="DT39" s="10"/>
      <c r="DU39" s="42">
        <v>45.411049560000031</v>
      </c>
      <c r="DV39" s="43">
        <v>3.6775957393220837</v>
      </c>
      <c r="DW39" s="67">
        <v>0.17496552207878643</v>
      </c>
      <c r="DX39" s="10">
        <f t="shared" si="34"/>
        <v>0.80081691663767074</v>
      </c>
      <c r="DY39" s="10" t="str">
        <f t="shared" si="35"/>
        <v xml:space="preserve"> </v>
      </c>
      <c r="DZ39" s="10"/>
      <c r="EA39" s="53">
        <v>52</v>
      </c>
      <c r="EB39" s="55">
        <v>3.3846153846153837</v>
      </c>
      <c r="EC39" s="56">
        <v>0.17983670005111091</v>
      </c>
      <c r="ED39" s="10">
        <f t="shared" si="36"/>
        <v>2.2384159157765429</v>
      </c>
      <c r="EE39" s="10" t="str">
        <f t="shared" si="37"/>
        <v>*</v>
      </c>
      <c r="EF39" s="10"/>
      <c r="EG39" s="54">
        <v>37</v>
      </c>
      <c r="EH39" s="57">
        <v>3.7567567567567566</v>
      </c>
      <c r="EI39" s="58">
        <v>0.16746424050934483</v>
      </c>
      <c r="EJ39" s="10">
        <f t="shared" si="38"/>
        <v>0.412968641749687</v>
      </c>
      <c r="EK39" s="10" t="str">
        <f t="shared" si="39"/>
        <v xml:space="preserve"> </v>
      </c>
      <c r="EL39" s="76"/>
      <c r="EM39" s="27">
        <v>321</v>
      </c>
      <c r="EN39" s="28">
        <v>3.9370406637547806</v>
      </c>
      <c r="EO39" s="29">
        <v>5.7661378624941605E-2</v>
      </c>
      <c r="EP39" s="10"/>
      <c r="EQ39" s="42">
        <v>98</v>
      </c>
      <c r="ER39" s="43">
        <v>3.979719565480111</v>
      </c>
      <c r="ES39" s="67">
        <v>0.10650846189218256</v>
      </c>
      <c r="ET39" s="10">
        <f t="shared" si="40"/>
        <v>-0.35238276007412056</v>
      </c>
      <c r="EU39" s="10" t="str">
        <f t="shared" si="41"/>
        <v xml:space="preserve"> </v>
      </c>
      <c r="EV39" s="10"/>
      <c r="EW39" s="42">
        <v>69.997593780000031</v>
      </c>
      <c r="EX39" s="43">
        <v>3.53513169963712</v>
      </c>
      <c r="EY39" s="67">
        <v>0.13906103123153687</v>
      </c>
      <c r="EZ39" s="10">
        <f t="shared" si="42"/>
        <v>2.6697516392139171</v>
      </c>
      <c r="FA39" s="10" t="str">
        <f t="shared" si="43"/>
        <v>*</v>
      </c>
      <c r="FB39" s="10"/>
      <c r="FC39" s="53">
        <v>96</v>
      </c>
      <c r="FD39" s="55">
        <v>3.7889882651441904</v>
      </c>
      <c r="FE39" s="56">
        <v>0.10174536998999001</v>
      </c>
      <c r="FF39" s="10">
        <f t="shared" si="44"/>
        <v>1.2659622058927706</v>
      </c>
      <c r="FG39" s="10" t="str">
        <f t="shared" si="45"/>
        <v xml:space="preserve"> </v>
      </c>
      <c r="FH39" s="10"/>
      <c r="FI39" s="54">
        <v>139</v>
      </c>
      <c r="FJ39" s="57">
        <v>2.9223532917201069</v>
      </c>
      <c r="FK39" s="58">
        <v>8.0898694997930898E-2</v>
      </c>
      <c r="FL39" s="10">
        <f t="shared" si="46"/>
        <v>10.213771656531014</v>
      </c>
      <c r="FM39" s="10" t="str">
        <f t="shared" si="99"/>
        <v>*</v>
      </c>
      <c r="FN39" s="76"/>
      <c r="FO39" s="27">
        <v>119</v>
      </c>
      <c r="FP39" s="28">
        <v>3.6425086339808646</v>
      </c>
      <c r="FQ39" s="29">
        <v>9.6239030256071875E-2</v>
      </c>
      <c r="FR39" s="67"/>
      <c r="FS39" s="42">
        <v>101</v>
      </c>
      <c r="FT39" s="43">
        <v>3.9014293374227194</v>
      </c>
      <c r="FU39" s="67">
        <v>9.7743923490175244E-2</v>
      </c>
      <c r="FV39" s="10">
        <f t="shared" si="47"/>
        <v>-1.8875790112942257</v>
      </c>
      <c r="FW39" s="10" t="str">
        <f t="shared" si="48"/>
        <v xml:space="preserve"> </v>
      </c>
      <c r="FX39" s="67"/>
      <c r="FY39" s="42">
        <v>102.63124816999994</v>
      </c>
      <c r="FZ39" s="43">
        <v>3.9276461694424705</v>
      </c>
      <c r="GA39" s="67">
        <v>0.10406677736026122</v>
      </c>
      <c r="GB39" s="10">
        <f t="shared" si="49"/>
        <v>-2.0116132194606036</v>
      </c>
      <c r="GC39" s="10" t="str">
        <f t="shared" si="50"/>
        <v>*</v>
      </c>
      <c r="GD39" s="10"/>
      <c r="GE39" s="53">
        <v>111</v>
      </c>
      <c r="GF39" s="55">
        <v>3.7558659226472408</v>
      </c>
      <c r="GG39" s="56">
        <v>9.775940491536747E-2</v>
      </c>
      <c r="GH39" s="10">
        <f t="shared" si="51"/>
        <v>-0.82632878973635149</v>
      </c>
      <c r="GI39" s="10" t="str">
        <f t="shared" si="52"/>
        <v xml:space="preserve"> </v>
      </c>
      <c r="GJ39" s="10"/>
      <c r="GK39" s="54">
        <v>117</v>
      </c>
      <c r="GL39" s="57">
        <v>3.9858064520147027</v>
      </c>
      <c r="GM39" s="58">
        <v>9.1024522858188392E-2</v>
      </c>
      <c r="GN39" s="10">
        <f t="shared" si="53"/>
        <v>-2.5915791249128781</v>
      </c>
      <c r="GO39" s="10" t="str">
        <f t="shared" si="100"/>
        <v>*</v>
      </c>
      <c r="GP39" s="76"/>
      <c r="GQ39" s="27">
        <v>142</v>
      </c>
      <c r="GR39" s="28">
        <v>3.8640776864314965</v>
      </c>
      <c r="GS39" s="29">
        <v>8.5336160132536032E-2</v>
      </c>
      <c r="GT39" s="10"/>
      <c r="GU39" s="42">
        <v>89</v>
      </c>
      <c r="GV39" s="43">
        <v>3.7692209233716296</v>
      </c>
      <c r="GW39" s="67">
        <v>0.13313771948140973</v>
      </c>
      <c r="GX39" s="10">
        <f t="shared" si="54"/>
        <v>0.5998319286889926</v>
      </c>
      <c r="GY39" s="10" t="str">
        <f t="shared" si="55"/>
        <v xml:space="preserve"> </v>
      </c>
      <c r="GZ39" s="10"/>
      <c r="HA39" s="42">
        <v>83.320605019999931</v>
      </c>
      <c r="HB39" s="43">
        <v>4.0017912335125798</v>
      </c>
      <c r="HC39" s="67">
        <v>0.11860776443894497</v>
      </c>
      <c r="HD39" s="10">
        <f t="shared" si="56"/>
        <v>-0.94249074478830541</v>
      </c>
      <c r="HE39" s="10" t="str">
        <f t="shared" si="57"/>
        <v xml:space="preserve"> </v>
      </c>
      <c r="HF39" s="10"/>
      <c r="HG39" s="53">
        <v>63</v>
      </c>
      <c r="HH39" s="55">
        <v>3.890102209079922</v>
      </c>
      <c r="HI39" s="56">
        <v>0.11201217212641211</v>
      </c>
      <c r="HJ39" s="10">
        <f t="shared" si="58"/>
        <v>-0.18481299666858741</v>
      </c>
      <c r="HK39" s="10" t="str">
        <f t="shared" si="59"/>
        <v xml:space="preserve"> </v>
      </c>
      <c r="HL39" s="10"/>
      <c r="HM39" s="54">
        <v>96</v>
      </c>
      <c r="HN39" s="57">
        <v>3.8898441704299049</v>
      </c>
      <c r="HO39" s="58">
        <v>0.10941701222040914</v>
      </c>
      <c r="HP39" s="10">
        <f t="shared" si="60"/>
        <v>-0.18569098101853923</v>
      </c>
      <c r="HQ39" s="10" t="str">
        <f t="shared" si="101"/>
        <v xml:space="preserve"> </v>
      </c>
      <c r="HR39" s="76"/>
      <c r="HS39" s="27">
        <v>308</v>
      </c>
      <c r="HT39" s="28">
        <v>3.8303962595325833</v>
      </c>
      <c r="HU39" s="29">
        <v>5.8795286107469216E-2</v>
      </c>
      <c r="HV39" s="10"/>
      <c r="HW39" s="42">
        <v>221</v>
      </c>
      <c r="HX39" s="43">
        <v>3.6994374049065719</v>
      </c>
      <c r="HY39" s="67">
        <v>7.0264541094407634E-2</v>
      </c>
      <c r="HZ39" s="10">
        <f t="shared" si="61"/>
        <v>1.429389567338063</v>
      </c>
      <c r="IA39" s="10" t="str">
        <f t="shared" si="62"/>
        <v xml:space="preserve"> </v>
      </c>
      <c r="IB39" s="10"/>
      <c r="IC39" s="42">
        <v>255.23602838000122</v>
      </c>
      <c r="ID39" s="43">
        <v>3.9208963777639552</v>
      </c>
      <c r="IE39" s="67">
        <v>6.2566596847763986E-2</v>
      </c>
      <c r="IF39" s="10">
        <f t="shared" si="63"/>
        <v>-1.0540767915226785</v>
      </c>
      <c r="IG39" s="10" t="str">
        <f t="shared" si="64"/>
        <v xml:space="preserve"> </v>
      </c>
      <c r="IH39" s="10"/>
      <c r="II39" s="53">
        <v>238</v>
      </c>
      <c r="IJ39" s="55">
        <v>3.8792780640047848</v>
      </c>
      <c r="IK39" s="56">
        <v>6.6647949699061612E-2</v>
      </c>
      <c r="IL39" s="10">
        <f t="shared" si="65"/>
        <v>-0.5500038280570525</v>
      </c>
      <c r="IM39" s="10" t="str">
        <f t="shared" si="66"/>
        <v xml:space="preserve"> </v>
      </c>
      <c r="IN39" s="10"/>
      <c r="IO39" s="54">
        <v>254</v>
      </c>
      <c r="IP39" s="57">
        <v>3.8574297187578428</v>
      </c>
      <c r="IQ39" s="58">
        <v>6.3694435030687682E-2</v>
      </c>
      <c r="IR39" s="10">
        <f t="shared" si="67"/>
        <v>-0.31186732717966986</v>
      </c>
      <c r="IS39" s="10" t="str">
        <f t="shared" si="68"/>
        <v xml:space="preserve"> </v>
      </c>
      <c r="IT39" s="76"/>
      <c r="IU39" s="27">
        <v>23</v>
      </c>
      <c r="IV39" s="28">
        <v>4.2608695652173907</v>
      </c>
      <c r="IW39" s="29">
        <v>0.18029962299312399</v>
      </c>
      <c r="IX39" s="10"/>
      <c r="IY39" s="42">
        <v>15</v>
      </c>
      <c r="IZ39" s="43">
        <v>4.5327225132233693</v>
      </c>
      <c r="JA39" s="67">
        <v>0.1333356039207225</v>
      </c>
      <c r="JB39" s="10" t="str">
        <f t="shared" si="69"/>
        <v>NV</v>
      </c>
      <c r="JC39" s="10" t="str">
        <f t="shared" si="70"/>
        <v xml:space="preserve"> </v>
      </c>
      <c r="JD39" s="10"/>
      <c r="JE39" s="42">
        <v>18.812268410000001</v>
      </c>
      <c r="JF39" s="43">
        <v>4.2105263157894726</v>
      </c>
      <c r="JG39" s="67">
        <v>0.2379235742328602</v>
      </c>
      <c r="JH39" s="10" t="str">
        <f t="shared" si="71"/>
        <v>NV</v>
      </c>
      <c r="JI39" s="10" t="str">
        <f t="shared" si="72"/>
        <v xml:space="preserve"> </v>
      </c>
      <c r="JJ39" s="10"/>
      <c r="JK39" s="53">
        <v>14</v>
      </c>
      <c r="JL39" s="55">
        <v>4.1428571428571423</v>
      </c>
      <c r="JM39" s="56">
        <v>0.29753049757510269</v>
      </c>
      <c r="JN39" s="10" t="str">
        <f t="shared" si="73"/>
        <v>NV</v>
      </c>
      <c r="JO39" s="10" t="str">
        <f t="shared" si="74"/>
        <v xml:space="preserve"> </v>
      </c>
      <c r="JP39" s="10"/>
      <c r="JQ39" s="54">
        <v>17</v>
      </c>
      <c r="JR39" s="57">
        <v>3.5294117647058818</v>
      </c>
      <c r="JS39" s="58">
        <v>0.30929918502919079</v>
      </c>
      <c r="JT39" s="10" t="str">
        <f t="shared" si="75"/>
        <v>NV</v>
      </c>
      <c r="JU39" s="10" t="str">
        <f t="shared" si="76"/>
        <v xml:space="preserve"> </v>
      </c>
      <c r="JV39" s="76"/>
      <c r="JW39" s="27">
        <v>251</v>
      </c>
      <c r="JX39" s="28">
        <v>3.7087797302273597</v>
      </c>
      <c r="JY39" s="29">
        <v>6.770865666104231E-2</v>
      </c>
      <c r="JZ39" s="10"/>
      <c r="KA39" s="42">
        <v>147</v>
      </c>
      <c r="KB39" s="43">
        <v>3.8438001068368992</v>
      </c>
      <c r="KC39" s="67">
        <v>8.6189088248392512E-2</v>
      </c>
      <c r="KD39" s="10">
        <f t="shared" si="77"/>
        <v>-1.2318935879849735</v>
      </c>
      <c r="KE39" s="10" t="str">
        <f t="shared" si="78"/>
        <v xml:space="preserve"> </v>
      </c>
      <c r="KF39" s="10"/>
      <c r="KG39" s="42">
        <v>208.76948804999955</v>
      </c>
      <c r="KH39" s="43">
        <v>3.9840748671127475</v>
      </c>
      <c r="KI39" s="67">
        <v>6.2752773646823717E-2</v>
      </c>
      <c r="KJ39" s="10">
        <f t="shared" si="79"/>
        <v>-2.9820730368329049</v>
      </c>
      <c r="KK39" s="10" t="str">
        <f t="shared" si="80"/>
        <v>*</v>
      </c>
      <c r="KL39" s="10"/>
      <c r="KM39" s="53">
        <v>358</v>
      </c>
      <c r="KN39" s="55">
        <v>3.7518481145308762</v>
      </c>
      <c r="KO39" s="56">
        <v>5.2002188538784647E-2</v>
      </c>
      <c r="KP39" s="10">
        <f t="shared" si="81"/>
        <v>-0.50446825922359184</v>
      </c>
      <c r="KQ39" s="10" t="str">
        <f t="shared" si="82"/>
        <v xml:space="preserve"> </v>
      </c>
      <c r="KR39" s="10"/>
      <c r="KS39" s="54">
        <v>342</v>
      </c>
      <c r="KT39" s="57">
        <v>3.7892789290541935</v>
      </c>
      <c r="KU39" s="58">
        <v>4.9801381626376214E-2</v>
      </c>
      <c r="KV39" s="10">
        <f t="shared" si="83"/>
        <v>-0.9577376186287655</v>
      </c>
      <c r="KW39" s="10" t="str">
        <f t="shared" si="102"/>
        <v xml:space="preserve"> </v>
      </c>
      <c r="KX39" s="76"/>
      <c r="KY39" s="27">
        <v>76</v>
      </c>
      <c r="KZ39" s="28">
        <v>3.9999999999999996</v>
      </c>
      <c r="LA39" s="29">
        <v>0.1009157337995305</v>
      </c>
      <c r="LB39" s="10"/>
      <c r="LC39" s="42">
        <v>89</v>
      </c>
      <c r="LD39" s="43">
        <v>4.2245977518450539</v>
      </c>
      <c r="LE39" s="67">
        <v>8.8583925278342843E-2</v>
      </c>
      <c r="LF39" s="10">
        <f t="shared" si="84"/>
        <v>-1.6726086104873479</v>
      </c>
      <c r="LG39" s="10" t="str">
        <f t="shared" si="85"/>
        <v xml:space="preserve"> </v>
      </c>
      <c r="LH39" s="10"/>
      <c r="LI39" s="42">
        <v>106.10172366000006</v>
      </c>
      <c r="LJ39" s="43">
        <v>3.97350269964502</v>
      </c>
      <c r="LK39" s="67">
        <v>8.3796430411678974E-2</v>
      </c>
      <c r="LL39" s="10">
        <f t="shared" si="86"/>
        <v>0.20200580586029179</v>
      </c>
      <c r="LM39" s="10" t="str">
        <f t="shared" si="87"/>
        <v xml:space="preserve"> </v>
      </c>
      <c r="LN39" s="10"/>
      <c r="LO39" s="53">
        <v>215</v>
      </c>
      <c r="LP39" s="55">
        <v>3.8139534883720936</v>
      </c>
      <c r="LQ39" s="56">
        <v>6.5788588130638717E-2</v>
      </c>
      <c r="LR39" s="10">
        <f t="shared" si="88"/>
        <v>1.5443866763783312</v>
      </c>
      <c r="LS39" s="10" t="str">
        <f t="shared" si="89"/>
        <v xml:space="preserve"> </v>
      </c>
      <c r="LT39" s="10"/>
      <c r="LU39" s="54">
        <v>213</v>
      </c>
      <c r="LV39" s="57">
        <v>3.9220023054342215</v>
      </c>
      <c r="LW39" s="58">
        <v>6.6048935772115097E-2</v>
      </c>
      <c r="LX39" s="10">
        <f t="shared" si="90"/>
        <v>0.64670065080339101</v>
      </c>
      <c r="LY39" s="10" t="str">
        <f t="shared" si="91"/>
        <v xml:space="preserve"> </v>
      </c>
      <c r="LZ39" s="76"/>
      <c r="MA39" s="27">
        <v>100</v>
      </c>
      <c r="MB39" s="28">
        <v>3.9202916237803747</v>
      </c>
      <c r="MC39" s="29">
        <v>9.4979185407556607E-2</v>
      </c>
      <c r="MD39" s="10"/>
      <c r="ME39" s="42">
        <v>71</v>
      </c>
      <c r="MF39" s="43">
        <v>4.1416712781800697</v>
      </c>
      <c r="MG39" s="67">
        <v>0.10294201573585993</v>
      </c>
      <c r="MH39" s="10">
        <f t="shared" si="92"/>
        <v>-1.580553445894904</v>
      </c>
      <c r="MI39" s="10" t="str">
        <f t="shared" si="93"/>
        <v xml:space="preserve"> </v>
      </c>
      <c r="MJ39" s="10"/>
      <c r="MK39" s="42">
        <v>51.290833539999952</v>
      </c>
      <c r="ML39" s="43">
        <v>4.0030989734233131</v>
      </c>
      <c r="MM39" s="67">
        <v>0.12153553321779562</v>
      </c>
      <c r="MN39" s="10">
        <f t="shared" si="94"/>
        <v>-0.53685133121231643</v>
      </c>
      <c r="MO39" s="10" t="str">
        <f t="shared" si="95"/>
        <v xml:space="preserve"> </v>
      </c>
      <c r="MP39" s="10"/>
      <c r="MQ39" s="53">
        <v>106</v>
      </c>
      <c r="MR39" s="55">
        <v>3.8938618402933196</v>
      </c>
      <c r="MS39" s="56">
        <v>8.9908136572132286E-2</v>
      </c>
      <c r="MT39" s="10">
        <f t="shared" si="96"/>
        <v>0.2020869068105712</v>
      </c>
      <c r="MU39" s="10" t="str">
        <f t="shared" si="97"/>
        <v xml:space="preserve"> </v>
      </c>
      <c r="MV39" s="10"/>
      <c r="MW39" s="54">
        <v>117</v>
      </c>
      <c r="MX39" s="57">
        <v>4.1358250154585177</v>
      </c>
      <c r="MY39" s="58">
        <v>8.215114228904323E-2</v>
      </c>
      <c r="MZ39" s="10">
        <f t="shared" si="98"/>
        <v>-1.7163296357902174</v>
      </c>
      <c r="NA39" s="10" t="str">
        <f t="shared" si="103"/>
        <v xml:space="preserve"> </v>
      </c>
      <c r="NB39" s="58"/>
    </row>
    <row r="40" spans="1:366" x14ac:dyDescent="0.2">
      <c r="B40" s="65" t="s">
        <v>42</v>
      </c>
      <c r="C40" s="27">
        <v>250</v>
      </c>
      <c r="D40" s="28">
        <v>3.6080000000000014</v>
      </c>
      <c r="E40" s="29">
        <v>7.343863217377708E-2</v>
      </c>
      <c r="F40" s="10"/>
      <c r="G40" s="42">
        <v>72</v>
      </c>
      <c r="H40" s="43">
        <v>3.5277777777777772</v>
      </c>
      <c r="I40" s="67">
        <v>0.11731172990642121</v>
      </c>
      <c r="J40" s="10">
        <f t="shared" si="1"/>
        <v>0.57962952089773634</v>
      </c>
      <c r="K40" s="10" t="str">
        <f t="shared" si="2"/>
        <v xml:space="preserve"> </v>
      </c>
      <c r="L40" s="10"/>
      <c r="M40" s="42">
        <v>58.225391280000046</v>
      </c>
      <c r="N40" s="43">
        <v>3.4821428571428568</v>
      </c>
      <c r="O40" s="67">
        <v>0.12488751863976719</v>
      </c>
      <c r="P40" s="10">
        <f t="shared" si="3"/>
        <v>0.86870106885813236</v>
      </c>
      <c r="Q40" s="10" t="str">
        <f t="shared" si="4"/>
        <v xml:space="preserve"> </v>
      </c>
      <c r="R40" s="10"/>
      <c r="S40" s="53">
        <v>76</v>
      </c>
      <c r="T40" s="55">
        <v>3.6315789473684212</v>
      </c>
      <c r="U40" s="56">
        <v>0.11456575222400125</v>
      </c>
      <c r="V40" s="10">
        <f t="shared" si="5"/>
        <v>-0.17326904866311874</v>
      </c>
      <c r="W40" s="10" t="str">
        <f t="shared" si="6"/>
        <v xml:space="preserve"> </v>
      </c>
      <c r="X40" s="10"/>
      <c r="Y40" s="54">
        <v>137</v>
      </c>
      <c r="Z40" s="57">
        <v>3.1313868613138687</v>
      </c>
      <c r="AA40" s="58">
        <v>8.4375849474872838E-2</v>
      </c>
      <c r="AB40" s="10">
        <f t="shared" si="7"/>
        <v>4.2608247885045429</v>
      </c>
      <c r="AC40" s="10" t="str">
        <f t="shared" si="8"/>
        <v>*</v>
      </c>
      <c r="AD40" s="76"/>
      <c r="AE40" s="27">
        <v>57</v>
      </c>
      <c r="AF40" s="28">
        <v>3.6361224647153736</v>
      </c>
      <c r="AG40" s="29">
        <v>0.148663472068299</v>
      </c>
      <c r="AH40" s="67"/>
      <c r="AI40" s="42">
        <v>34</v>
      </c>
      <c r="AJ40" s="43">
        <v>3.4115355492433346</v>
      </c>
      <c r="AK40" s="67">
        <v>0.22701257024984411</v>
      </c>
      <c r="AL40" s="10">
        <f t="shared" si="9"/>
        <v>0.82763858070292506</v>
      </c>
      <c r="AM40" s="10" t="str">
        <f t="shared" si="10"/>
        <v xml:space="preserve"> </v>
      </c>
      <c r="AN40" s="67"/>
      <c r="AO40" s="42">
        <v>35.348730330000002</v>
      </c>
      <c r="AP40" s="43">
        <v>3.6486486486486491</v>
      </c>
      <c r="AQ40" s="67">
        <v>0.14957217247383447</v>
      </c>
      <c r="AR40" s="10">
        <f t="shared" si="11"/>
        <v>-5.9398054185555528E-2</v>
      </c>
      <c r="AS40" s="10" t="str">
        <f t="shared" si="12"/>
        <v xml:space="preserve"> </v>
      </c>
      <c r="AT40" s="10"/>
      <c r="AU40" s="53">
        <v>42</v>
      </c>
      <c r="AV40" s="55">
        <v>3.3593604932241745</v>
      </c>
      <c r="AW40" s="56">
        <v>0.18694584583186244</v>
      </c>
      <c r="AX40" s="10">
        <f t="shared" si="13"/>
        <v>1.1587245287019499</v>
      </c>
      <c r="AY40" s="10" t="str">
        <f t="shared" si="14"/>
        <v xml:space="preserve"> </v>
      </c>
      <c r="AZ40" s="10"/>
      <c r="BA40" s="54">
        <v>16</v>
      </c>
      <c r="BB40" s="57">
        <v>3.2342403310985528</v>
      </c>
      <c r="BC40" s="58">
        <v>0.2636787252491703</v>
      </c>
      <c r="BD40" s="10" t="str">
        <f t="shared" si="15"/>
        <v>NV</v>
      </c>
      <c r="BE40" s="10" t="str">
        <f t="shared" si="16"/>
        <v xml:space="preserve"> </v>
      </c>
      <c r="BF40" s="76"/>
      <c r="BG40" s="27">
        <v>680</v>
      </c>
      <c r="BH40" s="28">
        <v>3.7474043260918228</v>
      </c>
      <c r="BI40" s="29">
        <v>4.1830321151912743E-2</v>
      </c>
      <c r="BJ40" s="10"/>
      <c r="BK40" s="42">
        <v>189</v>
      </c>
      <c r="BL40" s="43">
        <v>3.730373172398568</v>
      </c>
      <c r="BM40" s="67">
        <v>8.0048700558449912E-2</v>
      </c>
      <c r="BN40" s="10">
        <f t="shared" si="17"/>
        <v>0.18856611674546758</v>
      </c>
      <c r="BO40" s="10" t="str">
        <f t="shared" si="18"/>
        <v xml:space="preserve"> </v>
      </c>
      <c r="BP40" s="10"/>
      <c r="BQ40" s="42">
        <v>106.16508195000007</v>
      </c>
      <c r="BR40" s="43">
        <v>3.1037562447810085</v>
      </c>
      <c r="BS40" s="67">
        <v>7.780717173213339E-2</v>
      </c>
      <c r="BT40" s="10">
        <f t="shared" si="19"/>
        <v>7.2861366668773702</v>
      </c>
      <c r="BU40" s="10" t="str">
        <f t="shared" si="20"/>
        <v>*</v>
      </c>
      <c r="BV40" s="10"/>
      <c r="BW40" s="53">
        <v>109</v>
      </c>
      <c r="BX40" s="55">
        <v>3.1428305985851632</v>
      </c>
      <c r="BY40" s="56">
        <v>5.8395221189267599E-2</v>
      </c>
      <c r="BZ40" s="10">
        <f t="shared" si="21"/>
        <v>8.4165436088323471</v>
      </c>
      <c r="CA40" s="10" t="str">
        <f t="shared" si="22"/>
        <v>*</v>
      </c>
      <c r="CB40" s="10"/>
      <c r="CC40" s="54">
        <v>183</v>
      </c>
      <c r="CD40" s="57">
        <v>3.5823851598524428</v>
      </c>
      <c r="CE40" s="58">
        <v>8.6760855501401626E-2</v>
      </c>
      <c r="CF40" s="10">
        <f t="shared" si="23"/>
        <v>1.7132684533596831</v>
      </c>
      <c r="CG40" s="10" t="str">
        <f t="shared" si="24"/>
        <v xml:space="preserve"> </v>
      </c>
      <c r="CH40" s="76"/>
      <c r="CI40" s="27">
        <v>381</v>
      </c>
      <c r="CJ40" s="28">
        <v>3.7307188817135746</v>
      </c>
      <c r="CK40" s="29">
        <v>5.5916919818242837E-2</v>
      </c>
      <c r="CL40" s="67"/>
      <c r="CM40" s="42">
        <v>122</v>
      </c>
      <c r="CN40" s="43">
        <v>3.7454993324438397</v>
      </c>
      <c r="CO40" s="67">
        <v>0.10689906987306322</v>
      </c>
      <c r="CP40" s="10">
        <f t="shared" si="25"/>
        <v>-0.12251656328613096</v>
      </c>
      <c r="CQ40" s="10" t="str">
        <f t="shared" si="26"/>
        <v xml:space="preserve"> </v>
      </c>
      <c r="CR40" s="10"/>
      <c r="CS40" s="42">
        <v>115.43356590000002</v>
      </c>
      <c r="CT40" s="43">
        <v>3.8113419076140667</v>
      </c>
      <c r="CU40" s="67">
        <v>9.6578978510247937E-2</v>
      </c>
      <c r="CV40" s="10">
        <f t="shared" si="27"/>
        <v>-0.72243895929462576</v>
      </c>
      <c r="CW40" s="10" t="str">
        <f t="shared" si="28"/>
        <v xml:space="preserve"> </v>
      </c>
      <c r="CX40" s="10"/>
      <c r="CY40" s="53">
        <v>130</v>
      </c>
      <c r="CZ40" s="55">
        <v>3.9185892112505294</v>
      </c>
      <c r="DA40" s="56">
        <v>9.3835575714599634E-2</v>
      </c>
      <c r="DB40" s="10">
        <f t="shared" si="29"/>
        <v>-1.7199067530482752</v>
      </c>
      <c r="DC40" s="10" t="str">
        <f t="shared" si="0"/>
        <v xml:space="preserve"> </v>
      </c>
      <c r="DD40" s="10"/>
      <c r="DE40" s="54">
        <v>109</v>
      </c>
      <c r="DF40" s="57">
        <v>3.6910091223390462</v>
      </c>
      <c r="DG40" s="58">
        <v>0.10518367052974832</v>
      </c>
      <c r="DH40" s="10">
        <f t="shared" si="30"/>
        <v>0.33335069729552186</v>
      </c>
      <c r="DI40" s="10" t="str">
        <f t="shared" si="31"/>
        <v xml:space="preserve"> </v>
      </c>
      <c r="DJ40" s="76"/>
      <c r="DK40" s="27">
        <v>122</v>
      </c>
      <c r="DL40" s="28">
        <v>3.524438358669459</v>
      </c>
      <c r="DM40" s="29">
        <v>0.10344557894207908</v>
      </c>
      <c r="DN40" s="10"/>
      <c r="DO40" s="42">
        <v>50</v>
      </c>
      <c r="DP40" s="43">
        <v>3.6808564375863586</v>
      </c>
      <c r="DQ40" s="67">
        <v>0.15535807203973745</v>
      </c>
      <c r="DR40" s="10">
        <f t="shared" si="32"/>
        <v>-0.83804209859901946</v>
      </c>
      <c r="DS40" s="10" t="str">
        <f t="shared" si="33"/>
        <v xml:space="preserve"> </v>
      </c>
      <c r="DT40" s="10"/>
      <c r="DU40" s="42">
        <v>40.212353910000026</v>
      </c>
      <c r="DV40" s="43">
        <v>3.7693921586695796</v>
      </c>
      <c r="DW40" s="67">
        <v>0.16811547937701651</v>
      </c>
      <c r="DX40" s="10">
        <f t="shared" si="34"/>
        <v>-1.240947807492524</v>
      </c>
      <c r="DY40" s="10" t="str">
        <f t="shared" si="35"/>
        <v xml:space="preserve"> </v>
      </c>
      <c r="DZ40" s="10"/>
      <c r="EA40" s="53">
        <v>49</v>
      </c>
      <c r="EB40" s="55">
        <v>3.6734693877551035</v>
      </c>
      <c r="EC40" s="56">
        <v>0.15013560408456122</v>
      </c>
      <c r="ED40" s="10">
        <f t="shared" si="36"/>
        <v>-0.81740100937122906</v>
      </c>
      <c r="EE40" s="10" t="str">
        <f t="shared" si="37"/>
        <v xml:space="preserve"> </v>
      </c>
      <c r="EF40" s="10"/>
      <c r="EG40" s="54">
        <v>32</v>
      </c>
      <c r="EH40" s="57">
        <v>3.4999999999999991</v>
      </c>
      <c r="EI40" s="58">
        <v>0.16772431340733007</v>
      </c>
      <c r="EJ40" s="10">
        <f t="shared" si="38"/>
        <v>0.12401514717779946</v>
      </c>
      <c r="EK40" s="10" t="str">
        <f t="shared" si="39"/>
        <v xml:space="preserve"> </v>
      </c>
      <c r="EL40" s="76"/>
      <c r="EM40" s="27">
        <v>283</v>
      </c>
      <c r="EN40" s="28">
        <v>3.7952439884705562</v>
      </c>
      <c r="EO40" s="29">
        <v>6.318232813786373E-2</v>
      </c>
      <c r="EP40" s="10"/>
      <c r="EQ40" s="42">
        <v>86</v>
      </c>
      <c r="ER40" s="43">
        <v>3.7674058128827026</v>
      </c>
      <c r="ES40" s="67">
        <v>0.12228757923994518</v>
      </c>
      <c r="ET40" s="10">
        <f t="shared" si="40"/>
        <v>0.20224558004017046</v>
      </c>
      <c r="EU40" s="10" t="str">
        <f t="shared" si="41"/>
        <v xml:space="preserve"> </v>
      </c>
      <c r="EV40" s="10"/>
      <c r="EW40" s="42">
        <v>58.280036580000029</v>
      </c>
      <c r="EX40" s="43">
        <v>3.4744526244770584</v>
      </c>
      <c r="EY40" s="67">
        <v>0.15819893124373718</v>
      </c>
      <c r="EZ40" s="10">
        <f t="shared" si="42"/>
        <v>1.8831379347558723</v>
      </c>
      <c r="FA40" s="10" t="str">
        <f t="shared" si="43"/>
        <v xml:space="preserve"> </v>
      </c>
      <c r="FB40" s="10"/>
      <c r="FC40" s="53">
        <v>82</v>
      </c>
      <c r="FD40" s="55">
        <v>3.7186488520759813</v>
      </c>
      <c r="FE40" s="56">
        <v>0.11220743624877104</v>
      </c>
      <c r="FF40" s="10">
        <f t="shared" si="44"/>
        <v>0.59480688924843261</v>
      </c>
      <c r="FG40" s="10" t="str">
        <f t="shared" si="45"/>
        <v xml:space="preserve"> </v>
      </c>
      <c r="FH40" s="10"/>
      <c r="FI40" s="54">
        <v>115</v>
      </c>
      <c r="FJ40" s="57">
        <v>3.1783360973005577</v>
      </c>
      <c r="FK40" s="58">
        <v>9.9937974927307938E-2</v>
      </c>
      <c r="FL40" s="10">
        <f t="shared" si="46"/>
        <v>5.217625077347793</v>
      </c>
      <c r="FM40" s="10" t="str">
        <f t="shared" si="99"/>
        <v>*</v>
      </c>
      <c r="FN40" s="76"/>
      <c r="FO40" s="27">
        <v>104</v>
      </c>
      <c r="FP40" s="28">
        <v>3.2533530729705005</v>
      </c>
      <c r="FQ40" s="29">
        <v>0.12742676539884987</v>
      </c>
      <c r="FR40" s="67"/>
      <c r="FS40" s="42">
        <v>73</v>
      </c>
      <c r="FT40" s="43">
        <v>3.6867635325789245</v>
      </c>
      <c r="FU40" s="67">
        <v>0.11971387975439832</v>
      </c>
      <c r="FV40" s="10">
        <f t="shared" si="47"/>
        <v>-2.4788989181071162</v>
      </c>
      <c r="FW40" s="10" t="str">
        <f t="shared" si="48"/>
        <v>*</v>
      </c>
      <c r="FX40" s="67"/>
      <c r="FY40" s="42">
        <v>84.500805349999951</v>
      </c>
      <c r="FZ40" s="43">
        <v>3.6160974356914815</v>
      </c>
      <c r="GA40" s="67">
        <v>0.13263917431648156</v>
      </c>
      <c r="GB40" s="10">
        <f t="shared" si="49"/>
        <v>-1.9721728706268744</v>
      </c>
      <c r="GC40" s="10" t="str">
        <f t="shared" si="50"/>
        <v>*</v>
      </c>
      <c r="GD40" s="10"/>
      <c r="GE40" s="53">
        <v>96</v>
      </c>
      <c r="GF40" s="55">
        <v>3.486481121110903</v>
      </c>
      <c r="GG40" s="56">
        <v>0.12070783660261852</v>
      </c>
      <c r="GH40" s="10">
        <f t="shared" si="51"/>
        <v>-1.328198667149795</v>
      </c>
      <c r="GI40" s="10" t="str">
        <f t="shared" si="52"/>
        <v xml:space="preserve"> </v>
      </c>
      <c r="GJ40" s="10"/>
      <c r="GK40" s="54">
        <v>104</v>
      </c>
      <c r="GL40" s="57">
        <v>3.6470019346196154</v>
      </c>
      <c r="GM40" s="58">
        <v>0.10261228979466991</v>
      </c>
      <c r="GN40" s="10">
        <f t="shared" si="53"/>
        <v>-2.4060811207387243</v>
      </c>
      <c r="GO40" s="10" t="str">
        <f t="shared" si="100"/>
        <v>*</v>
      </c>
      <c r="GP40" s="76"/>
      <c r="GQ40" s="27">
        <v>119</v>
      </c>
      <c r="GR40" s="28">
        <v>3.6069738264552478</v>
      </c>
      <c r="GS40" s="29">
        <v>9.6202921266959701E-2</v>
      </c>
      <c r="GT40" s="10"/>
      <c r="GU40" s="42">
        <v>77</v>
      </c>
      <c r="GV40" s="43">
        <v>3.6006992393815089</v>
      </c>
      <c r="GW40" s="67">
        <v>0.12890134674520456</v>
      </c>
      <c r="GX40" s="10">
        <f t="shared" si="54"/>
        <v>3.9010565140040726E-2</v>
      </c>
      <c r="GY40" s="10" t="str">
        <f t="shared" si="55"/>
        <v xml:space="preserve"> </v>
      </c>
      <c r="GZ40" s="10"/>
      <c r="HA40" s="42">
        <v>60.122543129999961</v>
      </c>
      <c r="HB40" s="43">
        <v>4.0274976794714998</v>
      </c>
      <c r="HC40" s="67">
        <v>0.13351985260675431</v>
      </c>
      <c r="HD40" s="10">
        <f t="shared" si="56"/>
        <v>-2.555323172389802</v>
      </c>
      <c r="HE40" s="10" t="str">
        <f t="shared" si="57"/>
        <v>*</v>
      </c>
      <c r="HF40" s="10"/>
      <c r="HG40" s="53">
        <v>42</v>
      </c>
      <c r="HH40" s="55">
        <v>3.6830891247017417</v>
      </c>
      <c r="HI40" s="56">
        <v>0.14392883613065224</v>
      </c>
      <c r="HJ40" s="10">
        <f t="shared" si="58"/>
        <v>-0.43966801513073828</v>
      </c>
      <c r="HK40" s="10" t="str">
        <f t="shared" si="59"/>
        <v xml:space="preserve"> </v>
      </c>
      <c r="HL40" s="10"/>
      <c r="HM40" s="54">
        <v>77</v>
      </c>
      <c r="HN40" s="57">
        <v>3.5620389005784814</v>
      </c>
      <c r="HO40" s="58">
        <v>0.12705370704861751</v>
      </c>
      <c r="HP40" s="10">
        <f t="shared" si="60"/>
        <v>0.28195986390138789</v>
      </c>
      <c r="HQ40" s="10" t="str">
        <f t="shared" si="101"/>
        <v xml:space="preserve"> </v>
      </c>
      <c r="HR40" s="76"/>
      <c r="HS40" s="27">
        <v>263</v>
      </c>
      <c r="HT40" s="28">
        <v>3.511164976896469</v>
      </c>
      <c r="HU40" s="29">
        <v>7.2269826833217629E-2</v>
      </c>
      <c r="HV40" s="10"/>
      <c r="HW40" s="42">
        <v>180</v>
      </c>
      <c r="HX40" s="43">
        <v>3.4365147130421136</v>
      </c>
      <c r="HY40" s="67">
        <v>8.086154634702869E-2</v>
      </c>
      <c r="HZ40" s="10">
        <f t="shared" si="61"/>
        <v>0.68833470492054993</v>
      </c>
      <c r="IA40" s="10" t="str">
        <f t="shared" si="62"/>
        <v xml:space="preserve"> </v>
      </c>
      <c r="IB40" s="10"/>
      <c r="IC40" s="42">
        <v>216.49529711000085</v>
      </c>
      <c r="ID40" s="43">
        <v>3.5290711577526888</v>
      </c>
      <c r="IE40" s="67">
        <v>8.1446029994993452E-2</v>
      </c>
      <c r="IF40" s="10">
        <f t="shared" si="63"/>
        <v>-0.16444733672051495</v>
      </c>
      <c r="IG40" s="10" t="str">
        <f t="shared" si="64"/>
        <v xml:space="preserve"> </v>
      </c>
      <c r="IH40" s="10"/>
      <c r="II40" s="53">
        <v>213</v>
      </c>
      <c r="IJ40" s="55">
        <v>3.6156473350371381</v>
      </c>
      <c r="IK40" s="56">
        <v>7.913564141631127E-2</v>
      </c>
      <c r="IL40" s="10">
        <f t="shared" si="65"/>
        <v>-0.97492302369970518</v>
      </c>
      <c r="IM40" s="10" t="str">
        <f t="shared" si="66"/>
        <v xml:space="preserve"> </v>
      </c>
      <c r="IN40" s="10"/>
      <c r="IO40" s="54">
        <v>232</v>
      </c>
      <c r="IP40" s="57">
        <v>3.6876098415408038</v>
      </c>
      <c r="IQ40" s="58">
        <v>7.27407817478469E-2</v>
      </c>
      <c r="IR40" s="10">
        <f t="shared" si="67"/>
        <v>-1.7207665497820974</v>
      </c>
      <c r="IS40" s="10" t="str">
        <f t="shared" si="68"/>
        <v xml:space="preserve"> </v>
      </c>
      <c r="IT40" s="76"/>
      <c r="IU40" s="27">
        <v>21</v>
      </c>
      <c r="IV40" s="28">
        <v>3.9047619047619042</v>
      </c>
      <c r="IW40" s="29">
        <v>0.23819882941235435</v>
      </c>
      <c r="IX40" s="10"/>
      <c r="IY40" s="42">
        <v>11</v>
      </c>
      <c r="IZ40" s="43">
        <v>4.2727272727272725</v>
      </c>
      <c r="JA40" s="67">
        <v>0.19482526133870098</v>
      </c>
      <c r="JB40" s="10" t="str">
        <f t="shared" si="69"/>
        <v>NV</v>
      </c>
      <c r="JC40" s="10" t="str">
        <f t="shared" si="70"/>
        <v xml:space="preserve"> </v>
      </c>
      <c r="JD40" s="10"/>
      <c r="JE40" s="42">
        <v>11.881432680000001</v>
      </c>
      <c r="JF40" s="43">
        <v>4.083333333333333</v>
      </c>
      <c r="JG40" s="67">
        <v>0.23015200378122649</v>
      </c>
      <c r="JH40" s="10" t="str">
        <f t="shared" si="71"/>
        <v>NV</v>
      </c>
      <c r="JI40" s="10" t="str">
        <f t="shared" si="72"/>
        <v xml:space="preserve"> </v>
      </c>
      <c r="JJ40" s="10"/>
      <c r="JK40" s="53">
        <v>14</v>
      </c>
      <c r="JL40" s="55">
        <v>3.9285714285714284</v>
      </c>
      <c r="JM40" s="56">
        <v>0.34336336648244981</v>
      </c>
      <c r="JN40" s="10" t="str">
        <f t="shared" si="73"/>
        <v>NV</v>
      </c>
      <c r="JO40" s="10" t="str">
        <f t="shared" si="74"/>
        <v xml:space="preserve"> </v>
      </c>
      <c r="JP40" s="10"/>
      <c r="JQ40" s="54">
        <v>18</v>
      </c>
      <c r="JR40" s="57">
        <v>3.3888888888888884</v>
      </c>
      <c r="JS40" s="58">
        <v>0.30361087581457324</v>
      </c>
      <c r="JT40" s="10" t="str">
        <f t="shared" si="75"/>
        <v>NV</v>
      </c>
      <c r="JU40" s="10" t="str">
        <f t="shared" si="76"/>
        <v xml:space="preserve"> </v>
      </c>
      <c r="JV40" s="76"/>
      <c r="JW40" s="27">
        <v>229</v>
      </c>
      <c r="JX40" s="28">
        <v>3.5063093941578387</v>
      </c>
      <c r="JY40" s="29">
        <v>7.8203030270174209E-2</v>
      </c>
      <c r="JZ40" s="10"/>
      <c r="KA40" s="42">
        <v>120</v>
      </c>
      <c r="KB40" s="43">
        <v>3.5838926173265762</v>
      </c>
      <c r="KC40" s="67">
        <v>0.10360416040840902</v>
      </c>
      <c r="KD40" s="10">
        <f t="shared" si="77"/>
        <v>-0.59768704894453606</v>
      </c>
      <c r="KE40" s="10" t="str">
        <f t="shared" si="78"/>
        <v xml:space="preserve"> </v>
      </c>
      <c r="KF40" s="10"/>
      <c r="KG40" s="42">
        <v>164.88633702999999</v>
      </c>
      <c r="KH40" s="43">
        <v>3.7408270238168679</v>
      </c>
      <c r="KI40" s="67">
        <v>8.31868743304289E-2</v>
      </c>
      <c r="KJ40" s="10">
        <f t="shared" si="79"/>
        <v>-2.0540317448054588</v>
      </c>
      <c r="KK40" s="10" t="str">
        <f t="shared" si="80"/>
        <v>*</v>
      </c>
      <c r="KL40" s="10"/>
      <c r="KM40" s="53">
        <v>328</v>
      </c>
      <c r="KN40" s="55">
        <v>3.5545907610704406</v>
      </c>
      <c r="KO40" s="56">
        <v>6.1514190190547054E-2</v>
      </c>
      <c r="KP40" s="10">
        <f t="shared" si="81"/>
        <v>-0.48525311380726321</v>
      </c>
      <c r="KQ40" s="10" t="str">
        <f t="shared" si="82"/>
        <v xml:space="preserve"> </v>
      </c>
      <c r="KR40" s="10"/>
      <c r="KS40" s="54">
        <v>290</v>
      </c>
      <c r="KT40" s="57">
        <v>3.3413387212152479</v>
      </c>
      <c r="KU40" s="58">
        <v>6.5697925684801692E-2</v>
      </c>
      <c r="KV40" s="10">
        <f t="shared" si="83"/>
        <v>1.6151928560837738</v>
      </c>
      <c r="KW40" s="10" t="str">
        <f t="shared" si="102"/>
        <v xml:space="preserve"> </v>
      </c>
      <c r="KX40" s="76"/>
      <c r="KY40" s="27">
        <v>60</v>
      </c>
      <c r="KZ40" s="28">
        <v>3.666666666666667</v>
      </c>
      <c r="LA40" s="29">
        <v>0.14201283347338589</v>
      </c>
      <c r="LB40" s="10"/>
      <c r="LC40" s="42">
        <v>75</v>
      </c>
      <c r="LD40" s="43">
        <v>3.9466666666666668</v>
      </c>
      <c r="LE40" s="67">
        <v>0.12277976286445028</v>
      </c>
      <c r="LF40" s="10">
        <f t="shared" si="84"/>
        <v>-1.4915045565285059</v>
      </c>
      <c r="LG40" s="10" t="str">
        <f t="shared" si="85"/>
        <v xml:space="preserve"> </v>
      </c>
      <c r="LH40" s="10"/>
      <c r="LI40" s="42">
        <v>93.389120520000006</v>
      </c>
      <c r="LJ40" s="43">
        <v>3.8727749804919132</v>
      </c>
      <c r="LK40" s="67">
        <v>0.10539263731637478</v>
      </c>
      <c r="LL40" s="10">
        <f t="shared" si="86"/>
        <v>-1.1654538890922028</v>
      </c>
      <c r="LM40" s="10" t="str">
        <f t="shared" si="87"/>
        <v xml:space="preserve"> </v>
      </c>
      <c r="LN40" s="10"/>
      <c r="LO40" s="53">
        <v>201</v>
      </c>
      <c r="LP40" s="55">
        <v>3.7114427860696502</v>
      </c>
      <c r="LQ40" s="56">
        <v>7.1940012977040654E-2</v>
      </c>
      <c r="LR40" s="10">
        <f t="shared" si="88"/>
        <v>-0.28126607428303918</v>
      </c>
      <c r="LS40" s="10" t="str">
        <f t="shared" si="89"/>
        <v xml:space="preserve"> </v>
      </c>
      <c r="LT40" s="10"/>
      <c r="LU40" s="54">
        <v>158</v>
      </c>
      <c r="LV40" s="57">
        <v>3.6035499970586642</v>
      </c>
      <c r="LW40" s="58">
        <v>8.8394420610579699E-2</v>
      </c>
      <c r="LX40" s="10">
        <f t="shared" si="90"/>
        <v>0.37732081499999953</v>
      </c>
      <c r="LY40" s="10" t="str">
        <f t="shared" si="91"/>
        <v xml:space="preserve"> </v>
      </c>
      <c r="LZ40" s="76"/>
      <c r="MA40" s="27">
        <v>77</v>
      </c>
      <c r="MB40" s="28">
        <v>3.8047733560014039</v>
      </c>
      <c r="MC40" s="29">
        <v>0.11407232185067243</v>
      </c>
      <c r="MD40" s="10"/>
      <c r="ME40" s="42">
        <v>58</v>
      </c>
      <c r="MF40" s="43">
        <v>3.9495257449823113</v>
      </c>
      <c r="MG40" s="67">
        <v>0.1357631747651005</v>
      </c>
      <c r="MH40" s="10">
        <f t="shared" si="92"/>
        <v>-0.81631150833657862</v>
      </c>
      <c r="MI40" s="10" t="str">
        <f t="shared" si="93"/>
        <v xml:space="preserve"> </v>
      </c>
      <c r="MJ40" s="10"/>
      <c r="MK40" s="42">
        <v>53.271072319999945</v>
      </c>
      <c r="ML40" s="43">
        <v>3.5940821780326422</v>
      </c>
      <c r="MM40" s="67">
        <v>0.16397433050918175</v>
      </c>
      <c r="MN40" s="10">
        <f t="shared" si="94"/>
        <v>1.0547741836037348</v>
      </c>
      <c r="MO40" s="10" t="str">
        <f t="shared" si="95"/>
        <v xml:space="preserve"> </v>
      </c>
      <c r="MP40" s="10"/>
      <c r="MQ40" s="53">
        <v>98</v>
      </c>
      <c r="MR40" s="55">
        <v>3.8009197196092419</v>
      </c>
      <c r="MS40" s="56">
        <v>0.10603852011999136</v>
      </c>
      <c r="MT40" s="10">
        <f t="shared" si="96"/>
        <v>2.4743162824931969E-2</v>
      </c>
      <c r="MU40" s="10" t="str">
        <f t="shared" si="97"/>
        <v xml:space="preserve"> </v>
      </c>
      <c r="MV40" s="10"/>
      <c r="MW40" s="54">
        <v>94</v>
      </c>
      <c r="MX40" s="57">
        <v>3.9058197933067134</v>
      </c>
      <c r="MY40" s="58">
        <v>0.11781341330978702</v>
      </c>
      <c r="MZ40" s="10">
        <f t="shared" si="98"/>
        <v>-0.61617696360831364</v>
      </c>
      <c r="NA40" s="10" t="str">
        <f t="shared" si="103"/>
        <v xml:space="preserve"> </v>
      </c>
      <c r="NB40" s="58"/>
    </row>
    <row r="41" spans="1:366" x14ac:dyDescent="0.2">
      <c r="B41" s="65" t="s">
        <v>43</v>
      </c>
      <c r="C41" s="27">
        <v>249</v>
      </c>
      <c r="D41" s="28">
        <v>3.634538152610443</v>
      </c>
      <c r="E41" s="29">
        <v>6.9344807152285567E-2</v>
      </c>
      <c r="F41" s="10"/>
      <c r="G41" s="42">
        <v>72</v>
      </c>
      <c r="H41" s="43">
        <v>3.4999999999999987</v>
      </c>
      <c r="I41" s="67">
        <v>0.12855958729482783</v>
      </c>
      <c r="J41" s="10">
        <f t="shared" si="1"/>
        <v>0.92105637555634645</v>
      </c>
      <c r="K41" s="10" t="str">
        <f t="shared" si="2"/>
        <v xml:space="preserve"> </v>
      </c>
      <c r="L41" s="10"/>
      <c r="M41" s="42">
        <v>53.026695630000042</v>
      </c>
      <c r="N41" s="43">
        <v>3.3725490196078431</v>
      </c>
      <c r="O41" s="67">
        <v>0.14774811462497597</v>
      </c>
      <c r="P41" s="10">
        <f t="shared" si="3"/>
        <v>1.6052060120132954</v>
      </c>
      <c r="Q41" s="10" t="str">
        <f t="shared" si="4"/>
        <v xml:space="preserve"> </v>
      </c>
      <c r="R41" s="10"/>
      <c r="S41" s="53">
        <v>78</v>
      </c>
      <c r="T41" s="55">
        <v>3.615384615384615</v>
      </c>
      <c r="U41" s="56">
        <v>0.1159415621687907</v>
      </c>
      <c r="V41" s="10">
        <f t="shared" si="5"/>
        <v>0.14177638392972564</v>
      </c>
      <c r="W41" s="10" t="str">
        <f t="shared" si="6"/>
        <v xml:space="preserve"> </v>
      </c>
      <c r="X41" s="10"/>
      <c r="Y41" s="54">
        <v>155</v>
      </c>
      <c r="Z41" s="57">
        <v>3.1741935483870964</v>
      </c>
      <c r="AA41" s="58">
        <v>7.6169506093825182E-2</v>
      </c>
      <c r="AB41" s="10">
        <f t="shared" si="7"/>
        <v>4.4690500181856345</v>
      </c>
      <c r="AC41" s="10" t="str">
        <f t="shared" si="8"/>
        <v>*</v>
      </c>
      <c r="AD41" s="76"/>
      <c r="AE41" s="27">
        <v>56</v>
      </c>
      <c r="AF41" s="28">
        <v>3.8068557812567927</v>
      </c>
      <c r="AG41" s="29">
        <v>0.12616727387392698</v>
      </c>
      <c r="AH41" s="67"/>
      <c r="AI41" s="42">
        <v>27</v>
      </c>
      <c r="AJ41" s="43">
        <v>3.8147239602769316</v>
      </c>
      <c r="AK41" s="67">
        <v>0.25530532112675114</v>
      </c>
      <c r="AL41" s="10" t="str">
        <f t="shared" si="9"/>
        <v>NV</v>
      </c>
      <c r="AM41" s="10" t="str">
        <f t="shared" si="10"/>
        <v xml:space="preserve"> </v>
      </c>
      <c r="AN41" s="67"/>
      <c r="AO41" s="42">
        <v>31.527245969999999</v>
      </c>
      <c r="AP41" s="43">
        <v>3.6969696969696964</v>
      </c>
      <c r="AQ41" s="67">
        <v>0.18631385485843041</v>
      </c>
      <c r="AR41" s="10">
        <f t="shared" si="11"/>
        <v>0.48835349661005872</v>
      </c>
      <c r="AS41" s="10" t="str">
        <f t="shared" si="12"/>
        <v xml:space="preserve"> </v>
      </c>
      <c r="AT41" s="10"/>
      <c r="AU41" s="53">
        <v>47</v>
      </c>
      <c r="AV41" s="55">
        <v>3.458396377292432</v>
      </c>
      <c r="AW41" s="56">
        <v>0.15532970822996128</v>
      </c>
      <c r="AX41" s="10">
        <f t="shared" si="13"/>
        <v>1.7413069491644075</v>
      </c>
      <c r="AY41" s="10" t="str">
        <f t="shared" si="14"/>
        <v xml:space="preserve"> </v>
      </c>
      <c r="AZ41" s="10"/>
      <c r="BA41" s="54">
        <v>21</v>
      </c>
      <c r="BB41" s="57">
        <v>3.0000000000000004</v>
      </c>
      <c r="BC41" s="58">
        <v>0.17991813985277955</v>
      </c>
      <c r="BD41" s="10" t="str">
        <f t="shared" si="15"/>
        <v>NV</v>
      </c>
      <c r="BE41" s="10" t="str">
        <f t="shared" si="16"/>
        <v xml:space="preserve"> </v>
      </c>
      <c r="BF41" s="76"/>
      <c r="BG41" s="27">
        <v>639</v>
      </c>
      <c r="BH41" s="28">
        <v>3.7677731515899335</v>
      </c>
      <c r="BI41" s="29">
        <v>4.2191428475888221E-2</v>
      </c>
      <c r="BJ41" s="10"/>
      <c r="BK41" s="42">
        <v>184</v>
      </c>
      <c r="BL41" s="43">
        <v>3.695674291924429</v>
      </c>
      <c r="BM41" s="67">
        <v>8.4340679419999134E-2</v>
      </c>
      <c r="BN41" s="10">
        <f t="shared" si="17"/>
        <v>0.76452704087402434</v>
      </c>
      <c r="BO41" s="10" t="str">
        <f t="shared" si="18"/>
        <v xml:space="preserve"> </v>
      </c>
      <c r="BP41" s="10"/>
      <c r="BQ41" s="42">
        <v>85.539035430000055</v>
      </c>
      <c r="BR41" s="43">
        <v>2.994082137617577</v>
      </c>
      <c r="BS41" s="67">
        <v>9.8285567079768918E-2</v>
      </c>
      <c r="BT41" s="10">
        <f t="shared" si="19"/>
        <v>7.2335473124004945</v>
      </c>
      <c r="BU41" s="10" t="str">
        <f t="shared" si="20"/>
        <v>*</v>
      </c>
      <c r="BV41" s="10"/>
      <c r="BW41" s="53">
        <v>158</v>
      </c>
      <c r="BX41" s="55">
        <v>3.0208922120393087</v>
      </c>
      <c r="BY41" s="56">
        <v>4.3004699009842398E-2</v>
      </c>
      <c r="BZ41" s="10">
        <f t="shared" si="21"/>
        <v>12.397289220676813</v>
      </c>
      <c r="CA41" s="10" t="str">
        <f t="shared" si="22"/>
        <v>*</v>
      </c>
      <c r="CB41" s="10"/>
      <c r="CC41" s="54">
        <v>219</v>
      </c>
      <c r="CD41" s="57">
        <v>3.4910000312746794</v>
      </c>
      <c r="CE41" s="58">
        <v>6.8530252045243337E-2</v>
      </c>
      <c r="CF41" s="10">
        <f t="shared" si="23"/>
        <v>3.4391674356843689</v>
      </c>
      <c r="CG41" s="10" t="str">
        <f t="shared" si="24"/>
        <v>*</v>
      </c>
      <c r="CH41" s="76"/>
      <c r="CI41" s="27">
        <v>332</v>
      </c>
      <c r="CJ41" s="28">
        <v>3.9435660029439989</v>
      </c>
      <c r="CK41" s="29">
        <v>5.8050431569876208E-2</v>
      </c>
      <c r="CL41" s="67"/>
      <c r="CM41" s="42">
        <v>103</v>
      </c>
      <c r="CN41" s="43">
        <v>3.8255639837549542</v>
      </c>
      <c r="CO41" s="67">
        <v>9.7864944097069528E-2</v>
      </c>
      <c r="CP41" s="10">
        <f t="shared" si="25"/>
        <v>1.0370463277258199</v>
      </c>
      <c r="CQ41" s="10" t="str">
        <f t="shared" si="26"/>
        <v xml:space="preserve"> </v>
      </c>
      <c r="CR41" s="10"/>
      <c r="CS41" s="42">
        <v>100.40073258000001</v>
      </c>
      <c r="CT41" s="43">
        <v>3.9221947430136987</v>
      </c>
      <c r="CU41" s="67">
        <v>0.10107525308377123</v>
      </c>
      <c r="CV41" s="10">
        <f t="shared" si="27"/>
        <v>0.1833510376408532</v>
      </c>
      <c r="CW41" s="10" t="str">
        <f t="shared" si="28"/>
        <v xml:space="preserve"> </v>
      </c>
      <c r="CX41" s="10"/>
      <c r="CY41" s="53">
        <v>115</v>
      </c>
      <c r="CZ41" s="55">
        <v>3.9972493416861696</v>
      </c>
      <c r="DA41" s="56">
        <v>9.4967386147351188E-2</v>
      </c>
      <c r="DB41" s="10">
        <f t="shared" si="29"/>
        <v>-0.48231126223778314</v>
      </c>
      <c r="DC41" s="10" t="str">
        <f t="shared" si="0"/>
        <v xml:space="preserve"> </v>
      </c>
      <c r="DD41" s="10"/>
      <c r="DE41" s="54">
        <v>102</v>
      </c>
      <c r="DF41" s="57">
        <v>3.5547455468753832</v>
      </c>
      <c r="DG41" s="58">
        <v>0.10939847322705351</v>
      </c>
      <c r="DH41" s="10">
        <f t="shared" si="30"/>
        <v>3.1395431619996179</v>
      </c>
      <c r="DI41" s="10" t="str">
        <f t="shared" si="31"/>
        <v>*</v>
      </c>
      <c r="DJ41" s="76"/>
      <c r="DK41" s="27">
        <v>111</v>
      </c>
      <c r="DL41" s="28">
        <v>3.6342152227944791</v>
      </c>
      <c r="DM41" s="29">
        <v>0.10466974630462546</v>
      </c>
      <c r="DN41" s="10"/>
      <c r="DO41" s="42">
        <v>48</v>
      </c>
      <c r="DP41" s="43">
        <v>3.6883892822281257</v>
      </c>
      <c r="DQ41" s="67">
        <v>0.16377578445096352</v>
      </c>
      <c r="DR41" s="10">
        <f t="shared" si="32"/>
        <v>-0.27872144502634516</v>
      </c>
      <c r="DS41" s="10" t="str">
        <f t="shared" si="33"/>
        <v xml:space="preserve"> </v>
      </c>
      <c r="DT41" s="10"/>
      <c r="DU41" s="42">
        <v>42.291832170000028</v>
      </c>
      <c r="DV41" s="43">
        <v>3.6106319079814888</v>
      </c>
      <c r="DW41" s="67">
        <v>0.16847251441578664</v>
      </c>
      <c r="DX41" s="10">
        <f t="shared" si="34"/>
        <v>0.11890349056424149</v>
      </c>
      <c r="DY41" s="10" t="str">
        <f t="shared" si="35"/>
        <v xml:space="preserve"> </v>
      </c>
      <c r="DZ41" s="10"/>
      <c r="EA41" s="53">
        <v>48</v>
      </c>
      <c r="EB41" s="55">
        <v>3.541666666666667</v>
      </c>
      <c r="EC41" s="56">
        <v>0.15964454388243113</v>
      </c>
      <c r="ED41" s="10">
        <f t="shared" si="36"/>
        <v>0.48480571889887536</v>
      </c>
      <c r="EE41" s="10" t="str">
        <f t="shared" si="37"/>
        <v xml:space="preserve"> </v>
      </c>
      <c r="EF41" s="10"/>
      <c r="EG41" s="54">
        <v>36</v>
      </c>
      <c r="EH41" s="57">
        <v>3.5277777777777777</v>
      </c>
      <c r="EI41" s="58">
        <v>0.15561535353668712</v>
      </c>
      <c r="EJ41" s="10">
        <f t="shared" si="38"/>
        <v>0.56754011369357982</v>
      </c>
      <c r="EK41" s="10" t="str">
        <f t="shared" si="39"/>
        <v xml:space="preserve"> </v>
      </c>
      <c r="EL41" s="76"/>
      <c r="EM41" s="27">
        <v>276</v>
      </c>
      <c r="EN41" s="28">
        <v>3.8899127606558692</v>
      </c>
      <c r="EO41" s="29">
        <v>6.2846826736519576E-2</v>
      </c>
      <c r="EP41" s="10"/>
      <c r="EQ41" s="42">
        <v>80</v>
      </c>
      <c r="ER41" s="43">
        <v>3.8503332082505946</v>
      </c>
      <c r="ES41" s="67">
        <v>0.1126280581352009</v>
      </c>
      <c r="ET41" s="10">
        <f t="shared" si="40"/>
        <v>0.30687537920058855</v>
      </c>
      <c r="EU41" s="10" t="str">
        <f t="shared" si="41"/>
        <v xml:space="preserve"> </v>
      </c>
      <c r="EV41" s="10"/>
      <c r="EW41" s="42">
        <v>63.225628110000031</v>
      </c>
      <c r="EX41" s="43">
        <v>3.3551158182396743</v>
      </c>
      <c r="EY41" s="67">
        <v>0.15073898002786282</v>
      </c>
      <c r="EZ41" s="10">
        <f t="shared" si="42"/>
        <v>3.2746238429724519</v>
      </c>
      <c r="FA41" s="10" t="str">
        <f t="shared" si="43"/>
        <v>*</v>
      </c>
      <c r="FB41" s="10"/>
      <c r="FC41" s="53">
        <v>72</v>
      </c>
      <c r="FD41" s="55">
        <v>3.904646009485774</v>
      </c>
      <c r="FE41" s="56">
        <v>0.10378152344046677</v>
      </c>
      <c r="FF41" s="10">
        <f t="shared" si="44"/>
        <v>-0.12143385344387848</v>
      </c>
      <c r="FG41" s="10" t="str">
        <f t="shared" si="45"/>
        <v xml:space="preserve"> </v>
      </c>
      <c r="FH41" s="10"/>
      <c r="FI41" s="54">
        <v>130</v>
      </c>
      <c r="FJ41" s="57">
        <v>2.9719195212962788</v>
      </c>
      <c r="FK41" s="58">
        <v>8.2549632751041338E-2</v>
      </c>
      <c r="FL41" s="10">
        <f t="shared" si="46"/>
        <v>8.8480852760097921</v>
      </c>
      <c r="FM41" s="10" t="str">
        <f t="shared" si="99"/>
        <v>*</v>
      </c>
      <c r="FN41" s="76"/>
      <c r="FO41" s="27">
        <v>72</v>
      </c>
      <c r="FP41" s="28">
        <v>3.5197898306669533</v>
      </c>
      <c r="FQ41" s="29">
        <v>0.1368935689283193</v>
      </c>
      <c r="FR41" s="67"/>
      <c r="FS41" s="42">
        <v>57</v>
      </c>
      <c r="FT41" s="43">
        <v>3.7910757372092005</v>
      </c>
      <c r="FU41" s="67">
        <v>0.12899202336985055</v>
      </c>
      <c r="FV41" s="10">
        <f t="shared" si="47"/>
        <v>-1.4423004425795507</v>
      </c>
      <c r="FW41" s="10" t="str">
        <f t="shared" si="48"/>
        <v xml:space="preserve"> </v>
      </c>
      <c r="FX41" s="67"/>
      <c r="FY41" s="42">
        <v>64.838832869999962</v>
      </c>
      <c r="FZ41" s="43">
        <v>3.790176380607019</v>
      </c>
      <c r="GA41" s="67">
        <v>0.1301375116735414</v>
      </c>
      <c r="GB41" s="10">
        <f t="shared" si="49"/>
        <v>-1.4315262384006928</v>
      </c>
      <c r="GC41" s="10" t="str">
        <f t="shared" si="50"/>
        <v xml:space="preserve"> </v>
      </c>
      <c r="GD41" s="10"/>
      <c r="GE41" s="53">
        <v>78</v>
      </c>
      <c r="GF41" s="55">
        <v>3.5208121507403178</v>
      </c>
      <c r="GG41" s="56">
        <v>0.11549259416986014</v>
      </c>
      <c r="GH41" s="10">
        <f t="shared" si="51"/>
        <v>-5.7079560008587802E-3</v>
      </c>
      <c r="GI41" s="10" t="str">
        <f t="shared" si="52"/>
        <v xml:space="preserve"> </v>
      </c>
      <c r="GJ41" s="10"/>
      <c r="GK41" s="54">
        <v>79</v>
      </c>
      <c r="GL41" s="57">
        <v>3.7911877403492671</v>
      </c>
      <c r="GM41" s="58">
        <v>0.11450500046689781</v>
      </c>
      <c r="GN41" s="10">
        <f t="shared" si="53"/>
        <v>-1.5206991265637853</v>
      </c>
      <c r="GO41" s="10" t="str">
        <f t="shared" si="100"/>
        <v xml:space="preserve"> </v>
      </c>
      <c r="GP41" s="76"/>
      <c r="GQ41" s="27">
        <v>110</v>
      </c>
      <c r="GR41" s="28">
        <v>3.6421683687295396</v>
      </c>
      <c r="GS41" s="29">
        <v>8.9685479186111056E-2</v>
      </c>
      <c r="GT41" s="10"/>
      <c r="GU41" s="42">
        <v>69</v>
      </c>
      <c r="GV41" s="43">
        <v>3.5854510154803227</v>
      </c>
      <c r="GW41" s="67">
        <v>0.14996388565926233</v>
      </c>
      <c r="GX41" s="10">
        <f t="shared" si="54"/>
        <v>0.32458891996554179</v>
      </c>
      <c r="GY41" s="10" t="str">
        <f t="shared" si="55"/>
        <v xml:space="preserve"> </v>
      </c>
      <c r="GZ41" s="10"/>
      <c r="HA41" s="42">
        <v>63.821652149999956</v>
      </c>
      <c r="HB41" s="43">
        <v>3.8280266033507875</v>
      </c>
      <c r="HC41" s="67">
        <v>0.14758301447095276</v>
      </c>
      <c r="HD41" s="10">
        <f t="shared" si="56"/>
        <v>-1.076210383741681</v>
      </c>
      <c r="HE41" s="10" t="str">
        <f t="shared" si="57"/>
        <v xml:space="preserve"> </v>
      </c>
      <c r="HF41" s="10"/>
      <c r="HG41" s="53">
        <v>48</v>
      </c>
      <c r="HH41" s="55">
        <v>3.6997737302167217</v>
      </c>
      <c r="HI41" s="56">
        <v>0.14185783959534293</v>
      </c>
      <c r="HJ41" s="10">
        <f t="shared" si="58"/>
        <v>-0.34323502070617318</v>
      </c>
      <c r="HK41" s="10" t="str">
        <f t="shared" si="59"/>
        <v xml:space="preserve"> </v>
      </c>
      <c r="HL41" s="10"/>
      <c r="HM41" s="54">
        <v>73</v>
      </c>
      <c r="HN41" s="57">
        <v>3.6992907802359989</v>
      </c>
      <c r="HO41" s="58">
        <v>0.13021526800654223</v>
      </c>
      <c r="HP41" s="10">
        <f t="shared" si="60"/>
        <v>-0.36127745573377018</v>
      </c>
      <c r="HQ41" s="10" t="str">
        <f t="shared" si="101"/>
        <v xml:space="preserve"> </v>
      </c>
      <c r="HR41" s="76"/>
      <c r="HS41" s="27">
        <v>224</v>
      </c>
      <c r="HT41" s="28">
        <v>3.705335183609376</v>
      </c>
      <c r="HU41" s="29">
        <v>7.3049742391136971E-2</v>
      </c>
      <c r="HV41" s="10"/>
      <c r="HW41" s="42">
        <v>158</v>
      </c>
      <c r="HX41" s="43">
        <v>3.6125397962526109</v>
      </c>
      <c r="HY41" s="67">
        <v>8.7442305962537728E-2</v>
      </c>
      <c r="HZ41" s="10">
        <f t="shared" si="61"/>
        <v>0.81442019160239287</v>
      </c>
      <c r="IA41" s="10" t="str">
        <f t="shared" si="62"/>
        <v xml:space="preserve"> </v>
      </c>
      <c r="IB41" s="10"/>
      <c r="IC41" s="42">
        <v>192.02288003000055</v>
      </c>
      <c r="ID41" s="43">
        <v>3.8126464655442107</v>
      </c>
      <c r="IE41" s="67">
        <v>7.3755210863638968E-2</v>
      </c>
      <c r="IF41" s="10">
        <f t="shared" si="63"/>
        <v>-1.0337479403171519</v>
      </c>
      <c r="IG41" s="10" t="str">
        <f t="shared" si="64"/>
        <v xml:space="preserve"> </v>
      </c>
      <c r="IH41" s="10"/>
      <c r="II41" s="53">
        <v>176</v>
      </c>
      <c r="IJ41" s="55">
        <v>3.7602397412557265</v>
      </c>
      <c r="IK41" s="56">
        <v>7.4695012948245668E-2</v>
      </c>
      <c r="IL41" s="10">
        <f t="shared" si="65"/>
        <v>-0.52551412677706066</v>
      </c>
      <c r="IM41" s="10" t="str">
        <f t="shared" si="66"/>
        <v xml:space="preserve"> </v>
      </c>
      <c r="IN41" s="10"/>
      <c r="IO41" s="54">
        <v>202</v>
      </c>
      <c r="IP41" s="57">
        <v>3.7579053883801463</v>
      </c>
      <c r="IQ41" s="58">
        <v>6.9352353706688782E-2</v>
      </c>
      <c r="IR41" s="10">
        <f t="shared" si="67"/>
        <v>-0.52190558427714595</v>
      </c>
      <c r="IS41" s="10" t="str">
        <f t="shared" si="68"/>
        <v xml:space="preserve"> </v>
      </c>
      <c r="IT41" s="76"/>
      <c r="IU41" s="27">
        <v>11</v>
      </c>
      <c r="IV41" s="28">
        <v>3.7272727272727271</v>
      </c>
      <c r="IW41" s="29">
        <v>0.332933600357673</v>
      </c>
      <c r="IX41" s="10"/>
      <c r="IY41" s="42">
        <v>10</v>
      </c>
      <c r="IZ41" s="43">
        <v>4.2986247547231482</v>
      </c>
      <c r="JA41" s="67">
        <v>0.26046898751423375</v>
      </c>
      <c r="JB41" s="10" t="str">
        <f t="shared" si="69"/>
        <v>NV</v>
      </c>
      <c r="JC41" s="10" t="str">
        <f t="shared" si="70"/>
        <v xml:space="preserve"> </v>
      </c>
      <c r="JD41" s="10"/>
      <c r="JE41" s="42">
        <v>10.891313290000001</v>
      </c>
      <c r="JF41" s="43">
        <v>4.1818181818181808</v>
      </c>
      <c r="JG41" s="67">
        <v>0.26492319197035563</v>
      </c>
      <c r="JH41" s="10" t="str">
        <f t="shared" si="71"/>
        <v>NV</v>
      </c>
      <c r="JI41" s="10" t="str">
        <f t="shared" si="72"/>
        <v xml:space="preserve"> </v>
      </c>
      <c r="JJ41" s="10"/>
      <c r="JK41" s="53">
        <v>5</v>
      </c>
      <c r="JL41" s="55">
        <v>3.6</v>
      </c>
      <c r="JM41" s="56">
        <v>0.68814915718320391</v>
      </c>
      <c r="JN41" s="10" t="str">
        <f t="shared" si="73"/>
        <v>NV</v>
      </c>
      <c r="JO41" s="10" t="str">
        <f t="shared" si="74"/>
        <v xml:space="preserve"> </v>
      </c>
      <c r="JP41" s="10"/>
      <c r="JQ41" s="54">
        <v>8</v>
      </c>
      <c r="JR41" s="57">
        <v>3.6250000000000004</v>
      </c>
      <c r="JS41" s="58">
        <v>0.55324244478578799</v>
      </c>
      <c r="JT41" s="10" t="str">
        <f t="shared" si="75"/>
        <v>NV</v>
      </c>
      <c r="JU41" s="10" t="str">
        <f t="shared" si="76"/>
        <v xml:space="preserve"> </v>
      </c>
      <c r="JV41" s="76"/>
      <c r="JW41" s="27">
        <v>133</v>
      </c>
      <c r="JX41" s="28">
        <v>3.5487855768835317</v>
      </c>
      <c r="JY41" s="29">
        <v>9.9192186798412393E-2</v>
      </c>
      <c r="JZ41" s="10"/>
      <c r="KA41" s="42">
        <v>73</v>
      </c>
      <c r="KB41" s="43">
        <v>3.507273706803042</v>
      </c>
      <c r="KC41" s="67">
        <v>0.12974102231003851</v>
      </c>
      <c r="KD41" s="10">
        <f t="shared" si="77"/>
        <v>0.25418267739530043</v>
      </c>
      <c r="KE41" s="10" t="str">
        <f t="shared" si="78"/>
        <v xml:space="preserve"> </v>
      </c>
      <c r="KF41" s="10"/>
      <c r="KG41" s="42">
        <v>127.93402174000002</v>
      </c>
      <c r="KH41" s="43">
        <v>3.8904074131391413</v>
      </c>
      <c r="KI41" s="67">
        <v>8.4292716700029025E-2</v>
      </c>
      <c r="KJ41" s="10">
        <f t="shared" si="79"/>
        <v>-2.6244188001320778</v>
      </c>
      <c r="KK41" s="10" t="str">
        <f t="shared" si="80"/>
        <v>*</v>
      </c>
      <c r="KL41" s="10"/>
      <c r="KM41" s="53">
        <v>206</v>
      </c>
      <c r="KN41" s="55">
        <v>3.6047521094654837</v>
      </c>
      <c r="KO41" s="56">
        <v>7.0972303945120274E-2</v>
      </c>
      <c r="KP41" s="10">
        <f t="shared" si="81"/>
        <v>-0.45886297019474837</v>
      </c>
      <c r="KQ41" s="10" t="str">
        <f t="shared" si="82"/>
        <v xml:space="preserve"> </v>
      </c>
      <c r="KR41" s="10"/>
      <c r="KS41" s="54">
        <v>185</v>
      </c>
      <c r="KT41" s="57">
        <v>3.6049038224267114</v>
      </c>
      <c r="KU41" s="58">
        <v>7.5870534409955379E-2</v>
      </c>
      <c r="KV41" s="10">
        <f t="shared" si="83"/>
        <v>-0.44937140894691041</v>
      </c>
      <c r="KW41" s="10" t="str">
        <f t="shared" si="102"/>
        <v xml:space="preserve"> </v>
      </c>
      <c r="KX41" s="76"/>
      <c r="KY41" s="27">
        <v>39</v>
      </c>
      <c r="KZ41" s="28">
        <v>3.9230769230769234</v>
      </c>
      <c r="LA41" s="29">
        <v>0.14415140110885671</v>
      </c>
      <c r="LB41" s="10"/>
      <c r="LC41" s="42">
        <v>34</v>
      </c>
      <c r="LD41" s="43">
        <v>3.9705882352941173</v>
      </c>
      <c r="LE41" s="67">
        <v>0.18623130081394179</v>
      </c>
      <c r="LF41" s="10">
        <f t="shared" si="84"/>
        <v>-0.20174386806030928</v>
      </c>
      <c r="LG41" s="10" t="str">
        <f t="shared" si="85"/>
        <v xml:space="preserve"> </v>
      </c>
      <c r="LH41" s="10"/>
      <c r="LI41" s="42">
        <v>57.585873549999924</v>
      </c>
      <c r="LJ41" s="43">
        <v>3.9339850488384234</v>
      </c>
      <c r="LK41" s="67">
        <v>0.10732278074551464</v>
      </c>
      <c r="LL41" s="10">
        <f t="shared" si="86"/>
        <v>-6.0696497045301327E-2</v>
      </c>
      <c r="LM41" s="10" t="str">
        <f t="shared" si="87"/>
        <v xml:space="preserve"> </v>
      </c>
      <c r="LN41" s="10"/>
      <c r="LO41" s="53">
        <v>112</v>
      </c>
      <c r="LP41" s="55">
        <v>3.7053571428571437</v>
      </c>
      <c r="LQ41" s="56">
        <v>8.8572130085759718E-2</v>
      </c>
      <c r="LR41" s="10">
        <f t="shared" si="88"/>
        <v>1.2868496381162187</v>
      </c>
      <c r="LS41" s="10" t="str">
        <f t="shared" si="89"/>
        <v xml:space="preserve"> </v>
      </c>
      <c r="LT41" s="10"/>
      <c r="LU41" s="54">
        <v>100</v>
      </c>
      <c r="LV41" s="57">
        <v>3.8161281309739268</v>
      </c>
      <c r="LW41" s="58">
        <v>0.10615495089074166</v>
      </c>
      <c r="LX41" s="10">
        <f t="shared" si="90"/>
        <v>0.59740936988101512</v>
      </c>
      <c r="LY41" s="10" t="str">
        <f t="shared" si="91"/>
        <v xml:space="preserve"> </v>
      </c>
      <c r="LZ41" s="76"/>
      <c r="MA41" s="27">
        <v>51</v>
      </c>
      <c r="MB41" s="28">
        <v>3.9412506455739296</v>
      </c>
      <c r="MC41" s="29">
        <v>0.13253235822707451</v>
      </c>
      <c r="MD41" s="10"/>
      <c r="ME41" s="42">
        <v>49</v>
      </c>
      <c r="MF41" s="43">
        <v>4.0425190529744128</v>
      </c>
      <c r="MG41" s="67">
        <v>0.13359194413115472</v>
      </c>
      <c r="MH41" s="10">
        <f t="shared" si="92"/>
        <v>-0.53814709425851881</v>
      </c>
      <c r="MI41" s="10" t="str">
        <f t="shared" si="93"/>
        <v xml:space="preserve"> </v>
      </c>
      <c r="MJ41" s="10"/>
      <c r="MK41" s="42">
        <v>30.339377420000009</v>
      </c>
      <c r="ML41" s="43">
        <v>3.9020956122836616</v>
      </c>
      <c r="MM41" s="67">
        <v>0.17338710413498687</v>
      </c>
      <c r="MN41" s="10">
        <f t="shared" si="94"/>
        <v>0.1794142020129636</v>
      </c>
      <c r="MO41" s="10" t="str">
        <f t="shared" si="95"/>
        <v xml:space="preserve"> </v>
      </c>
      <c r="MP41" s="10"/>
      <c r="MQ41" s="53">
        <v>61</v>
      </c>
      <c r="MR41" s="55">
        <v>3.6862811044156429</v>
      </c>
      <c r="MS41" s="56">
        <v>0.12811529358658907</v>
      </c>
      <c r="MT41" s="10">
        <f t="shared" si="96"/>
        <v>1.3832068510121256</v>
      </c>
      <c r="MU41" s="10" t="str">
        <f t="shared" si="97"/>
        <v xml:space="preserve"> </v>
      </c>
      <c r="MV41" s="10"/>
      <c r="MW41" s="54">
        <v>63</v>
      </c>
      <c r="MX41" s="57">
        <v>3.9511881059426162</v>
      </c>
      <c r="MY41" s="58">
        <v>0.13011825166004737</v>
      </c>
      <c r="MZ41" s="10">
        <f t="shared" si="98"/>
        <v>-5.3504911493429064E-2</v>
      </c>
      <c r="NA41" s="10" t="str">
        <f t="shared" si="103"/>
        <v xml:space="preserve"> </v>
      </c>
      <c r="NB41" s="58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B49"/>
  <sheetViews>
    <sheetView tabSelected="1" zoomScale="60" zoomScaleNormal="6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18" sqref="L18"/>
    </sheetView>
  </sheetViews>
  <sheetFormatPr defaultColWidth="7" defaultRowHeight="12.55" x14ac:dyDescent="0.2"/>
  <cols>
    <col min="1" max="1" width="2.21875" style="11" customWidth="1"/>
    <col min="2" max="2" width="15.44140625" style="35" customWidth="1"/>
    <col min="3" max="3" width="4" style="85" bestFit="1" customWidth="1"/>
    <col min="4" max="5" width="4.33203125" style="85" bestFit="1" customWidth="1"/>
    <col min="6" max="6" width="4.33203125" style="36" customWidth="1"/>
    <col min="7" max="7" width="3.6640625" style="33" bestFit="1" customWidth="1"/>
    <col min="8" max="9" width="4.33203125" style="33" bestFit="1" customWidth="1"/>
    <col min="10" max="10" width="5.88671875" style="36" bestFit="1" customWidth="1"/>
    <col min="11" max="11" width="1.77734375" style="36" bestFit="1" customWidth="1"/>
    <col min="12" max="12" width="6.44140625" style="36" customWidth="1"/>
    <col min="13" max="13" width="4.33203125" style="36" customWidth="1"/>
    <col min="14" max="14" width="3.6640625" style="33" bestFit="1" customWidth="1"/>
    <col min="15" max="16" width="4.33203125" style="33" bestFit="1" customWidth="1"/>
    <col min="17" max="17" width="5.88671875" style="36" bestFit="1" customWidth="1"/>
    <col min="18" max="18" width="1.77734375" style="36" bestFit="1" customWidth="1"/>
    <col min="19" max="19" width="4.109375" style="36" customWidth="1"/>
    <col min="20" max="20" width="3.6640625" style="37" bestFit="1" customWidth="1"/>
    <col min="21" max="22" width="4.33203125" style="37" bestFit="1" customWidth="1"/>
    <col min="23" max="23" width="5.88671875" style="37" bestFit="1" customWidth="1"/>
    <col min="24" max="24" width="1.77734375" style="37" bestFit="1" customWidth="1"/>
    <col min="25" max="25" width="4.21875" style="37" customWidth="1"/>
    <col min="26" max="26" width="4" style="36" bestFit="1" customWidth="1"/>
    <col min="27" max="28" width="4.33203125" style="36" bestFit="1" customWidth="1"/>
    <col min="29" max="29" width="5.88671875" style="36" bestFit="1" customWidth="1"/>
    <col min="30" max="30" width="1.77734375" style="36" bestFit="1" customWidth="1"/>
    <col min="31" max="31" width="5.88671875" style="36" customWidth="1"/>
    <col min="32" max="32" width="4.44140625" style="74" customWidth="1"/>
    <col min="33" max="33" width="3.6640625" style="85" bestFit="1" customWidth="1"/>
    <col min="34" max="35" width="4.33203125" style="85" bestFit="1" customWidth="1"/>
    <col min="36" max="36" width="3.77734375" style="33" customWidth="1"/>
    <col min="37" max="37" width="3.21875" style="33" bestFit="1" customWidth="1"/>
    <col min="38" max="39" width="4.33203125" style="33" bestFit="1" customWidth="1"/>
    <col min="40" max="40" width="5.88671875" style="37" bestFit="1" customWidth="1"/>
    <col min="41" max="41" width="1.77734375" style="37" bestFit="1" customWidth="1"/>
    <col min="42" max="42" width="5.109375" style="36" customWidth="1"/>
    <col min="43" max="43" width="3.77734375" style="33" customWidth="1"/>
    <col min="44" max="44" width="3.6640625" style="33" bestFit="1" customWidth="1"/>
    <col min="45" max="46" width="4.33203125" style="33" bestFit="1" customWidth="1"/>
    <col min="47" max="47" width="5.6640625" style="37" bestFit="1" customWidth="1"/>
    <col min="48" max="48" width="1.77734375" style="37" bestFit="1" customWidth="1"/>
    <col min="49" max="49" width="3.33203125" style="36" customWidth="1"/>
    <col min="50" max="50" width="3.6640625" style="37" bestFit="1" customWidth="1"/>
    <col min="51" max="52" width="4.33203125" style="37" bestFit="1" customWidth="1"/>
    <col min="53" max="53" width="5.88671875" style="37" bestFit="1" customWidth="1"/>
    <col min="54" max="54" width="1.77734375" style="37" bestFit="1" customWidth="1"/>
    <col min="55" max="55" width="3.77734375" style="37" customWidth="1"/>
    <col min="56" max="56" width="3.44140625" style="36" bestFit="1" customWidth="1"/>
    <col min="57" max="57" width="4.33203125" style="36" bestFit="1" customWidth="1"/>
    <col min="58" max="59" width="5.33203125" style="36" bestFit="1" customWidth="1"/>
    <col min="60" max="60" width="1.77734375" style="36" bestFit="1" customWidth="1"/>
    <col min="61" max="61" width="7.5546875" style="36" customWidth="1"/>
    <col min="62" max="62" width="4.44140625" style="74" customWidth="1"/>
    <col min="63" max="63" width="4.5546875" style="85" bestFit="1" customWidth="1"/>
    <col min="64" max="65" width="4.33203125" style="85" bestFit="1" customWidth="1"/>
    <col min="66" max="66" width="4.21875" style="36" customWidth="1"/>
    <col min="67" max="67" width="4" style="33" bestFit="1" customWidth="1"/>
    <col min="68" max="69" width="4.33203125" style="33" bestFit="1" customWidth="1"/>
    <col min="70" max="70" width="5.88671875" style="37" bestFit="1" customWidth="1"/>
    <col min="71" max="71" width="1.77734375" style="37" bestFit="1" customWidth="1"/>
    <col min="72" max="72" width="5.109375" style="36" customWidth="1"/>
    <col min="73" max="73" width="4.21875" style="36" customWidth="1"/>
    <col min="74" max="74" width="4" style="33" bestFit="1" customWidth="1"/>
    <col min="75" max="76" width="4.33203125" style="33" bestFit="1" customWidth="1"/>
    <col min="77" max="77" width="5.88671875" style="37" bestFit="1" customWidth="1"/>
    <col min="78" max="78" width="1.77734375" style="37" bestFit="1" customWidth="1"/>
    <col min="79" max="79" width="4.109375" style="37" customWidth="1"/>
    <col min="80" max="80" width="4" style="37" bestFit="1" customWidth="1"/>
    <col min="81" max="82" width="4.33203125" style="37" bestFit="1" customWidth="1"/>
    <col min="83" max="83" width="6" style="37" bestFit="1" customWidth="1"/>
    <col min="84" max="84" width="1.77734375" style="37" bestFit="1" customWidth="1"/>
    <col min="85" max="85" width="3.77734375" style="37" customWidth="1"/>
    <col min="86" max="86" width="4" style="36" bestFit="1" customWidth="1"/>
    <col min="87" max="88" width="4.33203125" style="36" bestFit="1" customWidth="1"/>
    <col min="89" max="89" width="5.6640625" style="36" bestFit="1" customWidth="1"/>
    <col min="90" max="90" width="1.77734375" style="36" bestFit="1" customWidth="1"/>
    <col min="91" max="91" width="6.44140625" style="36" customWidth="1"/>
    <col min="92" max="92" width="4.44140625" style="74" customWidth="1"/>
    <col min="93" max="93" width="4" style="85" bestFit="1" customWidth="1"/>
    <col min="94" max="95" width="4.33203125" style="85" bestFit="1" customWidth="1"/>
    <col min="96" max="96" width="3.88671875" style="33" customWidth="1"/>
    <col min="97" max="97" width="4" style="33" bestFit="1" customWidth="1"/>
    <col min="98" max="99" width="4.33203125" style="33" bestFit="1" customWidth="1"/>
    <col min="100" max="100" width="5.88671875" style="37" bestFit="1" customWidth="1"/>
    <col min="101" max="101" width="1.77734375" style="37" bestFit="1" customWidth="1"/>
    <col min="102" max="102" width="5.109375" style="36" customWidth="1"/>
    <col min="103" max="103" width="4.109375" style="36" customWidth="1"/>
    <col min="104" max="104" width="4" style="33" bestFit="1" customWidth="1"/>
    <col min="105" max="106" width="4.33203125" style="33" bestFit="1" customWidth="1"/>
    <col min="107" max="107" width="5.88671875" style="37" bestFit="1" customWidth="1"/>
    <col min="108" max="108" width="1.77734375" style="37" bestFit="1" customWidth="1"/>
    <col min="109" max="109" width="3.44140625" style="36" customWidth="1"/>
    <col min="110" max="110" width="4" style="37" bestFit="1" customWidth="1"/>
    <col min="111" max="112" width="4.33203125" style="37" bestFit="1" customWidth="1"/>
    <col min="113" max="113" width="5.88671875" style="37" bestFit="1" customWidth="1"/>
    <col min="114" max="114" width="1.77734375" style="37" bestFit="1" customWidth="1"/>
    <col min="115" max="115" width="4.33203125" style="37" customWidth="1"/>
    <col min="116" max="116" width="4" style="36" bestFit="1" customWidth="1"/>
    <col min="117" max="118" width="4.33203125" style="36" bestFit="1" customWidth="1"/>
    <col min="119" max="119" width="5.44140625" style="37" bestFit="1" customWidth="1"/>
    <col min="120" max="120" width="1.77734375" style="37" bestFit="1" customWidth="1"/>
    <col min="121" max="121" width="6.44140625" style="37" customWidth="1"/>
    <col min="122" max="122" width="4.44140625" style="74" customWidth="1"/>
    <col min="123" max="123" width="4" style="85" bestFit="1" customWidth="1"/>
    <col min="124" max="124" width="4.33203125" style="85" bestFit="1" customWidth="1"/>
    <col min="125" max="125" width="5.33203125" style="85" bestFit="1" customWidth="1"/>
    <col min="126" max="126" width="4.5546875" style="36" customWidth="1"/>
    <col min="127" max="127" width="3.44140625" style="33" bestFit="1" customWidth="1"/>
    <col min="128" max="128" width="4.33203125" style="33" bestFit="1" customWidth="1"/>
    <col min="129" max="129" width="5.33203125" style="33" bestFit="1" customWidth="1"/>
    <col min="130" max="130" width="5.88671875" style="36" bestFit="1" customWidth="1"/>
    <col min="131" max="131" width="1.77734375" style="36" bestFit="1" customWidth="1"/>
    <col min="132" max="132" width="5.109375" style="36" customWidth="1"/>
    <col min="133" max="133" width="4.5546875" style="36" customWidth="1"/>
    <col min="134" max="134" width="3.109375" style="33" bestFit="1" customWidth="1"/>
    <col min="135" max="135" width="4.33203125" style="33" bestFit="1" customWidth="1"/>
    <col min="136" max="136" width="4.88671875" style="33" bestFit="1" customWidth="1"/>
    <col min="137" max="137" width="5.88671875" style="36" bestFit="1" customWidth="1"/>
    <col min="138" max="138" width="1.77734375" style="36" bestFit="1" customWidth="1"/>
    <col min="139" max="139" width="4.77734375" style="36" customWidth="1"/>
    <col min="140" max="140" width="3.44140625" style="37" bestFit="1" customWidth="1"/>
    <col min="141" max="142" width="4.33203125" style="37" bestFit="1" customWidth="1"/>
    <col min="143" max="143" width="5.33203125" style="37" bestFit="1" customWidth="1"/>
    <col min="144" max="144" width="1.77734375" style="37" bestFit="1" customWidth="1"/>
    <col min="145" max="145" width="4.21875" style="37" customWidth="1"/>
    <col min="146" max="146" width="3.44140625" style="36" bestFit="1" customWidth="1"/>
    <col min="147" max="148" width="4.33203125" style="36" bestFit="1" customWidth="1"/>
    <col min="149" max="149" width="5.88671875" style="36" bestFit="1" customWidth="1"/>
    <col min="150" max="150" width="1.77734375" style="36" bestFit="1" customWidth="1"/>
    <col min="151" max="151" width="6.44140625" style="36" customWidth="1"/>
    <col min="152" max="152" width="4.44140625" style="74" customWidth="1"/>
    <col min="153" max="153" width="4" style="85" bestFit="1" customWidth="1"/>
    <col min="154" max="155" width="4.33203125" style="85" bestFit="1" customWidth="1"/>
    <col min="156" max="156" width="4" style="36" customWidth="1"/>
    <col min="157" max="157" width="3.6640625" style="33" bestFit="1" customWidth="1"/>
    <col min="158" max="159" width="4.33203125" style="33" bestFit="1" customWidth="1"/>
    <col min="160" max="160" width="5.88671875" style="36" bestFit="1" customWidth="1"/>
    <col min="161" max="161" width="1.5546875" style="36" bestFit="1" customWidth="1"/>
    <col min="162" max="162" width="5.109375" style="36" customWidth="1"/>
    <col min="163" max="163" width="4" style="36" customWidth="1"/>
    <col min="164" max="164" width="3.6640625" style="33" bestFit="1" customWidth="1"/>
    <col min="165" max="166" width="4.33203125" style="33" bestFit="1" customWidth="1"/>
    <col min="167" max="167" width="5.44140625" style="36" bestFit="1" customWidth="1"/>
    <col min="168" max="168" width="1.77734375" style="36" bestFit="1" customWidth="1"/>
    <col min="169" max="169" width="6.21875" style="36" customWidth="1"/>
    <col min="170" max="170" width="3.6640625" style="37" bestFit="1" customWidth="1"/>
    <col min="171" max="172" width="4.33203125" style="37" bestFit="1" customWidth="1"/>
    <col min="173" max="173" width="5.88671875" style="37" bestFit="1" customWidth="1"/>
    <col min="174" max="174" width="1.77734375" style="37" bestFit="1" customWidth="1"/>
    <col min="175" max="175" width="5.21875" style="37" customWidth="1"/>
    <col min="176" max="176" width="4" style="36" bestFit="1" customWidth="1"/>
    <col min="177" max="178" width="4.33203125" style="36" bestFit="1" customWidth="1"/>
    <col min="179" max="179" width="5.88671875" style="36" bestFit="1" customWidth="1"/>
    <col min="180" max="180" width="1.77734375" style="36" bestFit="1" customWidth="1"/>
    <col min="181" max="181" width="7.5546875" style="36" customWidth="1"/>
    <col min="182" max="182" width="4.44140625" style="74" customWidth="1"/>
    <col min="183" max="183" width="4" style="85" bestFit="1" customWidth="1"/>
    <col min="184" max="185" width="4.33203125" style="85" bestFit="1" customWidth="1"/>
    <col min="186" max="186" width="3.77734375" style="33" customWidth="1"/>
    <col min="187" max="187" width="3.6640625" style="33" bestFit="1" customWidth="1"/>
    <col min="188" max="189" width="4.33203125" style="33" bestFit="1" customWidth="1"/>
    <col min="190" max="190" width="5.88671875" style="37" bestFit="1" customWidth="1"/>
    <col min="191" max="191" width="1.77734375" style="37" bestFit="1" customWidth="1"/>
    <col min="192" max="192" width="5.109375" style="36" customWidth="1"/>
    <col min="193" max="193" width="3.77734375" style="33" customWidth="1"/>
    <col min="194" max="194" width="4" style="33" bestFit="1" customWidth="1"/>
    <col min="195" max="196" width="4.33203125" style="33" bestFit="1" customWidth="1"/>
    <col min="197" max="197" width="5.88671875" style="37" bestFit="1" customWidth="1"/>
    <col min="198" max="198" width="1.77734375" style="37" bestFit="1" customWidth="1"/>
    <col min="199" max="199" width="4.109375" style="36" customWidth="1"/>
    <col min="200" max="200" width="4" style="37" bestFit="1" customWidth="1"/>
    <col min="201" max="202" width="4.33203125" style="37" bestFit="1" customWidth="1"/>
    <col min="203" max="203" width="5.88671875" style="37" bestFit="1" customWidth="1"/>
    <col min="204" max="204" width="1.77734375" style="37" bestFit="1" customWidth="1"/>
    <col min="205" max="205" width="4.77734375" style="37" customWidth="1"/>
    <col min="206" max="206" width="3.6640625" style="36" bestFit="1" customWidth="1"/>
    <col min="207" max="208" width="4.33203125" style="36" bestFit="1" customWidth="1"/>
    <col min="209" max="209" width="5.88671875" style="36" bestFit="1" customWidth="1"/>
    <col min="210" max="210" width="1.77734375" style="36" bestFit="1" customWidth="1"/>
    <col min="211" max="211" width="5.88671875" style="36" customWidth="1"/>
    <col min="212" max="212" width="4.44140625" style="74" customWidth="1"/>
    <col min="213" max="213" width="4" style="85" bestFit="1" customWidth="1"/>
    <col min="214" max="215" width="4.33203125" style="85" bestFit="1" customWidth="1"/>
    <col min="216" max="216" width="4.77734375" style="36" customWidth="1"/>
    <col min="217" max="217" width="3.6640625" style="33" bestFit="1" customWidth="1"/>
    <col min="218" max="219" width="4.33203125" style="33" bestFit="1" customWidth="1"/>
    <col min="220" max="220" width="5.88671875" style="37" bestFit="1" customWidth="1"/>
    <col min="221" max="221" width="1.77734375" style="37" bestFit="1" customWidth="1"/>
    <col min="222" max="222" width="5.109375" style="36" customWidth="1"/>
    <col min="223" max="223" width="4.77734375" style="36" customWidth="1"/>
    <col min="224" max="224" width="3.6640625" style="33" bestFit="1" customWidth="1"/>
    <col min="225" max="226" width="4.33203125" style="33" bestFit="1" customWidth="1"/>
    <col min="227" max="227" width="5.88671875" style="37" bestFit="1" customWidth="1"/>
    <col min="228" max="228" width="1.77734375" style="37" bestFit="1" customWidth="1"/>
    <col min="229" max="229" width="5.109375" style="37" customWidth="1"/>
    <col min="230" max="230" width="3.6640625" style="37" bestFit="1" customWidth="1"/>
    <col min="231" max="232" width="4.33203125" style="37" bestFit="1" customWidth="1"/>
    <col min="233" max="233" width="5.88671875" style="37" bestFit="1" customWidth="1"/>
    <col min="234" max="234" width="1.77734375" style="37" bestFit="1" customWidth="1"/>
    <col min="235" max="235" width="5.6640625" style="37" customWidth="1"/>
    <col min="236" max="236" width="3.6640625" style="36" bestFit="1" customWidth="1"/>
    <col min="237" max="238" width="4.33203125" style="36" bestFit="1" customWidth="1"/>
    <col min="239" max="239" width="5.88671875" style="36" bestFit="1" customWidth="1"/>
    <col min="240" max="240" width="1.77734375" style="36" bestFit="1" customWidth="1"/>
    <col min="241" max="241" width="5.88671875" style="36" bestFit="1" customWidth="1"/>
    <col min="242" max="242" width="4.44140625" style="74" customWidth="1"/>
    <col min="243" max="243" width="4" style="85" bestFit="1" customWidth="1"/>
    <col min="244" max="245" width="4.33203125" style="85" bestFit="1" customWidth="1"/>
    <col min="246" max="246" width="4.88671875" style="36" customWidth="1"/>
    <col min="247" max="247" width="4" style="33" bestFit="1" customWidth="1"/>
    <col min="248" max="249" width="4.33203125" style="33" bestFit="1" customWidth="1"/>
    <col min="250" max="250" width="5.88671875" style="37" bestFit="1" customWidth="1"/>
    <col min="251" max="251" width="1.77734375" style="37" bestFit="1" customWidth="1"/>
    <col min="252" max="252" width="5.109375" style="36" customWidth="1"/>
    <col min="253" max="253" width="4.88671875" style="36" customWidth="1"/>
    <col min="254" max="254" width="4" style="33" bestFit="1" customWidth="1"/>
    <col min="255" max="256" width="4.33203125" style="33" bestFit="1" customWidth="1"/>
    <col min="257" max="257" width="5.88671875" style="37" bestFit="1" customWidth="1"/>
    <col min="258" max="258" width="1.77734375" style="37" bestFit="1" customWidth="1"/>
    <col min="259" max="259" width="4.88671875" style="36" customWidth="1"/>
    <col min="260" max="260" width="4" style="37" bestFit="1" customWidth="1"/>
    <col min="261" max="262" width="4.33203125" style="37" bestFit="1" customWidth="1"/>
    <col min="263" max="263" width="5.88671875" style="37" bestFit="1" customWidth="1"/>
    <col min="264" max="264" width="1.77734375" style="37" bestFit="1" customWidth="1"/>
    <col min="265" max="265" width="5.33203125" style="37" customWidth="1"/>
    <col min="266" max="266" width="4" style="36" bestFit="1" customWidth="1"/>
    <col min="267" max="268" width="4.33203125" style="36" bestFit="1" customWidth="1"/>
    <col min="269" max="269" width="5.88671875" style="36" bestFit="1" customWidth="1"/>
    <col min="270" max="270" width="1.77734375" style="36" bestFit="1" customWidth="1"/>
    <col min="271" max="271" width="6.21875" style="36" customWidth="1"/>
    <col min="272" max="272" width="4.44140625" style="74" customWidth="1"/>
    <col min="273" max="273" width="4" style="85" bestFit="1" customWidth="1"/>
    <col min="274" max="275" width="4.33203125" style="85" bestFit="1" customWidth="1"/>
    <col min="276" max="276" width="5" style="36" customWidth="1"/>
    <col min="277" max="277" width="4" style="33" bestFit="1" customWidth="1"/>
    <col min="278" max="278" width="4.33203125" style="33" bestFit="1" customWidth="1"/>
    <col min="279" max="279" width="5.33203125" style="33" bestFit="1" customWidth="1"/>
    <col min="280" max="280" width="5.88671875" style="37" bestFit="1" customWidth="1"/>
    <col min="281" max="281" width="1.5546875" style="37" bestFit="1" customWidth="1"/>
    <col min="282" max="282" width="5.109375" style="36" customWidth="1"/>
    <col min="283" max="283" width="5" style="36" customWidth="1"/>
    <col min="284" max="284" width="4" style="33" bestFit="1" customWidth="1"/>
    <col min="285" max="285" width="4.33203125" style="33" bestFit="1" customWidth="1"/>
    <col min="286" max="286" width="5.33203125" style="33" bestFit="1" customWidth="1"/>
    <col min="287" max="287" width="5.88671875" style="37" bestFit="1" customWidth="1"/>
    <col min="288" max="288" width="1.5546875" style="37" bestFit="1" customWidth="1"/>
    <col min="289" max="289" width="5" style="36" customWidth="1"/>
    <col min="290" max="290" width="4.5546875" style="37" bestFit="1" customWidth="1"/>
    <col min="291" max="291" width="4.33203125" style="37" bestFit="1" customWidth="1"/>
    <col min="292" max="292" width="4.88671875" style="37" bestFit="1" customWidth="1"/>
    <col min="293" max="293" width="5.88671875" style="37" bestFit="1" customWidth="1"/>
    <col min="294" max="294" width="1.5546875" style="37" bestFit="1" customWidth="1"/>
    <col min="295" max="295" width="4.44140625" style="37" customWidth="1"/>
    <col min="296" max="296" width="4.5546875" style="36" bestFit="1" customWidth="1"/>
    <col min="297" max="298" width="4.33203125" style="36" bestFit="1" customWidth="1"/>
    <col min="299" max="299" width="5.88671875" style="36" bestFit="1" customWidth="1"/>
    <col min="300" max="300" width="1.77734375" style="36" bestFit="1" customWidth="1"/>
    <col min="301" max="301" width="7.6640625" style="36" bestFit="1" customWidth="1"/>
    <col min="302" max="302" width="4.44140625" style="74" customWidth="1"/>
    <col min="303" max="303" width="4" style="85" bestFit="1" customWidth="1"/>
    <col min="304" max="305" width="4.33203125" style="85" bestFit="1" customWidth="1"/>
    <col min="306" max="306" width="4.6640625" style="36" customWidth="1"/>
    <col min="307" max="307" width="4" style="33" bestFit="1" customWidth="1"/>
    <col min="308" max="309" width="4.33203125" style="33" bestFit="1" customWidth="1"/>
    <col min="310" max="310" width="5.88671875" style="37" bestFit="1" customWidth="1"/>
    <col min="311" max="311" width="1.77734375" style="37" bestFit="1" customWidth="1"/>
    <col min="312" max="312" width="5.109375" style="36" customWidth="1"/>
    <col min="313" max="313" width="4.6640625" style="36" customWidth="1"/>
    <col min="314" max="314" width="4" style="33" bestFit="1" customWidth="1"/>
    <col min="315" max="316" width="4.33203125" style="33" bestFit="1" customWidth="1"/>
    <col min="317" max="317" width="5.88671875" style="37" bestFit="1" customWidth="1"/>
    <col min="318" max="318" width="1.77734375" style="37" bestFit="1" customWidth="1"/>
    <col min="319" max="319" width="4.6640625" style="36" customWidth="1"/>
    <col min="320" max="320" width="4.5546875" style="37" bestFit="1" customWidth="1"/>
    <col min="321" max="322" width="4.33203125" style="37" bestFit="1" customWidth="1"/>
    <col min="323" max="323" width="5.88671875" style="37" bestFit="1" customWidth="1"/>
    <col min="324" max="324" width="1.77734375" style="37" bestFit="1" customWidth="1"/>
    <col min="325" max="325" width="5.109375" style="37" customWidth="1"/>
    <col min="326" max="326" width="4.5546875" style="36" bestFit="1" customWidth="1"/>
    <col min="327" max="328" width="4.33203125" style="36" bestFit="1" customWidth="1"/>
    <col min="329" max="329" width="5.88671875" style="36" bestFit="1" customWidth="1"/>
    <col min="330" max="330" width="1.77734375" style="36" bestFit="1" customWidth="1"/>
    <col min="331" max="331" width="5.44140625" style="36" customWidth="1"/>
    <col min="332" max="332" width="4.44140625" style="74" customWidth="1"/>
    <col min="333" max="333" width="4" style="85" bestFit="1" customWidth="1"/>
    <col min="334" max="335" width="4.33203125" style="85" bestFit="1" customWidth="1"/>
    <col min="336" max="336" width="4.21875" style="36" customWidth="1"/>
    <col min="337" max="337" width="4" style="33" bestFit="1" customWidth="1"/>
    <col min="338" max="339" width="4.33203125" style="33" bestFit="1" customWidth="1"/>
    <col min="340" max="340" width="5.88671875" style="37" bestFit="1" customWidth="1"/>
    <col min="341" max="341" width="1.77734375" style="37" bestFit="1" customWidth="1"/>
    <col min="342" max="342" width="5.109375" style="36" customWidth="1"/>
    <col min="343" max="343" width="4.21875" style="36" customWidth="1"/>
    <col min="344" max="344" width="4" style="33" bestFit="1" customWidth="1"/>
    <col min="345" max="346" width="4.33203125" style="33" bestFit="1" customWidth="1"/>
    <col min="347" max="347" width="5.88671875" style="37" bestFit="1" customWidth="1"/>
    <col min="348" max="348" width="1.5546875" style="37" bestFit="1" customWidth="1"/>
    <col min="349" max="349" width="4.21875" style="36" customWidth="1"/>
    <col min="350" max="350" width="4.5546875" style="37" bestFit="1" customWidth="1"/>
    <col min="351" max="352" width="4.33203125" style="37" bestFit="1" customWidth="1"/>
    <col min="353" max="353" width="5.88671875" style="37" bestFit="1" customWidth="1"/>
    <col min="354" max="354" width="1.77734375" style="37" bestFit="1" customWidth="1"/>
    <col min="355" max="355" width="5.33203125" style="37" customWidth="1"/>
    <col min="356" max="356" width="4.5546875" style="36" bestFit="1" customWidth="1"/>
    <col min="357" max="358" width="4.33203125" style="36" bestFit="1" customWidth="1"/>
    <col min="359" max="359" width="5.88671875" style="36" bestFit="1" customWidth="1"/>
    <col min="360" max="360" width="2" style="36" customWidth="1"/>
    <col min="361" max="361" width="6.77734375" style="36" customWidth="1"/>
    <col min="362" max="362" width="4.44140625" style="74" customWidth="1"/>
    <col min="363" max="363" width="4" style="85" bestFit="1" customWidth="1"/>
    <col min="364" max="365" width="4.33203125" style="85" bestFit="1" customWidth="1"/>
    <col min="366" max="366" width="4.33203125" style="36" customWidth="1"/>
    <col min="367" max="367" width="4" style="33" bestFit="1" customWidth="1"/>
    <col min="368" max="369" width="4.33203125" style="33" bestFit="1" customWidth="1"/>
    <col min="370" max="370" width="5.88671875" style="37" bestFit="1" customWidth="1"/>
    <col min="371" max="371" width="1.5546875" style="37" bestFit="1" customWidth="1"/>
    <col min="372" max="372" width="5.109375" style="36" customWidth="1"/>
    <col min="373" max="373" width="4.33203125" style="36" customWidth="1"/>
    <col min="374" max="374" width="4" style="33" bestFit="1" customWidth="1"/>
    <col min="375" max="376" width="4.33203125" style="33" bestFit="1" customWidth="1"/>
    <col min="377" max="377" width="5.88671875" style="37" bestFit="1" customWidth="1"/>
    <col min="378" max="378" width="1.77734375" style="37" bestFit="1" customWidth="1"/>
    <col min="379" max="379" width="4.33203125" style="36" customWidth="1"/>
    <col min="380" max="380" width="4.5546875" style="37" bestFit="1" customWidth="1"/>
    <col min="381" max="382" width="4.33203125" style="37" bestFit="1" customWidth="1"/>
    <col min="383" max="383" width="5.6640625" style="37" bestFit="1" customWidth="1"/>
    <col min="384" max="384" width="1.77734375" style="37" bestFit="1" customWidth="1"/>
    <col min="385" max="385" width="4" style="37" customWidth="1"/>
    <col min="386" max="386" width="4.5546875" style="36" bestFit="1" customWidth="1"/>
    <col min="387" max="388" width="4.33203125" style="36" bestFit="1" customWidth="1"/>
    <col min="389" max="389" width="5.88671875" style="36" bestFit="1" customWidth="1"/>
    <col min="390" max="390" width="1.77734375" style="36" bestFit="1" customWidth="1"/>
    <col min="391" max="391" width="6.44140625" style="36" customWidth="1"/>
    <col min="392" max="392" width="6.21875" style="36" customWidth="1"/>
    <col min="393" max="16384" width="7" style="36"/>
  </cols>
  <sheetData>
    <row r="1" spans="1:392" s="109" customFormat="1" x14ac:dyDescent="0.2">
      <c r="A1" s="2"/>
      <c r="B1" s="107"/>
      <c r="C1" s="91" t="s">
        <v>137</v>
      </c>
      <c r="D1" s="108"/>
      <c r="E1" s="108"/>
      <c r="G1" s="91" t="s">
        <v>155</v>
      </c>
      <c r="H1" s="108"/>
      <c r="I1" s="108"/>
      <c r="N1" s="91" t="s">
        <v>141</v>
      </c>
      <c r="O1" s="108"/>
      <c r="P1" s="108"/>
      <c r="T1" s="110" t="s">
        <v>138</v>
      </c>
      <c r="U1" s="110"/>
      <c r="V1" s="110"/>
      <c r="W1" s="110"/>
      <c r="X1" s="110"/>
      <c r="Y1" s="110"/>
      <c r="Z1" s="109" t="s">
        <v>137</v>
      </c>
      <c r="AF1" s="111"/>
      <c r="AG1" s="91" t="s">
        <v>137</v>
      </c>
      <c r="AH1" s="108"/>
      <c r="AI1" s="108"/>
      <c r="AJ1" s="108"/>
      <c r="AK1" s="91" t="s">
        <v>155</v>
      </c>
      <c r="AL1" s="108"/>
      <c r="AM1" s="108"/>
      <c r="AN1" s="110"/>
      <c r="AO1" s="110"/>
      <c r="AQ1" s="108"/>
      <c r="AR1" s="91" t="s">
        <v>141</v>
      </c>
      <c r="AS1" s="108"/>
      <c r="AT1" s="108"/>
      <c r="AU1" s="110"/>
      <c r="AV1" s="110"/>
      <c r="AX1" s="110" t="s">
        <v>138</v>
      </c>
      <c r="AY1" s="110"/>
      <c r="AZ1" s="110"/>
      <c r="BA1" s="110"/>
      <c r="BB1" s="110"/>
      <c r="BC1" s="110"/>
      <c r="BD1" s="109" t="s">
        <v>137</v>
      </c>
      <c r="BJ1" s="111"/>
      <c r="BK1" s="91" t="s">
        <v>137</v>
      </c>
      <c r="BL1" s="108"/>
      <c r="BM1" s="108"/>
      <c r="BO1" s="91" t="s">
        <v>155</v>
      </c>
      <c r="BP1" s="108"/>
      <c r="BQ1" s="108"/>
      <c r="BR1" s="110"/>
      <c r="BS1" s="110"/>
      <c r="BV1" s="91" t="s">
        <v>141</v>
      </c>
      <c r="BW1" s="108"/>
      <c r="BX1" s="108"/>
      <c r="BY1" s="110"/>
      <c r="BZ1" s="110"/>
      <c r="CA1" s="110"/>
      <c r="CB1" s="110" t="s">
        <v>138</v>
      </c>
      <c r="CC1" s="110"/>
      <c r="CD1" s="110"/>
      <c r="CE1" s="110"/>
      <c r="CF1" s="110"/>
      <c r="CG1" s="110"/>
      <c r="CH1" s="109" t="s">
        <v>137</v>
      </c>
      <c r="CN1" s="111"/>
      <c r="CO1" s="91" t="s">
        <v>137</v>
      </c>
      <c r="CP1" s="108"/>
      <c r="CQ1" s="108"/>
      <c r="CR1" s="108"/>
      <c r="CS1" s="91" t="s">
        <v>155</v>
      </c>
      <c r="CT1" s="108"/>
      <c r="CU1" s="108"/>
      <c r="CV1" s="110"/>
      <c r="CW1" s="110"/>
      <c r="CZ1" s="91" t="s">
        <v>141</v>
      </c>
      <c r="DA1" s="108"/>
      <c r="DB1" s="108"/>
      <c r="DC1" s="110"/>
      <c r="DD1" s="110"/>
      <c r="DF1" s="110" t="s">
        <v>138</v>
      </c>
      <c r="DG1" s="110"/>
      <c r="DH1" s="110"/>
      <c r="DI1" s="110"/>
      <c r="DJ1" s="110"/>
      <c r="DK1" s="110"/>
      <c r="DL1" s="109" t="s">
        <v>137</v>
      </c>
      <c r="DO1" s="110"/>
      <c r="DP1" s="110"/>
      <c r="DQ1" s="110"/>
      <c r="DR1" s="111"/>
      <c r="DS1" s="91" t="s">
        <v>137</v>
      </c>
      <c r="DT1" s="108"/>
      <c r="DU1" s="108"/>
      <c r="DW1" s="110" t="s">
        <v>155</v>
      </c>
      <c r="DX1" s="108"/>
      <c r="DY1" s="108"/>
      <c r="ED1" s="110" t="s">
        <v>141</v>
      </c>
      <c r="EE1" s="108"/>
      <c r="EF1" s="108"/>
      <c r="EJ1" s="110" t="s">
        <v>138</v>
      </c>
      <c r="EK1" s="110"/>
      <c r="EL1" s="110"/>
      <c r="EM1" s="110"/>
      <c r="EN1" s="110"/>
      <c r="EO1" s="110"/>
      <c r="EP1" s="109" t="s">
        <v>137</v>
      </c>
      <c r="EV1" s="111"/>
      <c r="EW1" s="91" t="s">
        <v>137</v>
      </c>
      <c r="EX1" s="108"/>
      <c r="EY1" s="108"/>
      <c r="FA1" s="91" t="s">
        <v>155</v>
      </c>
      <c r="FB1" s="108"/>
      <c r="FC1" s="108"/>
      <c r="FH1" s="91" t="s">
        <v>141</v>
      </c>
      <c r="FI1" s="108"/>
      <c r="FJ1" s="108"/>
      <c r="FN1" s="110" t="s">
        <v>138</v>
      </c>
      <c r="FO1" s="110"/>
      <c r="FP1" s="110"/>
      <c r="FQ1" s="110"/>
      <c r="FR1" s="110"/>
      <c r="FS1" s="110"/>
      <c r="FT1" s="109" t="s">
        <v>137</v>
      </c>
      <c r="FZ1" s="111"/>
      <c r="GA1" s="91" t="s">
        <v>137</v>
      </c>
      <c r="GB1" s="108"/>
      <c r="GC1" s="108"/>
      <c r="GD1" s="108"/>
      <c r="GE1" s="110" t="s">
        <v>155</v>
      </c>
      <c r="GF1" s="108"/>
      <c r="GG1" s="108"/>
      <c r="GH1" s="110"/>
      <c r="GI1" s="110"/>
      <c r="GK1" s="108"/>
      <c r="GL1" s="110" t="s">
        <v>141</v>
      </c>
      <c r="GM1" s="108"/>
      <c r="GN1" s="108"/>
      <c r="GO1" s="110"/>
      <c r="GP1" s="110"/>
      <c r="GR1" s="110" t="s">
        <v>138</v>
      </c>
      <c r="GS1" s="110"/>
      <c r="GT1" s="110"/>
      <c r="GU1" s="110"/>
      <c r="GV1" s="110"/>
      <c r="GW1" s="110"/>
      <c r="GX1" s="109" t="s">
        <v>137</v>
      </c>
      <c r="HD1" s="111"/>
      <c r="HE1" s="91" t="s">
        <v>137</v>
      </c>
      <c r="HF1" s="108"/>
      <c r="HG1" s="108"/>
      <c r="HI1" s="91" t="s">
        <v>155</v>
      </c>
      <c r="HJ1" s="108"/>
      <c r="HK1" s="108"/>
      <c r="HL1" s="110"/>
      <c r="HM1" s="110"/>
      <c r="HP1" s="91" t="s">
        <v>141</v>
      </c>
      <c r="HQ1" s="108"/>
      <c r="HR1" s="108"/>
      <c r="HS1" s="110"/>
      <c r="HT1" s="110"/>
      <c r="HU1" s="110"/>
      <c r="HV1" s="110" t="s">
        <v>138</v>
      </c>
      <c r="HW1" s="110" t="s">
        <v>136</v>
      </c>
      <c r="HX1" s="110"/>
      <c r="HY1" s="110"/>
      <c r="HZ1" s="110"/>
      <c r="IA1" s="110"/>
      <c r="IB1" s="109" t="s">
        <v>137</v>
      </c>
      <c r="IH1" s="111"/>
      <c r="II1" s="91" t="s">
        <v>137</v>
      </c>
      <c r="IJ1" s="108"/>
      <c r="IK1" s="108"/>
      <c r="IM1" s="110" t="s">
        <v>155</v>
      </c>
      <c r="IN1" s="108"/>
      <c r="IO1" s="108"/>
      <c r="IP1" s="110"/>
      <c r="IQ1" s="110"/>
      <c r="IT1" s="91" t="s">
        <v>141</v>
      </c>
      <c r="IU1" s="108"/>
      <c r="IV1" s="108"/>
      <c r="IW1" s="110"/>
      <c r="IX1" s="110"/>
      <c r="IZ1" s="110" t="s">
        <v>138</v>
      </c>
      <c r="JA1" s="110"/>
      <c r="JB1" s="110"/>
      <c r="JC1" s="110"/>
      <c r="JD1" s="110"/>
      <c r="JE1" s="110"/>
      <c r="JF1" s="109" t="s">
        <v>137</v>
      </c>
      <c r="JL1" s="111"/>
      <c r="JM1" s="91" t="s">
        <v>137</v>
      </c>
      <c r="JN1" s="108"/>
      <c r="JO1" s="108"/>
      <c r="JQ1" s="91" t="s">
        <v>155</v>
      </c>
      <c r="JR1" s="108"/>
      <c r="JS1" s="108"/>
      <c r="JT1" s="110"/>
      <c r="JU1" s="110"/>
      <c r="JX1" s="91" t="s">
        <v>141</v>
      </c>
      <c r="JY1" s="108"/>
      <c r="JZ1" s="108"/>
      <c r="KA1" s="110"/>
      <c r="KB1" s="110"/>
      <c r="KD1" s="110" t="s">
        <v>138</v>
      </c>
      <c r="KE1" s="110"/>
      <c r="KF1" s="110"/>
      <c r="KG1" s="110"/>
      <c r="KH1" s="110"/>
      <c r="KI1" s="110"/>
      <c r="KJ1" s="109" t="s">
        <v>137</v>
      </c>
      <c r="KP1" s="111"/>
      <c r="KQ1" s="91" t="s">
        <v>137</v>
      </c>
      <c r="KR1" s="108"/>
      <c r="KS1" s="108"/>
      <c r="KU1" s="91" t="s">
        <v>155</v>
      </c>
      <c r="KV1" s="108"/>
      <c r="KW1" s="108"/>
      <c r="KX1" s="110"/>
      <c r="KY1" s="110"/>
      <c r="LB1" s="91" t="s">
        <v>141</v>
      </c>
      <c r="LC1" s="108"/>
      <c r="LD1" s="108"/>
      <c r="LE1" s="110"/>
      <c r="LF1" s="110"/>
      <c r="LH1" s="110" t="s">
        <v>138</v>
      </c>
      <c r="LI1" s="110"/>
      <c r="LJ1" s="110"/>
      <c r="LK1" s="110"/>
      <c r="LL1" s="110"/>
      <c r="LM1" s="110"/>
      <c r="LN1" s="109" t="s">
        <v>137</v>
      </c>
      <c r="LT1" s="111"/>
      <c r="LU1" s="91" t="s">
        <v>137</v>
      </c>
      <c r="LV1" s="108"/>
      <c r="LW1" s="108"/>
      <c r="LY1" s="91" t="s">
        <v>155</v>
      </c>
      <c r="LZ1" s="108"/>
      <c r="MA1" s="108"/>
      <c r="MB1" s="110"/>
      <c r="MC1" s="110"/>
      <c r="MF1" s="91" t="s">
        <v>141</v>
      </c>
      <c r="MG1" s="108"/>
      <c r="MH1" s="108"/>
      <c r="MI1" s="110"/>
      <c r="MJ1" s="110"/>
      <c r="ML1" s="110" t="s">
        <v>138</v>
      </c>
      <c r="MM1" s="110"/>
      <c r="MN1" s="110"/>
      <c r="MO1" s="110"/>
      <c r="MP1" s="110"/>
      <c r="MQ1" s="110"/>
      <c r="MR1" s="109" t="s">
        <v>137</v>
      </c>
      <c r="MX1" s="111"/>
      <c r="MY1" s="91" t="s">
        <v>137</v>
      </c>
      <c r="MZ1" s="108"/>
      <c r="NA1" s="108"/>
      <c r="NC1" s="91" t="s">
        <v>155</v>
      </c>
      <c r="ND1" s="108"/>
      <c r="NE1" s="108"/>
      <c r="NF1" s="110"/>
      <c r="NG1" s="110"/>
      <c r="NJ1" s="91" t="s">
        <v>141</v>
      </c>
      <c r="NK1" s="108"/>
      <c r="NL1" s="108"/>
      <c r="NM1" s="110"/>
      <c r="NN1" s="110"/>
      <c r="NP1" s="110" t="s">
        <v>138</v>
      </c>
      <c r="NQ1" s="110"/>
      <c r="NR1" s="110"/>
      <c r="NS1" s="110"/>
      <c r="NT1" s="110"/>
      <c r="NU1" s="110"/>
      <c r="NV1" s="109" t="s">
        <v>137</v>
      </c>
    </row>
    <row r="2" spans="1:392" s="109" customFormat="1" ht="22.55" x14ac:dyDescent="0.2">
      <c r="A2" s="2"/>
      <c r="B2" s="112"/>
      <c r="C2" s="91" t="s">
        <v>68</v>
      </c>
      <c r="D2" s="91"/>
      <c r="E2" s="91"/>
      <c r="F2" s="110"/>
      <c r="G2" s="91" t="s">
        <v>68</v>
      </c>
      <c r="H2" s="91"/>
      <c r="I2" s="91"/>
      <c r="J2" s="110"/>
      <c r="K2" s="110"/>
      <c r="L2" s="110" t="s">
        <v>160</v>
      </c>
      <c r="M2" s="110"/>
      <c r="N2" s="91" t="s">
        <v>68</v>
      </c>
      <c r="O2" s="91"/>
      <c r="P2" s="91"/>
      <c r="Q2" s="110"/>
      <c r="R2" s="110"/>
      <c r="S2" s="110"/>
      <c r="T2" s="110" t="s">
        <v>68</v>
      </c>
      <c r="U2" s="110"/>
      <c r="V2" s="110"/>
      <c r="W2" s="110"/>
      <c r="X2" s="110"/>
      <c r="Y2" s="110"/>
      <c r="Z2" s="110" t="s">
        <v>68</v>
      </c>
      <c r="AA2" s="110"/>
      <c r="AB2" s="110"/>
      <c r="AC2" s="110"/>
      <c r="AD2" s="110"/>
      <c r="AE2" s="110" t="s">
        <v>161</v>
      </c>
      <c r="AF2" s="113"/>
      <c r="AG2" s="91" t="s">
        <v>69</v>
      </c>
      <c r="AH2" s="91"/>
      <c r="AI2" s="91"/>
      <c r="AJ2" s="91"/>
      <c r="AK2" s="91" t="s">
        <v>69</v>
      </c>
      <c r="AL2" s="91"/>
      <c r="AM2" s="91"/>
      <c r="AN2" s="110"/>
      <c r="AO2" s="110"/>
      <c r="AP2" s="110" t="s">
        <v>160</v>
      </c>
      <c r="AQ2" s="91"/>
      <c r="AR2" s="91" t="s">
        <v>69</v>
      </c>
      <c r="AS2" s="91"/>
      <c r="AT2" s="91"/>
      <c r="AU2" s="110"/>
      <c r="AV2" s="110"/>
      <c r="AW2" s="110"/>
      <c r="AX2" s="110" t="s">
        <v>69</v>
      </c>
      <c r="AY2" s="110"/>
      <c r="AZ2" s="110"/>
      <c r="BA2" s="110"/>
      <c r="BB2" s="110"/>
      <c r="BC2" s="110"/>
      <c r="BD2" s="110" t="s">
        <v>69</v>
      </c>
      <c r="BE2" s="110"/>
      <c r="BF2" s="110"/>
      <c r="BG2" s="110"/>
      <c r="BH2" s="110"/>
      <c r="BI2" s="110" t="s">
        <v>161</v>
      </c>
      <c r="BJ2" s="113"/>
      <c r="BK2" s="91" t="s">
        <v>70</v>
      </c>
      <c r="BL2" s="91"/>
      <c r="BM2" s="91"/>
      <c r="BN2" s="110"/>
      <c r="BO2" s="91" t="s">
        <v>70</v>
      </c>
      <c r="BP2" s="91"/>
      <c r="BQ2" s="91"/>
      <c r="BR2" s="110"/>
      <c r="BS2" s="110"/>
      <c r="BT2" s="110" t="s">
        <v>160</v>
      </c>
      <c r="BU2" s="110"/>
      <c r="BV2" s="91" t="s">
        <v>70</v>
      </c>
      <c r="BW2" s="91"/>
      <c r="BX2" s="91"/>
      <c r="BY2" s="110"/>
      <c r="BZ2" s="110"/>
      <c r="CA2" s="110"/>
      <c r="CB2" s="110" t="s">
        <v>70</v>
      </c>
      <c r="CC2" s="110"/>
      <c r="CD2" s="110"/>
      <c r="CE2" s="110"/>
      <c r="CF2" s="110"/>
      <c r="CG2" s="110"/>
      <c r="CH2" s="110" t="s">
        <v>70</v>
      </c>
      <c r="CI2" s="110"/>
      <c r="CJ2" s="110"/>
      <c r="CK2" s="110"/>
      <c r="CL2" s="110"/>
      <c r="CM2" s="110" t="s">
        <v>161</v>
      </c>
      <c r="CN2" s="113"/>
      <c r="CO2" s="91" t="s">
        <v>71</v>
      </c>
      <c r="CP2" s="91"/>
      <c r="CQ2" s="91"/>
      <c r="CR2" s="91"/>
      <c r="CS2" s="91" t="s">
        <v>71</v>
      </c>
      <c r="CT2" s="91"/>
      <c r="CU2" s="91"/>
      <c r="CV2" s="110"/>
      <c r="CW2" s="110"/>
      <c r="CX2" s="110" t="s">
        <v>160</v>
      </c>
      <c r="CY2" s="110"/>
      <c r="CZ2" s="91" t="s">
        <v>71</v>
      </c>
      <c r="DA2" s="91"/>
      <c r="DB2" s="91"/>
      <c r="DC2" s="110"/>
      <c r="DD2" s="110"/>
      <c r="DE2" s="110"/>
      <c r="DF2" s="110" t="s">
        <v>71</v>
      </c>
      <c r="DG2" s="110"/>
      <c r="DH2" s="110"/>
      <c r="DI2" s="110"/>
      <c r="DJ2" s="110"/>
      <c r="DK2" s="110"/>
      <c r="DL2" s="110" t="s">
        <v>71</v>
      </c>
      <c r="DM2" s="110"/>
      <c r="DN2" s="110"/>
      <c r="DO2" s="110"/>
      <c r="DP2" s="110"/>
      <c r="DQ2" s="110" t="s">
        <v>161</v>
      </c>
      <c r="DR2" s="113"/>
      <c r="DS2" s="91" t="s">
        <v>72</v>
      </c>
      <c r="DT2" s="91"/>
      <c r="DU2" s="91"/>
      <c r="DV2" s="110"/>
      <c r="DW2" s="91" t="s">
        <v>72</v>
      </c>
      <c r="DX2" s="91"/>
      <c r="DY2" s="91"/>
      <c r="DZ2" s="110"/>
      <c r="EA2" s="110"/>
      <c r="EB2" s="110" t="s">
        <v>160</v>
      </c>
      <c r="EC2" s="110"/>
      <c r="ED2" s="91" t="s">
        <v>72</v>
      </c>
      <c r="EE2" s="91"/>
      <c r="EF2" s="91"/>
      <c r="EG2" s="110"/>
      <c r="EH2" s="110"/>
      <c r="EI2" s="110"/>
      <c r="EJ2" s="110" t="s">
        <v>72</v>
      </c>
      <c r="EK2" s="110"/>
      <c r="EL2" s="110"/>
      <c r="EM2" s="110"/>
      <c r="EN2" s="110"/>
      <c r="EO2" s="110"/>
      <c r="EP2" s="110" t="s">
        <v>72</v>
      </c>
      <c r="EQ2" s="110"/>
      <c r="ER2" s="110"/>
      <c r="ES2" s="110"/>
      <c r="ET2" s="110"/>
      <c r="EU2" s="110" t="s">
        <v>161</v>
      </c>
      <c r="EV2" s="113"/>
      <c r="EW2" s="91" t="s">
        <v>73</v>
      </c>
      <c r="EX2" s="91"/>
      <c r="EY2" s="91"/>
      <c r="EZ2" s="110"/>
      <c r="FA2" s="91" t="s">
        <v>73</v>
      </c>
      <c r="FB2" s="91"/>
      <c r="FC2" s="91"/>
      <c r="FD2" s="110"/>
      <c r="FE2" s="110"/>
      <c r="FF2" s="110" t="s">
        <v>160</v>
      </c>
      <c r="FG2" s="110"/>
      <c r="FH2" s="91" t="s">
        <v>73</v>
      </c>
      <c r="FI2" s="91"/>
      <c r="FJ2" s="91"/>
      <c r="FK2" s="110"/>
      <c r="FL2" s="110"/>
      <c r="FM2" s="110"/>
      <c r="FN2" s="110" t="s">
        <v>73</v>
      </c>
      <c r="FO2" s="110"/>
      <c r="FP2" s="110"/>
      <c r="FQ2" s="110"/>
      <c r="FR2" s="110"/>
      <c r="FS2" s="110"/>
      <c r="FT2" s="110" t="s">
        <v>73</v>
      </c>
      <c r="FU2" s="110"/>
      <c r="FV2" s="110"/>
      <c r="FW2" s="110"/>
      <c r="FX2" s="110"/>
      <c r="FY2" s="110" t="s">
        <v>161</v>
      </c>
      <c r="FZ2" s="113"/>
      <c r="GA2" s="91" t="s">
        <v>74</v>
      </c>
      <c r="GB2" s="91"/>
      <c r="GC2" s="91"/>
      <c r="GD2" s="91"/>
      <c r="GE2" s="91" t="s">
        <v>74</v>
      </c>
      <c r="GF2" s="91"/>
      <c r="GG2" s="91"/>
      <c r="GH2" s="110"/>
      <c r="GI2" s="110"/>
      <c r="GJ2" s="110" t="s">
        <v>160</v>
      </c>
      <c r="GK2" s="91"/>
      <c r="GL2" s="91" t="s">
        <v>74</v>
      </c>
      <c r="GM2" s="91"/>
      <c r="GN2" s="91"/>
      <c r="GO2" s="110"/>
      <c r="GP2" s="110"/>
      <c r="GQ2" s="110"/>
      <c r="GR2" s="110" t="s">
        <v>74</v>
      </c>
      <c r="GS2" s="110"/>
      <c r="GT2" s="110"/>
      <c r="GU2" s="110"/>
      <c r="GV2" s="110"/>
      <c r="GW2" s="110"/>
      <c r="GX2" s="110" t="s">
        <v>74</v>
      </c>
      <c r="GY2" s="110"/>
      <c r="GZ2" s="110"/>
      <c r="HA2" s="110"/>
      <c r="HB2" s="110"/>
      <c r="HC2" s="110" t="s">
        <v>161</v>
      </c>
      <c r="HD2" s="113"/>
      <c r="HE2" s="91" t="s">
        <v>75</v>
      </c>
      <c r="HF2" s="91"/>
      <c r="HG2" s="91"/>
      <c r="HH2" s="110"/>
      <c r="HI2" s="91" t="s">
        <v>75</v>
      </c>
      <c r="HJ2" s="91"/>
      <c r="HK2" s="91"/>
      <c r="HL2" s="110"/>
      <c r="HM2" s="110"/>
      <c r="HN2" s="110" t="s">
        <v>160</v>
      </c>
      <c r="HO2" s="110"/>
      <c r="HP2" s="91" t="s">
        <v>75</v>
      </c>
      <c r="HQ2" s="91"/>
      <c r="HR2" s="91"/>
      <c r="HS2" s="110"/>
      <c r="HT2" s="110"/>
      <c r="HU2" s="110"/>
      <c r="HV2" s="110" t="s">
        <v>75</v>
      </c>
      <c r="HW2" s="110"/>
      <c r="HX2" s="110"/>
      <c r="HY2" s="110"/>
      <c r="HZ2" s="110"/>
      <c r="IA2" s="110"/>
      <c r="IB2" s="110" t="s">
        <v>75</v>
      </c>
      <c r="IC2" s="110"/>
      <c r="ID2" s="110"/>
      <c r="IE2" s="110"/>
      <c r="IF2" s="110"/>
      <c r="IG2" s="110" t="s">
        <v>161</v>
      </c>
      <c r="IH2" s="113"/>
      <c r="II2" s="91" t="s">
        <v>76</v>
      </c>
      <c r="IJ2" s="91"/>
      <c r="IK2" s="91"/>
      <c r="IL2" s="110"/>
      <c r="IM2" s="110" t="s">
        <v>76</v>
      </c>
      <c r="IN2" s="91"/>
      <c r="IO2" s="91"/>
      <c r="IP2" s="110"/>
      <c r="IQ2" s="110"/>
      <c r="IR2" s="110" t="s">
        <v>160</v>
      </c>
      <c r="IS2" s="110"/>
      <c r="IT2" s="91" t="s">
        <v>76</v>
      </c>
      <c r="IU2" s="91"/>
      <c r="IV2" s="91"/>
      <c r="IW2" s="110"/>
      <c r="IX2" s="110"/>
      <c r="IY2" s="110"/>
      <c r="IZ2" s="110" t="s">
        <v>76</v>
      </c>
      <c r="JA2" s="110"/>
      <c r="JB2" s="110"/>
      <c r="JC2" s="110"/>
      <c r="JD2" s="110"/>
      <c r="JE2" s="110"/>
      <c r="JF2" s="110" t="s">
        <v>76</v>
      </c>
      <c r="JG2" s="110"/>
      <c r="JH2" s="110"/>
      <c r="JI2" s="110"/>
      <c r="JJ2" s="110"/>
      <c r="JK2" s="110" t="s">
        <v>161</v>
      </c>
      <c r="JL2" s="113"/>
      <c r="JM2" s="91" t="s">
        <v>77</v>
      </c>
      <c r="JN2" s="91"/>
      <c r="JO2" s="91"/>
      <c r="JP2" s="110"/>
      <c r="JQ2" s="91" t="s">
        <v>77</v>
      </c>
      <c r="JR2" s="91"/>
      <c r="JS2" s="91"/>
      <c r="JT2" s="110"/>
      <c r="JU2" s="110"/>
      <c r="JV2" s="110" t="s">
        <v>160</v>
      </c>
      <c r="JW2" s="110"/>
      <c r="JX2" s="91" t="s">
        <v>77</v>
      </c>
      <c r="JY2" s="91"/>
      <c r="JZ2" s="91"/>
      <c r="KA2" s="110"/>
      <c r="KB2" s="110"/>
      <c r="KC2" s="110"/>
      <c r="KD2" s="110" t="s">
        <v>77</v>
      </c>
      <c r="KE2" s="110"/>
      <c r="KF2" s="110"/>
      <c r="KG2" s="110"/>
      <c r="KH2" s="110"/>
      <c r="KI2" s="110"/>
      <c r="KJ2" s="110" t="s">
        <v>77</v>
      </c>
      <c r="KK2" s="110"/>
      <c r="KL2" s="110"/>
      <c r="KM2" s="110"/>
      <c r="KN2" s="110"/>
      <c r="KO2" s="110" t="s">
        <v>161</v>
      </c>
      <c r="KP2" s="113"/>
      <c r="KQ2" s="91" t="s">
        <v>78</v>
      </c>
      <c r="KR2" s="91"/>
      <c r="KS2" s="91"/>
      <c r="KT2" s="110"/>
      <c r="KU2" s="91" t="s">
        <v>78</v>
      </c>
      <c r="KV2" s="91"/>
      <c r="KW2" s="91"/>
      <c r="KX2" s="110"/>
      <c r="KY2" s="110"/>
      <c r="KZ2" s="110" t="s">
        <v>160</v>
      </c>
      <c r="LA2" s="110"/>
      <c r="LB2" s="91" t="s">
        <v>78</v>
      </c>
      <c r="LC2" s="91"/>
      <c r="LD2" s="91"/>
      <c r="LE2" s="110"/>
      <c r="LF2" s="110"/>
      <c r="LG2" s="110"/>
      <c r="LH2" s="110" t="s">
        <v>78</v>
      </c>
      <c r="LI2" s="110"/>
      <c r="LJ2" s="110"/>
      <c r="LK2" s="110"/>
      <c r="LL2" s="110"/>
      <c r="LM2" s="110"/>
      <c r="LN2" s="110" t="s">
        <v>78</v>
      </c>
      <c r="LO2" s="110"/>
      <c r="LP2" s="110"/>
      <c r="LQ2" s="110"/>
      <c r="LR2" s="110"/>
      <c r="LS2" s="110" t="s">
        <v>161</v>
      </c>
      <c r="LT2" s="113"/>
      <c r="LU2" s="91" t="s">
        <v>79</v>
      </c>
      <c r="LV2" s="91"/>
      <c r="LW2" s="91"/>
      <c r="LX2" s="110"/>
      <c r="LY2" s="91" t="s">
        <v>79</v>
      </c>
      <c r="LZ2" s="91"/>
      <c r="MA2" s="91"/>
      <c r="MB2" s="110"/>
      <c r="MC2" s="110"/>
      <c r="MD2" s="110" t="s">
        <v>160</v>
      </c>
      <c r="ME2" s="110"/>
      <c r="MF2" s="91" t="s">
        <v>79</v>
      </c>
      <c r="MG2" s="91"/>
      <c r="MH2" s="91"/>
      <c r="MI2" s="110"/>
      <c r="MJ2" s="110"/>
      <c r="MK2" s="110"/>
      <c r="ML2" s="110" t="s">
        <v>79</v>
      </c>
      <c r="MM2" s="110"/>
      <c r="MN2" s="110"/>
      <c r="MO2" s="110"/>
      <c r="MP2" s="110"/>
      <c r="MQ2" s="110"/>
      <c r="MR2" s="110" t="s">
        <v>79</v>
      </c>
      <c r="MS2" s="110"/>
      <c r="MT2" s="110"/>
      <c r="MU2" s="110"/>
      <c r="MV2" s="110"/>
      <c r="MW2" s="110" t="s">
        <v>161</v>
      </c>
      <c r="MX2" s="113"/>
      <c r="MY2" s="91" t="s">
        <v>80</v>
      </c>
      <c r="MZ2" s="91"/>
      <c r="NA2" s="91"/>
      <c r="NB2" s="110"/>
      <c r="NC2" s="91" t="s">
        <v>80</v>
      </c>
      <c r="ND2" s="91"/>
      <c r="NE2" s="91"/>
      <c r="NF2" s="110"/>
      <c r="NG2" s="110"/>
      <c r="NH2" s="110" t="s">
        <v>160</v>
      </c>
      <c r="NI2" s="110"/>
      <c r="NJ2" s="91" t="s">
        <v>80</v>
      </c>
      <c r="NK2" s="91"/>
      <c r="NL2" s="91"/>
      <c r="NM2" s="110"/>
      <c r="NN2" s="110"/>
      <c r="NO2" s="110"/>
      <c r="NP2" s="110" t="s">
        <v>80</v>
      </c>
      <c r="NQ2" s="110"/>
      <c r="NR2" s="110"/>
      <c r="NS2" s="110"/>
      <c r="NT2" s="110"/>
      <c r="NU2" s="110"/>
      <c r="NV2" s="110" t="s">
        <v>80</v>
      </c>
      <c r="NW2" s="110"/>
      <c r="NX2" s="110"/>
      <c r="NY2" s="110"/>
      <c r="NZ2" s="110"/>
      <c r="OA2" s="110" t="s">
        <v>161</v>
      </c>
      <c r="OB2" s="110"/>
    </row>
    <row r="3" spans="1:392" x14ac:dyDescent="0.2">
      <c r="B3" s="64" t="s">
        <v>9</v>
      </c>
      <c r="C3" s="93">
        <v>439</v>
      </c>
      <c r="D3" s="93"/>
      <c r="E3" s="91"/>
      <c r="F3" s="52"/>
      <c r="G3" s="66">
        <v>134</v>
      </c>
      <c r="H3" s="66"/>
      <c r="I3" s="63"/>
      <c r="J3" s="52"/>
      <c r="K3" s="52"/>
      <c r="L3" s="52" t="s">
        <v>159</v>
      </c>
      <c r="M3" s="52"/>
      <c r="N3" s="66">
        <v>129.96739125000008</v>
      </c>
      <c r="O3" s="66"/>
      <c r="P3" s="63"/>
      <c r="Q3" s="52"/>
      <c r="R3" s="52"/>
      <c r="S3" s="52"/>
      <c r="T3" s="70">
        <v>136</v>
      </c>
      <c r="U3" s="52"/>
      <c r="V3" s="52"/>
      <c r="W3" s="52"/>
      <c r="X3" s="52"/>
      <c r="Y3" s="52"/>
      <c r="Z3" s="70">
        <v>214</v>
      </c>
      <c r="AA3" s="52"/>
      <c r="AB3" s="52"/>
      <c r="AC3" s="52"/>
      <c r="AD3" s="52"/>
      <c r="AE3" s="52" t="s">
        <v>159</v>
      </c>
      <c r="AF3" s="75"/>
      <c r="AG3" s="93">
        <v>106</v>
      </c>
      <c r="AH3" s="93"/>
      <c r="AI3" s="91"/>
      <c r="AJ3" s="63"/>
      <c r="AK3" s="66">
        <v>59</v>
      </c>
      <c r="AL3" s="66"/>
      <c r="AM3" s="63"/>
      <c r="AN3" s="52"/>
      <c r="AO3" s="52"/>
      <c r="AP3" s="52" t="s">
        <v>159</v>
      </c>
      <c r="AQ3" s="63"/>
      <c r="AR3" s="66">
        <v>99.696065520000005</v>
      </c>
      <c r="AS3" s="66"/>
      <c r="AT3" s="63"/>
      <c r="AU3" s="52"/>
      <c r="AV3" s="52"/>
      <c r="AW3" s="52"/>
      <c r="AX3" s="70">
        <v>134</v>
      </c>
      <c r="AY3" s="52"/>
      <c r="AZ3" s="52"/>
      <c r="BA3" s="52"/>
      <c r="BB3" s="52"/>
      <c r="BC3" s="52"/>
      <c r="BD3" s="70">
        <v>87</v>
      </c>
      <c r="BE3" s="52"/>
      <c r="BF3" s="52"/>
      <c r="BG3" s="52"/>
      <c r="BH3" s="52"/>
      <c r="BI3" s="52" t="s">
        <v>159</v>
      </c>
      <c r="BJ3" s="75"/>
      <c r="BK3" s="93">
        <v>1187</v>
      </c>
      <c r="BL3" s="93"/>
      <c r="BM3" s="91"/>
      <c r="BN3" s="52"/>
      <c r="BO3" s="66">
        <v>363</v>
      </c>
      <c r="BP3" s="66"/>
      <c r="BQ3" s="63"/>
      <c r="BR3" s="52"/>
      <c r="BS3" s="52"/>
      <c r="BT3" s="52" t="s">
        <v>159</v>
      </c>
      <c r="BU3" s="52"/>
      <c r="BV3" s="66">
        <v>349.4295154499992</v>
      </c>
      <c r="BW3" s="66"/>
      <c r="BX3" s="63"/>
      <c r="BY3" s="52"/>
      <c r="BZ3" s="52"/>
      <c r="CA3" s="52"/>
      <c r="CB3" s="70">
        <v>362</v>
      </c>
      <c r="CC3" s="52"/>
      <c r="CD3" s="52"/>
      <c r="CE3" s="52"/>
      <c r="CF3" s="52"/>
      <c r="CG3" s="52"/>
      <c r="CH3" s="70">
        <v>422</v>
      </c>
      <c r="CI3" s="52"/>
      <c r="CJ3" s="52"/>
      <c r="CK3" s="52"/>
      <c r="CL3" s="52"/>
      <c r="CM3" s="52" t="s">
        <v>159</v>
      </c>
      <c r="CN3" s="75"/>
      <c r="CO3" s="93">
        <v>729</v>
      </c>
      <c r="CP3" s="93"/>
      <c r="CQ3" s="91"/>
      <c r="CR3" s="63"/>
      <c r="CS3" s="66">
        <v>228</v>
      </c>
      <c r="CT3" s="66"/>
      <c r="CU3" s="63"/>
      <c r="CV3" s="52"/>
      <c r="CW3" s="52"/>
      <c r="CX3" s="52" t="s">
        <v>159</v>
      </c>
      <c r="CY3" s="52"/>
      <c r="CZ3" s="66">
        <v>246.21011462999931</v>
      </c>
      <c r="DA3" s="66"/>
      <c r="DB3" s="63"/>
      <c r="DC3" s="52"/>
      <c r="DD3" s="52"/>
      <c r="DE3" s="52"/>
      <c r="DF3" s="70">
        <v>216</v>
      </c>
      <c r="DG3" s="52"/>
      <c r="DH3" s="52"/>
      <c r="DI3" s="52"/>
      <c r="DJ3" s="52"/>
      <c r="DK3" s="52"/>
      <c r="DL3" s="70">
        <v>273</v>
      </c>
      <c r="DM3" s="52"/>
      <c r="DN3" s="52"/>
      <c r="DO3" s="52"/>
      <c r="DP3" s="52"/>
      <c r="DQ3" s="52" t="s">
        <v>159</v>
      </c>
      <c r="DR3" s="75"/>
      <c r="DS3" s="93">
        <v>220</v>
      </c>
      <c r="DT3" s="93"/>
      <c r="DU3" s="91"/>
      <c r="DV3" s="52"/>
      <c r="DW3" s="66">
        <v>80</v>
      </c>
      <c r="DX3" s="66"/>
      <c r="DY3" s="63"/>
      <c r="DZ3" s="52"/>
      <c r="EA3" s="52"/>
      <c r="EB3" s="52" t="s">
        <v>159</v>
      </c>
      <c r="EC3" s="52"/>
      <c r="ED3" s="66">
        <v>94.95133290000004</v>
      </c>
      <c r="EE3" s="66"/>
      <c r="EF3" s="63"/>
      <c r="EG3" s="52"/>
      <c r="EH3" s="52"/>
      <c r="EI3" s="52"/>
      <c r="EJ3" s="70">
        <v>89</v>
      </c>
      <c r="EK3" s="52"/>
      <c r="EL3" s="52"/>
      <c r="EM3" s="52"/>
      <c r="EN3" s="52"/>
      <c r="EO3" s="52"/>
      <c r="EP3" s="70">
        <v>61</v>
      </c>
      <c r="EQ3" s="52"/>
      <c r="ER3" s="52"/>
      <c r="ES3" s="52"/>
      <c r="ET3" s="52"/>
      <c r="EU3" s="52" t="s">
        <v>159</v>
      </c>
      <c r="EV3" s="75"/>
      <c r="EW3" s="93">
        <v>474</v>
      </c>
      <c r="EX3" s="93"/>
      <c r="EY3" s="91"/>
      <c r="EZ3" s="52"/>
      <c r="FA3" s="66">
        <v>159</v>
      </c>
      <c r="FB3" s="66"/>
      <c r="FC3" s="63"/>
      <c r="FD3" s="52"/>
      <c r="FE3" s="52"/>
      <c r="FF3" s="52" t="s">
        <v>159</v>
      </c>
      <c r="FG3" s="52"/>
      <c r="FH3" s="66">
        <v>166.74557807999986</v>
      </c>
      <c r="FI3" s="66"/>
      <c r="FJ3" s="63"/>
      <c r="FK3" s="52"/>
      <c r="FL3" s="52"/>
      <c r="FM3" s="52"/>
      <c r="FN3" s="70">
        <v>160</v>
      </c>
      <c r="FO3" s="52"/>
      <c r="FP3" s="52"/>
      <c r="FQ3" s="52"/>
      <c r="FR3" s="52"/>
      <c r="FS3" s="52"/>
      <c r="FT3" s="70">
        <v>202</v>
      </c>
      <c r="FU3" s="52"/>
      <c r="FV3" s="52"/>
      <c r="FW3" s="52"/>
      <c r="FX3" s="52"/>
      <c r="FY3" s="52" t="s">
        <v>159</v>
      </c>
      <c r="FZ3" s="75"/>
      <c r="GA3" s="93">
        <v>223</v>
      </c>
      <c r="GB3" s="93"/>
      <c r="GC3" s="91"/>
      <c r="GD3" s="63"/>
      <c r="GE3" s="66">
        <v>170</v>
      </c>
      <c r="GF3" s="66"/>
      <c r="GG3" s="63"/>
      <c r="GH3" s="52"/>
      <c r="GI3" s="52"/>
      <c r="GJ3" s="52" t="s">
        <v>159</v>
      </c>
      <c r="GK3" s="63"/>
      <c r="GL3" s="66">
        <v>205.27626929000056</v>
      </c>
      <c r="GM3" s="66"/>
      <c r="GN3" s="63"/>
      <c r="GO3" s="52"/>
      <c r="GP3" s="52"/>
      <c r="GQ3" s="52"/>
      <c r="GR3" s="70">
        <v>220</v>
      </c>
      <c r="GS3" s="52"/>
      <c r="GT3" s="52"/>
      <c r="GU3" s="52"/>
      <c r="GV3" s="52"/>
      <c r="GW3" s="52"/>
      <c r="GX3" s="70">
        <v>199</v>
      </c>
      <c r="GY3" s="52"/>
      <c r="GZ3" s="52"/>
      <c r="HA3" s="52"/>
      <c r="HB3" s="52"/>
      <c r="HC3" s="52" t="s">
        <v>159</v>
      </c>
      <c r="HD3" s="75"/>
      <c r="HE3" s="93">
        <v>226</v>
      </c>
      <c r="HF3" s="93"/>
      <c r="HG3" s="91"/>
      <c r="HH3" s="52"/>
      <c r="HI3" s="66">
        <v>139</v>
      </c>
      <c r="HJ3" s="66"/>
      <c r="HK3" s="63"/>
      <c r="HL3" s="52"/>
      <c r="HM3" s="52"/>
      <c r="HN3" s="52" t="s">
        <v>159</v>
      </c>
      <c r="HO3" s="52"/>
      <c r="HP3" s="66">
        <v>128.2127450399999</v>
      </c>
      <c r="HQ3" s="66"/>
      <c r="HR3" s="63"/>
      <c r="HS3" s="52"/>
      <c r="HT3" s="52"/>
      <c r="HU3" s="52"/>
      <c r="HV3" s="70">
        <v>93</v>
      </c>
      <c r="HW3" s="52"/>
      <c r="HX3" s="52"/>
      <c r="HY3" s="52"/>
      <c r="HZ3" s="52"/>
      <c r="IA3" s="52"/>
      <c r="IB3" s="70">
        <v>157</v>
      </c>
      <c r="IC3" s="52"/>
      <c r="ID3" s="52"/>
      <c r="IE3" s="52"/>
      <c r="IF3" s="52"/>
      <c r="IG3" s="52" t="s">
        <v>159</v>
      </c>
      <c r="IH3" s="75"/>
      <c r="II3" s="93">
        <v>584</v>
      </c>
      <c r="IJ3" s="93"/>
      <c r="IK3" s="91"/>
      <c r="IL3" s="52"/>
      <c r="IM3" s="66">
        <v>412</v>
      </c>
      <c r="IN3" s="66"/>
      <c r="IO3" s="63"/>
      <c r="IP3" s="52"/>
      <c r="IQ3" s="52"/>
      <c r="IR3" s="52" t="s">
        <v>159</v>
      </c>
      <c r="IS3" s="52"/>
      <c r="IT3" s="66">
        <v>420.51098416000019</v>
      </c>
      <c r="IU3" s="66"/>
      <c r="IV3" s="63"/>
      <c r="IW3" s="52"/>
      <c r="IX3" s="52"/>
      <c r="IY3" s="52"/>
      <c r="IZ3" s="70">
        <v>412</v>
      </c>
      <c r="JA3" s="52"/>
      <c r="JB3" s="52"/>
      <c r="JC3" s="52"/>
      <c r="JD3" s="52"/>
      <c r="JE3" s="52"/>
      <c r="JF3" s="70">
        <v>445</v>
      </c>
      <c r="JG3" s="52"/>
      <c r="JH3" s="52"/>
      <c r="JI3" s="52"/>
      <c r="JJ3" s="52"/>
      <c r="JK3" s="52" t="s">
        <v>159</v>
      </c>
      <c r="JL3" s="75"/>
      <c r="JM3" s="93">
        <v>47</v>
      </c>
      <c r="JN3" s="93"/>
      <c r="JO3" s="91"/>
      <c r="JP3" s="52"/>
      <c r="JQ3" s="66">
        <v>35</v>
      </c>
      <c r="JR3" s="66"/>
      <c r="JS3" s="63"/>
      <c r="JT3" s="52"/>
      <c r="JU3" s="52"/>
      <c r="JV3" s="52" t="s">
        <v>159</v>
      </c>
      <c r="JW3" s="52"/>
      <c r="JX3" s="66">
        <v>33.664059260000002</v>
      </c>
      <c r="JY3" s="66"/>
      <c r="JZ3" s="63"/>
      <c r="KA3" s="52"/>
      <c r="KB3" s="52"/>
      <c r="KC3" s="52"/>
      <c r="KD3" s="70">
        <v>32</v>
      </c>
      <c r="KE3" s="52"/>
      <c r="KF3" s="52"/>
      <c r="KG3" s="52"/>
      <c r="KH3" s="52"/>
      <c r="KI3" s="52"/>
      <c r="KJ3" s="70">
        <v>55</v>
      </c>
      <c r="KK3" s="52"/>
      <c r="KL3" s="52"/>
      <c r="KM3" s="52"/>
      <c r="KN3" s="52"/>
      <c r="KO3" s="52" t="s">
        <v>159</v>
      </c>
      <c r="KP3" s="75"/>
      <c r="KQ3" s="93">
        <v>528</v>
      </c>
      <c r="KR3" s="93"/>
      <c r="KS3" s="91"/>
      <c r="KT3" s="52"/>
      <c r="KU3" s="66">
        <v>322</v>
      </c>
      <c r="KV3" s="66"/>
      <c r="KW3" s="63"/>
      <c r="KX3" s="52"/>
      <c r="KY3" s="52"/>
      <c r="KZ3" s="52" t="s">
        <v>159</v>
      </c>
      <c r="LA3" s="52"/>
      <c r="LB3" s="66">
        <v>372.26171052000109</v>
      </c>
      <c r="LC3" s="66"/>
      <c r="LD3" s="63"/>
      <c r="LE3" s="52"/>
      <c r="LF3" s="52"/>
      <c r="LG3" s="52"/>
      <c r="LH3" s="70">
        <v>723</v>
      </c>
      <c r="LI3" s="52"/>
      <c r="LJ3" s="52"/>
      <c r="LK3" s="52"/>
      <c r="LL3" s="52"/>
      <c r="LM3" s="52"/>
      <c r="LN3" s="70">
        <v>711</v>
      </c>
      <c r="LO3" s="52"/>
      <c r="LP3" s="52"/>
      <c r="LQ3" s="52"/>
      <c r="LR3" s="52"/>
      <c r="LS3" s="52" t="s">
        <v>159</v>
      </c>
      <c r="LT3" s="75"/>
      <c r="LU3" s="93">
        <v>194</v>
      </c>
      <c r="LV3" s="93"/>
      <c r="LW3" s="91"/>
      <c r="LX3" s="52"/>
      <c r="LY3" s="66">
        <v>200</v>
      </c>
      <c r="LZ3" s="66"/>
      <c r="MA3" s="63"/>
      <c r="MB3" s="52"/>
      <c r="MC3" s="52"/>
      <c r="MD3" s="52" t="s">
        <v>159</v>
      </c>
      <c r="ME3" s="52"/>
      <c r="MF3" s="66">
        <v>204.44144112999939</v>
      </c>
      <c r="MG3" s="66"/>
      <c r="MH3" s="63"/>
      <c r="MI3" s="52"/>
      <c r="MJ3" s="52"/>
      <c r="MK3" s="52"/>
      <c r="ML3" s="70">
        <v>512</v>
      </c>
      <c r="MM3" s="52"/>
      <c r="MN3" s="52"/>
      <c r="MO3" s="52"/>
      <c r="MP3" s="52"/>
      <c r="MQ3" s="52"/>
      <c r="MR3" s="70">
        <v>493</v>
      </c>
      <c r="MS3" s="52"/>
      <c r="MT3" s="52"/>
      <c r="MU3" s="52"/>
      <c r="MV3" s="52"/>
      <c r="MW3" s="52" t="s">
        <v>159</v>
      </c>
      <c r="MX3" s="75"/>
      <c r="MY3" s="93">
        <v>213</v>
      </c>
      <c r="MZ3" s="93"/>
      <c r="NA3" s="91"/>
      <c r="NB3" s="52"/>
      <c r="NC3" s="66">
        <v>144</v>
      </c>
      <c r="ND3" s="66"/>
      <c r="NE3" s="63"/>
      <c r="NF3" s="52"/>
      <c r="NG3" s="52"/>
      <c r="NH3" s="52" t="s">
        <v>159</v>
      </c>
      <c r="NI3" s="52"/>
      <c r="NJ3" s="66">
        <v>129.63278847000009</v>
      </c>
      <c r="NK3" s="66"/>
      <c r="NL3" s="63"/>
      <c r="NM3" s="52"/>
      <c r="NN3" s="52"/>
      <c r="NO3" s="52"/>
      <c r="NP3" s="70">
        <v>221</v>
      </c>
      <c r="NQ3" s="52"/>
      <c r="NR3" s="52"/>
      <c r="NS3" s="52"/>
      <c r="NT3" s="52"/>
      <c r="NU3" s="52"/>
      <c r="NV3" s="70">
        <v>234</v>
      </c>
      <c r="NW3" s="52"/>
      <c r="NX3" s="52"/>
      <c r="NY3" s="52"/>
      <c r="NZ3" s="52"/>
      <c r="OA3" s="52" t="s">
        <v>159</v>
      </c>
      <c r="OB3" s="52"/>
    </row>
    <row r="4" spans="1:392" x14ac:dyDescent="0.2">
      <c r="B4" s="65" t="s">
        <v>10</v>
      </c>
      <c r="C4" s="27">
        <v>405</v>
      </c>
      <c r="D4" s="28">
        <v>3.6125527055735307</v>
      </c>
      <c r="E4" s="29">
        <v>4.930601155963938E-2</v>
      </c>
      <c r="F4" s="10"/>
      <c r="G4" s="42">
        <v>126</v>
      </c>
      <c r="H4" s="43">
        <v>3.4126105348535765</v>
      </c>
      <c r="I4" s="67">
        <v>9.803706979019558E-2</v>
      </c>
      <c r="J4" s="10">
        <f>IF($C4&lt;30,"NV",IF(G4&gt;=30,(($D4-H4))/SQRT(($E4^2)+(I4^2)),"NV"))</f>
        <v>1.82200172239167</v>
      </c>
      <c r="K4" s="10" t="str">
        <f>IF(J4="NV"," ",IF(ABS(J4)&gt;=1.96,"*"," "))</f>
        <v xml:space="preserve"> </v>
      </c>
      <c r="L4" s="114">
        <f>D4-H4</f>
        <v>0.19994217071995424</v>
      </c>
      <c r="M4" s="10"/>
      <c r="N4" s="42">
        <v>127.8879129900001</v>
      </c>
      <c r="O4" s="43">
        <v>3.2845528455284549</v>
      </c>
      <c r="P4" s="67">
        <v>6.9340283335065783E-2</v>
      </c>
      <c r="Q4" s="10">
        <f>IF($C4&lt;30,"NV",IF(N4&gt;=30,(($D4-O4))/SQRT(($E4^2)+(P4^2)),"NV"))</f>
        <v>3.8550466743408909</v>
      </c>
      <c r="R4" s="10" t="str">
        <f>IF(Q4="NV"," ",IF(ABS(Q4)&gt;=1.96,"*"," "))</f>
        <v>*</v>
      </c>
      <c r="S4" s="10"/>
      <c r="T4" s="53">
        <v>135</v>
      </c>
      <c r="U4" s="55">
        <v>3.5037037037037031</v>
      </c>
      <c r="V4" s="56">
        <v>7.0790076898116644E-2</v>
      </c>
      <c r="W4" s="10">
        <f>IF($C4&lt;30,"NV",IF(T4&gt;=30,(($D4-U4))/SQRT(($E4^2)+(V4^2)),"NV"))</f>
        <v>1.2617413801499131</v>
      </c>
      <c r="X4" s="10" t="str">
        <f>IF(W4="NV"," ",IF(ABS(W4)&gt;=1.96,"*"," "))</f>
        <v xml:space="preserve"> </v>
      </c>
      <c r="Y4" s="10"/>
      <c r="Z4" s="54">
        <v>206</v>
      </c>
      <c r="AA4" s="57">
        <v>3.3252427184466011</v>
      </c>
      <c r="AB4" s="58">
        <v>5.0935633412790497E-2</v>
      </c>
      <c r="AC4" s="10">
        <f>IF($C4&lt;30,"NV",IF(Z4&gt;=30,(($D4-AA4))/SQRT(($E4^2)+(AB4^2)),"NV"))</f>
        <v>4.0528464863608384</v>
      </c>
      <c r="AD4" s="10" t="str">
        <f>IF(AC4="NV"," ",IF(ABS(AC4)&gt;=1.96,"*"," "))</f>
        <v>*</v>
      </c>
      <c r="AE4" s="114">
        <f>D4-AA4</f>
        <v>0.28730998712692957</v>
      </c>
      <c r="AF4" s="76"/>
      <c r="AG4" s="27">
        <v>102</v>
      </c>
      <c r="AH4" s="28">
        <v>3.8634046076184436</v>
      </c>
      <c r="AI4" s="29">
        <v>9.0905250335716004E-2</v>
      </c>
      <c r="AJ4" s="67"/>
      <c r="AK4" s="42">
        <v>59</v>
      </c>
      <c r="AL4" s="43">
        <v>3.6105805497456025</v>
      </c>
      <c r="AM4" s="67">
        <v>0.14258811136612232</v>
      </c>
      <c r="AN4" s="10">
        <f>IF($AG4&lt;30,"NV",IF(AK4&gt;=30,(($AH4-AL4))/SQRT(($AI4^2)+(AM4^2)),"NV"))</f>
        <v>1.4951071872326958</v>
      </c>
      <c r="AO4" s="10" t="str">
        <f>IF(AN4="NV"," ",IF(ABS(AN4)&gt;=1.96,"*"," "))</f>
        <v xml:space="preserve"> </v>
      </c>
      <c r="AP4" s="114">
        <f>AH4-AL4</f>
        <v>0.25282405787284112</v>
      </c>
      <c r="AQ4" s="67"/>
      <c r="AR4" s="42">
        <v>98.740694430000005</v>
      </c>
      <c r="AS4" s="43">
        <v>3.3386444499203436</v>
      </c>
      <c r="AT4" s="67">
        <v>9.0724524596654116E-2</v>
      </c>
      <c r="AU4" s="10">
        <f>IF($AG4&lt;30,"NV",IF(AR4&gt;=30,(($AH4-AS4))/SQRT(($AI4^2)+(AT4^2)),"NV"))</f>
        <v>4.0859080781741319</v>
      </c>
      <c r="AV4" s="10" t="str">
        <f>IF(AU4="NV"," ",IF(ABS(AU4)&gt;=1.96,"*"," "))</f>
        <v>*</v>
      </c>
      <c r="AW4" s="10"/>
      <c r="AX4" s="53">
        <v>130</v>
      </c>
      <c r="AY4" s="55">
        <v>3.4648028634448877</v>
      </c>
      <c r="AZ4" s="56">
        <v>8.7102286523208144E-2</v>
      </c>
      <c r="BA4" s="10">
        <f>IF($AG4&lt;30,"NV",IF(AX4&gt;=30,(($AH4-AY4))/SQRT(($AI4^2)+(AZ4^2)),"NV"))</f>
        <v>3.1660423029834592</v>
      </c>
      <c r="BB4" s="10" t="str">
        <f>IF(BA4="NV"," ",IF(ABS(BA4)&gt;=1.96,"*"," "))</f>
        <v>*</v>
      </c>
      <c r="BC4" s="10"/>
      <c r="BD4" s="54">
        <v>87</v>
      </c>
      <c r="BE4" s="57">
        <v>3.1982169012615698</v>
      </c>
      <c r="BF4" s="58">
        <v>0.10296633668460521</v>
      </c>
      <c r="BG4" s="10">
        <f>IF($AG4&lt;30,"NV",IF(BD4&gt;=30,(($AH4-BE4))/SQRT(($AI4^2)+(BF4^2)),"NV"))</f>
        <v>4.8429082803145498</v>
      </c>
      <c r="BH4" s="10" t="str">
        <f>IF(BG4="NV"," ",IF(ABS(BG4)&gt;=1.96,"*"," "))</f>
        <v>*</v>
      </c>
      <c r="BI4" s="114">
        <f>AH4-BE4</f>
        <v>0.66518770635687385</v>
      </c>
      <c r="BJ4" s="76"/>
      <c r="BK4" s="27">
        <v>1123</v>
      </c>
      <c r="BL4" s="28">
        <v>3.8031557970335474</v>
      </c>
      <c r="BM4" s="29">
        <v>2.740060930849263E-2</v>
      </c>
      <c r="BN4" s="10"/>
      <c r="BO4" s="42">
        <v>345</v>
      </c>
      <c r="BP4" s="43">
        <v>3.7797053204074236</v>
      </c>
      <c r="BQ4" s="67">
        <v>4.8691240434026874E-2</v>
      </c>
      <c r="BR4" s="10">
        <f>IF($BK4&lt;30,"NV",IF(BO4&gt;=30,(($BL4-BP4))/SQRT(($BM4^2)+(BQ4^2)),"NV"))</f>
        <v>0.41972123428095287</v>
      </c>
      <c r="BS4" s="10" t="str">
        <f>IF(BR4="NV"," ",IF(ABS(BR4)&gt;=1.96,"*"," "))</f>
        <v xml:space="preserve"> </v>
      </c>
      <c r="BT4" s="114">
        <f>BL4-BP4</f>
        <v>2.3450476626123873E-2</v>
      </c>
      <c r="BU4" s="10"/>
      <c r="BV4" s="42">
        <v>347.43440522999919</v>
      </c>
      <c r="BW4" s="43">
        <v>3.4359442773945563</v>
      </c>
      <c r="BX4" s="67">
        <v>3.5010632048287929E-2</v>
      </c>
      <c r="BY4" s="10">
        <f>IF($BK4&lt;30,"NV",IF(BV4&gt;=30,(($BL4-BW4))/SQRT(($BM4^2)+(BX4^2)),"NV"))</f>
        <v>8.2596898600520294</v>
      </c>
      <c r="BZ4" s="10" t="str">
        <f>IF(BY4="NV"," ",IF(ABS(BY4)&gt;=1.96,"*"," "))</f>
        <v>*</v>
      </c>
      <c r="CA4" s="10"/>
      <c r="CB4" s="53">
        <v>360</v>
      </c>
      <c r="CC4" s="55">
        <v>3.611413471427475</v>
      </c>
      <c r="CD4" s="56">
        <v>2.7770070556536689E-2</v>
      </c>
      <c r="CE4" s="10">
        <f>IF($BK4&lt;30,"NV",IF(CB4&gt;=30,(($BL4-CC4))/SQRT(($BM4^2)+(CD4^2)),"NV"))</f>
        <v>4.9149025883592854</v>
      </c>
      <c r="CF4" s="10" t="str">
        <f>IF(CE4="NV"," ",IF(ABS(CE4)&gt;=1.96,"*"," "))</f>
        <v>*</v>
      </c>
      <c r="CG4" s="10"/>
      <c r="CH4" s="54">
        <v>413</v>
      </c>
      <c r="CI4" s="57">
        <v>3.5945744989187474</v>
      </c>
      <c r="CJ4" s="58">
        <v>4.4464881641450633E-2</v>
      </c>
      <c r="CK4" s="10">
        <f>IF($BK4&lt;30,"NV",IF(CH4&gt;=30,(($BL4-CI4))/SQRT(($BM4^2)+(CJ4^2)),"NV"))</f>
        <v>3.9935545723058565</v>
      </c>
      <c r="CL4" s="10" t="str">
        <f>IF(CK4="NV"," ",IF(ABS(CK4)&gt;=1.96,"*"," "))</f>
        <v>*</v>
      </c>
      <c r="CM4" s="114">
        <f>BL4-CI4</f>
        <v>0.20858129811480008</v>
      </c>
      <c r="CN4" s="76"/>
      <c r="CO4" s="27">
        <v>683</v>
      </c>
      <c r="CP4" s="28">
        <v>3.9381533361416698</v>
      </c>
      <c r="CQ4" s="29">
        <v>3.4122849836781918E-2</v>
      </c>
      <c r="CR4" s="67"/>
      <c r="CS4" s="42">
        <v>209</v>
      </c>
      <c r="CT4" s="43">
        <v>4.0432402527794853</v>
      </c>
      <c r="CU4" s="67">
        <v>5.9923449011483138E-2</v>
      </c>
      <c r="CV4" s="10">
        <f>IF($CO4&lt;30,"NV",IF(CS4&gt;=30,(($CP4-CT4))/SQRT(($CQ4^2)+(CU4^2)),"NV"))</f>
        <v>-1.5239291459612321</v>
      </c>
      <c r="CW4" s="10" t="str">
        <f>IF(CV4="NV"," ",IF(ABS(CV4)&gt;=1.96,"*"," "))</f>
        <v xml:space="preserve"> </v>
      </c>
      <c r="CX4" s="114">
        <f>CP4-CT4</f>
        <v>-0.10508691663781544</v>
      </c>
      <c r="CY4" s="10"/>
      <c r="CZ4" s="42">
        <v>241.26452309999937</v>
      </c>
      <c r="DA4" s="43">
        <v>4.0572995893982746</v>
      </c>
      <c r="DB4" s="67">
        <v>5.1998542743789594E-2</v>
      </c>
      <c r="DC4" s="10">
        <f>IF($CO4&lt;30,"NV",IF(CZ4&gt;=30,(($CP4-DA4))/SQRT(($CQ4^2)+(DB4^2)),"NV"))</f>
        <v>-1.9156887850110955</v>
      </c>
      <c r="DD4" s="10" t="str">
        <f>IF(DC4="NV"," ",IF(ABS(DC4)&gt;=1.96,"*"," "))</f>
        <v xml:space="preserve"> </v>
      </c>
      <c r="DE4" s="10"/>
      <c r="DF4" s="53">
        <v>210</v>
      </c>
      <c r="DG4" s="55">
        <v>4.1478754415568071</v>
      </c>
      <c r="DH4" s="56">
        <v>5.4332250857548732E-2</v>
      </c>
      <c r="DI4" s="10">
        <f>IF($CO4&lt;30,"NV",IF(DF4&gt;=30,(($CP4-DG4))/SQRT(($CQ4^2)+(DH4^2)),"NV"))</f>
        <v>-3.2687929270655438</v>
      </c>
      <c r="DJ4" s="10" t="str">
        <f t="shared" ref="DJ4:DJ49" si="0">IF(DI4="NV"," ",IF(ABS(DI4)&gt;=1.96,"*"," "))</f>
        <v>*</v>
      </c>
      <c r="DK4" s="10"/>
      <c r="DL4" s="54">
        <v>266</v>
      </c>
      <c r="DM4" s="57">
        <v>3.8713554055211001</v>
      </c>
      <c r="DN4" s="58">
        <v>5.4668970325986714E-2</v>
      </c>
      <c r="DO4" s="10">
        <f>IF($CO4&lt;30,"NV",IF(DL4&gt;=30,(($CP4-DM4))/SQRT(($CQ4^2)+(DN4^2)),"NV"))</f>
        <v>1.0365222613948553</v>
      </c>
      <c r="DP4" s="10" t="str">
        <f>IF(DO4="NV"," ",IF(ABS(DO4)&gt;=1.96,"*"," "))</f>
        <v xml:space="preserve"> </v>
      </c>
      <c r="DQ4" s="114">
        <f>CP4-DM4</f>
        <v>6.6797930620569712E-2</v>
      </c>
      <c r="DR4" s="76"/>
      <c r="DS4" s="27">
        <v>205</v>
      </c>
      <c r="DT4" s="28">
        <v>3.5339375579418841</v>
      </c>
      <c r="DU4" s="29">
        <v>6.9842323972023002E-2</v>
      </c>
      <c r="DV4" s="10"/>
      <c r="DW4" s="42">
        <v>79</v>
      </c>
      <c r="DX4" s="43">
        <v>3.2667396868948502</v>
      </c>
      <c r="DY4" s="67">
        <v>0.10779153532825089</v>
      </c>
      <c r="DZ4" s="10">
        <f>IF($DS4&lt;30,"NV",IF(DW4&gt;=30,(($DT4-DX4))/SQRT(($DU4^2)+(DY4^2)),"NV"))</f>
        <v>2.0803239211759581</v>
      </c>
      <c r="EA4" s="10" t="str">
        <f>IF(DZ4="NV"," ",IF(ABS(DZ4)&gt;=1.96,"*"," "))</f>
        <v>*</v>
      </c>
      <c r="EB4" s="114">
        <f>DT4-DX4</f>
        <v>0.26719787104703396</v>
      </c>
      <c r="EC4" s="10"/>
      <c r="ED4" s="42">
        <v>93.911593770000039</v>
      </c>
      <c r="EE4" s="43">
        <v>3.2770776200830731</v>
      </c>
      <c r="EF4" s="67">
        <v>0.10188785456111761</v>
      </c>
      <c r="EG4" s="10">
        <f>IF($DS4&lt;30,"NV",IF(ED4&gt;=30,(($DT4-EE4))/SQRT(($DU4^2)+(EF4^2)),"NV"))</f>
        <v>2.0793716821443429</v>
      </c>
      <c r="EH4" s="10" t="str">
        <f>IF(EG4="NV"," ",IF(ABS(EG4)&gt;=1.96,"*"," "))</f>
        <v>*</v>
      </c>
      <c r="EI4" s="10"/>
      <c r="EJ4" s="53">
        <v>89</v>
      </c>
      <c r="EK4" s="55">
        <v>3.286596497796062</v>
      </c>
      <c r="EL4" s="56">
        <v>9.9508741812641632E-2</v>
      </c>
      <c r="EM4" s="10">
        <f>IF($DS4&lt;30,"NV",IF(EJ4&gt;=30,(($DT4-EK4))/SQRT(($DU4^2)+(EL4^2)),"NV"))</f>
        <v>2.0345102568227409</v>
      </c>
      <c r="EN4" s="10" t="str">
        <f>IF(EM4="NV"," ",IF(ABS(EM4)&gt;=1.96,"*"," "))</f>
        <v>*</v>
      </c>
      <c r="EO4" s="10"/>
      <c r="EP4" s="54">
        <v>59</v>
      </c>
      <c r="EQ4" s="57">
        <v>3.5254237288135584</v>
      </c>
      <c r="ER4" s="58">
        <v>0.11819037417565548</v>
      </c>
      <c r="ES4" s="10">
        <f>IF($DS4&lt;30,"NV",IF(EP4&gt;=30,(($DT4-EQ4))/SQRT(($DU4^2)+(ER4^2)),"NV"))</f>
        <v>6.2016149281396718E-2</v>
      </c>
      <c r="ET4" s="10" t="str">
        <f>IF(ES4="NV"," ",IF(ABS(ES4)&gt;=1.96,"*"," "))</f>
        <v xml:space="preserve"> </v>
      </c>
      <c r="EU4" s="114">
        <f>DT4-EQ4</f>
        <v>8.5138291283257672E-3</v>
      </c>
      <c r="EV4" s="76"/>
      <c r="EW4" s="27">
        <v>448</v>
      </c>
      <c r="EX4" s="28">
        <v>4.0488661147560174</v>
      </c>
      <c r="EY4" s="29">
        <v>4.0703625600041052E-2</v>
      </c>
      <c r="EZ4" s="10"/>
      <c r="FA4" s="42">
        <v>153</v>
      </c>
      <c r="FB4" s="43">
        <v>4.0717866424260114</v>
      </c>
      <c r="FC4" s="67">
        <v>6.6276983568172076E-2</v>
      </c>
      <c r="FD4" s="10">
        <f>IF($EW4&lt;30,"NV",IF(FA4&gt;=30,(($EX4-FB4))/SQRT(($EY4^2)+(FC4^2)),"NV"))</f>
        <v>-0.2946915006585844</v>
      </c>
      <c r="FE4" s="10" t="str">
        <f>IF(FD4="NV"," ",IF(ABS(FD4)&gt;=1.96,"*"," "))</f>
        <v xml:space="preserve"> </v>
      </c>
      <c r="FF4" s="114">
        <f>EX4-FB4</f>
        <v>-2.2920527669993973E-2</v>
      </c>
      <c r="FG4" s="10"/>
      <c r="FH4" s="42">
        <v>164.75046785999987</v>
      </c>
      <c r="FI4" s="43">
        <v>3.482693512576712</v>
      </c>
      <c r="FJ4" s="67">
        <v>6.1184015587312332E-2</v>
      </c>
      <c r="FK4" s="10">
        <f>IF($EW4&lt;30,"NV",IF(FH4&gt;=30,(($EX4-FI4))/SQRT(($EY4^2)+(FJ4^2)),"NV"))</f>
        <v>7.7044414073682601</v>
      </c>
      <c r="FL4" s="10" t="str">
        <f>IF(FK4="NV"," ",IF(ABS(FK4)&gt;=1.96,"*"," "))</f>
        <v>*</v>
      </c>
      <c r="FM4" s="10"/>
      <c r="FN4" s="53">
        <v>153</v>
      </c>
      <c r="FO4" s="55">
        <v>3.6728567984262943</v>
      </c>
      <c r="FP4" s="56">
        <v>6.5236451717482491E-2</v>
      </c>
      <c r="FQ4" s="10">
        <f>IF($EW4&lt;30,"NV",IF(FN4&gt;=30,(($EX4-FO4))/SQRT(($EY4^2)+(FP4^2)),"NV"))</f>
        <v>4.8900139603062573</v>
      </c>
      <c r="FR4" s="10" t="str">
        <f>IF(FQ4="NV"," ",IF(ABS(FQ4)&gt;=1.96,"*"," "))</f>
        <v>*</v>
      </c>
      <c r="FS4" s="10"/>
      <c r="FT4" s="54">
        <v>196</v>
      </c>
      <c r="FU4" s="57">
        <v>3.5712950210785883</v>
      </c>
      <c r="FV4" s="58">
        <v>5.9838323615678667E-2</v>
      </c>
      <c r="FW4" s="10">
        <f>IF($EW4&lt;30,"NV",IF(FT4&gt;=30,(($EX4-FU4))/SQRT(($EY4^2)+(FV4^2)),"NV"))</f>
        <v>6.5990245024651628</v>
      </c>
      <c r="FX4" s="10" t="str">
        <f>IF(FW4="NV"," ",IF(ABS(FW4)&gt;=1.96,"*"," "))</f>
        <v>*</v>
      </c>
      <c r="FY4" s="114">
        <f>EX4-FU4</f>
        <v>0.47757109367742911</v>
      </c>
      <c r="FZ4" s="76"/>
      <c r="GA4" s="27">
        <v>208</v>
      </c>
      <c r="GB4" s="28">
        <v>3.4412048218553783</v>
      </c>
      <c r="GC4" s="29">
        <v>6.6774601183214974E-2</v>
      </c>
      <c r="GD4" s="67"/>
      <c r="GE4" s="42">
        <v>163</v>
      </c>
      <c r="GF4" s="43">
        <v>3.5164982459678407</v>
      </c>
      <c r="GG4" s="67">
        <v>8.2411598866410793E-2</v>
      </c>
      <c r="GH4" s="10">
        <f>IF($GA4&lt;30,"NV",IF(GE4&gt;=30,(($GB4-GF4))/SQRT(($GC4^2)+(GG4^2)),"NV"))</f>
        <v>-0.7098568366940633</v>
      </c>
      <c r="GI4" s="10" t="str">
        <f>IF(GH4="NV"," ",IF(ABS(GH4)&gt;=1.96,"*"," "))</f>
        <v xml:space="preserve"> </v>
      </c>
      <c r="GJ4" s="114">
        <f>GB4-GF4</f>
        <v>-7.5293424112462315E-2</v>
      </c>
      <c r="GK4" s="67"/>
      <c r="GL4" s="42">
        <v>192.49816591000041</v>
      </c>
      <c r="GM4" s="43">
        <v>3.5817975582809534</v>
      </c>
      <c r="GN4" s="67">
        <v>7.3184385483015355E-2</v>
      </c>
      <c r="GO4" s="10">
        <f>IF($GA4&lt;30,"NV",IF(GL4&gt;=30,(($GB4-GM4))/SQRT(($GC4^2)+(GN4^2)),"NV"))</f>
        <v>-1.4191298021453744</v>
      </c>
      <c r="GP4" s="10" t="str">
        <f>IF(GO4="NV"," ",IF(ABS(GO4)&gt;=1.96,"*"," "))</f>
        <v xml:space="preserve"> </v>
      </c>
      <c r="GQ4" s="10"/>
      <c r="GR4" s="53">
        <v>218</v>
      </c>
      <c r="GS4" s="55">
        <v>3.3480677222533903</v>
      </c>
      <c r="GT4" s="56">
        <v>7.3857300952400187E-2</v>
      </c>
      <c r="GU4" s="10">
        <f>IF($GA4&lt;30,"NV",IF(GR4&gt;=30,(($GB4-GS4))/SQRT(($GC4^2)+(GT4^2)),"NV"))</f>
        <v>0.93541378533414288</v>
      </c>
      <c r="GV4" s="10" t="str">
        <f>IF(GU4="NV"," ",IF(ABS(GU4)&gt;=1.96,"*"," "))</f>
        <v xml:space="preserve"> </v>
      </c>
      <c r="GW4" s="10"/>
      <c r="GX4" s="54">
        <v>192</v>
      </c>
      <c r="GY4" s="57">
        <v>3.517142109605301</v>
      </c>
      <c r="GZ4" s="58">
        <v>7.2996472330047565E-2</v>
      </c>
      <c r="HA4" s="10">
        <f>IF($GA4&lt;30,"NV",IF(GX4&gt;=30,(($GB4-GY4))/SQRT(($GC4^2)+(GZ4^2)),"NV"))</f>
        <v>-0.76757869821434843</v>
      </c>
      <c r="HB4" s="10" t="str">
        <f>IF(HA4="NV"," ",IF(ABS(HA4)&gt;=1.96,"*"," "))</f>
        <v xml:space="preserve"> </v>
      </c>
      <c r="HC4" s="114">
        <f>GB4-GY4</f>
        <v>-7.5937287749922699E-2</v>
      </c>
      <c r="HD4" s="76"/>
      <c r="HE4" s="27">
        <v>216</v>
      </c>
      <c r="HF4" s="28">
        <v>3.6641485471927844</v>
      </c>
      <c r="HG4" s="29">
        <v>6.527613181664714E-2</v>
      </c>
      <c r="HH4" s="10"/>
      <c r="HI4" s="42">
        <v>129</v>
      </c>
      <c r="HJ4" s="43">
        <v>3.6460661819189721</v>
      </c>
      <c r="HK4" s="67">
        <v>8.6196664768771275E-2</v>
      </c>
      <c r="HL4" s="10">
        <f>IF($HE4&lt;30,"NV",IF(HI4&gt;=30,(($HF4-HJ4))/SQRT(($HG4^2)+(HK4^2)),"NV"))</f>
        <v>0.16723701576550193</v>
      </c>
      <c r="HM4" s="10" t="str">
        <f>IF(HL4="NV"," ",IF(ABS(HL4)&gt;=1.96,"*"," "))</f>
        <v xml:space="preserve"> </v>
      </c>
      <c r="HN4" s="114">
        <f>HF4-HJ4</f>
        <v>1.808236527381224E-2</v>
      </c>
      <c r="HO4" s="10"/>
      <c r="HP4" s="42">
        <v>123.95796822999989</v>
      </c>
      <c r="HQ4" s="43">
        <v>3.7654162645999047</v>
      </c>
      <c r="HR4" s="67">
        <v>8.8423068760738077E-2</v>
      </c>
      <c r="HS4" s="10">
        <f>IF($HE4&lt;30,"NV",IF(HP4&gt;=30,(($HF4-HQ4))/SQRT(($HG4^2)+(HR4^2)),"NV"))</f>
        <v>-0.92139217586511057</v>
      </c>
      <c r="HT4" s="10" t="str">
        <f>IF(HS4="NV"," ",IF(ABS(HS4)&gt;=1.96,"*"," "))</f>
        <v xml:space="preserve"> </v>
      </c>
      <c r="HU4" s="10"/>
      <c r="HV4" s="53">
        <v>91</v>
      </c>
      <c r="HW4" s="55">
        <v>3.6397365232469299</v>
      </c>
      <c r="HX4" s="56">
        <v>8.2503369284457534E-2</v>
      </c>
      <c r="HY4" s="10">
        <f>IF($HE4&lt;30,"NV",IF(HV4&gt;=30,(($HF4-HW4))/SQRT(($HG4^2)+(HX4^2)),"NV"))</f>
        <v>0.23204570884036185</v>
      </c>
      <c r="HZ4" s="10" t="str">
        <f>IF(HY4="NV"," ",IF(ABS(HY4)&gt;=1.96,"*"," "))</f>
        <v xml:space="preserve"> </v>
      </c>
      <c r="IA4" s="10"/>
      <c r="IB4" s="54">
        <v>150</v>
      </c>
      <c r="IC4" s="57">
        <v>3.695741758583273</v>
      </c>
      <c r="ID4" s="58">
        <v>8.5077486818426501E-2</v>
      </c>
      <c r="IE4" s="10">
        <f>IF($HE4&lt;30,"NV",IF(IB4&gt;=30,(($HF4-IC4))/SQRT(($HG4^2)+(ID4^2)),"NV"))</f>
        <v>-0.29461907607181204</v>
      </c>
      <c r="IF4" s="10" t="str">
        <f>IF(IE4="NV"," ",IF(ABS(IE4)&gt;=1.96,"*"," "))</f>
        <v xml:space="preserve"> </v>
      </c>
      <c r="IG4" s="114">
        <f>HF4-IC4</f>
        <v>-3.1593211390488651E-2</v>
      </c>
      <c r="IH4" s="76"/>
      <c r="II4" s="27">
        <v>559</v>
      </c>
      <c r="IJ4" s="28">
        <v>3.731420697617672</v>
      </c>
      <c r="IK4" s="29">
        <v>4.0789832672395422E-2</v>
      </c>
      <c r="IL4" s="10"/>
      <c r="IM4" s="42">
        <v>392</v>
      </c>
      <c r="IN4" s="43">
        <v>3.6767433542194947</v>
      </c>
      <c r="IO4" s="67">
        <v>4.9524003785549345E-2</v>
      </c>
      <c r="IP4" s="10">
        <f>IF($II4&lt;30,"NV",IF(IM4&gt;=30,(($IJ4-IN4))/SQRT(($IK4^2)+(IO4^2)),"NV"))</f>
        <v>0.85221004260078292</v>
      </c>
      <c r="IQ4" s="10" t="str">
        <f>IF(IP4="NV"," ",IF(ABS(IP4)&gt;=1.96,"*"," "))</f>
        <v xml:space="preserve"> </v>
      </c>
      <c r="IR4" s="114">
        <f>IJ4-IN4</f>
        <v>5.4677343398177314E-2</v>
      </c>
      <c r="IS4" s="10"/>
      <c r="IT4" s="42">
        <v>411.31028904000033</v>
      </c>
      <c r="IU4" s="43">
        <v>3.7288003099062954</v>
      </c>
      <c r="IV4" s="67">
        <v>4.5875530894211008E-2</v>
      </c>
      <c r="IW4" s="10">
        <f>IF($II4&lt;30,"NV",IF(IT4&gt;=30,(($IJ4-IU4))/SQRT(($IK4^2)+(IV4^2)),"NV"))</f>
        <v>4.2686299730725089E-2</v>
      </c>
      <c r="IX4" s="10" t="str">
        <f>IF(IW4="NV"," ",IF(ABS(IW4)&gt;=1.96,"*"," "))</f>
        <v xml:space="preserve"> </v>
      </c>
      <c r="IY4" s="10"/>
      <c r="IZ4" s="53">
        <v>397</v>
      </c>
      <c r="JA4" s="55">
        <v>3.7658708977650828</v>
      </c>
      <c r="JB4" s="56">
        <v>4.7916064188388396E-2</v>
      </c>
      <c r="JC4" s="10">
        <f>IF($II4&lt;30,"NV",IF(IZ4&gt;=30,(($IJ4-JA4))/SQRT(($IK4^2)+(JB4^2)),"NV"))</f>
        <v>-0.54746623107467807</v>
      </c>
      <c r="JD4" s="10" t="str">
        <f>IF(JC4="NV"," ",IF(ABS(JC4)&gt;=1.96,"*"," "))</f>
        <v xml:space="preserve"> </v>
      </c>
      <c r="JE4" s="10"/>
      <c r="JF4" s="54">
        <v>423</v>
      </c>
      <c r="JG4" s="57">
        <v>3.7567079770771268</v>
      </c>
      <c r="JH4" s="58">
        <v>4.6372164687911797E-2</v>
      </c>
      <c r="JI4" s="10">
        <f>IF($II4&lt;30,"NV",IF(JF4&gt;=30,(($IJ4-JG4))/SQRT(($IK4^2)+(JH4^2)),"NV"))</f>
        <v>-0.40945016861876193</v>
      </c>
      <c r="JJ4" s="10" t="str">
        <f>IF(JI4="NV"," ",IF(ABS(JI4)&gt;=1.96,"*"," "))</f>
        <v xml:space="preserve"> </v>
      </c>
      <c r="JK4" s="114">
        <f>IJ4-JG4</f>
        <v>-2.5287279459454748E-2</v>
      </c>
      <c r="JL4" s="76"/>
      <c r="JM4" s="27">
        <v>46</v>
      </c>
      <c r="JN4" s="28">
        <v>3.8695652173913042</v>
      </c>
      <c r="JO4" s="29">
        <v>0.16040781814817395</v>
      </c>
      <c r="JP4" s="10"/>
      <c r="JQ4" s="42">
        <v>34</v>
      </c>
      <c r="JR4" s="43">
        <v>4.0306004616323223</v>
      </c>
      <c r="JS4" s="67">
        <v>0.14912322143520018</v>
      </c>
      <c r="JT4" s="10">
        <f>IF($JM4&lt;30,"NV",IF(JQ4&gt;=30,(($JN4-JR4))/SQRT(($JO4^2)+(JS4^2)),"NV"))</f>
        <v>-0.73526400420989668</v>
      </c>
      <c r="JU4" s="10" t="str">
        <f>IF(JT4="NV"," ",IF(ABS(JT4)&gt;=1.96,"*"," "))</f>
        <v xml:space="preserve"> </v>
      </c>
      <c r="JV4" s="114">
        <f>JN4-JR4</f>
        <v>-0.16103524424101812</v>
      </c>
      <c r="JW4" s="10"/>
      <c r="JX4" s="42">
        <v>32.673939870000005</v>
      </c>
      <c r="JY4" s="43">
        <v>4.0303030303030312</v>
      </c>
      <c r="JZ4" s="67">
        <v>0.15456053843752271</v>
      </c>
      <c r="KA4" s="10">
        <f>IF($JM4&lt;30,"NV",IF(JX4&gt;=30,(($JN4-JY4))/SQRT(($JO4^2)+(JZ4^2)),"NV"))</f>
        <v>-0.72159132264545145</v>
      </c>
      <c r="KB4" s="10" t="str">
        <f>IF(KA4="NV"," ",IF(ABS(KA4)&gt;=1.96,"*"," "))</f>
        <v xml:space="preserve"> </v>
      </c>
      <c r="KC4" s="10"/>
      <c r="KD4" s="53">
        <v>28</v>
      </c>
      <c r="KE4" s="55">
        <v>3.8571428571428568</v>
      </c>
      <c r="KF4" s="56">
        <v>0.19277796434645214</v>
      </c>
      <c r="KG4" s="10" t="str">
        <f>IF($JM4&lt;30,"NV",IF(KD4&gt;=30,(($JN4-KE4))/SQRT(($JO4^2)+(KF4^2)),"NV"))</f>
        <v>NV</v>
      </c>
      <c r="KH4" s="10" t="str">
        <f>IF(KG4="NV"," ",IF(ABS(KG4)&gt;=1.96,"*"," "))</f>
        <v xml:space="preserve"> </v>
      </c>
      <c r="KI4" s="10"/>
      <c r="KJ4" s="54">
        <v>51</v>
      </c>
      <c r="KK4" s="57">
        <v>3.6274509803921569</v>
      </c>
      <c r="KL4" s="58">
        <v>0.1612318581822913</v>
      </c>
      <c r="KM4" s="10">
        <f>IF($JM4&lt;30,"NV",IF(KJ4&gt;=30,(($JN4-KK4))/SQRT(($JO4^2)+(KL4^2)),"NV"))</f>
        <v>1.0645456362467465</v>
      </c>
      <c r="KN4" s="10" t="str">
        <f>IF(KM4="NV"," ",IF(ABS(KM4)&gt;=1.96,"*"," "))</f>
        <v xml:space="preserve"> </v>
      </c>
      <c r="KO4" s="114">
        <f>JN4-KK4</f>
        <v>0.24211423699914736</v>
      </c>
      <c r="KP4" s="76"/>
      <c r="KQ4" s="27">
        <v>515</v>
      </c>
      <c r="KR4" s="28">
        <v>3.2269821035711903</v>
      </c>
      <c r="KS4" s="29">
        <v>4.840224527506877E-2</v>
      </c>
      <c r="KT4" s="10"/>
      <c r="KU4" s="42">
        <v>306</v>
      </c>
      <c r="KV4" s="43">
        <v>3.1866452647658972</v>
      </c>
      <c r="KW4" s="67">
        <v>6.5685588654869245E-2</v>
      </c>
      <c r="KX4" s="10">
        <f>IF($KQ4&lt;30,"NV",IF(KU4&gt;=30,(($KR4-KV4))/SQRT(($KS4^2)+(KW4^2)),"NV"))</f>
        <v>0.49436803804368168</v>
      </c>
      <c r="KY4" s="10" t="str">
        <f>IF(KX4="NV"," ",IF(ABS(KX4)&gt;=1.96,"*"," "))</f>
        <v xml:space="preserve"> </v>
      </c>
      <c r="KZ4" s="114">
        <f>KR4-KV4</f>
        <v>4.0336838805293151E-2</v>
      </c>
      <c r="LA4" s="10"/>
      <c r="LB4" s="42">
        <v>362.2015676900009</v>
      </c>
      <c r="LC4" s="43">
        <v>3.4821309391721376</v>
      </c>
      <c r="LD4" s="67">
        <v>5.4182236286175994E-2</v>
      </c>
      <c r="LE4" s="10">
        <f>IF($KQ4&lt;30,"NV",IF(LB4&gt;=30,(($KR4-LC4))/SQRT(($KS4^2)+(LD4^2)),"NV"))</f>
        <v>-3.511871800142857</v>
      </c>
      <c r="LF4" s="10" t="str">
        <f>IF(LE4="NV"," ",IF(ABS(LE4)&gt;=1.96,"*"," "))</f>
        <v>*</v>
      </c>
      <c r="LG4" s="10"/>
      <c r="LH4" s="53">
        <v>686</v>
      </c>
      <c r="LI4" s="55">
        <v>3.1958213629977821</v>
      </c>
      <c r="LJ4" s="56">
        <v>4.1716805128082339E-2</v>
      </c>
      <c r="LK4" s="10">
        <f>IF($KQ4&lt;30,"NV",IF(LH4&gt;=30,(($KR4-LI4))/SQRT(($KS4^2)+(LJ4^2)),"NV"))</f>
        <v>0.48765693153352435</v>
      </c>
      <c r="LL4" s="10" t="str">
        <f>IF(LK4="NV"," ",IF(ABS(LK4)&gt;=1.96,"*"," "))</f>
        <v xml:space="preserve"> </v>
      </c>
      <c r="LM4" s="10"/>
      <c r="LN4" s="54">
        <v>681</v>
      </c>
      <c r="LO4" s="57">
        <v>3.1261893057840155</v>
      </c>
      <c r="LP4" s="58">
        <v>3.908152568529917E-2</v>
      </c>
      <c r="LQ4" s="10">
        <f>IF($KQ4&lt;30,"NV",IF(LN4&gt;=30,(($KR4-LO4))/SQRT(($KS4^2)+(LP4^2)),"NV"))</f>
        <v>1.6201901756860402</v>
      </c>
      <c r="LR4" s="10" t="str">
        <f>IF(LQ4="NV"," ",IF(ABS(LQ4)&gt;=1.96,"*"," "))</f>
        <v xml:space="preserve"> </v>
      </c>
      <c r="LS4" s="114">
        <f>KR4-LO4</f>
        <v>0.10079279778717476</v>
      </c>
      <c r="LT4" s="76"/>
      <c r="LU4" s="27">
        <v>188</v>
      </c>
      <c r="LV4" s="28">
        <v>3.7340577342765431</v>
      </c>
      <c r="LW4" s="29">
        <v>7.1719761480306898E-2</v>
      </c>
      <c r="LX4" s="10"/>
      <c r="LY4" s="42">
        <v>189</v>
      </c>
      <c r="LZ4" s="43">
        <v>3.6718214842022201</v>
      </c>
      <c r="MA4" s="67">
        <v>7.2642631814280212E-2</v>
      </c>
      <c r="MB4" s="10">
        <f>IF($LU4&lt;30,"NV",IF(LY4&gt;=30,(($LV4-LZ4))/SQRT(($LW4^2)+(MA4^2)),"NV"))</f>
        <v>0.60967090188305606</v>
      </c>
      <c r="MC4" s="10" t="str">
        <f>IF(MB4="NV"," ",IF(ABS(MB4)&gt;=1.96,"*"," "))</f>
        <v xml:space="preserve"> </v>
      </c>
      <c r="MD4" s="114">
        <f>LV4-LZ4</f>
        <v>6.2236250074322985E-2</v>
      </c>
      <c r="ME4" s="10"/>
      <c r="MF4" s="42">
        <v>196.52048600999947</v>
      </c>
      <c r="MG4" s="43">
        <v>3.8345465574599435</v>
      </c>
      <c r="MH4" s="67">
        <v>6.7291954913815052E-2</v>
      </c>
      <c r="MI4" s="10">
        <f>IF($LU4&lt;30,"NV",IF(MF4&gt;=30,(($LV4-MG4))/SQRT(($LW4^2)+(MH4^2)),"NV"))</f>
        <v>-1.0217888444187311</v>
      </c>
      <c r="MJ4" s="10" t="str">
        <f>IF(MI4="NV"," ",IF(ABS(MI4)&gt;=1.96,"*"," "))</f>
        <v xml:space="preserve"> </v>
      </c>
      <c r="MK4" s="10"/>
      <c r="ML4" s="53">
        <v>495</v>
      </c>
      <c r="MM4" s="55">
        <v>3.5676767676767671</v>
      </c>
      <c r="MN4" s="56">
        <v>4.3470341391753195E-2</v>
      </c>
      <c r="MO4" s="10">
        <f>IF($LU4&lt;30,"NV",IF(ML4&gt;=30,(($LV4-MM4))/SQRT(($LW4^2)+(MN4^2)),"NV"))</f>
        <v>1.9839062519257262</v>
      </c>
      <c r="MP4" s="10" t="str">
        <f>IF(MO4="NV"," ",IF(ABS(MO4)&gt;=1.96,"*"," "))</f>
        <v>*</v>
      </c>
      <c r="MQ4" s="10"/>
      <c r="MR4" s="54">
        <v>477</v>
      </c>
      <c r="MS4" s="57">
        <v>3.6119261947606529</v>
      </c>
      <c r="MT4" s="58">
        <v>4.7034119518220341E-2</v>
      </c>
      <c r="MU4" s="10">
        <f>IF($LU4&lt;30,"NV",IF(MR4&gt;=30,(($LV4-MS4))/SQRT(($LW4^2)+(MT4^2)),"NV"))</f>
        <v>1.4239966295284801</v>
      </c>
      <c r="MV4" s="10" t="str">
        <f>IF(MU4="NV"," ",IF(ABS(MU4)&gt;=1.96,"*"," "))</f>
        <v xml:space="preserve"> </v>
      </c>
      <c r="MW4" s="114">
        <f>LV4-MS4</f>
        <v>0.12213153951589018</v>
      </c>
      <c r="MX4" s="76"/>
      <c r="MY4" s="27">
        <v>206</v>
      </c>
      <c r="MZ4" s="28">
        <v>3.7087201762276614</v>
      </c>
      <c r="NA4" s="29">
        <v>6.1651543610957024E-2</v>
      </c>
      <c r="NB4" s="10"/>
      <c r="NC4" s="42">
        <v>136</v>
      </c>
      <c r="ND4" s="43">
        <v>3.7506501009837363</v>
      </c>
      <c r="NE4" s="67">
        <v>8.5952730915357059E-2</v>
      </c>
      <c r="NF4" s="10">
        <f>IF($MY4&lt;30,"NV",IF(NC4&gt;=30,(($MZ4-ND4))/SQRT(($NA4^2)+(NE4^2)),"NV"))</f>
        <v>-0.39639906640023664</v>
      </c>
      <c r="NG4" s="10" t="str">
        <f>IF(NF4="NV"," ",IF(ABS(NF4)&gt;=1.96,"*"," "))</f>
        <v xml:space="preserve"> </v>
      </c>
      <c r="NH4" s="114">
        <f>MZ4-ND4</f>
        <v>-4.1929924756074932E-2</v>
      </c>
      <c r="NI4" s="10"/>
      <c r="NJ4" s="42">
        <v>126.66243030000007</v>
      </c>
      <c r="NK4" s="43">
        <v>3.7617254901984931</v>
      </c>
      <c r="NL4" s="67">
        <v>8.6579662892217149E-2</v>
      </c>
      <c r="NM4" s="10">
        <f>IF($MY4&lt;30,"NV",IF(NJ4&gt;=30,(($MZ4-NK4))/SQRT(($NA4^2)+(NL4^2)),"NV"))</f>
        <v>-0.49869933786765286</v>
      </c>
      <c r="NN4" s="10" t="str">
        <f>IF(NM4="NV"," ",IF(ABS(NM4)&gt;=1.96,"*"," "))</f>
        <v xml:space="preserve"> </v>
      </c>
      <c r="NO4" s="10"/>
      <c r="NP4" s="53">
        <v>217</v>
      </c>
      <c r="NQ4" s="55">
        <v>3.5884849000972054</v>
      </c>
      <c r="NR4" s="56">
        <v>6.4832939341233783E-2</v>
      </c>
      <c r="NS4" s="10">
        <f>IF($MY4&lt;30,"NV",IF(NP4&gt;=30,(($MZ4-NQ4))/SQRT(($NA4^2)+(NR4^2)),"NV"))</f>
        <v>1.3439166027397385</v>
      </c>
      <c r="NT4" s="10" t="str">
        <f>IF(NS4="NV"," ",IF(ABS(NS4)&gt;=1.96,"*"," "))</f>
        <v xml:space="preserve"> </v>
      </c>
      <c r="NU4" s="10"/>
      <c r="NV4" s="54">
        <v>220</v>
      </c>
      <c r="NW4" s="57">
        <v>3.6898636514754508</v>
      </c>
      <c r="NX4" s="58">
        <v>6.2673152589604625E-2</v>
      </c>
      <c r="NY4" s="10">
        <f>IF($MY4&lt;30,"NV",IF(NV4&gt;=30,(($MZ4-NW4))/SQRT(($NA4^2)+(NX4^2)),"NV"))</f>
        <v>0.21448878280272451</v>
      </c>
      <c r="NZ4" s="10" t="str">
        <f>IF(NY4="NV"," ",IF(ABS(NY4)&gt;=1.96,"*"," "))</f>
        <v xml:space="preserve"> </v>
      </c>
      <c r="OA4" s="114">
        <f>MZ4-NW4</f>
        <v>1.8856524752210557E-2</v>
      </c>
      <c r="OB4" s="58"/>
    </row>
    <row r="5" spans="1:392" x14ac:dyDescent="0.2">
      <c r="B5" s="65" t="s">
        <v>3</v>
      </c>
      <c r="C5" s="27">
        <v>50</v>
      </c>
      <c r="D5" s="28">
        <v>3.399999999999999</v>
      </c>
      <c r="E5" s="29">
        <v>0.15845781508628221</v>
      </c>
      <c r="F5" s="10"/>
      <c r="G5" s="42">
        <v>14</v>
      </c>
      <c r="H5" s="43">
        <v>3.4285714285714284</v>
      </c>
      <c r="I5" s="67">
        <v>0.32773537664877028</v>
      </c>
      <c r="J5" s="10" t="str">
        <f t="shared" ref="J5:J49" si="1">IF($C5&lt;30,"NV",IF(G5&gt;=30,(($D5-H5))/SQRT(($E5^2)+(I5^2)),"NV"))</f>
        <v>NV</v>
      </c>
      <c r="K5" s="10" t="str">
        <f t="shared" ref="K5:K49" si="2">IF(J5="NV"," ",IF(ABS(J5)&gt;=1.96,"*"," "))</f>
        <v xml:space="preserve"> </v>
      </c>
      <c r="L5" s="114">
        <f t="shared" ref="L5:L49" si="3">D5-H5</f>
        <v>-2.8571428571429358E-2</v>
      </c>
      <c r="M5" s="10"/>
      <c r="N5" s="42">
        <v>36.390869550000026</v>
      </c>
      <c r="O5" s="43">
        <v>3.1714285714285713</v>
      </c>
      <c r="P5" s="67">
        <v>0.15293444679961896</v>
      </c>
      <c r="Q5" s="10">
        <f t="shared" ref="Q5:Q49" si="4">IF($C5&lt;30,"NV",IF(N5&gt;=30,(($D5-O5))/SQRT(($E5^2)+(P5^2)),"NV"))</f>
        <v>1.0379126742475855</v>
      </c>
      <c r="R5" s="10" t="str">
        <f t="shared" ref="R5:R49" si="5">IF(Q5="NV"," ",IF(ABS(Q5)&gt;=1.96,"*"," "))</f>
        <v xml:space="preserve"> </v>
      </c>
      <c r="S5" s="10"/>
      <c r="T5" s="53">
        <v>25</v>
      </c>
      <c r="U5" s="55">
        <v>3.48</v>
      </c>
      <c r="V5" s="56">
        <v>0.12185611151453654</v>
      </c>
      <c r="W5" s="10" t="str">
        <f t="shared" ref="W5:W49" si="6">IF($C5&lt;30,"NV",IF(T5&gt;=30,(($D5-U5))/SQRT(($E5^2)+(V5^2)),"NV"))</f>
        <v>NV</v>
      </c>
      <c r="X5" s="10" t="str">
        <f t="shared" ref="X5:X49" si="7">IF(W5="NV"," ",IF(ABS(W5)&gt;=1.96,"*"," "))</f>
        <v xml:space="preserve"> </v>
      </c>
      <c r="Y5" s="10"/>
      <c r="Z5" s="54">
        <v>22</v>
      </c>
      <c r="AA5" s="57">
        <v>3.8181818181818183</v>
      </c>
      <c r="AB5" s="58">
        <v>0.18039452838564057</v>
      </c>
      <c r="AC5" s="10" t="str">
        <f t="shared" ref="AC5:AC49" si="8">IF($C5&lt;30,"NV",IF(Z5&gt;=30,(($D5-AA5))/SQRT(($E5^2)+(AB5^2)),"NV"))</f>
        <v>NV</v>
      </c>
      <c r="AD5" s="10" t="str">
        <f t="shared" ref="AD5:AD49" si="9">IF(AC5="NV"," ",IF(ABS(AC5)&gt;=1.96,"*"," "))</f>
        <v xml:space="preserve"> </v>
      </c>
      <c r="AE5" s="114">
        <f t="shared" ref="AE5:AE49" si="10">D5-AA5</f>
        <v>-0.41818181818181932</v>
      </c>
      <c r="AF5" s="76"/>
      <c r="AG5" s="27">
        <v>17</v>
      </c>
      <c r="AH5" s="28">
        <v>3.7058823529411766</v>
      </c>
      <c r="AI5" s="29">
        <v>0.2631322405193311</v>
      </c>
      <c r="AJ5" s="67"/>
      <c r="AK5" s="42">
        <v>12</v>
      </c>
      <c r="AL5" s="43">
        <v>3.5</v>
      </c>
      <c r="AM5" s="67">
        <v>0.28748043870951107</v>
      </c>
      <c r="AN5" s="10" t="str">
        <f t="shared" ref="AN5:AN49" si="11">IF($AG5&lt;30,"NV",IF(AK5&gt;=30,(($AH5-AL5))/SQRT(($AI5^2)+(AM5^2)),"NV"))</f>
        <v>NV</v>
      </c>
      <c r="AO5" s="10" t="str">
        <f t="shared" ref="AO5:AO49" si="12">IF(AN5="NV"," ",IF(ABS(AN5)&gt;=1.96,"*"," "))</f>
        <v xml:space="preserve"> </v>
      </c>
      <c r="AP5" s="114">
        <f t="shared" ref="AP5:AP49" si="13">AH5-AL5</f>
        <v>0.20588235294117663</v>
      </c>
      <c r="AQ5" s="67"/>
      <c r="AR5" s="42">
        <v>18.152050710000001</v>
      </c>
      <c r="AS5" s="43">
        <v>3.263157894736842</v>
      </c>
      <c r="AT5" s="67">
        <v>0.15355529650497107</v>
      </c>
      <c r="AU5" s="10" t="str">
        <f t="shared" ref="AU5:AU49" si="14">IF($AG5&lt;30,"NV",IF(AR5&gt;=30,(($AH5-AS5))/SQRT(($AI5^2)+(AT5^2)),"NV"))</f>
        <v>NV</v>
      </c>
      <c r="AV5" s="10" t="str">
        <f t="shared" ref="AV5:AV49" si="15">IF(AU5="NV"," ",IF(ABS(AU5)&gt;=1.96,"*"," "))</f>
        <v xml:space="preserve"> </v>
      </c>
      <c r="AW5" s="10"/>
      <c r="AX5" s="53">
        <v>38</v>
      </c>
      <c r="AY5" s="55">
        <v>3.4577295494224844</v>
      </c>
      <c r="AZ5" s="56">
        <v>0.16183941775764335</v>
      </c>
      <c r="BA5" s="10" t="str">
        <f t="shared" ref="BA5:BA49" si="16">IF($AG5&lt;30,"NV",IF(AX5&gt;=30,(($AH5-AY5))/SQRT(($AI5^2)+(AZ5^2)),"NV"))</f>
        <v>NV</v>
      </c>
      <c r="BB5" s="10" t="str">
        <f t="shared" ref="BB5:BB49" si="17">IF(BA5="NV"," ",IF(ABS(BA5)&gt;=1.96,"*"," "))</f>
        <v xml:space="preserve"> </v>
      </c>
      <c r="BC5" s="10"/>
      <c r="BD5" s="54">
        <v>22</v>
      </c>
      <c r="BE5" s="57">
        <v>2.8262490895387109</v>
      </c>
      <c r="BF5" s="58">
        <v>0.22051472836559322</v>
      </c>
      <c r="BG5" s="10" t="str">
        <f t="shared" ref="BG5:BG49" si="18">IF($AG5&lt;30,"NV",IF(BD5&gt;=30,(($AH5-BE5))/SQRT(($AI5^2)+(BF5^2)),"NV"))</f>
        <v>NV</v>
      </c>
      <c r="BH5" s="10" t="str">
        <f t="shared" ref="BH5:BH49" si="19">IF(BG5="NV"," ",IF(ABS(BG5)&gt;=1.96,"*"," "))</f>
        <v xml:space="preserve"> </v>
      </c>
      <c r="BI5" s="114">
        <f t="shared" ref="BI5:BI49" si="20">AH5-BE5</f>
        <v>0.87963326340246573</v>
      </c>
      <c r="BJ5" s="76"/>
      <c r="BK5" s="27">
        <v>159</v>
      </c>
      <c r="BL5" s="28">
        <v>3.7011690222732714</v>
      </c>
      <c r="BM5" s="29">
        <v>7.0190714128314333E-2</v>
      </c>
      <c r="BN5" s="10"/>
      <c r="BO5" s="42">
        <v>55</v>
      </c>
      <c r="BP5" s="43">
        <v>3.7090645143100058</v>
      </c>
      <c r="BQ5" s="67">
        <v>0.12605638317854037</v>
      </c>
      <c r="BR5" s="10">
        <f t="shared" ref="BR5:BR49" si="21">IF($BK5&lt;30,"NV",IF(BO5&gt;=30,(($BL5-BP5))/SQRT(($BM5^2)+(BQ5^2)),"NV"))</f>
        <v>-5.4723097296933788E-2</v>
      </c>
      <c r="BS5" s="10" t="str">
        <f t="shared" ref="BS5:BS49" si="22">IF(BR5="NV"," ",IF(ABS(BR5)&gt;=1.96,"*"," "))</f>
        <v xml:space="preserve"> </v>
      </c>
      <c r="BT5" s="114">
        <f t="shared" ref="BT5:BT49" si="23">BL5-BP5</f>
        <v>-7.8954920367344528E-3</v>
      </c>
      <c r="BU5" s="10"/>
      <c r="BV5" s="42">
        <v>65.501165100000009</v>
      </c>
      <c r="BW5" s="43">
        <v>3.2659870410457787</v>
      </c>
      <c r="BX5" s="67">
        <v>7.9199542327894626E-2</v>
      </c>
      <c r="BY5" s="10">
        <f t="shared" ref="BY5:BY49" si="24">IF($BK5&lt;30,"NV",IF(BV5&gt;=30,(($BL5-BW5))/SQRT(($BM5^2)+(BX5^2)),"NV"))</f>
        <v>4.1122110058581223</v>
      </c>
      <c r="BZ5" s="10" t="str">
        <f t="shared" ref="BZ5:BZ49" si="25">IF(BY5="NV"," ",IF(ABS(BY5)&gt;=1.96,"*"," "))</f>
        <v>*</v>
      </c>
      <c r="CA5" s="10"/>
      <c r="CB5" s="53">
        <v>50</v>
      </c>
      <c r="CC5" s="55">
        <v>3.6954284880315811</v>
      </c>
      <c r="CD5" s="56">
        <v>6.5898737340311639E-2</v>
      </c>
      <c r="CE5" s="10">
        <f t="shared" ref="CE5:CE49" si="26">IF($BK5&lt;30,"NV",IF(CB5&gt;=30,(($BL5-CC5))/SQRT(($BM5^2)+(CD5^2)),"NV"))</f>
        <v>5.9624804782455174E-2</v>
      </c>
      <c r="CF5" s="10" t="str">
        <f t="shared" ref="CF5:CF49" si="27">IF(CE5="NV"," ",IF(ABS(CE5)&gt;=1.96,"*"," "))</f>
        <v xml:space="preserve"> </v>
      </c>
      <c r="CG5" s="10"/>
      <c r="CH5" s="54">
        <v>76</v>
      </c>
      <c r="CI5" s="57">
        <v>3.3392033177262856</v>
      </c>
      <c r="CJ5" s="58">
        <v>0.11522373643451807</v>
      </c>
      <c r="CK5" s="10">
        <f t="shared" ref="CK5:CK49" si="28">IF($BK5&lt;30,"NV",IF(CH5&gt;=30,(($BL5-CI5))/SQRT(($BM5^2)+(CJ5^2)),"NV"))</f>
        <v>2.682829094313409</v>
      </c>
      <c r="CL5" s="10" t="str">
        <f t="shared" ref="CL5:CL49" si="29">IF(CK5="NV"," ",IF(ABS(CK5)&gt;=1.96,"*"," "))</f>
        <v>*</v>
      </c>
      <c r="CM5" s="114">
        <f t="shared" ref="CM5:CM49" si="30">BL5-CI5</f>
        <v>0.36196570454698573</v>
      </c>
      <c r="CN5" s="76"/>
      <c r="CO5" s="27">
        <v>61</v>
      </c>
      <c r="CP5" s="28">
        <v>3.6236438878768524</v>
      </c>
      <c r="CQ5" s="29">
        <v>0.12226396892880298</v>
      </c>
      <c r="CR5" s="67"/>
      <c r="CS5" s="42">
        <v>24</v>
      </c>
      <c r="CT5" s="43">
        <v>3.9999999999999991</v>
      </c>
      <c r="CU5" s="67">
        <v>0.13428956499845884</v>
      </c>
      <c r="CV5" s="10" t="str">
        <f t="shared" ref="CV5:CV49" si="31">IF($CO5&lt;30,"NV",IF(CS5&gt;=30,(($CP5-CT5))/SQRT(($CQ5^2)+(CU5^2)),"NV"))</f>
        <v>NV</v>
      </c>
      <c r="CW5" s="10" t="str">
        <f t="shared" ref="CW5:CW49" si="32">IF(CV5="NV"," ",IF(ABS(CV5)&gt;=1.96,"*"," "))</f>
        <v xml:space="preserve"> </v>
      </c>
      <c r="CX5" s="114">
        <f t="shared" ref="CX5:CX49" si="33">CP5-CT5</f>
        <v>-0.37635611212314668</v>
      </c>
      <c r="CY5" s="10"/>
      <c r="CZ5" s="42">
        <v>34.899567480000002</v>
      </c>
      <c r="DA5" s="43">
        <v>3.8631256547022406</v>
      </c>
      <c r="DB5" s="67">
        <v>0.15215428813646462</v>
      </c>
      <c r="DC5" s="10">
        <f t="shared" ref="DC5:DC49" si="34">IF($CO5&lt;30,"NV",IF(CZ5&gt;=30,(($CP5-DA5))/SQRT(($CQ5^2)+(DB5^2)),"NV"))</f>
        <v>-1.2269118302669373</v>
      </c>
      <c r="DD5" s="10" t="str">
        <f t="shared" ref="DD5:DD49" si="35">IF(DC5="NV"," ",IF(ABS(DC5)&gt;=1.96,"*"," "))</f>
        <v xml:space="preserve"> </v>
      </c>
      <c r="DE5" s="10"/>
      <c r="DF5" s="53">
        <v>26</v>
      </c>
      <c r="DG5" s="55">
        <v>4.30863593678251</v>
      </c>
      <c r="DH5" s="56">
        <v>0.16559439127203004</v>
      </c>
      <c r="DI5" s="10" t="str">
        <f t="shared" ref="DI5:DI49" si="36">IF($CO5&lt;30,"NV",IF(DF5&gt;=30,(($CP5-DG5))/SQRT(($CQ5^2)+(DH5^2)),"NV"))</f>
        <v>NV</v>
      </c>
      <c r="DJ5" s="10" t="str">
        <f t="shared" si="0"/>
        <v xml:space="preserve"> </v>
      </c>
      <c r="DK5" s="10"/>
      <c r="DL5" s="54">
        <v>35</v>
      </c>
      <c r="DM5" s="57">
        <v>3.8962707306713038</v>
      </c>
      <c r="DN5" s="58">
        <v>0.13620730606482401</v>
      </c>
      <c r="DO5" s="10">
        <f t="shared" ref="DO5:DO49" si="37">IF($CO5&lt;30,"NV",IF(DL5&gt;=30,(($CP5-DM5))/SQRT(($CQ5^2)+(DN5^2)),"NV"))</f>
        <v>-1.4894993669375962</v>
      </c>
      <c r="DP5" s="10" t="str">
        <f t="shared" ref="DP5:DP49" si="38">IF(DO5="NV"," ",IF(ABS(DO5)&gt;=1.96,"*"," "))</f>
        <v xml:space="preserve"> </v>
      </c>
      <c r="DQ5" s="114">
        <f t="shared" ref="DQ5:DQ49" si="39">CP5-DM5</f>
        <v>-0.27262684279445137</v>
      </c>
      <c r="DR5" s="76"/>
      <c r="DS5" s="27">
        <v>25</v>
      </c>
      <c r="DT5" s="28">
        <v>3.4400946319169514</v>
      </c>
      <c r="DU5" s="29">
        <v>0.15357665459858272</v>
      </c>
      <c r="DV5" s="10"/>
      <c r="DW5" s="42">
        <v>10</v>
      </c>
      <c r="DX5" s="43">
        <v>3.3976072787913121</v>
      </c>
      <c r="DY5" s="67">
        <v>0.3396917954069103</v>
      </c>
      <c r="DZ5" s="10" t="str">
        <f t="shared" ref="DZ5:DZ49" si="40">IF($DS5&lt;30,"NV",IF(DW5&gt;=30,(($DT5-DX5))/SQRT(($DU5^2)+(DY5^2)),"NV"))</f>
        <v>NV</v>
      </c>
      <c r="EA5" s="10" t="str">
        <f t="shared" ref="EA5:EA49" si="41">IF(DZ5="NV"," ",IF(ABS(DZ5)&gt;=1.96,"*"," "))</f>
        <v xml:space="preserve"> </v>
      </c>
      <c r="EB5" s="114">
        <f t="shared" ref="EB5:EB49" si="42">DT5-DX5</f>
        <v>4.2487353125639338E-2</v>
      </c>
      <c r="EC5" s="10"/>
      <c r="ED5" s="42">
        <v>13.09476849</v>
      </c>
      <c r="EE5" s="43">
        <v>3.079401108220738</v>
      </c>
      <c r="EF5" s="67">
        <v>0.26775508668156994</v>
      </c>
      <c r="EG5" s="10" t="str">
        <f t="shared" ref="EG5:EG49" si="43">IF($DS5&lt;30,"NV",IF(ED5&gt;=30,(($DT5-EE5))/SQRT(($DU5^2)+(EF5^2)),"NV"))</f>
        <v>NV</v>
      </c>
      <c r="EH5" s="10" t="str">
        <f t="shared" ref="EH5:EH49" si="44">IF(EG5="NV"," ",IF(ABS(EG5)&gt;=1.96,"*"," "))</f>
        <v xml:space="preserve"> </v>
      </c>
      <c r="EI5" s="10"/>
      <c r="EJ5" s="53">
        <v>10</v>
      </c>
      <c r="EK5" s="55">
        <v>3.4284096062339748</v>
      </c>
      <c r="EL5" s="56">
        <v>0.2790431152055185</v>
      </c>
      <c r="EM5" s="10" t="str">
        <f t="shared" ref="EM5:EM49" si="45">IF($DS5&lt;30,"NV",IF(EJ5&gt;=30,(($DT5-EK5))/SQRT(($DU5^2)+(EL5^2)),"NV"))</f>
        <v>NV</v>
      </c>
      <c r="EN5" s="10" t="str">
        <f t="shared" ref="EN5:EN49" si="46">IF(EM5="NV"," ",IF(ABS(EM5)&gt;=1.96,"*"," "))</f>
        <v xml:space="preserve"> </v>
      </c>
      <c r="EO5" s="10"/>
      <c r="EP5" s="54">
        <v>5</v>
      </c>
      <c r="EQ5" s="57">
        <v>3.8</v>
      </c>
      <c r="ER5" s="58">
        <v>0.34479344605415924</v>
      </c>
      <c r="ES5" s="10" t="str">
        <f t="shared" ref="ES5:ES49" si="47">IF($DS5&lt;30,"NV",IF(EP5&gt;=30,(($DT5-EQ5))/SQRT(($DU5^2)+(ER5^2)),"NV"))</f>
        <v>NV</v>
      </c>
      <c r="ET5" s="10" t="str">
        <f t="shared" ref="ET5:ET49" si="48">IF(ES5="NV"," ",IF(ABS(ES5)&gt;=1.96,"*"," "))</f>
        <v xml:space="preserve"> </v>
      </c>
      <c r="EU5" s="114">
        <f t="shared" ref="EU5:EU49" si="49">DT5-EQ5</f>
        <v>-0.3599053680830484</v>
      </c>
      <c r="EV5" s="76"/>
      <c r="EW5" s="27">
        <v>54</v>
      </c>
      <c r="EX5" s="28">
        <v>3.9662950354100284</v>
      </c>
      <c r="EY5" s="29">
        <v>0.10512276240131493</v>
      </c>
      <c r="EZ5" s="10"/>
      <c r="FA5" s="42">
        <v>30</v>
      </c>
      <c r="FB5" s="43">
        <v>3.7992024262637702</v>
      </c>
      <c r="FC5" s="67">
        <v>0.14689522441442121</v>
      </c>
      <c r="FD5" s="10">
        <f t="shared" ref="FD5:FD49" si="50">IF($EW5&lt;30,"NV",IF(FA5&gt;=30,(($EX5-FB5))/SQRT(($EY5^2)+(FC5^2)),"NV"))</f>
        <v>0.925028991880542</v>
      </c>
      <c r="FE5" s="10" t="str">
        <f t="shared" ref="FE5:FE49" si="51">IF(FD5="NV"," ",IF(ABS(FD5)&gt;=1.96,"*"," "))</f>
        <v xml:space="preserve"> </v>
      </c>
      <c r="FF5" s="114">
        <f t="shared" ref="FF5:FF49" si="52">EX5-FB5</f>
        <v>0.16709260914625812</v>
      </c>
      <c r="FG5" s="10"/>
      <c r="FH5" s="42">
        <v>35.068303560000004</v>
      </c>
      <c r="FI5" s="43">
        <v>3.4206763673286744</v>
      </c>
      <c r="FJ5" s="67">
        <v>0.15306609141936739</v>
      </c>
      <c r="FK5" s="10">
        <f t="shared" ref="FK5:FK49" si="53">IF($EW5&lt;30,"NV",IF(FH5&gt;=30,(($EX5-FI5))/SQRT(($EY5^2)+(FJ5^2)),"NV"))</f>
        <v>2.9383629843139003</v>
      </c>
      <c r="FL5" s="10" t="str">
        <f t="shared" ref="FL5:FL49" si="54">IF(FK5="NV"," ",IF(ABS(FK5)&gt;=1.96,"*"," "))</f>
        <v>*</v>
      </c>
      <c r="FM5" s="10"/>
      <c r="FN5" s="53">
        <v>38</v>
      </c>
      <c r="FO5" s="55">
        <v>3.2750908007866659</v>
      </c>
      <c r="FP5" s="56">
        <v>0.12440284626409294</v>
      </c>
      <c r="FQ5" s="10">
        <f t="shared" ref="FQ5:FQ49" si="55">IF($EW5&lt;30,"NV",IF(FN5&gt;=30,(($EX5-FO5))/SQRT(($EY5^2)+(FP5^2)),"NV"))</f>
        <v>4.2438833705100851</v>
      </c>
      <c r="FR5" s="10" t="str">
        <f t="shared" ref="FR5:FR49" si="56">IF(FQ5="NV"," ",IF(ABS(FQ5)&gt;=1.96,"*"," "))</f>
        <v>*</v>
      </c>
      <c r="FS5" s="10"/>
      <c r="FT5" s="54">
        <v>38</v>
      </c>
      <c r="FU5" s="57">
        <v>3.3875121240342279</v>
      </c>
      <c r="FV5" s="58">
        <v>0.1606332294270226</v>
      </c>
      <c r="FW5" s="10">
        <f t="shared" ref="FW5:FW49" si="57">IF($EW5&lt;30,"NV",IF(FT5&gt;=30,(($EX5-FU5))/SQRT(($EY5^2)+(FV5^2)),"NV"))</f>
        <v>3.014910251384026</v>
      </c>
      <c r="FX5" s="10" t="str">
        <f>IF(FW5="NV"," ",IF(ABS(FW5)&gt;=1.96,"*"," "))</f>
        <v>*</v>
      </c>
      <c r="FY5" s="114">
        <f t="shared" ref="FY5:FY49" si="58">EX5-FU5</f>
        <v>0.57878291137580051</v>
      </c>
      <c r="FZ5" s="76"/>
      <c r="GA5" s="27">
        <v>66</v>
      </c>
      <c r="GB5" s="28">
        <v>3.1958713958141152</v>
      </c>
      <c r="GC5" s="29">
        <v>0.11181205434009693</v>
      </c>
      <c r="GD5" s="67"/>
      <c r="GE5" s="42">
        <v>51</v>
      </c>
      <c r="GF5" s="43">
        <v>3.2360108626109119</v>
      </c>
      <c r="GG5" s="67">
        <v>0.16171031505164349</v>
      </c>
      <c r="GH5" s="10">
        <f t="shared" ref="GH5:GH49" si="59">IF($GA5&lt;30,"NV",IF(GE5&gt;=30,(($GB5-GF5))/SQRT(($GC5^2)+(GG5^2)),"NV"))</f>
        <v>-0.20416660467050837</v>
      </c>
      <c r="GI5" s="10" t="str">
        <f t="shared" ref="GI5:GI49" si="60">IF(GH5="NV"," ",IF(ABS(GH5)&gt;=1.96,"*"," "))</f>
        <v xml:space="preserve"> </v>
      </c>
      <c r="GJ5" s="114">
        <f t="shared" ref="GJ5:GJ49" si="61">GB5-GF5</f>
        <v>-4.0139466796796697E-2</v>
      </c>
      <c r="GK5" s="67"/>
      <c r="GL5" s="42">
        <v>76.262199149999958</v>
      </c>
      <c r="GM5" s="43">
        <v>3.4450967844926095</v>
      </c>
      <c r="GN5" s="67">
        <v>0.12427714580189173</v>
      </c>
      <c r="GO5" s="10">
        <f t="shared" ref="GO5:GO49" si="62">IF($GA5&lt;30,"NV",IF(GL5&gt;=30,(($GB5-GM5))/SQRT(($GC5^2)+(GN5^2)),"NV"))</f>
        <v>-1.49082501060845</v>
      </c>
      <c r="GP5" s="10" t="str">
        <f t="shared" ref="GP5:GP49" si="63">IF(GO5="NV"," ",IF(ABS(GO5)&gt;=1.96,"*"," "))</f>
        <v xml:space="preserve"> </v>
      </c>
      <c r="GQ5" s="10"/>
      <c r="GR5" s="53">
        <v>57</v>
      </c>
      <c r="GS5" s="55">
        <v>3.2650114193059205</v>
      </c>
      <c r="GT5" s="56">
        <v>0.14345760498559249</v>
      </c>
      <c r="GU5" s="10">
        <f t="shared" ref="GU5:GU49" si="64">IF($GA5&lt;30,"NV",IF(GR5&gt;=30,(($GB5-GS5))/SQRT(($GC5^2)+(GT5^2)),"NV"))</f>
        <v>-0.38013119712147853</v>
      </c>
      <c r="GV5" s="10" t="str">
        <f t="shared" ref="GV5:GV49" si="65">IF(GU5="NV"," ",IF(ABS(GU5)&gt;=1.96,"*"," "))</f>
        <v xml:space="preserve"> </v>
      </c>
      <c r="GW5" s="10"/>
      <c r="GX5" s="54">
        <v>39</v>
      </c>
      <c r="GY5" s="57">
        <v>3.233548387481767</v>
      </c>
      <c r="GZ5" s="58">
        <v>0.18112964207355797</v>
      </c>
      <c r="HA5" s="10">
        <f t="shared" ref="HA5:HA49" si="66">IF($GA5&lt;30,"NV",IF(GX5&gt;=30,(($GB5-GY5))/SQRT(($GC5^2)+(GZ5^2)),"NV"))</f>
        <v>-0.17700264248431838</v>
      </c>
      <c r="HB5" s="10" t="str">
        <f>IF(HA5="NV"," ",IF(ABS(HA5)&gt;=1.96,"*"," "))</f>
        <v xml:space="preserve"> </v>
      </c>
      <c r="HC5" s="114">
        <f t="shared" ref="HC5:HC49" si="67">GB5-GY5</f>
        <v>-3.7676991667651816E-2</v>
      </c>
      <c r="HD5" s="76"/>
      <c r="HE5" s="27">
        <v>40</v>
      </c>
      <c r="HF5" s="28">
        <v>3.6311865362751261</v>
      </c>
      <c r="HG5" s="29">
        <v>0.15228495874545067</v>
      </c>
      <c r="HH5" s="10"/>
      <c r="HI5" s="42">
        <v>16</v>
      </c>
      <c r="HJ5" s="43">
        <v>3.3778696803607575</v>
      </c>
      <c r="HK5" s="67">
        <v>0.2220318695691105</v>
      </c>
      <c r="HL5" s="10" t="str">
        <f t="shared" ref="HL5:HL49" si="68">IF($HE5&lt;30,"NV",IF(HI5&gt;=30,(($HF5-HJ5))/SQRT(($HG5^2)+(HK5^2)),"NV"))</f>
        <v>NV</v>
      </c>
      <c r="HM5" s="10" t="str">
        <f t="shared" ref="HM5:HM49" si="69">IF(HL5="NV"," ",IF(ABS(HL5)&gt;=1.96,"*"," "))</f>
        <v xml:space="preserve"> </v>
      </c>
      <c r="HN5" s="114">
        <f t="shared" ref="HN5:HN49" si="70">HF5-HJ5</f>
        <v>0.25331685591436859</v>
      </c>
      <c r="HO5" s="10"/>
      <c r="HP5" s="42">
        <v>27.317364989999991</v>
      </c>
      <c r="HQ5" s="43">
        <v>3.6785743777551656</v>
      </c>
      <c r="HR5" s="67">
        <v>0.16079219973472972</v>
      </c>
      <c r="HS5" s="10" t="str">
        <f t="shared" ref="HS5:HS49" si="71">IF($HE5&lt;30,"NV",IF(HP5&gt;=30,(($HF5-HQ5))/SQRT(($HG5^2)+(HR5^2)),"NV"))</f>
        <v>NV</v>
      </c>
      <c r="HT5" s="10" t="str">
        <f t="shared" ref="HT5:HT49" si="72">IF(HS5="NV"," ",IF(ABS(HS5)&gt;=1.96,"*"," "))</f>
        <v xml:space="preserve"> </v>
      </c>
      <c r="HU5" s="10"/>
      <c r="HV5" s="53">
        <v>25</v>
      </c>
      <c r="HW5" s="55">
        <v>3.4304212489635644</v>
      </c>
      <c r="HX5" s="56">
        <v>0.1916378034143956</v>
      </c>
      <c r="HY5" s="10" t="str">
        <f t="shared" ref="HY5:HY49" si="73">IF($HE5&lt;30,"NV",IF(HV5&gt;=30,(($HF5-HW5))/SQRT(($HG5^2)+(HX5^2)),"NV"))</f>
        <v>NV</v>
      </c>
      <c r="HZ5" s="10" t="str">
        <f t="shared" ref="HZ5:HZ49" si="74">IF(HY5="NV"," ",IF(ABS(HY5)&gt;=1.96,"*"," "))</f>
        <v xml:space="preserve"> </v>
      </c>
      <c r="IA5" s="10"/>
      <c r="IB5" s="54">
        <v>21</v>
      </c>
      <c r="IC5" s="57">
        <v>3.3936430335785661</v>
      </c>
      <c r="ID5" s="58">
        <v>0.24437297128785551</v>
      </c>
      <c r="IE5" s="10" t="str">
        <f t="shared" ref="IE5:IE49" si="75">IF($HE5&lt;30,"NV",IF(IB5&gt;=30,(($HF5-IC5))/SQRT(($HG5^2)+(ID5^2)),"NV"))</f>
        <v>NV</v>
      </c>
      <c r="IF5" s="10" t="str">
        <f>IF(IE5="NV"," ",IF(ABS(IE5)&gt;=1.96,"*"," "))</f>
        <v xml:space="preserve"> </v>
      </c>
      <c r="IG5" s="114">
        <f t="shared" ref="IG5:IG49" si="76">HF5-IC5</f>
        <v>0.23754350269655999</v>
      </c>
      <c r="IH5" s="76"/>
      <c r="II5" s="27">
        <v>134</v>
      </c>
      <c r="IJ5" s="28">
        <v>3.6026080707678223</v>
      </c>
      <c r="IK5" s="29">
        <v>7.8925844215594773E-2</v>
      </c>
      <c r="IL5" s="10"/>
      <c r="IM5" s="42">
        <v>117</v>
      </c>
      <c r="IN5" s="43">
        <v>3.5276584579007793</v>
      </c>
      <c r="IO5" s="67">
        <v>8.6265800061279471E-2</v>
      </c>
      <c r="IP5" s="10">
        <f t="shared" ref="IP5:IP49" si="77">IF($II5&lt;30,"NV",IF(IM5&gt;=30,(($IJ5-IN5))/SQRT(($IK5^2)+(IO5^2)),"NV"))</f>
        <v>0.64101475594238877</v>
      </c>
      <c r="IQ5" s="10" t="str">
        <f t="shared" ref="IQ5:IQ49" si="78">IF(IP5="NV"," ",IF(ABS(IP5)&gt;=1.96,"*"," "))</f>
        <v xml:space="preserve"> </v>
      </c>
      <c r="IR5" s="114">
        <f t="shared" ref="IR5:IR49" si="79">IJ5-IN5</f>
        <v>7.4949612867043047E-2</v>
      </c>
      <c r="IS5" s="10"/>
      <c r="IT5" s="42">
        <v>113.75612112999993</v>
      </c>
      <c r="IU5" s="43">
        <v>3.665516111203218</v>
      </c>
      <c r="IV5" s="67">
        <v>8.5863550845747483E-2</v>
      </c>
      <c r="IW5" s="10">
        <f t="shared" ref="IW5:IW49" si="80">IF($II5&lt;30,"NV",IF(IT5&gt;=30,(($IJ5-IU5))/SQRT(($IK5^2)+(IV5^2)),"NV"))</f>
        <v>-0.53939554387145228</v>
      </c>
      <c r="IX5" s="10" t="str">
        <f t="shared" ref="IX5:IX49" si="81">IF(IW5="NV"," ",IF(ABS(IW5)&gt;=1.96,"*"," "))</f>
        <v xml:space="preserve"> </v>
      </c>
      <c r="IY5" s="10"/>
      <c r="IZ5" s="53">
        <v>126</v>
      </c>
      <c r="JA5" s="55">
        <v>3.710266183340245</v>
      </c>
      <c r="JB5" s="56">
        <v>8.9236005636239291E-2</v>
      </c>
      <c r="JC5" s="10">
        <f t="shared" ref="JC5:JC49" si="82">IF($II5&lt;30,"NV",IF(IZ5&gt;=30,(($IJ5-JA5))/SQRT(($IK5^2)+(JB5^2)),"NV"))</f>
        <v>-0.90369015360469895</v>
      </c>
      <c r="JD5" s="10" t="str">
        <f t="shared" ref="JD5:JD49" si="83">IF(JC5="NV"," ",IF(ABS(JC5)&gt;=1.96,"*"," "))</f>
        <v xml:space="preserve"> </v>
      </c>
      <c r="JE5" s="10"/>
      <c r="JF5" s="54">
        <v>88</v>
      </c>
      <c r="JG5" s="57">
        <v>3.6576989122282719</v>
      </c>
      <c r="JH5" s="58">
        <v>9.5145369184287676E-2</v>
      </c>
      <c r="JI5" s="10">
        <f t="shared" ref="JI5:JI49" si="84">IF($II5&lt;30,"NV",IF(JF5&gt;=30,(($IJ5-JG5))/SQRT(($IK5^2)+(JH5^2)),"NV"))</f>
        <v>-0.44564629529375527</v>
      </c>
      <c r="JJ5" s="10" t="str">
        <f t="shared" ref="JJ5:JJ49" si="85">IF(JI5="NV"," ",IF(ABS(JI5)&gt;=1.96,"*"," "))</f>
        <v xml:space="preserve"> </v>
      </c>
      <c r="JK5" s="114">
        <f t="shared" ref="JK5:JK49" si="86">IJ5-JG5</f>
        <v>-5.5090841460449624E-2</v>
      </c>
      <c r="JL5" s="76"/>
      <c r="JM5" s="27">
        <v>10</v>
      </c>
      <c r="JN5" s="28">
        <v>3.6999999999999997</v>
      </c>
      <c r="JO5" s="29">
        <v>0.44866061365530219</v>
      </c>
      <c r="JP5" s="10"/>
      <c r="JQ5" s="42">
        <v>8</v>
      </c>
      <c r="JR5" s="43">
        <v>3.8771498766764192</v>
      </c>
      <c r="JS5" s="67">
        <v>0.35063407076863201</v>
      </c>
      <c r="JT5" s="10" t="str">
        <f t="shared" ref="JT5:JT49" si="87">IF($JM5&lt;30,"NV",IF(JQ5&gt;=30,(($JN5-JR5))/SQRT(($JO5^2)+(JS5^2)),"NV"))</f>
        <v>NV</v>
      </c>
      <c r="JU5" s="10" t="str">
        <f t="shared" ref="JU5:JU49" si="88">IF(JT5="NV"," ",IF(ABS(JT5)&gt;=1.96,"*"," "))</f>
        <v xml:space="preserve"> </v>
      </c>
      <c r="JV5" s="114">
        <f t="shared" ref="JV5:JV49" si="89">JN5-JR5</f>
        <v>-0.17714987667641946</v>
      </c>
      <c r="JW5" s="10"/>
      <c r="JX5" s="42">
        <v>3.9604775600000002</v>
      </c>
      <c r="JY5" s="43">
        <v>3.75</v>
      </c>
      <c r="JZ5" s="67">
        <v>0.48189837794420398</v>
      </c>
      <c r="KA5" s="10" t="str">
        <f t="shared" ref="KA5:KA49" si="90">IF($JM5&lt;30,"NV",IF(JX5&gt;=30,(($JN5-JY5))/SQRT(($JO5^2)+(JZ5^2)),"NV"))</f>
        <v>NV</v>
      </c>
      <c r="KB5" s="10" t="str">
        <f t="shared" ref="KB5:KB49" si="91">IF(KA5="NV"," ",IF(ABS(KA5)&gt;=1.96,"*"," "))</f>
        <v xml:space="preserve"> </v>
      </c>
      <c r="KC5" s="10"/>
      <c r="KD5" s="53">
        <v>15</v>
      </c>
      <c r="KE5" s="55">
        <v>3.8666666666666663</v>
      </c>
      <c r="KF5" s="56">
        <v>0.27713577134937462</v>
      </c>
      <c r="KG5" s="10" t="str">
        <f t="shared" ref="KG5:KG49" si="92">IF($JM5&lt;30,"NV",IF(KD5&gt;=30,(($JN5-KE5))/SQRT(($JO5^2)+(KF5^2)),"NV"))</f>
        <v>NV</v>
      </c>
      <c r="KH5" s="10" t="str">
        <f t="shared" ref="KH5:KH49" si="93">IF(KG5="NV"," ",IF(ABS(KG5)&gt;=1.96,"*"," "))</f>
        <v xml:space="preserve"> </v>
      </c>
      <c r="KI5" s="10"/>
      <c r="KJ5" s="54">
        <v>32</v>
      </c>
      <c r="KK5" s="57">
        <v>3.5624999999999996</v>
      </c>
      <c r="KL5" s="58">
        <v>0.21266973491820079</v>
      </c>
      <c r="KM5" s="10" t="str">
        <f t="shared" ref="KM5:KM49" si="94">IF($JM5&lt;30,"NV",IF(KJ5&gt;=30,(($JN5-KK5))/SQRT(($JO5^2)+(KL5^2)),"NV"))</f>
        <v>NV</v>
      </c>
      <c r="KN5" s="10" t="str">
        <f t="shared" ref="KN5:KN49" si="95">IF(KM5="NV"," ",IF(ABS(KM5)&gt;=1.96,"*"," "))</f>
        <v xml:space="preserve"> </v>
      </c>
      <c r="KO5" s="114">
        <f t="shared" ref="KO5:KO49" si="96">JN5-KK5</f>
        <v>0.13750000000000018</v>
      </c>
      <c r="KP5" s="76"/>
      <c r="KQ5" s="27">
        <v>130</v>
      </c>
      <c r="KR5" s="28">
        <v>2.9305445083140458</v>
      </c>
      <c r="KS5" s="29">
        <v>9.3450238908916419E-2</v>
      </c>
      <c r="KT5" s="10"/>
      <c r="KU5" s="42">
        <v>119</v>
      </c>
      <c r="KV5" s="43">
        <v>2.8660949866867313</v>
      </c>
      <c r="KW5" s="67">
        <v>0.10328002187900451</v>
      </c>
      <c r="KX5" s="10">
        <f t="shared" ref="KX5:KX49" si="97">IF($KQ5&lt;30,"NV",IF(KU5&gt;=30,(($KR5-KV5))/SQRT(($KS5^2)+(KW5^2)),"NV"))</f>
        <v>0.46272405637863356</v>
      </c>
      <c r="KY5" s="10" t="str">
        <f t="shared" ref="KY5:KY49" si="98">IF(KX5="NV"," ",IF(ABS(KX5)&gt;=1.96,"*"," "))</f>
        <v xml:space="preserve"> </v>
      </c>
      <c r="KZ5" s="114">
        <f t="shared" ref="KZ5:KZ49" si="99">KR5-KV5</f>
        <v>6.4449521627314432E-2</v>
      </c>
      <c r="LA5" s="10"/>
      <c r="LB5" s="42">
        <v>115.13532129000005</v>
      </c>
      <c r="LC5" s="43">
        <v>3.286548362052172</v>
      </c>
      <c r="LD5" s="67">
        <v>9.3526445265589384E-2</v>
      </c>
      <c r="LE5" s="10">
        <f t="shared" ref="LE5:LE49" si="100">IF($KQ5&lt;30,"NV",IF(LB5&gt;=30,(($KR5-LC5))/SQRT(($KS5^2)+(LD5^2)),"NV"))</f>
        <v>-2.6926642678464257</v>
      </c>
      <c r="LF5" s="10" t="str">
        <f t="shared" ref="LF5:LF49" si="101">IF(LE5="NV"," ",IF(ABS(LE5)&gt;=1.96,"*"," "))</f>
        <v>*</v>
      </c>
      <c r="LG5" s="10"/>
      <c r="LH5" s="53">
        <v>210</v>
      </c>
      <c r="LI5" s="55">
        <v>2.9195139349935633</v>
      </c>
      <c r="LJ5" s="56">
        <v>7.302138667715162E-2</v>
      </c>
      <c r="LK5" s="10">
        <f t="shared" ref="LK5:LK49" si="102">IF($KQ5&lt;30,"NV",IF(LH5&gt;=30,(($KR5-LI5))/SQRT(($KS5^2)+(LJ5^2)),"NV"))</f>
        <v>9.3009462751241612E-2</v>
      </c>
      <c r="LL5" s="10" t="str">
        <f t="shared" ref="LL5:LL49" si="103">IF(LK5="NV"," ",IF(ABS(LK5)&gt;=1.96,"*"," "))</f>
        <v xml:space="preserve"> </v>
      </c>
      <c r="LM5" s="10"/>
      <c r="LN5" s="54">
        <v>200</v>
      </c>
      <c r="LO5" s="57">
        <v>3.0047082202623878</v>
      </c>
      <c r="LP5" s="58">
        <v>7.2578368883480862E-2</v>
      </c>
      <c r="LQ5" s="10">
        <f t="shared" ref="LQ5:LQ49" si="104">IF($KQ5&lt;30,"NV",IF(LN5&gt;=30,(($KR5-LO5))/SQRT(($KS5^2)+(LP5^2)),"NV"))</f>
        <v>-0.62678507960831731</v>
      </c>
      <c r="LR5" s="10" t="str">
        <f>IF(LQ5="NV"," ",IF(ABS(LQ5)&gt;=1.96,"*"," "))</f>
        <v xml:space="preserve"> </v>
      </c>
      <c r="LS5" s="114">
        <f t="shared" ref="LS5:LS49" si="105">KR5-LO5</f>
        <v>-7.4163711948342037E-2</v>
      </c>
      <c r="LT5" s="76"/>
      <c r="LU5" s="27">
        <v>43</v>
      </c>
      <c r="LV5" s="28">
        <v>3.7674418604651168</v>
      </c>
      <c r="LW5" s="29">
        <v>0.12384103674353442</v>
      </c>
      <c r="LX5" s="10"/>
      <c r="LY5" s="42">
        <v>68</v>
      </c>
      <c r="LZ5" s="43">
        <v>3.5439861552062815</v>
      </c>
      <c r="MA5" s="67">
        <v>0.11926695668097152</v>
      </c>
      <c r="MB5" s="10">
        <f t="shared" ref="MB5:MB49" si="106">IF($LU5&lt;30,"NV",IF(LY5&gt;=30,(($LV5-LZ5))/SQRT(($LW5^2)+(MA5^2)),"NV"))</f>
        <v>1.2996617845585747</v>
      </c>
      <c r="MC5" s="10" t="str">
        <f t="shared" ref="MC5:MC49" si="107">IF(MB5="NV"," ",IF(ABS(MB5)&gt;=1.96,"*"," "))</f>
        <v xml:space="preserve"> </v>
      </c>
      <c r="MD5" s="114">
        <f t="shared" ref="MD5:MD49" si="108">LV5-LZ5</f>
        <v>0.22345570525883529</v>
      </c>
      <c r="ME5" s="10"/>
      <c r="MF5" s="42">
        <v>48.515850109999953</v>
      </c>
      <c r="MG5" s="43">
        <v>3.8979591836734695</v>
      </c>
      <c r="MH5" s="67">
        <v>0.15014820694462469</v>
      </c>
      <c r="MI5" s="10">
        <f t="shared" ref="MI5:MI49" si="109">IF($LU5&lt;30,"NV",IF(MF5&gt;=30,(($LV5-MG5))/SQRT(($LW5^2)+(MH5^2)),"NV"))</f>
        <v>-0.67058980288550174</v>
      </c>
      <c r="MJ5" s="10" t="str">
        <f t="shared" ref="MJ5:MJ49" si="110">IF(MI5="NV"," ",IF(ABS(MI5)&gt;=1.96,"*"," "))</f>
        <v xml:space="preserve"> </v>
      </c>
      <c r="MK5" s="10"/>
      <c r="ML5" s="53">
        <v>228</v>
      </c>
      <c r="MM5" s="55">
        <v>3.3684210526315783</v>
      </c>
      <c r="MN5" s="56">
        <v>6.146767396416862E-2</v>
      </c>
      <c r="MO5" s="10">
        <f t="shared" ref="MO5:MO49" si="111">IF($LU5&lt;30,"NV",IF(ML5&gt;=30,(($LV5-MM5))/SQRT(($LW5^2)+(MN5^2)),"NV"))</f>
        <v>2.8860894413208844</v>
      </c>
      <c r="MP5" s="10" t="str">
        <f t="shared" ref="MP5:MP49" si="112">IF(MO5="NV"," ",IF(ABS(MO5)&gt;=1.96,"*"," "))</f>
        <v>*</v>
      </c>
      <c r="MQ5" s="10"/>
      <c r="MR5" s="54">
        <v>163</v>
      </c>
      <c r="MS5" s="57">
        <v>3.5081808496103686</v>
      </c>
      <c r="MT5" s="58">
        <v>8.420069179875718E-2</v>
      </c>
      <c r="MU5" s="10">
        <f t="shared" ref="MU5:MU49" si="113">IF($LU5&lt;30,"NV",IF(MR5&gt;=30,(($LV5-MS5))/SQRT(($LW5^2)+(MT5^2)),"NV"))</f>
        <v>1.7312421856968854</v>
      </c>
      <c r="MV5" s="10" t="str">
        <f t="shared" ref="MV5:MV49" si="114">IF(MU5="NV"," ",IF(ABS(MU5)&gt;=1.96,"*"," "))</f>
        <v xml:space="preserve"> </v>
      </c>
      <c r="MW5" s="114">
        <f t="shared" ref="MW5:MW49" si="115">LV5-MS5</f>
        <v>0.25926101085474818</v>
      </c>
      <c r="MX5" s="76"/>
      <c r="MY5" s="27">
        <v>58</v>
      </c>
      <c r="MZ5" s="28">
        <v>3.5860666058200557</v>
      </c>
      <c r="NA5" s="29">
        <v>0.11545170197380097</v>
      </c>
      <c r="NB5" s="10"/>
      <c r="NC5" s="42">
        <v>31</v>
      </c>
      <c r="ND5" s="43">
        <v>3.8725428024432111</v>
      </c>
      <c r="NE5" s="67">
        <v>0.18385519457543906</v>
      </c>
      <c r="NF5" s="10">
        <f t="shared" ref="NF5:NF49" si="116">IF($MY5&lt;30,"NV",IF(NC5&gt;=30,(($MZ5-ND5))/SQRT(($NA5^2)+(NE5^2)),"NV"))</f>
        <v>-1.3195668594448788</v>
      </c>
      <c r="NG5" s="10" t="str">
        <f t="shared" ref="NG5:NG49" si="117">IF(NF5="NV"," ",IF(ABS(NF5)&gt;=1.96,"*"," "))</f>
        <v xml:space="preserve"> </v>
      </c>
      <c r="NH5" s="114">
        <f t="shared" ref="NH5:NH49" si="118">MZ5-ND5</f>
        <v>-0.28647619662315549</v>
      </c>
      <c r="NI5" s="10"/>
      <c r="NJ5" s="42">
        <v>34.654178649999999</v>
      </c>
      <c r="NK5" s="43">
        <v>3.6000000000000005</v>
      </c>
      <c r="NL5" s="67">
        <v>0.17579121658711166</v>
      </c>
      <c r="NM5" s="10">
        <f t="shared" ref="NM5:NM49" si="119">IF($MY5&lt;30,"NV",IF(NJ5&gt;=30,(($MZ5-NK5))/SQRT(($NA5^2)+(NL5^2)),"NV"))</f>
        <v>-6.6250684014152406E-2</v>
      </c>
      <c r="NN5" s="10" t="str">
        <f t="shared" ref="NN5:NN49" si="120">IF(NM5="NV"," ",IF(ABS(NM5)&gt;=1.96,"*"," "))</f>
        <v xml:space="preserve"> </v>
      </c>
      <c r="NO5" s="10"/>
      <c r="NP5" s="53">
        <v>94</v>
      </c>
      <c r="NQ5" s="55">
        <v>3.4617272280271623</v>
      </c>
      <c r="NR5" s="56">
        <v>0.10101653679087975</v>
      </c>
      <c r="NS5" s="10">
        <f t="shared" ref="NS5:NS49" si="121">IF($MY5&lt;30,"NV",IF(NP5&gt;=30,(($MZ5-NQ5))/SQRT(($NA5^2)+(NR5^2)),"NV"))</f>
        <v>0.81052425841135634</v>
      </c>
      <c r="NT5" s="10" t="str">
        <f t="shared" ref="NT5:NT49" si="122">IF(NS5="NV"," ",IF(ABS(NS5)&gt;=1.96,"*"," "))</f>
        <v xml:space="preserve"> </v>
      </c>
      <c r="NU5" s="10"/>
      <c r="NV5" s="54">
        <v>26</v>
      </c>
      <c r="NW5" s="57">
        <v>3.4868057631102252</v>
      </c>
      <c r="NX5" s="58">
        <v>0.22570582769753036</v>
      </c>
      <c r="NY5" s="10" t="str">
        <f t="shared" ref="NY5:NY49" si="123">IF($MY5&lt;30,"NV",IF(NV5&gt;=30,(($MZ5-NW5))/SQRT(($NA5^2)+(NX5^2)),"NV"))</f>
        <v>NV</v>
      </c>
      <c r="NZ5" s="10" t="str">
        <f>IF(NY5="NV"," ",IF(ABS(NY5)&gt;=1.96,"*"," "))</f>
        <v xml:space="preserve"> </v>
      </c>
      <c r="OA5" s="114">
        <f t="shared" ref="OA5:OA49" si="124">MZ5-NW5</f>
        <v>9.9260842709830488E-2</v>
      </c>
      <c r="OB5" s="58"/>
    </row>
    <row r="6" spans="1:392" x14ac:dyDescent="0.2">
      <c r="B6" s="65" t="s">
        <v>4</v>
      </c>
      <c r="C6" s="27">
        <v>273</v>
      </c>
      <c r="D6" s="28">
        <v>3.5863935040348691</v>
      </c>
      <c r="E6" s="29">
        <v>5.7821403891585202E-2</v>
      </c>
      <c r="F6" s="10"/>
      <c r="G6" s="42">
        <v>89</v>
      </c>
      <c r="H6" s="43">
        <v>3.4156050228424664</v>
      </c>
      <c r="I6" s="67">
        <v>0.11194990790232924</v>
      </c>
      <c r="J6" s="10">
        <f t="shared" si="1"/>
        <v>1.3554600115330613</v>
      </c>
      <c r="K6" s="10" t="str">
        <f t="shared" si="2"/>
        <v xml:space="preserve"> </v>
      </c>
      <c r="L6" s="114">
        <f t="shared" si="3"/>
        <v>0.17078848119240275</v>
      </c>
      <c r="M6" s="10"/>
      <c r="N6" s="42">
        <v>60.304869540000048</v>
      </c>
      <c r="O6" s="43">
        <v>3.3793103448275867</v>
      </c>
      <c r="P6" s="67">
        <v>8.9666250783146106E-2</v>
      </c>
      <c r="Q6" s="10">
        <f t="shared" si="4"/>
        <v>1.9409292855405447</v>
      </c>
      <c r="R6" s="10" t="str">
        <f t="shared" si="5"/>
        <v xml:space="preserve"> </v>
      </c>
      <c r="S6" s="10"/>
      <c r="T6" s="53">
        <v>82</v>
      </c>
      <c r="U6" s="55">
        <v>3.5365853658536595</v>
      </c>
      <c r="V6" s="56">
        <v>0.10280658366955026</v>
      </c>
      <c r="W6" s="10">
        <f t="shared" si="6"/>
        <v>0.42227715653557174</v>
      </c>
      <c r="X6" s="10" t="str">
        <f t="shared" si="7"/>
        <v xml:space="preserve"> </v>
      </c>
      <c r="Y6" s="10"/>
      <c r="Z6" s="54">
        <v>127</v>
      </c>
      <c r="AA6" s="57">
        <v>3.2204724409448824</v>
      </c>
      <c r="AB6" s="58">
        <v>5.8134443000081457E-2</v>
      </c>
      <c r="AC6" s="10">
        <f t="shared" si="8"/>
        <v>4.4628076833659653</v>
      </c>
      <c r="AD6" s="10" t="str">
        <f t="shared" si="9"/>
        <v>*</v>
      </c>
      <c r="AE6" s="114">
        <f t="shared" si="10"/>
        <v>0.36592106308998673</v>
      </c>
      <c r="AF6" s="76"/>
      <c r="AG6" s="27">
        <v>71</v>
      </c>
      <c r="AH6" s="28">
        <v>3.9166970718240339</v>
      </c>
      <c r="AI6" s="29">
        <v>0.10570766580315014</v>
      </c>
      <c r="AJ6" s="67"/>
      <c r="AK6" s="42">
        <v>38</v>
      </c>
      <c r="AL6" s="43">
        <v>3.5532098329901518</v>
      </c>
      <c r="AM6" s="67">
        <v>0.18687816144040223</v>
      </c>
      <c r="AN6" s="10">
        <f t="shared" si="11"/>
        <v>1.6929736922651613</v>
      </c>
      <c r="AO6" s="10" t="str">
        <f t="shared" si="12"/>
        <v xml:space="preserve"> </v>
      </c>
      <c r="AP6" s="114">
        <f t="shared" si="13"/>
        <v>0.36348723883388212</v>
      </c>
      <c r="AQ6" s="67"/>
      <c r="AR6" s="42">
        <v>65.133970200000007</v>
      </c>
      <c r="AS6" s="43">
        <v>3.2200167793548684</v>
      </c>
      <c r="AT6" s="67">
        <v>0.10661426172528653</v>
      </c>
      <c r="AU6" s="10">
        <f t="shared" si="14"/>
        <v>4.6403390746540927</v>
      </c>
      <c r="AV6" s="10" t="str">
        <f t="shared" si="15"/>
        <v>*</v>
      </c>
      <c r="AW6" s="10"/>
      <c r="AX6" s="53">
        <v>76</v>
      </c>
      <c r="AY6" s="55">
        <v>3.3835220678262758</v>
      </c>
      <c r="AZ6" s="56">
        <v>0.11155025526243033</v>
      </c>
      <c r="BA6" s="10">
        <f t="shared" si="16"/>
        <v>3.4693824296954929</v>
      </c>
      <c r="BB6" s="10" t="str">
        <f t="shared" si="17"/>
        <v>*</v>
      </c>
      <c r="BC6" s="10"/>
      <c r="BD6" s="54">
        <v>46</v>
      </c>
      <c r="BE6" s="57">
        <v>3.2505741637083285</v>
      </c>
      <c r="BF6" s="58">
        <v>0.12337324012015019</v>
      </c>
      <c r="BG6" s="10">
        <f t="shared" si="18"/>
        <v>4.1000861786310834</v>
      </c>
      <c r="BH6" s="10" t="str">
        <f t="shared" si="19"/>
        <v>*</v>
      </c>
      <c r="BI6" s="114">
        <f t="shared" si="20"/>
        <v>0.6661229081157054</v>
      </c>
      <c r="BJ6" s="76"/>
      <c r="BK6" s="27">
        <v>764</v>
      </c>
      <c r="BL6" s="28">
        <v>3.8537220890264416</v>
      </c>
      <c r="BM6" s="29">
        <v>3.2231823686539637E-2</v>
      </c>
      <c r="BN6" s="10"/>
      <c r="BO6" s="42">
        <v>234</v>
      </c>
      <c r="BP6" s="43">
        <v>3.7481575584723585</v>
      </c>
      <c r="BQ6" s="67">
        <v>5.9699810232171795E-2</v>
      </c>
      <c r="BR6" s="10">
        <f t="shared" si="21"/>
        <v>1.5559639265464289</v>
      </c>
      <c r="BS6" s="10" t="str">
        <f t="shared" si="22"/>
        <v xml:space="preserve"> </v>
      </c>
      <c r="BT6" s="114">
        <f t="shared" si="23"/>
        <v>0.1055645305540831</v>
      </c>
      <c r="BU6" s="10"/>
      <c r="BV6" s="42">
        <v>211.11928859999932</v>
      </c>
      <c r="BW6" s="43">
        <v>3.5141752340577006</v>
      </c>
      <c r="BX6" s="67">
        <v>4.6290739435636809E-2</v>
      </c>
      <c r="BY6" s="10">
        <f t="shared" si="24"/>
        <v>6.019612390184844</v>
      </c>
      <c r="BZ6" s="10" t="str">
        <f t="shared" si="25"/>
        <v>*</v>
      </c>
      <c r="CA6" s="10"/>
      <c r="CB6" s="53">
        <v>236</v>
      </c>
      <c r="CC6" s="55">
        <v>3.647300548278456</v>
      </c>
      <c r="CD6" s="56">
        <v>3.5420231342233613E-2</v>
      </c>
      <c r="CE6" s="10">
        <f t="shared" si="26"/>
        <v>4.3102973292166791</v>
      </c>
      <c r="CF6" s="10" t="str">
        <f t="shared" si="27"/>
        <v>*</v>
      </c>
      <c r="CG6" s="10"/>
      <c r="CH6" s="54">
        <v>256</v>
      </c>
      <c r="CI6" s="57">
        <v>3.6024385204652956</v>
      </c>
      <c r="CJ6" s="58">
        <v>5.5309044207700782E-2</v>
      </c>
      <c r="CK6" s="10">
        <f t="shared" si="28"/>
        <v>3.9253567204508832</v>
      </c>
      <c r="CL6" s="10" t="str">
        <f t="shared" si="29"/>
        <v>*</v>
      </c>
      <c r="CM6" s="114">
        <f t="shared" si="30"/>
        <v>0.25128356856114609</v>
      </c>
      <c r="CN6" s="76"/>
      <c r="CO6" s="27">
        <v>471</v>
      </c>
      <c r="CP6" s="28">
        <v>3.956414485496762</v>
      </c>
      <c r="CQ6" s="29">
        <v>4.0530201858766782E-2</v>
      </c>
      <c r="CR6" s="67"/>
      <c r="CS6" s="42">
        <v>136</v>
      </c>
      <c r="CT6" s="43">
        <v>4.0586682892744346</v>
      </c>
      <c r="CU6" s="67">
        <v>7.641274087260394E-2</v>
      </c>
      <c r="CV6" s="10">
        <f t="shared" si="31"/>
        <v>-1.1821759152197651</v>
      </c>
      <c r="CW6" s="10" t="str">
        <f t="shared" si="32"/>
        <v xml:space="preserve"> </v>
      </c>
      <c r="CX6" s="114">
        <f t="shared" si="33"/>
        <v>-0.10225380377767257</v>
      </c>
      <c r="CY6" s="10"/>
      <c r="CZ6" s="42">
        <v>149.88397052999991</v>
      </c>
      <c r="DA6" s="43">
        <v>4.0864225508184493</v>
      </c>
      <c r="DB6" s="67">
        <v>6.3786459248214897E-2</v>
      </c>
      <c r="DC6" s="10">
        <f t="shared" si="34"/>
        <v>-1.7202780190776705</v>
      </c>
      <c r="DD6" s="10" t="str">
        <f t="shared" si="35"/>
        <v xml:space="preserve"> </v>
      </c>
      <c r="DE6" s="10"/>
      <c r="DF6" s="53">
        <v>149</v>
      </c>
      <c r="DG6" s="55">
        <v>4.1260011693103573</v>
      </c>
      <c r="DH6" s="56">
        <v>6.5246225522281195E-2</v>
      </c>
      <c r="DI6" s="10">
        <f t="shared" si="36"/>
        <v>-2.2078741259956272</v>
      </c>
      <c r="DJ6" s="10" t="str">
        <f t="shared" si="0"/>
        <v>*</v>
      </c>
      <c r="DK6" s="10"/>
      <c r="DL6" s="54">
        <v>179</v>
      </c>
      <c r="DM6" s="57">
        <v>3.8230433315915713</v>
      </c>
      <c r="DN6" s="58">
        <v>6.748477592781664E-2</v>
      </c>
      <c r="DO6" s="10">
        <f t="shared" si="37"/>
        <v>1.6942400212597077</v>
      </c>
      <c r="DP6" s="10" t="str">
        <f t="shared" si="38"/>
        <v xml:space="preserve"> </v>
      </c>
      <c r="DQ6" s="114">
        <f t="shared" si="39"/>
        <v>0.13337115390519072</v>
      </c>
      <c r="DR6" s="76"/>
      <c r="DS6" s="27">
        <v>151</v>
      </c>
      <c r="DT6" s="28">
        <v>3.4872497078773739</v>
      </c>
      <c r="DU6" s="29">
        <v>8.0383404347045606E-2</v>
      </c>
      <c r="DV6" s="10"/>
      <c r="DW6" s="42">
        <v>53</v>
      </c>
      <c r="DX6" s="43">
        <v>3.1525054082085773</v>
      </c>
      <c r="DY6" s="67">
        <v>0.13321729054756606</v>
      </c>
      <c r="DZ6" s="10">
        <f t="shared" si="40"/>
        <v>2.1514472444606141</v>
      </c>
      <c r="EA6" s="10" t="str">
        <f t="shared" si="41"/>
        <v>*</v>
      </c>
      <c r="EB6" s="114">
        <f t="shared" si="42"/>
        <v>0.3347442996687966</v>
      </c>
      <c r="EC6" s="10"/>
      <c r="ED6" s="42">
        <v>65.558210490000022</v>
      </c>
      <c r="EE6" s="43">
        <v>3.3043265221988216</v>
      </c>
      <c r="EF6" s="67">
        <v>0.12575706308327539</v>
      </c>
      <c r="EG6" s="10">
        <f t="shared" si="43"/>
        <v>1.2255948540425003</v>
      </c>
      <c r="EH6" s="10" t="str">
        <f t="shared" si="44"/>
        <v xml:space="preserve"> </v>
      </c>
      <c r="EI6" s="10"/>
      <c r="EJ6" s="53">
        <v>73</v>
      </c>
      <c r="EK6" s="55">
        <v>3.222277510507225</v>
      </c>
      <c r="EL6" s="56">
        <v>0.11088014799112875</v>
      </c>
      <c r="EM6" s="10">
        <f t="shared" si="45"/>
        <v>1.9347790029404854</v>
      </c>
      <c r="EN6" s="10" t="str">
        <f t="shared" si="46"/>
        <v xml:space="preserve"> </v>
      </c>
      <c r="EO6" s="10"/>
      <c r="EP6" s="54">
        <v>44</v>
      </c>
      <c r="EQ6" s="57">
        <v>3.3409090909090908</v>
      </c>
      <c r="ER6" s="58">
        <v>0.1423060921661965</v>
      </c>
      <c r="ES6" s="10">
        <f t="shared" si="47"/>
        <v>0.89538020248902828</v>
      </c>
      <c r="ET6" s="10" t="str">
        <f t="shared" si="48"/>
        <v xml:space="preserve"> </v>
      </c>
      <c r="EU6" s="114">
        <f t="shared" si="49"/>
        <v>0.14634061696828304</v>
      </c>
      <c r="EV6" s="76"/>
      <c r="EW6" s="27">
        <v>298</v>
      </c>
      <c r="EX6" s="28">
        <v>4.071777536380857</v>
      </c>
      <c r="EY6" s="29">
        <v>5.0341581529028845E-2</v>
      </c>
      <c r="EZ6" s="10"/>
      <c r="FA6" s="42">
        <v>93</v>
      </c>
      <c r="FB6" s="43">
        <v>4.0964919634082975</v>
      </c>
      <c r="FC6" s="67">
        <v>8.5175597268625905E-2</v>
      </c>
      <c r="FD6" s="10">
        <f t="shared" si="50"/>
        <v>-0.24979163747460145</v>
      </c>
      <c r="FE6" s="10" t="str">
        <f t="shared" si="51"/>
        <v xml:space="preserve"> </v>
      </c>
      <c r="FF6" s="114">
        <f t="shared" si="52"/>
        <v>-2.4714427027440422E-2</v>
      </c>
      <c r="FG6" s="10"/>
      <c r="FH6" s="42">
        <v>107.90468796000003</v>
      </c>
      <c r="FI6" s="43">
        <v>3.4708396354274575</v>
      </c>
      <c r="FJ6" s="67">
        <v>6.7937797973123243E-2</v>
      </c>
      <c r="FK6" s="10">
        <f t="shared" si="53"/>
        <v>7.1069304450249886</v>
      </c>
      <c r="FL6" s="10" t="str">
        <f t="shared" si="54"/>
        <v>*</v>
      </c>
      <c r="FM6" s="10"/>
      <c r="FN6" s="53">
        <v>94</v>
      </c>
      <c r="FO6" s="55">
        <v>3.7432321751213928</v>
      </c>
      <c r="FP6" s="56">
        <v>8.0129555329059077E-2</v>
      </c>
      <c r="FQ6" s="10">
        <f t="shared" si="55"/>
        <v>3.4718587533849306</v>
      </c>
      <c r="FR6" s="10" t="str">
        <f t="shared" si="56"/>
        <v>*</v>
      </c>
      <c r="FS6" s="10"/>
      <c r="FT6" s="54">
        <v>135</v>
      </c>
      <c r="FU6" s="57">
        <v>3.594715312448916</v>
      </c>
      <c r="FV6" s="58">
        <v>6.8818890540973621E-2</v>
      </c>
      <c r="FW6" s="10">
        <f t="shared" si="57"/>
        <v>5.5949785853569871</v>
      </c>
      <c r="FX6" s="10" t="str">
        <f t="shared" ref="FX6:FX49" si="125">IF(FW6="NV"," ",IF(ABS(FW6)&gt;=1.96,"*"," "))</f>
        <v>*</v>
      </c>
      <c r="FY6" s="114">
        <f t="shared" si="58"/>
        <v>0.47706222393194109</v>
      </c>
      <c r="FZ6" s="76"/>
      <c r="GA6" s="27">
        <v>121</v>
      </c>
      <c r="GB6" s="28">
        <v>3.5192025864077237</v>
      </c>
      <c r="GC6" s="29">
        <v>8.627652529010571E-2</v>
      </c>
      <c r="GD6" s="67"/>
      <c r="GE6" s="42">
        <v>97</v>
      </c>
      <c r="GF6" s="43">
        <v>3.6094993891622171</v>
      </c>
      <c r="GG6" s="67">
        <v>0.10062698623167633</v>
      </c>
      <c r="GH6" s="10">
        <f t="shared" si="59"/>
        <v>-0.68122965809575775</v>
      </c>
      <c r="GI6" s="10" t="str">
        <f t="shared" si="60"/>
        <v xml:space="preserve"> </v>
      </c>
      <c r="GJ6" s="114">
        <f t="shared" si="61"/>
        <v>-9.0296802754493477E-2</v>
      </c>
      <c r="GK6" s="67"/>
      <c r="GL6" s="42">
        <v>87.928966949999946</v>
      </c>
      <c r="GM6" s="43">
        <v>3.6672846640330059</v>
      </c>
      <c r="GN6" s="67">
        <v>0.1065890074300684</v>
      </c>
      <c r="GO6" s="10">
        <f t="shared" si="62"/>
        <v>-1.0798601154059564</v>
      </c>
      <c r="GP6" s="10" t="str">
        <f t="shared" si="63"/>
        <v xml:space="preserve"> </v>
      </c>
      <c r="GQ6" s="10"/>
      <c r="GR6" s="53">
        <v>132</v>
      </c>
      <c r="GS6" s="55">
        <v>3.3388985341347395</v>
      </c>
      <c r="GT6" s="56">
        <v>9.3224368838423693E-2</v>
      </c>
      <c r="GU6" s="10">
        <f t="shared" si="64"/>
        <v>1.4194783883307502</v>
      </c>
      <c r="GV6" s="10" t="str">
        <f t="shared" si="65"/>
        <v xml:space="preserve"> </v>
      </c>
      <c r="GW6" s="10"/>
      <c r="GX6" s="54">
        <v>113</v>
      </c>
      <c r="GY6" s="57">
        <v>3.5576323987691594</v>
      </c>
      <c r="GZ6" s="58">
        <v>9.1784834080704869E-2</v>
      </c>
      <c r="HA6" s="10">
        <f t="shared" si="66"/>
        <v>-0.30507447581964303</v>
      </c>
      <c r="HB6" s="10" t="str">
        <f t="shared" ref="HB6:HB49" si="126">IF(HA6="NV"," ",IF(ABS(HA6)&gt;=1.96,"*"," "))</f>
        <v xml:space="preserve"> </v>
      </c>
      <c r="HC6" s="114">
        <f t="shared" si="67"/>
        <v>-3.8429812361435722E-2</v>
      </c>
      <c r="HD6" s="76"/>
      <c r="HE6" s="27">
        <v>145</v>
      </c>
      <c r="HF6" s="28">
        <v>3.6754138066210293</v>
      </c>
      <c r="HG6" s="29">
        <v>7.9639143980088672E-2</v>
      </c>
      <c r="HH6" s="10"/>
      <c r="HI6" s="42">
        <v>85</v>
      </c>
      <c r="HJ6" s="43">
        <v>3.7090454799623007</v>
      </c>
      <c r="HK6" s="67">
        <v>0.10872409536604098</v>
      </c>
      <c r="HL6" s="10">
        <f t="shared" si="68"/>
        <v>-0.2495461264922913</v>
      </c>
      <c r="HM6" s="10" t="str">
        <f t="shared" si="69"/>
        <v xml:space="preserve"> </v>
      </c>
      <c r="HN6" s="114">
        <f t="shared" si="70"/>
        <v>-3.3631673341271373E-2</v>
      </c>
      <c r="HO6" s="10"/>
      <c r="HP6" s="42">
        <v>83.049657599999932</v>
      </c>
      <c r="HQ6" s="43">
        <v>3.7175757608421494</v>
      </c>
      <c r="HR6" s="67">
        <v>0.1153581117100418</v>
      </c>
      <c r="HS6" s="10">
        <f t="shared" si="71"/>
        <v>-0.30077428401424927</v>
      </c>
      <c r="HT6" s="10" t="str">
        <f t="shared" si="72"/>
        <v xml:space="preserve"> </v>
      </c>
      <c r="HU6" s="10"/>
      <c r="HV6" s="53">
        <v>49</v>
      </c>
      <c r="HW6" s="55">
        <v>3.7137970968062137</v>
      </c>
      <c r="HX6" s="56">
        <v>0.10094022534477443</v>
      </c>
      <c r="HY6" s="10">
        <f t="shared" si="73"/>
        <v>-0.29853028956132827</v>
      </c>
      <c r="HZ6" s="10" t="str">
        <f t="shared" si="74"/>
        <v xml:space="preserve"> </v>
      </c>
      <c r="IA6" s="10"/>
      <c r="IB6" s="54">
        <v>104</v>
      </c>
      <c r="IC6" s="57">
        <v>3.6936444887699671</v>
      </c>
      <c r="ID6" s="58">
        <v>0.1012467592522176</v>
      </c>
      <c r="IE6" s="10">
        <f t="shared" si="75"/>
        <v>-0.14152610128823939</v>
      </c>
      <c r="IF6" s="10" t="str">
        <f t="shared" ref="IF6:IF49" si="127">IF(IE6="NV"," ",IF(ABS(IE6)&gt;=1.96,"*"," "))</f>
        <v xml:space="preserve"> </v>
      </c>
      <c r="IG6" s="114">
        <f t="shared" si="76"/>
        <v>-1.8230682148937749E-2</v>
      </c>
      <c r="IH6" s="76"/>
      <c r="II6" s="27">
        <v>363</v>
      </c>
      <c r="IJ6" s="28">
        <v>3.776941775296657</v>
      </c>
      <c r="IK6" s="29">
        <v>5.2014723191737416E-2</v>
      </c>
      <c r="IL6" s="10"/>
      <c r="IM6" s="42">
        <v>214</v>
      </c>
      <c r="IN6" s="43">
        <v>3.8167687700122626</v>
      </c>
      <c r="IO6" s="67">
        <v>6.7270955494027604E-2</v>
      </c>
      <c r="IP6" s="10">
        <f t="shared" si="77"/>
        <v>-0.46836126665894334</v>
      </c>
      <c r="IQ6" s="10" t="str">
        <f t="shared" si="78"/>
        <v xml:space="preserve"> </v>
      </c>
      <c r="IR6" s="114">
        <f t="shared" si="79"/>
        <v>-3.9826994715605579E-2</v>
      </c>
      <c r="IS6" s="10"/>
      <c r="IT6" s="42">
        <v>223.92106105000093</v>
      </c>
      <c r="IU6" s="43">
        <v>3.7833572826846873</v>
      </c>
      <c r="IV6" s="67">
        <v>6.3265531189806101E-2</v>
      </c>
      <c r="IW6" s="10">
        <f t="shared" si="80"/>
        <v>-7.8330802682120892E-2</v>
      </c>
      <c r="IX6" s="10" t="str">
        <f t="shared" si="81"/>
        <v xml:space="preserve"> </v>
      </c>
      <c r="IY6" s="10"/>
      <c r="IZ6" s="53">
        <v>222</v>
      </c>
      <c r="JA6" s="55">
        <v>3.7793343599145173</v>
      </c>
      <c r="JB6" s="56">
        <v>6.37776117360003E-2</v>
      </c>
      <c r="JC6" s="10">
        <f t="shared" si="82"/>
        <v>-2.9071877201571263E-2</v>
      </c>
      <c r="JD6" s="10" t="str">
        <f t="shared" si="83"/>
        <v xml:space="preserve"> </v>
      </c>
      <c r="JE6" s="10"/>
      <c r="JF6" s="54">
        <v>260</v>
      </c>
      <c r="JG6" s="57">
        <v>3.7178480265089964</v>
      </c>
      <c r="JH6" s="58">
        <v>6.0372279129200589E-2</v>
      </c>
      <c r="JI6" s="10">
        <f t="shared" si="84"/>
        <v>0.74155425682381604</v>
      </c>
      <c r="JJ6" s="10" t="str">
        <f t="shared" si="85"/>
        <v xml:space="preserve"> </v>
      </c>
      <c r="JK6" s="114">
        <f t="shared" si="86"/>
        <v>5.9093748787660605E-2</v>
      </c>
      <c r="JL6" s="76"/>
      <c r="JM6" s="27">
        <v>31</v>
      </c>
      <c r="JN6" s="28">
        <v>3.8709677419354844</v>
      </c>
      <c r="JO6" s="29">
        <v>0.17812984501924223</v>
      </c>
      <c r="JP6" s="10"/>
      <c r="JQ6" s="42">
        <v>23</v>
      </c>
      <c r="JR6" s="43">
        <v>4.0878839588404494</v>
      </c>
      <c r="JS6" s="67">
        <v>0.17674530772142777</v>
      </c>
      <c r="JT6" s="10" t="str">
        <f t="shared" si="87"/>
        <v>NV</v>
      </c>
      <c r="JU6" s="10" t="str">
        <f t="shared" si="88"/>
        <v xml:space="preserve"> </v>
      </c>
      <c r="JV6" s="114">
        <f t="shared" si="89"/>
        <v>-0.21691621690496499</v>
      </c>
      <c r="JW6" s="10"/>
      <c r="JX6" s="42">
        <v>19.802387800000002</v>
      </c>
      <c r="JY6" s="43">
        <v>3.8000000000000003</v>
      </c>
      <c r="JZ6" s="67">
        <v>0.20104824817523623</v>
      </c>
      <c r="KA6" s="10" t="str">
        <f t="shared" si="90"/>
        <v>NV</v>
      </c>
      <c r="KB6" s="10" t="str">
        <f t="shared" si="91"/>
        <v xml:space="preserve"> </v>
      </c>
      <c r="KC6" s="10"/>
      <c r="KD6" s="53">
        <v>12</v>
      </c>
      <c r="KE6" s="55">
        <v>3.8333333333333335</v>
      </c>
      <c r="KF6" s="56">
        <v>0.30107699616824501</v>
      </c>
      <c r="KG6" s="10" t="str">
        <f t="shared" si="92"/>
        <v>NV</v>
      </c>
      <c r="KH6" s="10" t="str">
        <f t="shared" si="93"/>
        <v xml:space="preserve"> </v>
      </c>
      <c r="KI6" s="10"/>
      <c r="KJ6" s="54">
        <v>16</v>
      </c>
      <c r="KK6" s="57">
        <v>3.8750000000000004</v>
      </c>
      <c r="KL6" s="58">
        <v>0.26548286598916143</v>
      </c>
      <c r="KM6" s="10" t="str">
        <f t="shared" si="94"/>
        <v>NV</v>
      </c>
      <c r="KN6" s="10" t="str">
        <f t="shared" si="95"/>
        <v xml:space="preserve"> </v>
      </c>
      <c r="KO6" s="114">
        <f t="shared" si="96"/>
        <v>-4.0322580645160144E-3</v>
      </c>
      <c r="KP6" s="76"/>
      <c r="KQ6" s="27">
        <v>327</v>
      </c>
      <c r="KR6" s="28">
        <v>3.3148806853172945</v>
      </c>
      <c r="KS6" s="29">
        <v>5.9724191341361192E-2</v>
      </c>
      <c r="KT6" s="10"/>
      <c r="KU6" s="42">
        <v>154</v>
      </c>
      <c r="KV6" s="43">
        <v>3.2993232025190857</v>
      </c>
      <c r="KW6" s="67">
        <v>8.9460255411044826E-2</v>
      </c>
      <c r="KX6" s="10">
        <f t="shared" si="97"/>
        <v>0.14463402314036652</v>
      </c>
      <c r="KY6" s="10" t="str">
        <f t="shared" si="98"/>
        <v xml:space="preserve"> </v>
      </c>
      <c r="KZ6" s="114">
        <f t="shared" si="99"/>
        <v>1.5557482798208788E-2</v>
      </c>
      <c r="LA6" s="10"/>
      <c r="LB6" s="42">
        <v>200.05378827999959</v>
      </c>
      <c r="LC6" s="43">
        <v>3.5959313392413201</v>
      </c>
      <c r="LD6" s="67">
        <v>7.2988453217233615E-2</v>
      </c>
      <c r="LE6" s="10">
        <f t="shared" si="100"/>
        <v>-2.9800865398700105</v>
      </c>
      <c r="LF6" s="10" t="str">
        <f t="shared" si="101"/>
        <v>*</v>
      </c>
      <c r="LG6" s="10"/>
      <c r="LH6" s="53">
        <v>416</v>
      </c>
      <c r="LI6" s="55">
        <v>3.2993377499101251</v>
      </c>
      <c r="LJ6" s="56">
        <v>5.2809005268115432E-2</v>
      </c>
      <c r="LK6" s="10">
        <f t="shared" si="102"/>
        <v>0.19496154304330163</v>
      </c>
      <c r="LL6" s="10" t="str">
        <f t="shared" si="103"/>
        <v xml:space="preserve"> </v>
      </c>
      <c r="LM6" s="10"/>
      <c r="LN6" s="54">
        <v>389</v>
      </c>
      <c r="LO6" s="57">
        <v>3.0978136930723275</v>
      </c>
      <c r="LP6" s="58">
        <v>5.1219525898719781E-2</v>
      </c>
      <c r="LQ6" s="10">
        <f t="shared" si="104"/>
        <v>2.7588860970627644</v>
      </c>
      <c r="LR6" s="10" t="str">
        <f t="shared" ref="LR6:LR49" si="128">IF(LQ6="NV"," ",IF(ABS(LQ6)&gt;=1.96,"*"," "))</f>
        <v>*</v>
      </c>
      <c r="LS6" s="114">
        <f t="shared" si="105"/>
        <v>0.21706699224496706</v>
      </c>
      <c r="LT6" s="76"/>
      <c r="LU6" s="27">
        <v>133</v>
      </c>
      <c r="LV6" s="28">
        <v>3.7443815282023505</v>
      </c>
      <c r="LW6" s="29">
        <v>8.8467300247585923E-2</v>
      </c>
      <c r="LX6" s="10"/>
      <c r="LY6" s="42">
        <v>107</v>
      </c>
      <c r="LZ6" s="43">
        <v>3.738038496853306</v>
      </c>
      <c r="MA6" s="67">
        <v>9.7835791214348128E-2</v>
      </c>
      <c r="MB6" s="10">
        <f t="shared" si="106"/>
        <v>4.808873851769184E-2</v>
      </c>
      <c r="MC6" s="10" t="str">
        <f t="shared" si="107"/>
        <v xml:space="preserve"> </v>
      </c>
      <c r="MD6" s="114">
        <f t="shared" si="108"/>
        <v>6.343031349044459E-3</v>
      </c>
      <c r="ME6" s="10"/>
      <c r="MF6" s="42">
        <v>116.32081542000009</v>
      </c>
      <c r="MG6" s="43">
        <v>3.7374953738954808</v>
      </c>
      <c r="MH6" s="67">
        <v>8.3766739789179243E-2</v>
      </c>
      <c r="MI6" s="10">
        <f t="shared" si="109"/>
        <v>5.6521161790235544E-2</v>
      </c>
      <c r="MJ6" s="10" t="str">
        <f t="shared" si="110"/>
        <v xml:space="preserve"> </v>
      </c>
      <c r="MK6" s="10"/>
      <c r="ML6" s="53">
        <v>222</v>
      </c>
      <c r="MM6" s="55">
        <v>3.7657657657657646</v>
      </c>
      <c r="MN6" s="56">
        <v>6.7100269781604646E-2</v>
      </c>
      <c r="MO6" s="10">
        <f t="shared" si="111"/>
        <v>-0.19258898290407192</v>
      </c>
      <c r="MP6" s="10" t="str">
        <f t="shared" si="112"/>
        <v xml:space="preserve"> </v>
      </c>
      <c r="MQ6" s="10"/>
      <c r="MR6" s="54">
        <v>270</v>
      </c>
      <c r="MS6" s="57">
        <v>3.6844271295492459</v>
      </c>
      <c r="MT6" s="58">
        <v>5.9421866290596682E-2</v>
      </c>
      <c r="MU6" s="10">
        <f t="shared" si="113"/>
        <v>0.56257597463046627</v>
      </c>
      <c r="MV6" s="10" t="str">
        <f t="shared" si="114"/>
        <v xml:space="preserve"> </v>
      </c>
      <c r="MW6" s="114">
        <f t="shared" si="115"/>
        <v>5.995439865310459E-2</v>
      </c>
      <c r="MX6" s="76"/>
      <c r="MY6" s="27">
        <v>128</v>
      </c>
      <c r="MZ6" s="28">
        <v>3.7658017215599067</v>
      </c>
      <c r="NA6" s="29">
        <v>7.724413997556652E-2</v>
      </c>
      <c r="NB6" s="10"/>
      <c r="NC6" s="42">
        <v>87</v>
      </c>
      <c r="ND6" s="43">
        <v>3.7592048790220387</v>
      </c>
      <c r="NE6" s="67">
        <v>0.10976599067429456</v>
      </c>
      <c r="NF6" s="10">
        <f t="shared" si="116"/>
        <v>4.9149172915930336E-2</v>
      </c>
      <c r="NG6" s="10" t="str">
        <f t="shared" si="117"/>
        <v xml:space="preserve"> </v>
      </c>
      <c r="NH6" s="114">
        <f t="shared" si="118"/>
        <v>6.596842537867964E-3</v>
      </c>
      <c r="NI6" s="10"/>
      <c r="NJ6" s="42">
        <v>79.967870039999895</v>
      </c>
      <c r="NK6" s="43">
        <v>3.8454594393495998</v>
      </c>
      <c r="NL6" s="67">
        <v>9.6860255533446141E-2</v>
      </c>
      <c r="NM6" s="10">
        <f t="shared" si="119"/>
        <v>-0.64297480127062634</v>
      </c>
      <c r="NN6" s="10" t="str">
        <f t="shared" si="120"/>
        <v xml:space="preserve"> </v>
      </c>
      <c r="NO6" s="10"/>
      <c r="NP6" s="53">
        <v>99</v>
      </c>
      <c r="NQ6" s="55">
        <v>3.6375951265699387</v>
      </c>
      <c r="NR6" s="56">
        <v>9.278431057445656E-2</v>
      </c>
      <c r="NS6" s="10">
        <f t="shared" si="121"/>
        <v>1.0619335995612802</v>
      </c>
      <c r="NT6" s="10" t="str">
        <f t="shared" si="122"/>
        <v xml:space="preserve"> </v>
      </c>
      <c r="NU6" s="10"/>
      <c r="NV6" s="54">
        <v>155</v>
      </c>
      <c r="NW6" s="57">
        <v>3.7368960145262369</v>
      </c>
      <c r="NX6" s="58">
        <v>6.9687297083414396E-2</v>
      </c>
      <c r="NY6" s="10">
        <f t="shared" si="123"/>
        <v>0.27784989579613628</v>
      </c>
      <c r="NZ6" s="10" t="str">
        <f t="shared" ref="NZ6:NZ49" si="129">IF(NY6="NV"," ",IF(ABS(NY6)&gt;=1.96,"*"," "))</f>
        <v xml:space="preserve"> </v>
      </c>
      <c r="OA6" s="114">
        <f t="shared" si="124"/>
        <v>2.8905707033669792E-2</v>
      </c>
      <c r="OB6" s="58"/>
    </row>
    <row r="7" spans="1:392" x14ac:dyDescent="0.2">
      <c r="B7" s="65" t="s">
        <v>5</v>
      </c>
      <c r="C7" s="27">
        <v>82</v>
      </c>
      <c r="D7" s="28">
        <v>3.8292682926829271</v>
      </c>
      <c r="E7" s="29">
        <v>0.11084380440472344</v>
      </c>
      <c r="F7" s="10"/>
      <c r="G7" s="42">
        <v>23</v>
      </c>
      <c r="H7" s="43">
        <v>3.3913043478260865</v>
      </c>
      <c r="I7" s="67">
        <v>0.25799158289741214</v>
      </c>
      <c r="J7" s="10" t="str">
        <f t="shared" si="1"/>
        <v>NV</v>
      </c>
      <c r="K7" s="10" t="str">
        <f t="shared" si="2"/>
        <v xml:space="preserve"> </v>
      </c>
      <c r="L7" s="114">
        <f t="shared" si="3"/>
        <v>0.43796394485684065</v>
      </c>
      <c r="M7" s="10"/>
      <c r="N7" s="42">
        <v>31.192173900000022</v>
      </c>
      <c r="O7" s="43">
        <v>3.2333333333333329</v>
      </c>
      <c r="P7" s="67">
        <v>0.13846831736754769</v>
      </c>
      <c r="Q7" s="10">
        <f t="shared" si="4"/>
        <v>3.3598564275382126</v>
      </c>
      <c r="R7" s="10" t="str">
        <f t="shared" si="5"/>
        <v>*</v>
      </c>
      <c r="S7" s="10"/>
      <c r="T7" s="53">
        <v>28</v>
      </c>
      <c r="U7" s="55">
        <v>3.4285714285714288</v>
      </c>
      <c r="V7" s="56">
        <v>0.12167735115643376</v>
      </c>
      <c r="W7" s="10" t="str">
        <f t="shared" si="6"/>
        <v>NV</v>
      </c>
      <c r="X7" s="10" t="str">
        <f t="shared" si="7"/>
        <v xml:space="preserve"> </v>
      </c>
      <c r="Y7" s="10"/>
      <c r="Z7" s="54">
        <v>57</v>
      </c>
      <c r="AA7" s="57">
        <v>3.3684210526315783</v>
      </c>
      <c r="AB7" s="58">
        <v>0.10366351342370381</v>
      </c>
      <c r="AC7" s="10">
        <f t="shared" si="8"/>
        <v>3.0365938326178505</v>
      </c>
      <c r="AD7" s="10" t="str">
        <f t="shared" si="9"/>
        <v>*</v>
      </c>
      <c r="AE7" s="114">
        <f t="shared" si="10"/>
        <v>0.46084724005134881</v>
      </c>
      <c r="AF7" s="76"/>
      <c r="AG7" s="27">
        <v>14</v>
      </c>
      <c r="AH7" s="28">
        <v>3.7857142857142856</v>
      </c>
      <c r="AI7" s="29">
        <v>0.23420335878516296</v>
      </c>
      <c r="AJ7" s="67"/>
      <c r="AK7" s="42">
        <v>9</v>
      </c>
      <c r="AL7" s="43">
        <v>4</v>
      </c>
      <c r="AM7" s="67">
        <v>0.3319109830184282</v>
      </c>
      <c r="AN7" s="10" t="str">
        <f t="shared" si="11"/>
        <v>NV</v>
      </c>
      <c r="AO7" s="10" t="str">
        <f t="shared" si="12"/>
        <v xml:space="preserve"> </v>
      </c>
      <c r="AP7" s="114">
        <f t="shared" si="13"/>
        <v>-0.21428571428571441</v>
      </c>
      <c r="AQ7" s="67"/>
      <c r="AR7" s="42">
        <v>15.45467352</v>
      </c>
      <c r="AS7" s="43">
        <v>3.9272642564370384</v>
      </c>
      <c r="AT7" s="67">
        <v>0.28573716840491487</v>
      </c>
      <c r="AU7" s="10" t="str">
        <f t="shared" si="14"/>
        <v>NV</v>
      </c>
      <c r="AV7" s="10" t="str">
        <f t="shared" si="15"/>
        <v xml:space="preserve"> </v>
      </c>
      <c r="AW7" s="10"/>
      <c r="AX7" s="53">
        <v>16</v>
      </c>
      <c r="AY7" s="55">
        <v>3.875</v>
      </c>
      <c r="AZ7" s="56">
        <v>0.25968764959859547</v>
      </c>
      <c r="BA7" s="10" t="str">
        <f t="shared" si="16"/>
        <v>NV</v>
      </c>
      <c r="BB7" s="10" t="str">
        <f t="shared" si="17"/>
        <v xml:space="preserve"> </v>
      </c>
      <c r="BC7" s="10"/>
      <c r="BD7" s="54">
        <v>19</v>
      </c>
      <c r="BE7" s="57">
        <v>3.4789321169577363</v>
      </c>
      <c r="BF7" s="58">
        <v>0.24118518142007933</v>
      </c>
      <c r="BG7" s="10" t="str">
        <f t="shared" si="18"/>
        <v>NV</v>
      </c>
      <c r="BH7" s="10" t="str">
        <f t="shared" si="19"/>
        <v xml:space="preserve"> </v>
      </c>
      <c r="BI7" s="114">
        <f t="shared" si="20"/>
        <v>0.30678216875654929</v>
      </c>
      <c r="BJ7" s="76"/>
      <c r="BK7" s="27">
        <v>200</v>
      </c>
      <c r="BL7" s="28">
        <v>3.6916860259085684</v>
      </c>
      <c r="BM7" s="29">
        <v>7.2840828668369037E-2</v>
      </c>
      <c r="BN7" s="10"/>
      <c r="BO7" s="42">
        <v>56</v>
      </c>
      <c r="BP7" s="43">
        <v>3.9812563031927493</v>
      </c>
      <c r="BQ7" s="67">
        <v>0.10966914819412185</v>
      </c>
      <c r="BR7" s="10">
        <f t="shared" si="21"/>
        <v>-2.1994584170629508</v>
      </c>
      <c r="BS7" s="10" t="str">
        <f t="shared" si="22"/>
        <v>*</v>
      </c>
      <c r="BT7" s="114">
        <f t="shared" si="23"/>
        <v>-0.28957027728418083</v>
      </c>
      <c r="BU7" s="10"/>
      <c r="BV7" s="42">
        <v>70.81395153000004</v>
      </c>
      <c r="BW7" s="43">
        <v>3.3599187654314493</v>
      </c>
      <c r="BX7" s="67">
        <v>6.7287540830063636E-2</v>
      </c>
      <c r="BY7" s="10">
        <f t="shared" si="24"/>
        <v>3.3456590869271703</v>
      </c>
      <c r="BZ7" s="10" t="str">
        <f t="shared" si="25"/>
        <v>*</v>
      </c>
      <c r="CA7" s="10"/>
      <c r="CB7" s="53">
        <v>74</v>
      </c>
      <c r="CC7" s="55">
        <v>3.451306957341461</v>
      </c>
      <c r="CD7" s="56">
        <v>5.6270478468165457E-2</v>
      </c>
      <c r="CE7" s="10">
        <f t="shared" si="26"/>
        <v>2.6115584550670112</v>
      </c>
      <c r="CF7" s="10" t="str">
        <f t="shared" si="27"/>
        <v>*</v>
      </c>
      <c r="CG7" s="10"/>
      <c r="CH7" s="54">
        <v>81</v>
      </c>
      <c r="CI7" s="57">
        <v>3.7817261059420311</v>
      </c>
      <c r="CJ7" s="58">
        <v>9.2874268799396198E-2</v>
      </c>
      <c r="CK7" s="10">
        <f t="shared" si="28"/>
        <v>-0.76284840064098047</v>
      </c>
      <c r="CL7" s="10" t="str">
        <f t="shared" si="29"/>
        <v xml:space="preserve"> </v>
      </c>
      <c r="CM7" s="114">
        <f t="shared" si="30"/>
        <v>-9.0040080033462644E-2</v>
      </c>
      <c r="CN7" s="76"/>
      <c r="CO7" s="27">
        <v>151</v>
      </c>
      <c r="CP7" s="28">
        <v>4.0104870287589556</v>
      </c>
      <c r="CQ7" s="29">
        <v>7.1804193900825083E-2</v>
      </c>
      <c r="CR7" s="67"/>
      <c r="CS7" s="42">
        <v>49</v>
      </c>
      <c r="CT7" s="43">
        <v>4.0216116188030542</v>
      </c>
      <c r="CU7" s="67">
        <v>0.12857787423121431</v>
      </c>
      <c r="CV7" s="10">
        <f t="shared" si="31"/>
        <v>-7.553933233243823E-2</v>
      </c>
      <c r="CW7" s="10" t="str">
        <f t="shared" si="32"/>
        <v xml:space="preserve"> </v>
      </c>
      <c r="CX7" s="114">
        <f t="shared" si="33"/>
        <v>-1.1124590044098603E-2</v>
      </c>
      <c r="CY7" s="10"/>
      <c r="CZ7" s="42">
        <v>56.480985090000019</v>
      </c>
      <c r="DA7" s="43">
        <v>4.0999957506229814</v>
      </c>
      <c r="DB7" s="67">
        <v>0.10866912511712697</v>
      </c>
      <c r="DC7" s="10">
        <f t="shared" si="34"/>
        <v>-0.68721196863345368</v>
      </c>
      <c r="DD7" s="10" t="str">
        <f t="shared" si="35"/>
        <v xml:space="preserve"> </v>
      </c>
      <c r="DE7" s="10"/>
      <c r="DF7" s="53">
        <v>35</v>
      </c>
      <c r="DG7" s="55">
        <v>4.1272111628924577</v>
      </c>
      <c r="DH7" s="56">
        <v>0.1215136365635181</v>
      </c>
      <c r="DI7" s="10">
        <f t="shared" si="36"/>
        <v>-0.82699077731973558</v>
      </c>
      <c r="DJ7" s="10" t="str">
        <f t="shared" si="0"/>
        <v xml:space="preserve"> </v>
      </c>
      <c r="DK7" s="10"/>
      <c r="DL7" s="54">
        <v>52</v>
      </c>
      <c r="DM7" s="57">
        <v>4.012626751592923</v>
      </c>
      <c r="DN7" s="58">
        <v>0.12437829611710501</v>
      </c>
      <c r="DO7" s="10">
        <f t="shared" si="37"/>
        <v>-1.4898827455393096E-2</v>
      </c>
      <c r="DP7" s="10" t="str">
        <f t="shared" si="38"/>
        <v xml:space="preserve"> </v>
      </c>
      <c r="DQ7" s="114">
        <f t="shared" si="39"/>
        <v>-2.1397228339674612E-3</v>
      </c>
      <c r="DR7" s="76"/>
      <c r="DS7" s="27">
        <v>29</v>
      </c>
      <c r="DT7" s="28">
        <v>3.858181639739819</v>
      </c>
      <c r="DU7" s="29">
        <v>0.22189109795116596</v>
      </c>
      <c r="DV7" s="10"/>
      <c r="DW7" s="42">
        <v>16</v>
      </c>
      <c r="DX7" s="43">
        <v>3.5632325544459542</v>
      </c>
      <c r="DY7" s="67">
        <v>0.20408161496689797</v>
      </c>
      <c r="DZ7" s="10" t="str">
        <f t="shared" si="40"/>
        <v>NV</v>
      </c>
      <c r="EA7" s="10" t="str">
        <f t="shared" si="41"/>
        <v xml:space="preserve"> </v>
      </c>
      <c r="EB7" s="114">
        <f t="shared" si="42"/>
        <v>0.29494908529386477</v>
      </c>
      <c r="EC7" s="10"/>
      <c r="ED7" s="42">
        <v>15.258614790000006</v>
      </c>
      <c r="EE7" s="43">
        <v>3.3296471953205389</v>
      </c>
      <c r="EF7" s="67">
        <v>0.23179634560459597</v>
      </c>
      <c r="EG7" s="10" t="str">
        <f t="shared" si="43"/>
        <v>NV</v>
      </c>
      <c r="EH7" s="10" t="str">
        <f t="shared" si="44"/>
        <v xml:space="preserve"> </v>
      </c>
      <c r="EI7" s="10"/>
      <c r="EJ7" s="53">
        <v>6</v>
      </c>
      <c r="EK7" s="55">
        <v>3.9043573489182704</v>
      </c>
      <c r="EL7" s="56">
        <v>0.30545855139208911</v>
      </c>
      <c r="EM7" s="10" t="str">
        <f t="shared" si="45"/>
        <v>NV</v>
      </c>
      <c r="EN7" s="10" t="str">
        <f t="shared" si="46"/>
        <v xml:space="preserve"> </v>
      </c>
      <c r="EO7" s="10"/>
      <c r="EP7" s="54">
        <v>10</v>
      </c>
      <c r="EQ7" s="57">
        <v>4.2</v>
      </c>
      <c r="ER7" s="58">
        <v>0.12390930772787181</v>
      </c>
      <c r="ES7" s="10" t="str">
        <f t="shared" si="47"/>
        <v>NV</v>
      </c>
      <c r="ET7" s="10" t="str">
        <f t="shared" si="48"/>
        <v xml:space="preserve"> </v>
      </c>
      <c r="EU7" s="114">
        <f t="shared" si="49"/>
        <v>-0.3418183602601812</v>
      </c>
      <c r="EV7" s="76"/>
      <c r="EW7" s="27">
        <v>96</v>
      </c>
      <c r="EX7" s="28">
        <v>4.0244100432132388</v>
      </c>
      <c r="EY7" s="29">
        <v>9.0848928241258856E-2</v>
      </c>
      <c r="EZ7" s="10"/>
      <c r="FA7" s="42">
        <v>30</v>
      </c>
      <c r="FB7" s="43">
        <v>4.2689216809250192</v>
      </c>
      <c r="FC7" s="67">
        <v>0.14325599250238039</v>
      </c>
      <c r="FD7" s="10">
        <f t="shared" si="50"/>
        <v>-1.4414041807520499</v>
      </c>
      <c r="FE7" s="10" t="str">
        <f t="shared" si="51"/>
        <v xml:space="preserve"> </v>
      </c>
      <c r="FF7" s="114">
        <f t="shared" si="52"/>
        <v>-0.24451163771178042</v>
      </c>
      <c r="FG7" s="10"/>
      <c r="FH7" s="42">
        <v>21.777476340000003</v>
      </c>
      <c r="FI7" s="43">
        <v>3.6412943043518884</v>
      </c>
      <c r="FJ7" s="67">
        <v>0.20523826193291156</v>
      </c>
      <c r="FK7" s="10" t="str">
        <f t="shared" si="53"/>
        <v>NV</v>
      </c>
      <c r="FL7" s="10" t="str">
        <f t="shared" si="54"/>
        <v xml:space="preserve"> </v>
      </c>
      <c r="FM7" s="10"/>
      <c r="FN7" s="53">
        <v>21</v>
      </c>
      <c r="FO7" s="55">
        <v>3.9997321081759654</v>
      </c>
      <c r="FP7" s="56">
        <v>0.17172878647318349</v>
      </c>
      <c r="FQ7" s="10" t="str">
        <f t="shared" si="55"/>
        <v>NV</v>
      </c>
      <c r="FR7" s="10" t="str">
        <f t="shared" si="56"/>
        <v xml:space="preserve"> </v>
      </c>
      <c r="FS7" s="10"/>
      <c r="FT7" s="54">
        <v>23</v>
      </c>
      <c r="FU7" s="57">
        <v>3.6958567002261784</v>
      </c>
      <c r="FV7" s="58">
        <v>0.17246488966098389</v>
      </c>
      <c r="FW7" s="10" t="str">
        <f t="shared" si="57"/>
        <v>NV</v>
      </c>
      <c r="FX7" s="10" t="str">
        <f t="shared" si="125"/>
        <v xml:space="preserve"> </v>
      </c>
      <c r="FY7" s="114">
        <f t="shared" si="58"/>
        <v>0.3285533429870604</v>
      </c>
      <c r="FZ7" s="76"/>
      <c r="GA7" s="27">
        <v>21</v>
      </c>
      <c r="GB7" s="28">
        <v>3.7630857914264801</v>
      </c>
      <c r="GC7" s="29">
        <v>0.23615276677943356</v>
      </c>
      <c r="GD7" s="67"/>
      <c r="GE7" s="42">
        <v>15</v>
      </c>
      <c r="GF7" s="43">
        <v>3.8694344256649162</v>
      </c>
      <c r="GG7" s="67">
        <v>0.23563495841043861</v>
      </c>
      <c r="GH7" s="10" t="str">
        <f t="shared" si="59"/>
        <v>NV</v>
      </c>
      <c r="GI7" s="10" t="str">
        <f t="shared" si="60"/>
        <v xml:space="preserve"> </v>
      </c>
      <c r="GJ7" s="114">
        <f t="shared" si="61"/>
        <v>-0.1063486342384361</v>
      </c>
      <c r="GK7" s="67"/>
      <c r="GL7" s="42">
        <v>28.306999809999986</v>
      </c>
      <c r="GM7" s="43">
        <v>3.6845392390596827</v>
      </c>
      <c r="GN7" s="67">
        <v>0.15916394410093956</v>
      </c>
      <c r="GO7" s="10" t="str">
        <f t="shared" si="62"/>
        <v>NV</v>
      </c>
      <c r="GP7" s="10" t="str">
        <f t="shared" si="63"/>
        <v xml:space="preserve"> </v>
      </c>
      <c r="GQ7" s="10"/>
      <c r="GR7" s="53">
        <v>29</v>
      </c>
      <c r="GS7" s="55">
        <v>3.5560215955223859</v>
      </c>
      <c r="GT7" s="56">
        <v>0.22394077991856043</v>
      </c>
      <c r="GU7" s="10" t="str">
        <f t="shared" si="64"/>
        <v>NV</v>
      </c>
      <c r="GV7" s="10" t="str">
        <f t="shared" si="65"/>
        <v xml:space="preserve"> </v>
      </c>
      <c r="GW7" s="10"/>
      <c r="GX7" s="54">
        <v>40</v>
      </c>
      <c r="GY7" s="57">
        <v>3.6783479353800366</v>
      </c>
      <c r="GZ7" s="58">
        <v>0.15165393240576666</v>
      </c>
      <c r="HA7" s="10" t="str">
        <f t="shared" si="66"/>
        <v>NV</v>
      </c>
      <c r="HB7" s="10" t="str">
        <f t="shared" si="126"/>
        <v xml:space="preserve"> </v>
      </c>
      <c r="HC7" s="114">
        <f t="shared" si="67"/>
        <v>8.4737856046443572E-2</v>
      </c>
      <c r="HD7" s="76"/>
      <c r="HE7" s="27">
        <v>31</v>
      </c>
      <c r="HF7" s="28">
        <v>3.6547766828925012</v>
      </c>
      <c r="HG7" s="29">
        <v>0.1772423444963207</v>
      </c>
      <c r="HH7" s="10"/>
      <c r="HI7" s="42">
        <v>28</v>
      </c>
      <c r="HJ7" s="43">
        <v>3.6083805067070189</v>
      </c>
      <c r="HK7" s="67">
        <v>0.18160616615789144</v>
      </c>
      <c r="HL7" s="10" t="str">
        <f t="shared" si="68"/>
        <v>NV</v>
      </c>
      <c r="HM7" s="10" t="str">
        <f t="shared" si="69"/>
        <v xml:space="preserve"> </v>
      </c>
      <c r="HN7" s="114">
        <f t="shared" si="70"/>
        <v>4.6396176185482307E-2</v>
      </c>
      <c r="HO7" s="10"/>
      <c r="HP7" s="42">
        <v>13.590945640000003</v>
      </c>
      <c r="HQ7" s="43">
        <v>4.2323027597658758</v>
      </c>
      <c r="HR7" s="67">
        <v>0.19554078707967554</v>
      </c>
      <c r="HS7" s="10" t="str">
        <f t="shared" si="71"/>
        <v>NV</v>
      </c>
      <c r="HT7" s="10" t="str">
        <f t="shared" si="72"/>
        <v xml:space="preserve"> </v>
      </c>
      <c r="HU7" s="10"/>
      <c r="HV7" s="53">
        <v>17</v>
      </c>
      <c r="HW7" s="55">
        <v>3.6954637716737304</v>
      </c>
      <c r="HX7" s="56">
        <v>0.19190997792065001</v>
      </c>
      <c r="HY7" s="10" t="str">
        <f t="shared" si="73"/>
        <v>NV</v>
      </c>
      <c r="HZ7" s="10" t="str">
        <f t="shared" si="74"/>
        <v xml:space="preserve"> </v>
      </c>
      <c r="IA7" s="10"/>
      <c r="IB7" s="54">
        <v>25</v>
      </c>
      <c r="IC7" s="57">
        <v>3.9570552143094875</v>
      </c>
      <c r="ID7" s="58">
        <v>0.19680835363681903</v>
      </c>
      <c r="IE7" s="10" t="str">
        <f t="shared" si="75"/>
        <v>NV</v>
      </c>
      <c r="IF7" s="10" t="str">
        <f t="shared" si="127"/>
        <v xml:space="preserve"> </v>
      </c>
      <c r="IG7" s="114">
        <f t="shared" si="76"/>
        <v>-0.30227853141698624</v>
      </c>
      <c r="IH7" s="76"/>
      <c r="II7" s="27">
        <v>62</v>
      </c>
      <c r="IJ7" s="28">
        <v>3.7456111128691232</v>
      </c>
      <c r="IK7" s="29">
        <v>0.1145357358816754</v>
      </c>
      <c r="IL7" s="10"/>
      <c r="IM7" s="42">
        <v>61</v>
      </c>
      <c r="IN7" s="43">
        <v>3.471963126116691</v>
      </c>
      <c r="IO7" s="67">
        <v>0.12733195523319504</v>
      </c>
      <c r="IP7" s="10">
        <f t="shared" si="77"/>
        <v>1.5978000987116039</v>
      </c>
      <c r="IQ7" s="10" t="str">
        <f t="shared" si="78"/>
        <v xml:space="preserve"> </v>
      </c>
      <c r="IR7" s="114">
        <f t="shared" si="79"/>
        <v>0.27364798675243218</v>
      </c>
      <c r="IS7" s="10"/>
      <c r="IT7" s="42">
        <v>73.633106859999955</v>
      </c>
      <c r="IU7" s="43">
        <v>3.6606585395410831</v>
      </c>
      <c r="IV7" s="67">
        <v>0.10534672917270484</v>
      </c>
      <c r="IW7" s="10">
        <f t="shared" si="80"/>
        <v>0.5459112367173764</v>
      </c>
      <c r="IX7" s="10" t="str">
        <f t="shared" si="81"/>
        <v xml:space="preserve"> </v>
      </c>
      <c r="IY7" s="10"/>
      <c r="IZ7" s="53">
        <v>49</v>
      </c>
      <c r="JA7" s="55">
        <v>3.8304903122520062</v>
      </c>
      <c r="JB7" s="56">
        <v>0.12607774446392181</v>
      </c>
      <c r="JC7" s="10">
        <f t="shared" si="82"/>
        <v>-0.49830727571768452</v>
      </c>
      <c r="JD7" s="10" t="str">
        <f t="shared" si="83"/>
        <v xml:space="preserve"> </v>
      </c>
      <c r="JE7" s="10"/>
      <c r="JF7" s="54">
        <v>75</v>
      </c>
      <c r="JG7" s="57">
        <v>4.0088375248618586</v>
      </c>
      <c r="JH7" s="58">
        <v>0.10681913488795106</v>
      </c>
      <c r="JI7" s="10">
        <f t="shared" si="84"/>
        <v>-1.6807055958388046</v>
      </c>
      <c r="JJ7" s="10" t="str">
        <f t="shared" si="85"/>
        <v xml:space="preserve"> </v>
      </c>
      <c r="JK7" s="114">
        <f t="shared" si="86"/>
        <v>-0.26322641199273544</v>
      </c>
      <c r="JL7" s="76"/>
      <c r="JM7" s="27">
        <v>5</v>
      </c>
      <c r="JN7" s="28">
        <v>4.2</v>
      </c>
      <c r="JO7" s="29">
        <v>0.49015172597732931</v>
      </c>
      <c r="JP7" s="10"/>
      <c r="JQ7" s="42">
        <v>3</v>
      </c>
      <c r="JR7" s="43">
        <v>4</v>
      </c>
      <c r="JS7" s="67">
        <v>0.57673267262194938</v>
      </c>
      <c r="JT7" s="10" t="str">
        <f t="shared" si="87"/>
        <v>NV</v>
      </c>
      <c r="JU7" s="10" t="str">
        <f t="shared" si="88"/>
        <v xml:space="preserve"> </v>
      </c>
      <c r="JV7" s="114">
        <f t="shared" si="89"/>
        <v>0.20000000000000018</v>
      </c>
      <c r="JW7" s="10"/>
      <c r="JX7" s="42">
        <v>8.9110745100000006</v>
      </c>
      <c r="JY7" s="43">
        <v>4.666666666666667</v>
      </c>
      <c r="JZ7" s="67">
        <v>0.16760076849519018</v>
      </c>
      <c r="KA7" s="10" t="str">
        <f t="shared" si="90"/>
        <v>NV</v>
      </c>
      <c r="KB7" s="10" t="str">
        <f t="shared" si="91"/>
        <v xml:space="preserve"> </v>
      </c>
      <c r="KC7" s="10"/>
      <c r="KD7" s="53">
        <v>1</v>
      </c>
      <c r="KE7" s="55">
        <v>4</v>
      </c>
      <c r="KG7" s="10" t="str">
        <f t="shared" si="92"/>
        <v>NV</v>
      </c>
      <c r="KH7" s="10" t="str">
        <f t="shared" si="93"/>
        <v xml:space="preserve"> </v>
      </c>
      <c r="KI7" s="10"/>
      <c r="KJ7" s="54">
        <v>3</v>
      </c>
      <c r="KK7" s="57">
        <v>3</v>
      </c>
      <c r="KL7" s="58">
        <v>0.60753205994075554</v>
      </c>
      <c r="KM7" s="10" t="str">
        <f t="shared" si="94"/>
        <v>NV</v>
      </c>
      <c r="KN7" s="10" t="str">
        <f t="shared" si="95"/>
        <v xml:space="preserve"> </v>
      </c>
      <c r="KO7" s="114">
        <f t="shared" si="96"/>
        <v>1.2000000000000002</v>
      </c>
      <c r="KP7" s="76"/>
      <c r="KQ7" s="27">
        <v>58</v>
      </c>
      <c r="KR7" s="28">
        <v>3.395114807047126</v>
      </c>
      <c r="KS7" s="29">
        <v>0.15347443629557764</v>
      </c>
      <c r="KT7" s="10"/>
      <c r="KU7" s="42">
        <v>33</v>
      </c>
      <c r="KV7" s="43">
        <v>3.8184523808928352</v>
      </c>
      <c r="KW7" s="67">
        <v>0.18701918867546188</v>
      </c>
      <c r="KX7" s="10">
        <f t="shared" si="97"/>
        <v>-1.7498281723277955</v>
      </c>
      <c r="KY7" s="10" t="str">
        <f t="shared" si="98"/>
        <v xml:space="preserve"> </v>
      </c>
      <c r="KZ7" s="114">
        <f t="shared" si="99"/>
        <v>-0.42333757384570925</v>
      </c>
      <c r="LA7" s="10"/>
      <c r="LB7" s="42">
        <v>47.012458119999962</v>
      </c>
      <c r="LC7" s="43">
        <v>3.4768613086083824</v>
      </c>
      <c r="LD7" s="67">
        <v>0.15201620449109038</v>
      </c>
      <c r="LE7" s="10">
        <f t="shared" si="100"/>
        <v>-0.37842630409660694</v>
      </c>
      <c r="LF7" s="10" t="str">
        <f t="shared" si="101"/>
        <v xml:space="preserve"> </v>
      </c>
      <c r="LG7" s="10"/>
      <c r="LH7" s="53">
        <v>60</v>
      </c>
      <c r="LI7" s="55">
        <v>3.4501607327512209</v>
      </c>
      <c r="LJ7" s="56">
        <v>0.14868543553775751</v>
      </c>
      <c r="LK7" s="10">
        <f t="shared" si="102"/>
        <v>-0.25760177413758811</v>
      </c>
      <c r="LL7" s="10" t="str">
        <f t="shared" si="103"/>
        <v xml:space="preserve"> </v>
      </c>
      <c r="LM7" s="10"/>
      <c r="LN7" s="54">
        <v>92</v>
      </c>
      <c r="LO7" s="57">
        <v>3.5106325028675438</v>
      </c>
      <c r="LP7" s="58">
        <v>0.10131505442168783</v>
      </c>
      <c r="LQ7" s="10">
        <f t="shared" si="104"/>
        <v>-0.62815557643458886</v>
      </c>
      <c r="LR7" s="10" t="str">
        <f t="shared" si="128"/>
        <v xml:space="preserve"> </v>
      </c>
      <c r="LS7" s="114">
        <f t="shared" si="105"/>
        <v>-0.11551769582041782</v>
      </c>
      <c r="LT7" s="76"/>
      <c r="LU7" s="27">
        <v>12</v>
      </c>
      <c r="LV7" s="28">
        <v>3.4999999999999996</v>
      </c>
      <c r="LW7" s="29">
        <v>0.33725231601978967</v>
      </c>
      <c r="LX7" s="10"/>
      <c r="LY7" s="42">
        <v>14</v>
      </c>
      <c r="LZ7" s="43">
        <v>3.7868162690422822</v>
      </c>
      <c r="MA7" s="67">
        <v>0.26062044496161818</v>
      </c>
      <c r="MB7" s="10" t="str">
        <f t="shared" si="106"/>
        <v>NV</v>
      </c>
      <c r="MC7" s="10" t="str">
        <f t="shared" si="107"/>
        <v xml:space="preserve"> </v>
      </c>
      <c r="MD7" s="114">
        <f t="shared" si="108"/>
        <v>-0.28681626904228263</v>
      </c>
      <c r="ME7" s="10"/>
      <c r="MF7" s="42">
        <v>31.683820480000005</v>
      </c>
      <c r="MG7" s="43">
        <v>4.09375</v>
      </c>
      <c r="MH7" s="67">
        <v>0.15866588075549287</v>
      </c>
      <c r="MI7" s="10" t="str">
        <f t="shared" si="109"/>
        <v>NV</v>
      </c>
      <c r="MJ7" s="10" t="str">
        <f t="shared" si="110"/>
        <v xml:space="preserve"> </v>
      </c>
      <c r="MK7" s="10"/>
      <c r="ML7" s="53">
        <v>45</v>
      </c>
      <c r="MM7" s="55">
        <v>3.6</v>
      </c>
      <c r="MN7" s="56">
        <v>0.11772769805480282</v>
      </c>
      <c r="MO7" s="10" t="str">
        <f t="shared" si="111"/>
        <v>NV</v>
      </c>
      <c r="MP7" s="10" t="str">
        <f t="shared" si="112"/>
        <v xml:space="preserve"> </v>
      </c>
      <c r="MQ7" s="10"/>
      <c r="MR7" s="54">
        <v>44</v>
      </c>
      <c r="MS7" s="57">
        <v>3.5518240272878874</v>
      </c>
      <c r="MT7" s="58">
        <v>0.17091680075713994</v>
      </c>
      <c r="MU7" s="10" t="str">
        <f t="shared" si="113"/>
        <v>NV</v>
      </c>
      <c r="MV7" s="10" t="str">
        <f t="shared" si="114"/>
        <v xml:space="preserve"> </v>
      </c>
      <c r="MW7" s="114">
        <f t="shared" si="115"/>
        <v>-5.1824027287887819E-2</v>
      </c>
      <c r="MX7" s="76"/>
      <c r="MY7" s="27">
        <v>20</v>
      </c>
      <c r="MZ7" s="28">
        <v>3.6990362050358359</v>
      </c>
      <c r="NA7" s="29">
        <v>0.21856321149521152</v>
      </c>
      <c r="NB7" s="10"/>
      <c r="NC7" s="42">
        <v>18</v>
      </c>
      <c r="ND7" s="43">
        <v>3.5000000000000009</v>
      </c>
      <c r="NE7" s="67">
        <v>0.20196033562162133</v>
      </c>
      <c r="NF7" s="10" t="str">
        <f t="shared" si="116"/>
        <v>NV</v>
      </c>
      <c r="NG7" s="10" t="str">
        <f t="shared" si="117"/>
        <v xml:space="preserve"> </v>
      </c>
      <c r="NH7" s="114">
        <f t="shared" si="118"/>
        <v>0.19903620503583497</v>
      </c>
      <c r="NI7" s="10"/>
      <c r="NJ7" s="42">
        <v>12.040381610000001</v>
      </c>
      <c r="NK7" s="43">
        <v>3.6710671066512814</v>
      </c>
      <c r="NL7" s="67">
        <v>0.41104938549100917</v>
      </c>
      <c r="NM7" s="10" t="str">
        <f t="shared" si="119"/>
        <v>NV</v>
      </c>
      <c r="NN7" s="10" t="str">
        <f t="shared" si="120"/>
        <v xml:space="preserve"> </v>
      </c>
      <c r="NO7" s="10"/>
      <c r="NP7" s="53">
        <v>24</v>
      </c>
      <c r="NQ7" s="55">
        <v>3.8750000000000004</v>
      </c>
      <c r="NR7" s="56">
        <v>0.1956486834387911</v>
      </c>
      <c r="NS7" s="10" t="str">
        <f t="shared" si="121"/>
        <v>NV</v>
      </c>
      <c r="NT7" s="10" t="str">
        <f t="shared" si="122"/>
        <v xml:space="preserve"> </v>
      </c>
      <c r="NU7" s="10"/>
      <c r="NV7" s="54">
        <v>39</v>
      </c>
      <c r="NW7" s="57">
        <v>3.6422606929797721</v>
      </c>
      <c r="NX7" s="58">
        <v>0.16018343049267217</v>
      </c>
      <c r="NY7" s="10" t="str">
        <f t="shared" si="123"/>
        <v>NV</v>
      </c>
      <c r="NZ7" s="10" t="str">
        <f t="shared" si="129"/>
        <v xml:space="preserve"> </v>
      </c>
      <c r="OA7" s="114">
        <f t="shared" si="124"/>
        <v>5.6775512056063793E-2</v>
      </c>
      <c r="OB7" s="58"/>
    </row>
    <row r="8" spans="1:392" x14ac:dyDescent="0.2">
      <c r="B8" s="65" t="s">
        <v>6</v>
      </c>
      <c r="C8" s="27">
        <v>355</v>
      </c>
      <c r="D8" s="28">
        <v>3.6424846110485629</v>
      </c>
      <c r="E8" s="29">
        <v>5.1526495506149878E-2</v>
      </c>
      <c r="F8" s="10"/>
      <c r="G8" s="42">
        <v>112</v>
      </c>
      <c r="H8" s="43">
        <v>3.4106159010583776</v>
      </c>
      <c r="I8" s="67">
        <v>0.1029778969346393</v>
      </c>
      <c r="J8" s="10">
        <f t="shared" si="1"/>
        <v>2.0136304388182662</v>
      </c>
      <c r="K8" s="10" t="str">
        <f t="shared" si="2"/>
        <v>*</v>
      </c>
      <c r="L8" s="114">
        <f t="shared" si="3"/>
        <v>0.23186870999018527</v>
      </c>
      <c r="M8" s="10"/>
      <c r="N8" s="42">
        <v>91.49704344000007</v>
      </c>
      <c r="O8" s="43">
        <v>3.3295454545454541</v>
      </c>
      <c r="P8" s="67">
        <v>7.553980066097106E-2</v>
      </c>
      <c r="Q8" s="10">
        <f t="shared" si="4"/>
        <v>3.4223508573321366</v>
      </c>
      <c r="R8" s="10" t="str">
        <f t="shared" si="5"/>
        <v>*</v>
      </c>
      <c r="S8" s="10"/>
      <c r="T8" s="53">
        <v>82</v>
      </c>
      <c r="U8" s="55">
        <v>3.5365853658536595</v>
      </c>
      <c r="V8" s="56">
        <v>0.10280658366955026</v>
      </c>
      <c r="W8" s="10">
        <f t="shared" si="6"/>
        <v>0.92089178184233522</v>
      </c>
      <c r="X8" s="10" t="str">
        <f t="shared" si="7"/>
        <v xml:space="preserve"> </v>
      </c>
      <c r="Y8" s="10"/>
      <c r="Z8" s="54">
        <v>184</v>
      </c>
      <c r="AA8" s="57">
        <v>3.2663043478260874</v>
      </c>
      <c r="AB8" s="58">
        <v>5.14707590023602E-2</v>
      </c>
      <c r="AC8" s="10">
        <f t="shared" si="8"/>
        <v>5.1651779922681618</v>
      </c>
      <c r="AD8" s="10" t="str">
        <f t="shared" si="9"/>
        <v>*</v>
      </c>
      <c r="AE8" s="114">
        <f t="shared" si="10"/>
        <v>0.37618026322247555</v>
      </c>
      <c r="AF8" s="76"/>
      <c r="AG8" s="27">
        <v>85</v>
      </c>
      <c r="AH8" s="28">
        <v>3.8950363023723265</v>
      </c>
      <c r="AI8" s="29">
        <v>9.5948485617732004E-2</v>
      </c>
      <c r="AJ8" s="67"/>
      <c r="AK8" s="42">
        <v>47</v>
      </c>
      <c r="AL8" s="43">
        <v>3.6388377621189476</v>
      </c>
      <c r="AM8" s="67">
        <v>0.16446495357353144</v>
      </c>
      <c r="AN8" s="10">
        <f t="shared" si="11"/>
        <v>1.345530966945619</v>
      </c>
      <c r="AO8" s="10" t="str">
        <f t="shared" si="12"/>
        <v xml:space="preserve"> </v>
      </c>
      <c r="AP8" s="114">
        <f t="shared" si="13"/>
        <v>0.25619854025337885</v>
      </c>
      <c r="AQ8" s="67"/>
      <c r="AR8" s="42">
        <v>80.588643720000007</v>
      </c>
      <c r="AS8" s="43">
        <v>3.3556472894565794</v>
      </c>
      <c r="AT8" s="67">
        <v>0.10592762416365774</v>
      </c>
      <c r="AU8" s="10">
        <f t="shared" si="14"/>
        <v>3.7740027274648211</v>
      </c>
      <c r="AV8" s="10" t="str">
        <f t="shared" si="15"/>
        <v>*</v>
      </c>
      <c r="AW8" s="10"/>
      <c r="AX8" s="53">
        <v>76</v>
      </c>
      <c r="AY8" s="55">
        <v>3.3835220678262758</v>
      </c>
      <c r="AZ8" s="56">
        <v>0.11155025526243033</v>
      </c>
      <c r="BA8" s="10">
        <f t="shared" si="16"/>
        <v>3.4764266695346731</v>
      </c>
      <c r="BB8" s="10" t="str">
        <f t="shared" si="17"/>
        <v>*</v>
      </c>
      <c r="BC8" s="10"/>
      <c r="BD8" s="54">
        <v>65</v>
      </c>
      <c r="BE8" s="57">
        <v>3.3202170461585929</v>
      </c>
      <c r="BF8" s="58">
        <v>0.11262622805710361</v>
      </c>
      <c r="BG8" s="10">
        <f t="shared" si="18"/>
        <v>3.8850865545717879</v>
      </c>
      <c r="BH8" s="10" t="str">
        <f t="shared" si="19"/>
        <v>*</v>
      </c>
      <c r="BI8" s="114">
        <f t="shared" si="20"/>
        <v>0.57481925621373353</v>
      </c>
      <c r="BJ8" s="76"/>
      <c r="BK8" s="27">
        <v>964</v>
      </c>
      <c r="BL8" s="28">
        <v>3.8202314795063197</v>
      </c>
      <c r="BM8" s="29">
        <v>2.9730265915922122E-2</v>
      </c>
      <c r="BN8" s="10"/>
      <c r="BO8" s="42">
        <v>290</v>
      </c>
      <c r="BP8" s="43">
        <v>3.7931590626434653</v>
      </c>
      <c r="BQ8" s="67">
        <v>5.282004103036532E-2</v>
      </c>
      <c r="BR8" s="10">
        <f t="shared" si="21"/>
        <v>0.44664922796255835</v>
      </c>
      <c r="BS8" s="10" t="str">
        <f t="shared" si="22"/>
        <v xml:space="preserve"> </v>
      </c>
      <c r="BT8" s="114">
        <f t="shared" si="23"/>
        <v>2.7072416862854443E-2</v>
      </c>
      <c r="BU8" s="10"/>
      <c r="BV8" s="42">
        <v>281.93324012999864</v>
      </c>
      <c r="BW8" s="43">
        <v>3.4754302102802566</v>
      </c>
      <c r="BX8" s="67">
        <v>3.8712770563034161E-2</v>
      </c>
      <c r="BY8" s="10">
        <f t="shared" si="24"/>
        <v>7.063928030701117</v>
      </c>
      <c r="BZ8" s="10" t="str">
        <f t="shared" si="25"/>
        <v>*</v>
      </c>
      <c r="CA8" s="10"/>
      <c r="CB8" s="53">
        <v>236</v>
      </c>
      <c r="CC8" s="55">
        <v>3.647300548278456</v>
      </c>
      <c r="CD8" s="56">
        <v>3.5420231342233613E-2</v>
      </c>
      <c r="CE8" s="10">
        <f t="shared" si="26"/>
        <v>3.7395550547218281</v>
      </c>
      <c r="CF8" s="10" t="str">
        <f t="shared" si="27"/>
        <v>*</v>
      </c>
      <c r="CG8" s="10"/>
      <c r="CH8" s="54">
        <v>337</v>
      </c>
      <c r="CI8" s="57">
        <v>3.6474981595438032</v>
      </c>
      <c r="CJ8" s="58">
        <v>4.7653965677036558E-2</v>
      </c>
      <c r="CK8" s="10">
        <f t="shared" si="28"/>
        <v>3.0753245177449404</v>
      </c>
      <c r="CL8" s="10" t="str">
        <f t="shared" si="29"/>
        <v>*</v>
      </c>
      <c r="CM8" s="114">
        <f t="shared" si="30"/>
        <v>0.17273331996251651</v>
      </c>
      <c r="CN8" s="76"/>
      <c r="CO8" s="27">
        <v>622</v>
      </c>
      <c r="CP8" s="28">
        <v>3.9694936558267515</v>
      </c>
      <c r="CQ8" s="29">
        <v>3.5279614237670405E-2</v>
      </c>
      <c r="CR8" s="67"/>
      <c r="CS8" s="42">
        <v>185</v>
      </c>
      <c r="CT8" s="43">
        <v>4.0488654755781379</v>
      </c>
      <c r="CU8" s="67">
        <v>6.5521688220558191E-2</v>
      </c>
      <c r="CV8" s="10">
        <f t="shared" si="31"/>
        <v>-1.0665959900499715</v>
      </c>
      <c r="CW8" s="10" t="str">
        <f t="shared" si="32"/>
        <v xml:space="preserve"> </v>
      </c>
      <c r="CX8" s="114">
        <f t="shared" si="33"/>
        <v>-7.9371819751386408E-2</v>
      </c>
      <c r="CY8" s="10"/>
      <c r="CZ8" s="42">
        <v>206.36495561999959</v>
      </c>
      <c r="DA8" s="43">
        <v>4.0901374630402447</v>
      </c>
      <c r="DB8" s="67">
        <v>5.4915664754781615E-2</v>
      </c>
      <c r="DC8" s="10">
        <f t="shared" si="34"/>
        <v>-1.8483354502403959</v>
      </c>
      <c r="DD8" s="10" t="str">
        <f t="shared" si="35"/>
        <v xml:space="preserve"> </v>
      </c>
      <c r="DE8" s="10"/>
      <c r="DF8" s="53">
        <v>149</v>
      </c>
      <c r="DG8" s="55">
        <v>4.1260011693103573</v>
      </c>
      <c r="DH8" s="56">
        <v>6.5246225522281195E-2</v>
      </c>
      <c r="DI8" s="10">
        <f t="shared" si="36"/>
        <v>-2.1100167613085001</v>
      </c>
      <c r="DJ8" s="10" t="str">
        <f t="shared" si="0"/>
        <v>*</v>
      </c>
      <c r="DK8" s="10"/>
      <c r="DL8" s="54">
        <v>231</v>
      </c>
      <c r="DM8" s="57">
        <v>3.8678561518687133</v>
      </c>
      <c r="DN8" s="58">
        <v>5.9442839303829875E-2</v>
      </c>
      <c r="DO8" s="10">
        <f t="shared" si="37"/>
        <v>1.4703687632567894</v>
      </c>
      <c r="DP8" s="10" t="str">
        <f t="shared" si="38"/>
        <v xml:space="preserve"> </v>
      </c>
      <c r="DQ8" s="114">
        <f t="shared" si="39"/>
        <v>0.10163750395803817</v>
      </c>
      <c r="DR8" s="76"/>
      <c r="DS8" s="27">
        <v>180</v>
      </c>
      <c r="DT8" s="28">
        <v>3.5470436458304389</v>
      </c>
      <c r="DU8" s="29">
        <v>7.6733357901029489E-2</v>
      </c>
      <c r="DV8" s="10"/>
      <c r="DW8" s="42">
        <v>69</v>
      </c>
      <c r="DX8" s="43">
        <v>3.2476472076980523</v>
      </c>
      <c r="DY8" s="67">
        <v>0.11401338454019283</v>
      </c>
      <c r="DZ8" s="10">
        <f t="shared" si="40"/>
        <v>2.178534532953273</v>
      </c>
      <c r="EA8" s="10" t="str">
        <f t="shared" si="41"/>
        <v>*</v>
      </c>
      <c r="EB8" s="114">
        <f t="shared" si="42"/>
        <v>0.29939643813238659</v>
      </c>
      <c r="EC8" s="10"/>
      <c r="ED8" s="42">
        <v>80.816825280000032</v>
      </c>
      <c r="EE8" s="43">
        <v>3.3091071900368512</v>
      </c>
      <c r="EF8" s="67">
        <v>0.11040766967552713</v>
      </c>
      <c r="EG8" s="10">
        <f t="shared" si="43"/>
        <v>1.7696503159113868</v>
      </c>
      <c r="EH8" s="10" t="str">
        <f t="shared" si="44"/>
        <v xml:space="preserve"> </v>
      </c>
      <c r="EI8" s="10"/>
      <c r="EJ8" s="53">
        <v>73</v>
      </c>
      <c r="EK8" s="55">
        <v>3.222277510507225</v>
      </c>
      <c r="EL8" s="56">
        <v>0.11088014799112875</v>
      </c>
      <c r="EM8" s="10">
        <f t="shared" si="45"/>
        <v>2.4084905637182903</v>
      </c>
      <c r="EN8" s="10" t="str">
        <f t="shared" si="46"/>
        <v>*</v>
      </c>
      <c r="EO8" s="10"/>
      <c r="EP8" s="54">
        <v>54</v>
      </c>
      <c r="EQ8" s="57">
        <v>3.4999999999999991</v>
      </c>
      <c r="ER8" s="58">
        <v>0.12537366003607911</v>
      </c>
      <c r="ES8" s="10">
        <f t="shared" si="47"/>
        <v>0.32004284996946003</v>
      </c>
      <c r="ET8" s="10" t="str">
        <f t="shared" si="48"/>
        <v xml:space="preserve"> </v>
      </c>
      <c r="EU8" s="114">
        <f t="shared" si="49"/>
        <v>4.704364583043974E-2</v>
      </c>
      <c r="EV8" s="76"/>
      <c r="EW8" s="27">
        <v>394</v>
      </c>
      <c r="EX8" s="28">
        <v>4.0602007996831491</v>
      </c>
      <c r="EY8" s="29">
        <v>4.399887231579299E-2</v>
      </c>
      <c r="EZ8" s="10"/>
      <c r="FA8" s="42">
        <v>123</v>
      </c>
      <c r="FB8" s="43">
        <v>4.1385165149298393</v>
      </c>
      <c r="FC8" s="67">
        <v>7.3290272543301963E-2</v>
      </c>
      <c r="FD8" s="10">
        <f t="shared" si="50"/>
        <v>-0.91615408792485231</v>
      </c>
      <c r="FE8" s="10" t="str">
        <f t="shared" si="51"/>
        <v xml:space="preserve"> </v>
      </c>
      <c r="FF8" s="114">
        <f t="shared" si="52"/>
        <v>-7.8315715246690232E-2</v>
      </c>
      <c r="FG8" s="10"/>
      <c r="FH8" s="42">
        <v>129.68216430000004</v>
      </c>
      <c r="FI8" s="43">
        <v>3.4994640229026475</v>
      </c>
      <c r="FJ8" s="67">
        <v>6.6062137412789018E-2</v>
      </c>
      <c r="FK8" s="10">
        <f t="shared" si="53"/>
        <v>7.0645594839700365</v>
      </c>
      <c r="FL8" s="10" t="str">
        <f t="shared" si="54"/>
        <v>*</v>
      </c>
      <c r="FM8" s="10"/>
      <c r="FN8" s="53">
        <v>94</v>
      </c>
      <c r="FO8" s="55">
        <v>3.7432321751213928</v>
      </c>
      <c r="FP8" s="56">
        <v>8.0129555329059077E-2</v>
      </c>
      <c r="FQ8" s="10">
        <f t="shared" si="55"/>
        <v>3.4673705982719731</v>
      </c>
      <c r="FR8" s="10" t="str">
        <f t="shared" si="56"/>
        <v>*</v>
      </c>
      <c r="FS8" s="10"/>
      <c r="FT8" s="54">
        <v>158</v>
      </c>
      <c r="FU8" s="57">
        <v>3.6104025139914304</v>
      </c>
      <c r="FV8" s="58">
        <v>6.3844490107975743E-2</v>
      </c>
      <c r="FW8" s="10">
        <f t="shared" si="57"/>
        <v>5.8010632278925511</v>
      </c>
      <c r="FX8" s="10" t="str">
        <f t="shared" si="125"/>
        <v>*</v>
      </c>
      <c r="FY8" s="114">
        <f t="shared" si="58"/>
        <v>0.44979828569171865</v>
      </c>
      <c r="FZ8" s="76"/>
      <c r="GA8" s="27">
        <v>142</v>
      </c>
      <c r="GB8" s="28">
        <v>3.555396252155949</v>
      </c>
      <c r="GC8" s="29">
        <v>8.1382903286267655E-2</v>
      </c>
      <c r="GD8" s="67"/>
      <c r="GE8" s="42">
        <v>112</v>
      </c>
      <c r="GF8" s="43">
        <v>3.6442445004800654</v>
      </c>
      <c r="GG8" s="67">
        <v>9.2702536257957463E-2</v>
      </c>
      <c r="GH8" s="10">
        <f t="shared" si="59"/>
        <v>-0.72025328237440367</v>
      </c>
      <c r="GI8" s="10" t="str">
        <f t="shared" si="60"/>
        <v xml:space="preserve"> </v>
      </c>
      <c r="GJ8" s="114">
        <f t="shared" si="61"/>
        <v>-8.8848248324116419E-2</v>
      </c>
      <c r="GK8" s="67"/>
      <c r="GL8" s="42">
        <v>116.23596675999993</v>
      </c>
      <c r="GM8" s="43">
        <v>3.6714866788277054</v>
      </c>
      <c r="GN8" s="67">
        <v>8.9138445666171115E-2</v>
      </c>
      <c r="GO8" s="10">
        <f t="shared" si="62"/>
        <v>-0.96179813099618827</v>
      </c>
      <c r="GP8" s="10" t="str">
        <f t="shared" si="63"/>
        <v xml:space="preserve"> </v>
      </c>
      <c r="GQ8" s="10"/>
      <c r="GR8" s="53">
        <v>132</v>
      </c>
      <c r="GS8" s="55">
        <v>3.3388985341347395</v>
      </c>
      <c r="GT8" s="56">
        <v>9.3224368838423693E-2</v>
      </c>
      <c r="GU8" s="10">
        <f t="shared" si="64"/>
        <v>1.7494823702183735</v>
      </c>
      <c r="GV8" s="10" t="str">
        <f t="shared" si="65"/>
        <v xml:space="preserve"> </v>
      </c>
      <c r="GW8" s="10"/>
      <c r="GX8" s="54">
        <v>153</v>
      </c>
      <c r="GY8" s="57">
        <v>3.5892974394114745</v>
      </c>
      <c r="GZ8" s="58">
        <v>7.8394927156974131E-2</v>
      </c>
      <c r="HA8" s="10">
        <f t="shared" si="66"/>
        <v>-0.30001119332164933</v>
      </c>
      <c r="HB8" s="10" t="str">
        <f t="shared" si="126"/>
        <v xml:space="preserve"> </v>
      </c>
      <c r="HC8" s="114">
        <f t="shared" si="67"/>
        <v>-3.3901187255525489E-2</v>
      </c>
      <c r="HD8" s="76"/>
      <c r="HE8" s="27">
        <v>176</v>
      </c>
      <c r="HF8" s="28">
        <v>3.6717259203187371</v>
      </c>
      <c r="HG8" s="29">
        <v>7.2450707724659821E-2</v>
      </c>
      <c r="HH8" s="10"/>
      <c r="HI8" s="42">
        <v>113</v>
      </c>
      <c r="HJ8" s="43">
        <v>3.6840706892575295</v>
      </c>
      <c r="HK8" s="67">
        <v>9.3031484304946774E-2</v>
      </c>
      <c r="HL8" s="10">
        <f t="shared" si="68"/>
        <v>-0.10469204363874016</v>
      </c>
      <c r="HM8" s="10" t="str">
        <f t="shared" si="69"/>
        <v xml:space="preserve"> </v>
      </c>
      <c r="HN8" s="114">
        <f t="shared" si="70"/>
        <v>-1.2344768938792328E-2</v>
      </c>
      <c r="HO8" s="10"/>
      <c r="HP8" s="42">
        <v>96.640603239999919</v>
      </c>
      <c r="HQ8" s="43">
        <v>3.789963829907069</v>
      </c>
      <c r="HR8" s="67">
        <v>0.10418067297540322</v>
      </c>
      <c r="HS8" s="10">
        <f t="shared" si="71"/>
        <v>-0.93176663204834165</v>
      </c>
      <c r="HT8" s="10" t="str">
        <f t="shared" si="72"/>
        <v xml:space="preserve"> </v>
      </c>
      <c r="HU8" s="10"/>
      <c r="HV8" s="53">
        <v>49</v>
      </c>
      <c r="HW8" s="55">
        <v>3.7137970968062137</v>
      </c>
      <c r="HX8" s="56">
        <v>0.10094022534477443</v>
      </c>
      <c r="HY8" s="10">
        <f t="shared" si="73"/>
        <v>-0.33860132898943046</v>
      </c>
      <c r="HZ8" s="10" t="str">
        <f t="shared" si="74"/>
        <v xml:space="preserve"> </v>
      </c>
      <c r="IA8" s="10"/>
      <c r="IB8" s="54">
        <v>129</v>
      </c>
      <c r="IC8" s="57">
        <v>3.7451058730829554</v>
      </c>
      <c r="ID8" s="58">
        <v>9.0225129425243328E-2</v>
      </c>
      <c r="IE8" s="10">
        <f t="shared" si="75"/>
        <v>-0.63415050791225702</v>
      </c>
      <c r="IF8" s="10" t="str">
        <f t="shared" si="127"/>
        <v xml:space="preserve"> </v>
      </c>
      <c r="IG8" s="114">
        <f t="shared" si="76"/>
        <v>-7.337995276421827E-2</v>
      </c>
      <c r="IH8" s="76"/>
      <c r="II8" s="27">
        <v>425</v>
      </c>
      <c r="IJ8" s="28">
        <v>3.7723787235947999</v>
      </c>
      <c r="IK8" s="29">
        <v>4.7421098647004778E-2</v>
      </c>
      <c r="IL8" s="10"/>
      <c r="IM8" s="42">
        <v>275</v>
      </c>
      <c r="IN8" s="43">
        <v>3.7403475489852451</v>
      </c>
      <c r="IO8" s="67">
        <v>5.9999742883611651E-2</v>
      </c>
      <c r="IP8" s="10">
        <f t="shared" si="77"/>
        <v>0.41883415275433139</v>
      </c>
      <c r="IQ8" s="10" t="str">
        <f t="shared" si="78"/>
        <v xml:space="preserve"> </v>
      </c>
      <c r="IR8" s="114">
        <f t="shared" si="79"/>
        <v>3.2031174609554736E-2</v>
      </c>
      <c r="IS8" s="10"/>
      <c r="IT8" s="42">
        <v>297.55416791000113</v>
      </c>
      <c r="IU8" s="43">
        <v>3.7529941063630776</v>
      </c>
      <c r="IV8" s="67">
        <v>5.4279517361061763E-2</v>
      </c>
      <c r="IW8" s="10">
        <f t="shared" si="80"/>
        <v>0.26894491783674956</v>
      </c>
      <c r="IX8" s="10" t="str">
        <f t="shared" si="81"/>
        <v xml:space="preserve"> </v>
      </c>
      <c r="IY8" s="10"/>
      <c r="IZ8" s="53">
        <v>222</v>
      </c>
      <c r="JA8" s="55">
        <v>3.7793343599145173</v>
      </c>
      <c r="JB8" s="56">
        <v>6.37776117360003E-2</v>
      </c>
      <c r="JC8" s="10">
        <f t="shared" si="82"/>
        <v>-8.7519326531636799E-2</v>
      </c>
      <c r="JD8" s="10" t="str">
        <f t="shared" si="83"/>
        <v xml:space="preserve"> </v>
      </c>
      <c r="JE8" s="10"/>
      <c r="JF8" s="54">
        <v>335</v>
      </c>
      <c r="JG8" s="57">
        <v>3.7830591100154352</v>
      </c>
      <c r="JH8" s="58">
        <v>5.2949596102774332E-2</v>
      </c>
      <c r="JI8" s="10">
        <f t="shared" si="84"/>
        <v>-0.15025787035390595</v>
      </c>
      <c r="JJ8" s="10" t="str">
        <f t="shared" si="85"/>
        <v xml:space="preserve"> </v>
      </c>
      <c r="JK8" s="114">
        <f t="shared" si="86"/>
        <v>-1.0680386420635291E-2</v>
      </c>
      <c r="JL8" s="76"/>
      <c r="JM8" s="27">
        <v>36</v>
      </c>
      <c r="JN8" s="28">
        <v>3.9166666666666665</v>
      </c>
      <c r="JO8" s="29">
        <v>0.16614114078858552</v>
      </c>
      <c r="JP8" s="10"/>
      <c r="JQ8" s="42">
        <v>26</v>
      </c>
      <c r="JR8" s="43">
        <v>4.0777358488779152</v>
      </c>
      <c r="JS8" s="67">
        <v>0.16559619943032508</v>
      </c>
      <c r="JT8" s="10" t="str">
        <f t="shared" si="87"/>
        <v>NV</v>
      </c>
      <c r="JU8" s="10" t="str">
        <f t="shared" si="88"/>
        <v xml:space="preserve"> </v>
      </c>
      <c r="JV8" s="114">
        <f t="shared" si="89"/>
        <v>-0.16106918221124866</v>
      </c>
      <c r="JW8" s="10"/>
      <c r="JX8" s="42">
        <v>28.713462310000004</v>
      </c>
      <c r="JY8" s="43">
        <v>4.068965517241379</v>
      </c>
      <c r="JZ8" s="67">
        <v>0.16493059955509556</v>
      </c>
      <c r="KA8" s="10" t="str">
        <f t="shared" si="90"/>
        <v>NV</v>
      </c>
      <c r="KB8" s="10" t="str">
        <f t="shared" si="91"/>
        <v xml:space="preserve"> </v>
      </c>
      <c r="KC8" s="10"/>
      <c r="KD8" s="53">
        <v>12</v>
      </c>
      <c r="KE8" s="55">
        <v>3.8333333333333335</v>
      </c>
      <c r="KF8" s="56">
        <v>0.30107699616824501</v>
      </c>
      <c r="KG8" s="10" t="str">
        <f t="shared" si="92"/>
        <v>NV</v>
      </c>
      <c r="KH8" s="10" t="str">
        <f t="shared" si="93"/>
        <v xml:space="preserve"> </v>
      </c>
      <c r="KI8" s="10"/>
      <c r="KJ8" s="54">
        <v>19</v>
      </c>
      <c r="KK8" s="57">
        <v>3.736842105263158</v>
      </c>
      <c r="KL8" s="58">
        <v>0.24853094449402169</v>
      </c>
      <c r="KM8" s="10" t="str">
        <f t="shared" si="94"/>
        <v>NV</v>
      </c>
      <c r="KN8" s="10" t="str">
        <f t="shared" si="95"/>
        <v xml:space="preserve"> </v>
      </c>
      <c r="KO8" s="114">
        <f t="shared" si="96"/>
        <v>0.17982456140350855</v>
      </c>
      <c r="KP8" s="76"/>
      <c r="KQ8" s="27">
        <v>385</v>
      </c>
      <c r="KR8" s="28">
        <v>3.3269660416247433</v>
      </c>
      <c r="KS8" s="29">
        <v>5.5685435499454664E-2</v>
      </c>
      <c r="KT8" s="10"/>
      <c r="KU8" s="42">
        <v>187</v>
      </c>
      <c r="KV8" s="43">
        <v>3.3910209229991901</v>
      </c>
      <c r="KW8" s="67">
        <v>8.1817889273950853E-2</v>
      </c>
      <c r="KX8" s="10">
        <f t="shared" si="97"/>
        <v>-0.64721599411454434</v>
      </c>
      <c r="KY8" s="10" t="str">
        <f t="shared" si="98"/>
        <v xml:space="preserve"> </v>
      </c>
      <c r="KZ8" s="114">
        <f t="shared" si="99"/>
        <v>-6.4054881374446815E-2</v>
      </c>
      <c r="LA8" s="10"/>
      <c r="LB8" s="42">
        <v>247.06624639999913</v>
      </c>
      <c r="LC8" s="43">
        <v>3.5732743599491541</v>
      </c>
      <c r="LD8" s="67">
        <v>6.5731272030633309E-2</v>
      </c>
      <c r="LE8" s="10">
        <f t="shared" si="100"/>
        <v>-2.8591317868248911</v>
      </c>
      <c r="LF8" s="10" t="str">
        <f t="shared" si="101"/>
        <v>*</v>
      </c>
      <c r="LG8" s="10"/>
      <c r="LH8" s="53">
        <v>416</v>
      </c>
      <c r="LI8" s="55">
        <v>3.2993377499101251</v>
      </c>
      <c r="LJ8" s="56">
        <v>5.2809005268115432E-2</v>
      </c>
      <c r="LK8" s="10">
        <f t="shared" si="102"/>
        <v>0.36000535945552048</v>
      </c>
      <c r="LL8" s="10" t="str">
        <f t="shared" si="103"/>
        <v xml:space="preserve"> </v>
      </c>
      <c r="LM8" s="10"/>
      <c r="LN8" s="54">
        <v>481</v>
      </c>
      <c r="LO8" s="57">
        <v>3.1767183729071147</v>
      </c>
      <c r="LP8" s="58">
        <v>4.6241988819192621E-2</v>
      </c>
      <c r="LQ8" s="10">
        <f t="shared" si="104"/>
        <v>2.0757531166173844</v>
      </c>
      <c r="LR8" s="10" t="str">
        <f t="shared" si="128"/>
        <v>*</v>
      </c>
      <c r="LS8" s="114">
        <f t="shared" si="105"/>
        <v>0.15024766871762862</v>
      </c>
      <c r="LT8" s="76"/>
      <c r="LU8" s="27">
        <v>145</v>
      </c>
      <c r="LV8" s="28">
        <v>3.7241583467752757</v>
      </c>
      <c r="LW8" s="29">
        <v>8.5621255495187884E-2</v>
      </c>
      <c r="LX8" s="10"/>
      <c r="LY8" s="42">
        <v>121</v>
      </c>
      <c r="LZ8" s="43">
        <v>3.7436770428289448</v>
      </c>
      <c r="MA8" s="67">
        <v>9.127153963406015E-2</v>
      </c>
      <c r="MB8" s="10">
        <f t="shared" si="106"/>
        <v>-0.15596753781076436</v>
      </c>
      <c r="MC8" s="10" t="str">
        <f t="shared" si="107"/>
        <v xml:space="preserve"> </v>
      </c>
      <c r="MD8" s="114">
        <f t="shared" si="108"/>
        <v>-1.9518696053669071E-2</v>
      </c>
      <c r="ME8" s="10"/>
      <c r="MF8" s="42">
        <v>148.00463589999998</v>
      </c>
      <c r="MG8" s="43">
        <v>3.8137599283807297</v>
      </c>
      <c r="MH8" s="67">
        <v>7.4808385052449897E-2</v>
      </c>
      <c r="MI8" s="10">
        <f t="shared" si="109"/>
        <v>-0.78806468278993436</v>
      </c>
      <c r="MJ8" s="10" t="str">
        <f t="shared" si="110"/>
        <v xml:space="preserve"> </v>
      </c>
      <c r="MK8" s="10"/>
      <c r="ML8" s="53">
        <v>222</v>
      </c>
      <c r="MM8" s="55">
        <v>3.7657657657657646</v>
      </c>
      <c r="MN8" s="56">
        <v>6.7100269781604646E-2</v>
      </c>
      <c r="MO8" s="10">
        <f t="shared" si="111"/>
        <v>-0.38248566848109616</v>
      </c>
      <c r="MP8" s="10" t="str">
        <f t="shared" si="112"/>
        <v xml:space="preserve"> </v>
      </c>
      <c r="MQ8" s="10"/>
      <c r="MR8" s="54">
        <v>314</v>
      </c>
      <c r="MS8" s="57">
        <v>3.6659607192059807</v>
      </c>
      <c r="MT8" s="58">
        <v>5.6358511961375021E-2</v>
      </c>
      <c r="MU8" s="10">
        <f t="shared" si="113"/>
        <v>0.56775386852938092</v>
      </c>
      <c r="MV8" s="10" t="str">
        <f t="shared" si="114"/>
        <v xml:space="preserve"> </v>
      </c>
      <c r="MW8" s="114">
        <f t="shared" si="115"/>
        <v>5.819762756929503E-2</v>
      </c>
      <c r="MX8" s="76"/>
      <c r="MY8" s="27">
        <v>148</v>
      </c>
      <c r="MZ8" s="28">
        <v>3.7567685044314003</v>
      </c>
      <c r="NA8" s="29">
        <v>7.2777500323853786E-2</v>
      </c>
      <c r="NB8" s="10"/>
      <c r="NC8" s="42">
        <v>105</v>
      </c>
      <c r="ND8" s="43">
        <v>3.7146866229239222</v>
      </c>
      <c r="NE8" s="67">
        <v>9.7406907229944412E-2</v>
      </c>
      <c r="NF8" s="10">
        <f t="shared" si="116"/>
        <v>0.34609022210788348</v>
      </c>
      <c r="NG8" s="10" t="str">
        <f t="shared" si="117"/>
        <v xml:space="preserve"> </v>
      </c>
      <c r="NH8" s="114">
        <f t="shared" si="118"/>
        <v>4.2081881507478158E-2</v>
      </c>
      <c r="NI8" s="10"/>
      <c r="NJ8" s="42">
        <v>92.008251649999934</v>
      </c>
      <c r="NK8" s="43">
        <v>3.8226381141109331</v>
      </c>
      <c r="NL8" s="67">
        <v>9.8973076900048182E-2</v>
      </c>
      <c r="NM8" s="10">
        <f t="shared" si="119"/>
        <v>-0.53617716938564897</v>
      </c>
      <c r="NN8" s="10" t="str">
        <f t="shared" si="120"/>
        <v xml:space="preserve"> </v>
      </c>
      <c r="NO8" s="10"/>
      <c r="NP8" s="53">
        <v>99</v>
      </c>
      <c r="NQ8" s="55">
        <v>3.6375951265699387</v>
      </c>
      <c r="NR8" s="56">
        <v>9.278431057445656E-2</v>
      </c>
      <c r="NS8" s="10">
        <f t="shared" si="121"/>
        <v>1.0106157361168555</v>
      </c>
      <c r="NT8" s="10" t="str">
        <f t="shared" si="122"/>
        <v xml:space="preserve"> </v>
      </c>
      <c r="NU8" s="10"/>
      <c r="NV8" s="54">
        <v>194</v>
      </c>
      <c r="NW8" s="57">
        <v>3.7174947856063305</v>
      </c>
      <c r="NX8" s="58">
        <v>6.4246556877939509E-2</v>
      </c>
      <c r="NY8" s="10">
        <f t="shared" si="123"/>
        <v>0.40455738530852026</v>
      </c>
      <c r="NZ8" s="10" t="str">
        <f t="shared" si="129"/>
        <v xml:space="preserve"> </v>
      </c>
      <c r="OA8" s="114">
        <f t="shared" si="124"/>
        <v>3.9273718825069803E-2</v>
      </c>
      <c r="OB8" s="58"/>
    </row>
    <row r="9" spans="1:392" x14ac:dyDescent="0.2">
      <c r="B9" s="65"/>
      <c r="C9" s="27"/>
      <c r="D9" s="28"/>
      <c r="E9" s="29"/>
      <c r="F9" s="10"/>
      <c r="G9" s="42"/>
      <c r="H9" s="43"/>
      <c r="I9" s="67"/>
      <c r="J9" s="10"/>
      <c r="K9" s="10"/>
      <c r="L9" s="114"/>
      <c r="M9" s="10"/>
      <c r="N9" s="42"/>
      <c r="O9" s="43"/>
      <c r="P9" s="67"/>
      <c r="Q9" s="10"/>
      <c r="R9" s="10"/>
      <c r="S9" s="10"/>
      <c r="T9" s="53"/>
      <c r="U9" s="55"/>
      <c r="V9" s="56"/>
      <c r="W9" s="10"/>
      <c r="X9" s="10"/>
      <c r="Y9" s="10"/>
      <c r="Z9" s="54"/>
      <c r="AA9" s="57"/>
      <c r="AB9" s="58"/>
      <c r="AC9" s="10"/>
      <c r="AD9" s="10"/>
      <c r="AE9" s="114"/>
      <c r="AF9" s="76"/>
      <c r="AG9" s="27"/>
      <c r="AH9" s="28"/>
      <c r="AI9" s="29"/>
      <c r="AJ9" s="67"/>
      <c r="AK9" s="42"/>
      <c r="AL9" s="43"/>
      <c r="AM9" s="67"/>
      <c r="AN9" s="10"/>
      <c r="AO9" s="10"/>
      <c r="AP9" s="114"/>
      <c r="AQ9" s="67"/>
      <c r="AR9" s="42"/>
      <c r="AS9" s="43"/>
      <c r="AT9" s="67"/>
      <c r="AU9" s="10"/>
      <c r="AV9" s="10"/>
      <c r="AW9" s="10"/>
      <c r="AX9" s="53"/>
      <c r="AY9" s="55"/>
      <c r="AZ9" s="56"/>
      <c r="BA9" s="10"/>
      <c r="BB9" s="10"/>
      <c r="BC9" s="10"/>
      <c r="BD9" s="54"/>
      <c r="BE9" s="57"/>
      <c r="BF9" s="58"/>
      <c r="BG9" s="10"/>
      <c r="BH9" s="10"/>
      <c r="BI9" s="114"/>
      <c r="BJ9" s="76"/>
      <c r="BK9" s="27"/>
      <c r="BL9" s="28"/>
      <c r="BM9" s="29"/>
      <c r="BN9" s="10"/>
      <c r="BO9" s="42"/>
      <c r="BP9" s="43"/>
      <c r="BQ9" s="67"/>
      <c r="BR9" s="10"/>
      <c r="BS9" s="10"/>
      <c r="BT9" s="114"/>
      <c r="BU9" s="10"/>
      <c r="BV9" s="42"/>
      <c r="BW9" s="43"/>
      <c r="BX9" s="67"/>
      <c r="BY9" s="10"/>
      <c r="BZ9" s="10"/>
      <c r="CA9" s="10"/>
      <c r="CB9" s="53"/>
      <c r="CC9" s="55"/>
      <c r="CD9" s="56"/>
      <c r="CE9" s="10"/>
      <c r="CF9" s="10"/>
      <c r="CG9" s="10"/>
      <c r="CH9" s="54"/>
      <c r="CI9" s="57"/>
      <c r="CJ9" s="58"/>
      <c r="CK9" s="10"/>
      <c r="CL9" s="10"/>
      <c r="CM9" s="114"/>
      <c r="CN9" s="76"/>
      <c r="CO9" s="27"/>
      <c r="CP9" s="28"/>
      <c r="CQ9" s="29"/>
      <c r="CR9" s="67"/>
      <c r="CS9" s="42"/>
      <c r="CT9" s="43"/>
      <c r="CU9" s="67"/>
      <c r="CV9" s="10"/>
      <c r="CW9" s="10"/>
      <c r="CX9" s="114"/>
      <c r="CY9" s="10"/>
      <c r="CZ9" s="42"/>
      <c r="DA9" s="43"/>
      <c r="DB9" s="67"/>
      <c r="DC9" s="10"/>
      <c r="DD9" s="10"/>
      <c r="DE9" s="10"/>
      <c r="DF9" s="53"/>
      <c r="DG9" s="55"/>
      <c r="DH9" s="56"/>
      <c r="DI9" s="10"/>
      <c r="DJ9" s="10"/>
      <c r="DK9" s="10"/>
      <c r="DL9" s="54"/>
      <c r="DM9" s="57"/>
      <c r="DN9" s="58"/>
      <c r="DO9" s="10"/>
      <c r="DP9" s="10"/>
      <c r="DQ9" s="114"/>
      <c r="DR9" s="76"/>
      <c r="DS9" s="27"/>
      <c r="DT9" s="28"/>
      <c r="DU9" s="29"/>
      <c r="DV9" s="10"/>
      <c r="DW9" s="42"/>
      <c r="DX9" s="43"/>
      <c r="DY9" s="67"/>
      <c r="DZ9" s="10"/>
      <c r="EA9" s="10"/>
      <c r="EB9" s="114"/>
      <c r="EC9" s="10"/>
      <c r="ED9" s="42"/>
      <c r="EE9" s="43"/>
      <c r="EF9" s="67"/>
      <c r="EG9" s="10"/>
      <c r="EH9" s="10"/>
      <c r="EI9" s="10"/>
      <c r="EJ9" s="53"/>
      <c r="EK9" s="55"/>
      <c r="EL9" s="56"/>
      <c r="EM9" s="10"/>
      <c r="EN9" s="10"/>
      <c r="EO9" s="10"/>
      <c r="EP9" s="54"/>
      <c r="EQ9" s="57"/>
      <c r="ER9" s="58"/>
      <c r="ES9" s="10"/>
      <c r="ET9" s="10"/>
      <c r="EU9" s="114"/>
      <c r="EV9" s="76"/>
      <c r="EW9" s="27"/>
      <c r="EX9" s="28"/>
      <c r="EY9" s="29"/>
      <c r="EZ9" s="10"/>
      <c r="FA9" s="42"/>
      <c r="FB9" s="43"/>
      <c r="FC9" s="67"/>
      <c r="FD9" s="10"/>
      <c r="FE9" s="10"/>
      <c r="FF9" s="114"/>
      <c r="FG9" s="10"/>
      <c r="FH9" s="42"/>
      <c r="FI9" s="43"/>
      <c r="FJ9" s="67"/>
      <c r="FK9" s="10"/>
      <c r="FL9" s="10"/>
      <c r="FM9" s="10"/>
      <c r="FN9" s="53"/>
      <c r="FO9" s="55"/>
      <c r="FP9" s="56"/>
      <c r="FQ9" s="10"/>
      <c r="FR9" s="10"/>
      <c r="FS9" s="10"/>
      <c r="FT9" s="54"/>
      <c r="FU9" s="57"/>
      <c r="FV9" s="58"/>
      <c r="FW9" s="10"/>
      <c r="FX9" s="10"/>
      <c r="FY9" s="114"/>
      <c r="FZ9" s="76"/>
      <c r="GA9" s="27"/>
      <c r="GB9" s="28"/>
      <c r="GC9" s="29"/>
      <c r="GD9" s="67"/>
      <c r="GE9" s="42"/>
      <c r="GF9" s="43"/>
      <c r="GG9" s="67"/>
      <c r="GH9" s="10"/>
      <c r="GI9" s="10"/>
      <c r="GJ9" s="114"/>
      <c r="GK9" s="67"/>
      <c r="GL9" s="42"/>
      <c r="GM9" s="43"/>
      <c r="GN9" s="67"/>
      <c r="GO9" s="10"/>
      <c r="GP9" s="10"/>
      <c r="GQ9" s="10"/>
      <c r="GR9" s="53"/>
      <c r="GS9" s="55"/>
      <c r="GT9" s="56"/>
      <c r="GU9" s="10"/>
      <c r="GV9" s="10"/>
      <c r="GW9" s="10"/>
      <c r="GX9" s="54"/>
      <c r="GY9" s="57"/>
      <c r="GZ9" s="58"/>
      <c r="HA9" s="10"/>
      <c r="HB9" s="10"/>
      <c r="HC9" s="114"/>
      <c r="HD9" s="76"/>
      <c r="HE9" s="27"/>
      <c r="HF9" s="28"/>
      <c r="HG9" s="29"/>
      <c r="HH9" s="10"/>
      <c r="HI9" s="42"/>
      <c r="HJ9" s="43"/>
      <c r="HK9" s="67"/>
      <c r="HL9" s="10"/>
      <c r="HM9" s="10"/>
      <c r="HN9" s="114"/>
      <c r="HO9" s="10"/>
      <c r="HP9" s="42"/>
      <c r="HQ9" s="43"/>
      <c r="HR9" s="67"/>
      <c r="HS9" s="10"/>
      <c r="HT9" s="10"/>
      <c r="HU9" s="10"/>
      <c r="HV9" s="53"/>
      <c r="HW9" s="55"/>
      <c r="HX9" s="56"/>
      <c r="HY9" s="10"/>
      <c r="HZ9" s="10"/>
      <c r="IA9" s="10"/>
      <c r="IB9" s="54"/>
      <c r="IC9" s="57"/>
      <c r="ID9" s="58"/>
      <c r="IE9" s="10"/>
      <c r="IF9" s="10"/>
      <c r="IG9" s="114"/>
      <c r="IH9" s="76"/>
      <c r="II9" s="27"/>
      <c r="IJ9" s="28"/>
      <c r="IK9" s="29"/>
      <c r="IL9" s="10"/>
      <c r="IM9" s="42"/>
      <c r="IN9" s="43"/>
      <c r="IO9" s="67"/>
      <c r="IP9" s="10"/>
      <c r="IQ9" s="10"/>
      <c r="IR9" s="114"/>
      <c r="IS9" s="10"/>
      <c r="IT9" s="42"/>
      <c r="IU9" s="43"/>
      <c r="IV9" s="67"/>
      <c r="IW9" s="10"/>
      <c r="IX9" s="10"/>
      <c r="IY9" s="10"/>
      <c r="IZ9" s="53"/>
      <c r="JA9" s="55"/>
      <c r="JB9" s="56"/>
      <c r="JC9" s="10"/>
      <c r="JD9" s="10"/>
      <c r="JE9" s="10"/>
      <c r="JF9" s="54"/>
      <c r="JG9" s="57"/>
      <c r="JH9" s="58"/>
      <c r="JI9" s="10"/>
      <c r="JJ9" s="10"/>
      <c r="JK9" s="114"/>
      <c r="JL9" s="76"/>
      <c r="JM9" s="27"/>
      <c r="JN9" s="28"/>
      <c r="JO9" s="29"/>
      <c r="JP9" s="10"/>
      <c r="JQ9" s="42"/>
      <c r="JR9" s="43"/>
      <c r="JS9" s="67"/>
      <c r="JT9" s="10"/>
      <c r="JU9" s="10"/>
      <c r="JV9" s="114"/>
      <c r="JW9" s="10"/>
      <c r="JX9" s="42"/>
      <c r="JY9" s="43"/>
      <c r="JZ9" s="67"/>
      <c r="KA9" s="10"/>
      <c r="KB9" s="10"/>
      <c r="KC9" s="10"/>
      <c r="KD9" s="53"/>
      <c r="KE9" s="55"/>
      <c r="KF9" s="56"/>
      <c r="KG9" s="10"/>
      <c r="KH9" s="10"/>
      <c r="KI9" s="10"/>
      <c r="KJ9" s="54"/>
      <c r="KK9" s="57"/>
      <c r="KL9" s="58"/>
      <c r="KM9" s="10"/>
      <c r="KN9" s="10"/>
      <c r="KO9" s="114"/>
      <c r="KP9" s="76"/>
      <c r="KQ9" s="27"/>
      <c r="KR9" s="28"/>
      <c r="KS9" s="29"/>
      <c r="KT9" s="10"/>
      <c r="KU9" s="42"/>
      <c r="KV9" s="43"/>
      <c r="KW9" s="67"/>
      <c r="KX9" s="10"/>
      <c r="KY9" s="10"/>
      <c r="KZ9" s="114"/>
      <c r="LA9" s="10"/>
      <c r="LB9" s="42"/>
      <c r="LC9" s="43"/>
      <c r="LD9" s="67"/>
      <c r="LE9" s="10"/>
      <c r="LF9" s="10"/>
      <c r="LG9" s="10"/>
      <c r="LH9" s="53"/>
      <c r="LI9" s="55"/>
      <c r="LJ9" s="56"/>
      <c r="LK9" s="10"/>
      <c r="LL9" s="10"/>
      <c r="LM9" s="10"/>
      <c r="LN9" s="54"/>
      <c r="LO9" s="57"/>
      <c r="LP9" s="58"/>
      <c r="LQ9" s="10"/>
      <c r="LR9" s="10"/>
      <c r="LS9" s="114"/>
      <c r="LT9" s="76"/>
      <c r="LU9" s="27"/>
      <c r="LV9" s="28"/>
      <c r="LW9" s="29"/>
      <c r="LX9" s="10"/>
      <c r="LY9" s="42"/>
      <c r="LZ9" s="43"/>
      <c r="MA9" s="67"/>
      <c r="MB9" s="10"/>
      <c r="MC9" s="10"/>
      <c r="MD9" s="114"/>
      <c r="ME9" s="10"/>
      <c r="MF9" s="42"/>
      <c r="MG9" s="43"/>
      <c r="MH9" s="67"/>
      <c r="MI9" s="10"/>
      <c r="MJ9" s="10"/>
      <c r="MK9" s="10"/>
      <c r="ML9" s="53"/>
      <c r="MM9" s="55"/>
      <c r="MN9" s="56"/>
      <c r="MO9" s="10"/>
      <c r="MP9" s="10"/>
      <c r="MQ9" s="10"/>
      <c r="MR9" s="54"/>
      <c r="MS9" s="57"/>
      <c r="MT9" s="58"/>
      <c r="MU9" s="10"/>
      <c r="MV9" s="10"/>
      <c r="MW9" s="114"/>
      <c r="MX9" s="76"/>
      <c r="MY9" s="27"/>
      <c r="MZ9" s="28"/>
      <c r="NA9" s="29"/>
      <c r="NB9" s="10"/>
      <c r="NC9" s="42"/>
      <c r="ND9" s="43"/>
      <c r="NE9" s="67"/>
      <c r="NF9" s="10"/>
      <c r="NG9" s="10"/>
      <c r="NH9" s="114"/>
      <c r="NI9" s="10"/>
      <c r="NJ9" s="42"/>
      <c r="NK9" s="43"/>
      <c r="NL9" s="67"/>
      <c r="NM9" s="10"/>
      <c r="NN9" s="10"/>
      <c r="NO9" s="10"/>
      <c r="NP9" s="53"/>
      <c r="NQ9" s="55"/>
      <c r="NR9" s="56"/>
      <c r="NS9" s="10"/>
      <c r="NT9" s="10"/>
      <c r="NU9" s="10"/>
      <c r="NV9" s="54"/>
      <c r="NW9" s="57"/>
      <c r="NX9" s="58"/>
      <c r="NY9" s="10"/>
      <c r="NZ9" s="10"/>
      <c r="OA9" s="114"/>
      <c r="OB9" s="58"/>
    </row>
    <row r="10" spans="1:392" x14ac:dyDescent="0.2">
      <c r="A10" s="73"/>
      <c r="B10" s="65" t="s">
        <v>11</v>
      </c>
      <c r="C10" s="27">
        <v>235</v>
      </c>
      <c r="D10" s="28">
        <v>3.6808510638297851</v>
      </c>
      <c r="E10" s="29">
        <v>7.4156705661090644E-2</v>
      </c>
      <c r="F10" s="10"/>
      <c r="G10" s="42">
        <v>83</v>
      </c>
      <c r="H10" s="43">
        <v>3.6142592295032183</v>
      </c>
      <c r="I10" s="67">
        <v>0.10710385202354088</v>
      </c>
      <c r="J10" s="10">
        <f t="shared" si="1"/>
        <v>0.51118049214180095</v>
      </c>
      <c r="K10" s="10" t="str">
        <f t="shared" si="2"/>
        <v xml:space="preserve"> </v>
      </c>
      <c r="L10" s="114">
        <f t="shared" si="3"/>
        <v>6.659183432656679E-2</v>
      </c>
      <c r="M10" s="10"/>
      <c r="N10" s="42">
        <v>46.788260850000036</v>
      </c>
      <c r="O10" s="43">
        <v>3.6000000000000005</v>
      </c>
      <c r="P10" s="67">
        <v>0.15701766876418718</v>
      </c>
      <c r="Q10" s="10">
        <f t="shared" si="4"/>
        <v>0.46560213553833268</v>
      </c>
      <c r="R10" s="10" t="str">
        <f t="shared" si="5"/>
        <v xml:space="preserve"> </v>
      </c>
      <c r="S10" s="10"/>
      <c r="T10" s="53">
        <v>64</v>
      </c>
      <c r="U10" s="55">
        <v>3.8125000000000009</v>
      </c>
      <c r="V10" s="56">
        <v>9.9519479604098363E-2</v>
      </c>
      <c r="W10" s="10">
        <f t="shared" si="6"/>
        <v>-1.0607422058738645</v>
      </c>
      <c r="X10" s="10" t="str">
        <f t="shared" si="7"/>
        <v xml:space="preserve"> </v>
      </c>
      <c r="Y10" s="10"/>
      <c r="Z10" s="54">
        <v>84</v>
      </c>
      <c r="AA10" s="57">
        <v>3.5476190476190492</v>
      </c>
      <c r="AB10" s="58">
        <v>9.9410457508128408E-2</v>
      </c>
      <c r="AC10" s="10">
        <f t="shared" si="8"/>
        <v>1.0742541797805496</v>
      </c>
      <c r="AD10" s="10" t="str">
        <f t="shared" si="9"/>
        <v xml:space="preserve"> </v>
      </c>
      <c r="AE10" s="114">
        <f t="shared" si="10"/>
        <v>0.13323201621073588</v>
      </c>
      <c r="AF10" s="76"/>
      <c r="AG10" s="27">
        <v>52</v>
      </c>
      <c r="AH10" s="28">
        <v>3.6378082629873321</v>
      </c>
      <c r="AI10" s="29">
        <v>0.14036308789410251</v>
      </c>
      <c r="AJ10" s="67"/>
      <c r="AK10" s="42">
        <v>16</v>
      </c>
      <c r="AL10" s="43">
        <v>4</v>
      </c>
      <c r="AM10" s="67">
        <v>0.25715392327057246</v>
      </c>
      <c r="AN10" s="10" t="str">
        <f t="shared" si="11"/>
        <v>NV</v>
      </c>
      <c r="AO10" s="10" t="str">
        <f t="shared" si="12"/>
        <v xml:space="preserve"> </v>
      </c>
      <c r="AP10" s="114">
        <f t="shared" si="13"/>
        <v>-0.36219173701266794</v>
      </c>
      <c r="AQ10" s="67"/>
      <c r="AR10" s="42">
        <v>31.61161401</v>
      </c>
      <c r="AS10" s="43">
        <v>3.5742209399449765</v>
      </c>
      <c r="AT10" s="67">
        <v>0.23948016391443713</v>
      </c>
      <c r="AU10" s="10">
        <f t="shared" si="14"/>
        <v>0.22907465816145794</v>
      </c>
      <c r="AV10" s="10" t="str">
        <f t="shared" si="15"/>
        <v xml:space="preserve"> </v>
      </c>
      <c r="AW10" s="10"/>
      <c r="AX10" s="53">
        <v>32</v>
      </c>
      <c r="AY10" s="55">
        <v>3.3814011990870498</v>
      </c>
      <c r="AZ10" s="56">
        <v>0.19115862466591424</v>
      </c>
      <c r="BA10" s="10">
        <f t="shared" si="16"/>
        <v>1.0811703813376869</v>
      </c>
      <c r="BB10" s="10" t="str">
        <f t="shared" si="17"/>
        <v xml:space="preserve"> </v>
      </c>
      <c r="BC10" s="10"/>
      <c r="BD10" s="54">
        <v>16</v>
      </c>
      <c r="BE10" s="57">
        <v>3.368070151885747</v>
      </c>
      <c r="BF10" s="58">
        <v>0.25451104116347545</v>
      </c>
      <c r="BG10" s="10" t="str">
        <f t="shared" si="18"/>
        <v>NV</v>
      </c>
      <c r="BH10" s="10" t="str">
        <f t="shared" si="19"/>
        <v xml:space="preserve"> </v>
      </c>
      <c r="BI10" s="114">
        <f t="shared" ref="BI10" si="130">AH10-BE10</f>
        <v>0.26973811110158508</v>
      </c>
      <c r="BJ10" s="76"/>
      <c r="BK10" s="27">
        <v>613</v>
      </c>
      <c r="BL10" s="28">
        <v>3.7405045113477002</v>
      </c>
      <c r="BM10" s="29">
        <v>4.463544488142792E-2</v>
      </c>
      <c r="BN10" s="10"/>
      <c r="BO10" s="42">
        <v>153</v>
      </c>
      <c r="BP10" s="43">
        <v>3.7313520059280991</v>
      </c>
      <c r="BQ10" s="67">
        <v>8.7072906669924524E-2</v>
      </c>
      <c r="BR10" s="10">
        <f t="shared" si="21"/>
        <v>9.3539052247951948E-2</v>
      </c>
      <c r="BS10" s="10" t="str">
        <f t="shared" si="22"/>
        <v xml:space="preserve"> </v>
      </c>
      <c r="BT10" s="114">
        <f t="shared" si="23"/>
        <v>9.1525054196011091E-3</v>
      </c>
      <c r="BU10" s="10"/>
      <c r="BV10" s="42">
        <v>68.059528950000029</v>
      </c>
      <c r="BW10" s="43">
        <v>3.5400517007251482</v>
      </c>
      <c r="BX10" s="67">
        <v>9.5187524453306652E-2</v>
      </c>
      <c r="BY10" s="10">
        <f t="shared" si="24"/>
        <v>1.9066558297085194</v>
      </c>
      <c r="BZ10" s="10" t="str">
        <f t="shared" si="25"/>
        <v xml:space="preserve"> </v>
      </c>
      <c r="CA10" s="10"/>
      <c r="CB10" s="53">
        <v>56</v>
      </c>
      <c r="CC10" s="55">
        <v>3.3448691518182581</v>
      </c>
      <c r="CD10" s="56">
        <v>9.1036578723755743E-2</v>
      </c>
      <c r="CE10" s="10">
        <f t="shared" si="26"/>
        <v>3.9021048120543425</v>
      </c>
      <c r="CF10" s="10" t="str">
        <f t="shared" si="27"/>
        <v>*</v>
      </c>
      <c r="CG10" s="10"/>
      <c r="CH10" s="54">
        <v>132</v>
      </c>
      <c r="CI10" s="57">
        <v>3.4781081587441127</v>
      </c>
      <c r="CJ10" s="58">
        <v>8.9804232050848684E-2</v>
      </c>
      <c r="CK10" s="10">
        <f t="shared" si="28"/>
        <v>2.6165010439451959</v>
      </c>
      <c r="CL10" s="10" t="str">
        <f t="shared" si="29"/>
        <v>*</v>
      </c>
      <c r="CM10" s="114">
        <f t="shared" ref="CM10" si="131">BL10-CI10</f>
        <v>0.26239635260358751</v>
      </c>
      <c r="CN10" s="76"/>
      <c r="CO10" s="27">
        <v>365</v>
      </c>
      <c r="CP10" s="28">
        <v>3.6807129298570311</v>
      </c>
      <c r="CQ10" s="29">
        <v>5.4494595874036836E-2</v>
      </c>
      <c r="CR10" s="67"/>
      <c r="CS10" s="42">
        <v>107</v>
      </c>
      <c r="CT10" s="43">
        <v>3.6826401645241789</v>
      </c>
      <c r="CU10" s="67">
        <v>0.10726492255987637</v>
      </c>
      <c r="CV10" s="10">
        <f t="shared" si="31"/>
        <v>-1.6018392961875634E-2</v>
      </c>
      <c r="CW10" s="10" t="str">
        <f t="shared" si="32"/>
        <v xml:space="preserve"> </v>
      </c>
      <c r="CX10" s="114">
        <f t="shared" si="33"/>
        <v>-1.9272346671477258E-3</v>
      </c>
      <c r="CY10" s="10"/>
      <c r="CZ10" s="42">
        <v>80.196526260000013</v>
      </c>
      <c r="DA10" s="43">
        <v>3.961105330424318</v>
      </c>
      <c r="DB10" s="67">
        <v>0.12073309395322492</v>
      </c>
      <c r="DC10" s="10">
        <f t="shared" si="34"/>
        <v>-2.116778578612093</v>
      </c>
      <c r="DD10" s="10" t="str">
        <f t="shared" si="35"/>
        <v>*</v>
      </c>
      <c r="DE10" s="10"/>
      <c r="DF10" s="53">
        <v>117</v>
      </c>
      <c r="DG10" s="55">
        <v>3.7402772600646577</v>
      </c>
      <c r="DH10" s="56">
        <v>9.7372183198972853E-2</v>
      </c>
      <c r="DI10" s="10">
        <f t="shared" si="36"/>
        <v>-0.53380678912409718</v>
      </c>
      <c r="DJ10" s="10" t="str">
        <f t="shared" si="0"/>
        <v xml:space="preserve"> </v>
      </c>
      <c r="DK10" s="10"/>
      <c r="DL10" s="54">
        <v>103</v>
      </c>
      <c r="DM10" s="57">
        <v>3.889548565481546</v>
      </c>
      <c r="DN10" s="58">
        <v>0.10206112723536744</v>
      </c>
      <c r="DO10" s="10">
        <f t="shared" si="37"/>
        <v>-1.8049991989861756</v>
      </c>
      <c r="DP10" s="10" t="str">
        <f t="shared" si="38"/>
        <v xml:space="preserve"> </v>
      </c>
      <c r="DQ10" s="114">
        <f t="shared" ref="DQ10" si="132">CP10-DM10</f>
        <v>-0.2088356356245149</v>
      </c>
      <c r="DR10" s="76"/>
      <c r="DS10" s="27">
        <v>134</v>
      </c>
      <c r="DT10" s="28">
        <v>3.7092961852915263</v>
      </c>
      <c r="DU10" s="29">
        <v>9.5770393697111406E-2</v>
      </c>
      <c r="DV10" s="10"/>
      <c r="DW10" s="42">
        <v>43</v>
      </c>
      <c r="DX10" s="43">
        <v>3.8143366618313772</v>
      </c>
      <c r="DY10" s="67">
        <v>0.15721359664247583</v>
      </c>
      <c r="DZ10" s="10">
        <f t="shared" si="40"/>
        <v>-0.57060185673997588</v>
      </c>
      <c r="EA10" s="10" t="str">
        <f t="shared" si="41"/>
        <v xml:space="preserve"> </v>
      </c>
      <c r="EB10" s="114">
        <f t="shared" si="42"/>
        <v>-0.10504047653985094</v>
      </c>
      <c r="EC10" s="10"/>
      <c r="ED10" s="42">
        <v>44.37131043000003</v>
      </c>
      <c r="EE10" s="43">
        <v>3.5566803134869693</v>
      </c>
      <c r="EF10" s="67">
        <v>0.15827993074158608</v>
      </c>
      <c r="EG10" s="10">
        <f t="shared" si="43"/>
        <v>0.82495662674221237</v>
      </c>
      <c r="EH10" s="10" t="str">
        <f t="shared" si="44"/>
        <v xml:space="preserve"> </v>
      </c>
      <c r="EI10" s="10"/>
      <c r="EJ10" s="53">
        <v>50</v>
      </c>
      <c r="EK10" s="55">
        <v>3.6275128121041806</v>
      </c>
      <c r="EL10" s="56">
        <v>0.11784921859320545</v>
      </c>
      <c r="EM10" s="10">
        <f t="shared" si="45"/>
        <v>0.53855683085387418</v>
      </c>
      <c r="EN10" s="10" t="str">
        <f t="shared" si="46"/>
        <v xml:space="preserve"> </v>
      </c>
      <c r="EO10" s="10"/>
      <c r="EP10" s="54">
        <v>35</v>
      </c>
      <c r="EQ10" s="57">
        <v>3.4571428571428577</v>
      </c>
      <c r="ER10" s="58">
        <v>0.14998509978985267</v>
      </c>
      <c r="ES10" s="10">
        <f t="shared" si="47"/>
        <v>1.4169607671028666</v>
      </c>
      <c r="ET10" s="10" t="str">
        <f t="shared" si="48"/>
        <v xml:space="preserve"> </v>
      </c>
      <c r="EU10" s="114">
        <f t="shared" ref="EU10" si="133">DT10-EQ10</f>
        <v>0.25215332814866853</v>
      </c>
      <c r="EV10" s="76"/>
      <c r="EW10" s="27">
        <v>229</v>
      </c>
      <c r="EX10" s="28">
        <v>3.9177268977374116</v>
      </c>
      <c r="EY10" s="29">
        <v>6.4438237523309072E-2</v>
      </c>
      <c r="EZ10" s="10"/>
      <c r="FA10" s="42">
        <v>75</v>
      </c>
      <c r="FB10" s="43">
        <v>3.6791466077353561</v>
      </c>
      <c r="FC10" s="67">
        <v>0.13713969304124463</v>
      </c>
      <c r="FD10" s="10">
        <f t="shared" si="50"/>
        <v>1.5745359280982292</v>
      </c>
      <c r="FE10" s="10" t="str">
        <f t="shared" si="51"/>
        <v xml:space="preserve"> </v>
      </c>
      <c r="FF10" s="114">
        <f t="shared" si="52"/>
        <v>0.2385802900020555</v>
      </c>
      <c r="FG10" s="10"/>
      <c r="FH10" s="42">
        <v>40.688839410000014</v>
      </c>
      <c r="FI10" s="43">
        <v>3.7272063192032925</v>
      </c>
      <c r="FJ10" s="67">
        <v>0.14931354670646255</v>
      </c>
      <c r="FK10" s="10">
        <f t="shared" si="53"/>
        <v>1.1715346770310997</v>
      </c>
      <c r="FL10" s="10" t="str">
        <f t="shared" si="54"/>
        <v xml:space="preserve"> </v>
      </c>
      <c r="FM10" s="10"/>
      <c r="FN10" s="53">
        <v>81</v>
      </c>
      <c r="FO10" s="55">
        <v>3.8047264201149797</v>
      </c>
      <c r="FP10" s="56">
        <v>0.10912709848743953</v>
      </c>
      <c r="FQ10" s="10">
        <f t="shared" si="55"/>
        <v>0.89164884595418614</v>
      </c>
      <c r="FR10" s="10" t="str">
        <f t="shared" si="56"/>
        <v xml:space="preserve"> </v>
      </c>
      <c r="FS10" s="10"/>
      <c r="FT10" s="54">
        <v>62</v>
      </c>
      <c r="FU10" s="57">
        <v>3.8993405042286953</v>
      </c>
      <c r="FV10" s="58">
        <v>0.13225855306807244</v>
      </c>
      <c r="FW10" s="10">
        <f t="shared" si="57"/>
        <v>0.12497457112443752</v>
      </c>
      <c r="FX10" s="10" t="str">
        <f t="shared" si="125"/>
        <v xml:space="preserve"> </v>
      </c>
      <c r="FY10" s="114">
        <f t="shared" ref="FY10" si="134">EX10-FU10</f>
        <v>1.8386393508716292E-2</v>
      </c>
      <c r="FZ10" s="76"/>
      <c r="GA10" s="27">
        <v>134</v>
      </c>
      <c r="GB10" s="28">
        <v>3.7838773403837931</v>
      </c>
      <c r="GC10" s="29">
        <v>8.8060336553666824E-2</v>
      </c>
      <c r="GD10" s="67"/>
      <c r="GE10" s="42">
        <v>84</v>
      </c>
      <c r="GF10" s="43">
        <v>3.8232896792586035</v>
      </c>
      <c r="GG10" s="67">
        <v>0.10957573238574608</v>
      </c>
      <c r="GH10" s="10">
        <f t="shared" si="59"/>
        <v>-0.28036426015273025</v>
      </c>
      <c r="GI10" s="10" t="str">
        <f t="shared" si="60"/>
        <v xml:space="preserve"> </v>
      </c>
      <c r="GJ10" s="114">
        <f t="shared" si="61"/>
        <v>-3.9412338874810438E-2</v>
      </c>
      <c r="GK10" s="67"/>
      <c r="GL10" s="42">
        <v>99.474033989999938</v>
      </c>
      <c r="GM10" s="43">
        <v>3.7693781331688405</v>
      </c>
      <c r="GN10" s="67">
        <v>9.5670472858380234E-2</v>
      </c>
      <c r="GO10" s="10">
        <f t="shared" si="62"/>
        <v>0.11150774760155262</v>
      </c>
      <c r="GP10" s="10" t="str">
        <f t="shared" si="63"/>
        <v xml:space="preserve"> </v>
      </c>
      <c r="GQ10" s="10"/>
      <c r="GR10" s="53">
        <v>121</v>
      </c>
      <c r="GS10" s="55">
        <v>3.7362120020887915</v>
      </c>
      <c r="GT10" s="56">
        <v>0.10505102780851391</v>
      </c>
      <c r="GU10" s="10">
        <f t="shared" si="64"/>
        <v>0.34772454316201074</v>
      </c>
      <c r="GV10" s="10" t="str">
        <f t="shared" si="65"/>
        <v xml:space="preserve"> </v>
      </c>
      <c r="GW10" s="10"/>
      <c r="GX10" s="54">
        <v>101</v>
      </c>
      <c r="GY10" s="57">
        <v>3.7238805971682338</v>
      </c>
      <c r="GZ10" s="58">
        <v>9.8892268383124926E-2</v>
      </c>
      <c r="HA10" s="10">
        <f t="shared" si="66"/>
        <v>0.45308889206562719</v>
      </c>
      <c r="HB10" s="10" t="str">
        <f t="shared" si="126"/>
        <v xml:space="preserve"> </v>
      </c>
      <c r="HC10" s="114">
        <f t="shared" ref="HC10" si="135">GB10-GY10</f>
        <v>5.9996743215559256E-2</v>
      </c>
      <c r="HD10" s="76"/>
      <c r="HE10" s="27">
        <v>128</v>
      </c>
      <c r="HF10" s="28">
        <v>3.9959776488808232</v>
      </c>
      <c r="HG10" s="29">
        <v>7.9846541914781743E-2</v>
      </c>
      <c r="HH10" s="10"/>
      <c r="HI10" s="42">
        <v>79</v>
      </c>
      <c r="HJ10" s="43">
        <v>3.861159753030631</v>
      </c>
      <c r="HK10" s="67">
        <v>9.7126731434720892E-2</v>
      </c>
      <c r="HL10" s="10">
        <f t="shared" si="68"/>
        <v>1.0722457981387024</v>
      </c>
      <c r="HM10" s="10" t="str">
        <f t="shared" si="69"/>
        <v xml:space="preserve"> </v>
      </c>
      <c r="HN10" s="114">
        <f t="shared" si="70"/>
        <v>0.13481789585019222</v>
      </c>
      <c r="HO10" s="10"/>
      <c r="HP10" s="42">
        <v>78.239212999999936</v>
      </c>
      <c r="HQ10" s="43">
        <v>3.8966073503321152</v>
      </c>
      <c r="HR10" s="67">
        <v>0.1189411327175094</v>
      </c>
      <c r="HS10" s="10">
        <f t="shared" si="71"/>
        <v>0.69365233201873555</v>
      </c>
      <c r="HT10" s="10" t="str">
        <f t="shared" si="72"/>
        <v xml:space="preserve"> </v>
      </c>
      <c r="HU10" s="10"/>
      <c r="HV10" s="53">
        <v>49</v>
      </c>
      <c r="HW10" s="55">
        <v>3.7034947770607012</v>
      </c>
      <c r="HX10" s="56">
        <v>0.14412582166984506</v>
      </c>
      <c r="HY10" s="10">
        <f t="shared" si="73"/>
        <v>1.7751446008389788</v>
      </c>
      <c r="HZ10" s="10" t="str">
        <f t="shared" si="74"/>
        <v xml:space="preserve"> </v>
      </c>
      <c r="IA10" s="10"/>
      <c r="IB10" s="54">
        <v>81</v>
      </c>
      <c r="IC10" s="57">
        <v>3.938255887967216</v>
      </c>
      <c r="ID10" s="58">
        <v>0.11236770601911254</v>
      </c>
      <c r="IE10" s="10">
        <f t="shared" si="75"/>
        <v>0.41873594122392299</v>
      </c>
      <c r="IF10" s="10" t="str">
        <f t="shared" si="127"/>
        <v xml:space="preserve"> </v>
      </c>
      <c r="IG10" s="114">
        <f t="shared" ref="IG10" si="136">HF10-IC10</f>
        <v>5.7721760913607145E-2</v>
      </c>
      <c r="IH10" s="76"/>
      <c r="II10" s="27">
        <v>249</v>
      </c>
      <c r="IJ10" s="28">
        <v>3.7092281462420011</v>
      </c>
      <c r="IK10" s="29">
        <v>6.5734146983157118E-2</v>
      </c>
      <c r="IL10" s="10"/>
      <c r="IM10" s="42">
        <v>163</v>
      </c>
      <c r="IN10" s="43">
        <v>3.6249149902604216</v>
      </c>
      <c r="IO10" s="67">
        <v>8.4384620912012293E-2</v>
      </c>
      <c r="IP10" s="10">
        <f t="shared" si="77"/>
        <v>0.788223292627802</v>
      </c>
      <c r="IQ10" s="10" t="str">
        <f t="shared" si="78"/>
        <v xml:space="preserve"> </v>
      </c>
      <c r="IR10" s="114">
        <f t="shared" si="79"/>
        <v>8.4313155981579513E-2</v>
      </c>
      <c r="IS10" s="10"/>
      <c r="IT10" s="42">
        <v>171.16919006000037</v>
      </c>
      <c r="IU10" s="43">
        <v>3.8290049236095562</v>
      </c>
      <c r="IV10" s="67">
        <v>7.4237123028149846E-2</v>
      </c>
      <c r="IW10" s="10">
        <f t="shared" si="80"/>
        <v>-1.2079497014176153</v>
      </c>
      <c r="IX10" s="10" t="str">
        <f t="shared" si="81"/>
        <v xml:space="preserve"> </v>
      </c>
      <c r="IY10" s="10"/>
      <c r="IZ10" s="53">
        <v>183</v>
      </c>
      <c r="JA10" s="55">
        <v>3.8339285601711395</v>
      </c>
      <c r="JB10" s="56">
        <v>7.5817656457109001E-2</v>
      </c>
      <c r="JC10" s="10">
        <f t="shared" si="82"/>
        <v>-1.2427059004903558</v>
      </c>
      <c r="JD10" s="10" t="str">
        <f t="shared" si="83"/>
        <v xml:space="preserve"> </v>
      </c>
      <c r="JE10" s="10"/>
      <c r="JF10" s="54">
        <v>175</v>
      </c>
      <c r="JG10" s="57">
        <v>3.7827856935055486</v>
      </c>
      <c r="JH10" s="58">
        <v>6.9765185032676674E-2</v>
      </c>
      <c r="JI10" s="10">
        <f t="shared" si="84"/>
        <v>-0.76738443416424085</v>
      </c>
      <c r="JJ10" s="10" t="str">
        <f t="shared" si="85"/>
        <v xml:space="preserve"> </v>
      </c>
      <c r="JK10" s="114">
        <f t="shared" ref="JK10" si="137">IJ10-JG10</f>
        <v>-7.3557547263547463E-2</v>
      </c>
      <c r="JL10" s="76"/>
      <c r="JM10" s="27">
        <v>35</v>
      </c>
      <c r="JN10" s="28">
        <v>3.5428571428571431</v>
      </c>
      <c r="JO10" s="29">
        <v>0.18947547452381716</v>
      </c>
      <c r="JP10" s="10"/>
      <c r="JQ10" s="42">
        <v>25</v>
      </c>
      <c r="JR10" s="43">
        <v>4.2796543598560985</v>
      </c>
      <c r="JS10" s="67">
        <v>0.14748275702134481</v>
      </c>
      <c r="JT10" s="10" t="str">
        <f t="shared" si="87"/>
        <v>NV</v>
      </c>
      <c r="JU10" s="10" t="str">
        <f t="shared" si="88"/>
        <v xml:space="preserve"> </v>
      </c>
      <c r="JV10" s="114">
        <f t="shared" si="89"/>
        <v>-0.7367972169989554</v>
      </c>
      <c r="JW10" s="10"/>
      <c r="JX10" s="42">
        <v>27.723342920000004</v>
      </c>
      <c r="JY10" s="43">
        <v>3.964285714285714</v>
      </c>
      <c r="JZ10" s="67">
        <v>0.2034258433107243</v>
      </c>
      <c r="KA10" s="10" t="str">
        <f t="shared" si="90"/>
        <v>NV</v>
      </c>
      <c r="KB10" s="10" t="str">
        <f t="shared" si="91"/>
        <v xml:space="preserve"> </v>
      </c>
      <c r="KC10" s="10"/>
      <c r="KD10" s="53">
        <v>26</v>
      </c>
      <c r="KE10" s="55">
        <v>3.4999999999999996</v>
      </c>
      <c r="KF10" s="56">
        <v>0.27070830360637621</v>
      </c>
      <c r="KG10" s="10" t="str">
        <f t="shared" si="92"/>
        <v>NV</v>
      </c>
      <c r="KH10" s="10" t="str">
        <f t="shared" si="93"/>
        <v xml:space="preserve"> </v>
      </c>
      <c r="KI10" s="10"/>
      <c r="KJ10" s="54">
        <v>40</v>
      </c>
      <c r="KK10" s="57">
        <v>3.4250000000000003</v>
      </c>
      <c r="KL10" s="58">
        <v>0.20257329309917252</v>
      </c>
      <c r="KM10" s="10">
        <f t="shared" si="94"/>
        <v>0.42490181116351478</v>
      </c>
      <c r="KN10" s="10" t="str">
        <f t="shared" si="95"/>
        <v xml:space="preserve"> </v>
      </c>
      <c r="KO10" s="114">
        <f t="shared" ref="KO10" si="138">JN10-KK10</f>
        <v>0.11785714285714288</v>
      </c>
      <c r="KP10" s="76"/>
      <c r="KQ10" s="27">
        <v>367</v>
      </c>
      <c r="KR10" s="28">
        <v>3.3758600619075856</v>
      </c>
      <c r="KS10" s="29">
        <v>6.4790097834824228E-2</v>
      </c>
      <c r="KT10" s="10"/>
      <c r="KU10" s="42">
        <v>223</v>
      </c>
      <c r="KV10" s="43">
        <v>3.2686580316327483</v>
      </c>
      <c r="KW10" s="67">
        <v>8.194317233709196E-2</v>
      </c>
      <c r="KX10" s="10">
        <f t="shared" si="97"/>
        <v>1.0262237719528109</v>
      </c>
      <c r="KY10" s="10" t="str">
        <f t="shared" si="98"/>
        <v xml:space="preserve"> </v>
      </c>
      <c r="KZ10" s="114">
        <f t="shared" si="99"/>
        <v>0.10720203027483732</v>
      </c>
      <c r="LA10" s="10"/>
      <c r="LB10" s="42">
        <v>270.51121389999923</v>
      </c>
      <c r="LC10" s="43">
        <v>3.6164034765362465</v>
      </c>
      <c r="LD10" s="67">
        <v>6.6893525650946487E-2</v>
      </c>
      <c r="LE10" s="10">
        <f t="shared" si="100"/>
        <v>-2.5829815474538447</v>
      </c>
      <c r="LF10" s="10" t="str">
        <f t="shared" si="101"/>
        <v>*</v>
      </c>
      <c r="LG10" s="10"/>
      <c r="LH10" s="53">
        <v>513</v>
      </c>
      <c r="LI10" s="55">
        <v>3.2726649785532307</v>
      </c>
      <c r="LJ10" s="56">
        <v>5.441974430051439E-2</v>
      </c>
      <c r="LK10" s="10">
        <f t="shared" si="102"/>
        <v>1.2196206712871442</v>
      </c>
      <c r="LL10" s="10" t="str">
        <f t="shared" si="103"/>
        <v xml:space="preserve"> </v>
      </c>
      <c r="LM10" s="10"/>
      <c r="LN10" s="54">
        <v>482</v>
      </c>
      <c r="LO10" s="57">
        <v>3.2154980045998816</v>
      </c>
      <c r="LP10" s="58">
        <v>5.4802677466775064E-2</v>
      </c>
      <c r="LQ10" s="10">
        <f t="shared" si="104"/>
        <v>1.8897419010713563</v>
      </c>
      <c r="LR10" s="10" t="str">
        <f t="shared" si="128"/>
        <v xml:space="preserve"> </v>
      </c>
      <c r="LS10" s="114">
        <f t="shared" ref="LS10" si="139">KR10-LO10</f>
        <v>0.16036205730770403</v>
      </c>
      <c r="LT10" s="76"/>
      <c r="LU10" s="27">
        <v>112</v>
      </c>
      <c r="LV10" s="28">
        <v>3.5357142857142851</v>
      </c>
      <c r="LW10" s="29">
        <v>0.11830614512549049</v>
      </c>
      <c r="LX10" s="10"/>
      <c r="LY10" s="42">
        <v>121</v>
      </c>
      <c r="LZ10" s="43">
        <v>3.2233387357749197</v>
      </c>
      <c r="MA10" s="67">
        <v>0.11639872757397694</v>
      </c>
      <c r="MB10" s="10">
        <f t="shared" si="106"/>
        <v>1.882155860090734</v>
      </c>
      <c r="MC10" s="10" t="str">
        <f t="shared" si="107"/>
        <v xml:space="preserve"> </v>
      </c>
      <c r="MD10" s="114">
        <f t="shared" si="108"/>
        <v>0.31237554993936545</v>
      </c>
      <c r="ME10" s="10"/>
      <c r="MF10" s="42">
        <v>121.11246344000011</v>
      </c>
      <c r="MG10" s="43">
        <v>3.4414611472789316</v>
      </c>
      <c r="MH10" s="67">
        <v>0.10927637849834414</v>
      </c>
      <c r="MI10" s="10">
        <f t="shared" si="109"/>
        <v>0.5852350558535353</v>
      </c>
      <c r="MJ10" s="10" t="str">
        <f t="shared" si="110"/>
        <v xml:space="preserve"> </v>
      </c>
      <c r="MK10" s="10"/>
      <c r="ML10" s="53">
        <v>303</v>
      </c>
      <c r="MM10" s="55">
        <v>3.082508250825081</v>
      </c>
      <c r="MN10" s="56">
        <v>7.4554019498361476E-2</v>
      </c>
      <c r="MO10" s="10">
        <f t="shared" si="111"/>
        <v>3.2409378840049237</v>
      </c>
      <c r="MP10" s="10" t="str">
        <f t="shared" si="112"/>
        <v>*</v>
      </c>
      <c r="MQ10" s="10"/>
      <c r="MR10" s="54">
        <v>278</v>
      </c>
      <c r="MS10" s="57">
        <v>3.3840935269968058</v>
      </c>
      <c r="MT10" s="58">
        <v>7.2740609637158296E-2</v>
      </c>
      <c r="MU10" s="10">
        <f t="shared" si="113"/>
        <v>1.0917425642945127</v>
      </c>
      <c r="MV10" s="10" t="str">
        <f t="shared" si="114"/>
        <v xml:space="preserve"> </v>
      </c>
      <c r="MW10" s="114">
        <f t="shared" ref="MW10" si="140">LV10-MS10</f>
        <v>0.15162075871747938</v>
      </c>
      <c r="MX10" s="76"/>
      <c r="MY10" s="27">
        <v>146</v>
      </c>
      <c r="MZ10" s="28">
        <v>3.513692591243962</v>
      </c>
      <c r="NA10" s="29">
        <v>9.7818506734176885E-2</v>
      </c>
      <c r="NB10" s="10"/>
      <c r="NC10" s="42">
        <v>105</v>
      </c>
      <c r="ND10" s="43">
        <v>3.561669474130039</v>
      </c>
      <c r="NE10" s="67">
        <v>0.11640658504818446</v>
      </c>
      <c r="NF10" s="10">
        <f t="shared" si="116"/>
        <v>-0.31553529401678843</v>
      </c>
      <c r="NG10" s="10" t="str">
        <f t="shared" si="117"/>
        <v xml:space="preserve"> </v>
      </c>
      <c r="NH10" s="114">
        <f t="shared" si="118"/>
        <v>-4.7976882886076933E-2</v>
      </c>
      <c r="NI10" s="10"/>
      <c r="NJ10" s="42">
        <v>85.431739589999935</v>
      </c>
      <c r="NK10" s="43">
        <v>3.6003721074410113</v>
      </c>
      <c r="NL10" s="67">
        <v>0.12884956098250189</v>
      </c>
      <c r="NM10" s="10">
        <f t="shared" si="119"/>
        <v>-0.53580783650130126</v>
      </c>
      <c r="NN10" s="10" t="str">
        <f t="shared" si="120"/>
        <v xml:space="preserve"> </v>
      </c>
      <c r="NO10" s="10"/>
      <c r="NP10" s="53">
        <v>143</v>
      </c>
      <c r="NQ10" s="55">
        <v>3.1921269787875408</v>
      </c>
      <c r="NR10" s="56">
        <v>0.10235066076056441</v>
      </c>
      <c r="NS10" s="10">
        <f t="shared" si="121"/>
        <v>2.2713084909323706</v>
      </c>
      <c r="NT10" s="10" t="str">
        <f t="shared" si="122"/>
        <v>*</v>
      </c>
      <c r="NU10" s="10"/>
      <c r="NV10" s="54">
        <v>141</v>
      </c>
      <c r="NW10" s="57">
        <v>3.4272111972261272</v>
      </c>
      <c r="NX10" s="58">
        <v>0.1076128891213938</v>
      </c>
      <c r="NY10" s="10">
        <f t="shared" si="123"/>
        <v>0.59467245529355706</v>
      </c>
      <c r="NZ10" s="10" t="str">
        <f t="shared" si="129"/>
        <v xml:space="preserve"> </v>
      </c>
      <c r="OA10" s="114">
        <f t="shared" ref="OA10" si="141">MZ10-NW10</f>
        <v>8.6481394017834834E-2</v>
      </c>
      <c r="OB10" s="58"/>
    </row>
    <row r="11" spans="1:392" x14ac:dyDescent="0.2">
      <c r="B11" s="65" t="s">
        <v>12</v>
      </c>
      <c r="C11" s="27">
        <v>47</v>
      </c>
      <c r="D11" s="28">
        <v>3.7234042553191493</v>
      </c>
      <c r="E11" s="29">
        <v>0.15914328827420349</v>
      </c>
      <c r="F11" s="10"/>
      <c r="G11" s="42">
        <v>19</v>
      </c>
      <c r="H11" s="43">
        <v>3.7894736842105265</v>
      </c>
      <c r="I11" s="67">
        <v>0.19673974036155337</v>
      </c>
      <c r="J11" s="10" t="str">
        <f t="shared" si="1"/>
        <v>NV</v>
      </c>
      <c r="K11" s="10" t="str">
        <f t="shared" si="2"/>
        <v xml:space="preserve"> </v>
      </c>
      <c r="L11" s="114">
        <f t="shared" si="3"/>
        <v>-6.6069428891377235E-2</v>
      </c>
      <c r="M11" s="10"/>
      <c r="N11" s="42">
        <v>6.2384347800000004</v>
      </c>
      <c r="O11" s="43">
        <v>3.3333333333333335</v>
      </c>
      <c r="P11" s="67">
        <v>0.41192956967751421</v>
      </c>
      <c r="Q11" s="10" t="str">
        <f t="shared" si="4"/>
        <v>NV</v>
      </c>
      <c r="R11" s="10" t="str">
        <f t="shared" si="5"/>
        <v xml:space="preserve"> </v>
      </c>
      <c r="S11" s="10"/>
      <c r="T11" s="53">
        <v>6</v>
      </c>
      <c r="U11" s="55">
        <v>3.3333333333333335</v>
      </c>
      <c r="V11" s="56">
        <v>0.56773269993783526</v>
      </c>
      <c r="W11" s="10" t="str">
        <f t="shared" si="6"/>
        <v>NV</v>
      </c>
      <c r="X11" s="10" t="str">
        <f t="shared" si="7"/>
        <v xml:space="preserve"> </v>
      </c>
      <c r="Y11" s="10"/>
      <c r="Z11" s="54">
        <v>14</v>
      </c>
      <c r="AA11" s="57">
        <v>3.6428571428571428</v>
      </c>
      <c r="AB11" s="58">
        <v>0.23116833211079646</v>
      </c>
      <c r="AC11" s="10" t="str">
        <f t="shared" si="8"/>
        <v>NV</v>
      </c>
      <c r="AD11" s="10" t="str">
        <f t="shared" si="9"/>
        <v xml:space="preserve"> </v>
      </c>
      <c r="AE11" s="114">
        <f t="shared" si="10"/>
        <v>8.054711246200652E-2</v>
      </c>
      <c r="AF11" s="76"/>
      <c r="AG11" s="27">
        <v>10</v>
      </c>
      <c r="AH11" s="28">
        <v>3.3000000000000003</v>
      </c>
      <c r="AI11" s="29">
        <v>0.14988158893096601</v>
      </c>
      <c r="AJ11" s="67"/>
      <c r="AK11" s="42">
        <v>6</v>
      </c>
      <c r="AL11" s="43">
        <v>3.5</v>
      </c>
      <c r="AM11" s="67">
        <v>0.49772520873483422</v>
      </c>
      <c r="AN11" s="10" t="str">
        <f t="shared" si="11"/>
        <v>NV</v>
      </c>
      <c r="AO11" s="10" t="str">
        <f t="shared" si="12"/>
        <v xml:space="preserve"> </v>
      </c>
      <c r="AP11" s="114">
        <f t="shared" si="13"/>
        <v>-0.19999999999999973</v>
      </c>
      <c r="AQ11" s="67"/>
      <c r="AR11" s="42">
        <v>3.8214843599999999</v>
      </c>
      <c r="AS11" s="43">
        <v>3.5</v>
      </c>
      <c r="AT11" s="67">
        <v>0.6656043979677273</v>
      </c>
      <c r="AU11" s="10" t="str">
        <f t="shared" si="14"/>
        <v>NV</v>
      </c>
      <c r="AV11" s="10" t="str">
        <f t="shared" si="15"/>
        <v xml:space="preserve"> </v>
      </c>
      <c r="AW11" s="10"/>
      <c r="AX11" s="53">
        <v>1</v>
      </c>
      <c r="AY11" s="55">
        <v>3.9999999999999996</v>
      </c>
      <c r="BA11" s="10" t="str">
        <f t="shared" si="16"/>
        <v>NV</v>
      </c>
      <c r="BB11" s="10" t="str">
        <f t="shared" si="17"/>
        <v xml:space="preserve"> </v>
      </c>
      <c r="BC11" s="10"/>
      <c r="BD11" s="54">
        <v>1</v>
      </c>
      <c r="BE11" s="57">
        <v>4.9999999999999991</v>
      </c>
      <c r="BF11" s="59">
        <v>0</v>
      </c>
      <c r="BG11" s="10" t="str">
        <f t="shared" si="18"/>
        <v>NV</v>
      </c>
      <c r="BH11" s="10" t="str">
        <f t="shared" si="19"/>
        <v xml:space="preserve"> </v>
      </c>
      <c r="BI11" s="114">
        <f t="shared" si="20"/>
        <v>-1.6999999999999988</v>
      </c>
      <c r="BJ11" s="76"/>
      <c r="BK11" s="27">
        <v>126</v>
      </c>
      <c r="BL11" s="28">
        <v>3.5492342102226213</v>
      </c>
      <c r="BM11" s="29">
        <v>0.10068008898326779</v>
      </c>
      <c r="BN11" s="10"/>
      <c r="BO11" s="42">
        <v>32</v>
      </c>
      <c r="BP11" s="43">
        <v>3.8438544756999629</v>
      </c>
      <c r="BQ11" s="67">
        <v>0.21163769505206312</v>
      </c>
      <c r="BR11" s="10">
        <f t="shared" si="21"/>
        <v>-1.2570996324469779</v>
      </c>
      <c r="BS11" s="10" t="str">
        <f t="shared" si="22"/>
        <v xml:space="preserve"> </v>
      </c>
      <c r="BT11" s="114">
        <f t="shared" si="23"/>
        <v>-0.29462026547734155</v>
      </c>
      <c r="BU11" s="10"/>
      <c r="BV11" s="42">
        <v>4.0745884800000001</v>
      </c>
      <c r="BW11" s="43">
        <v>3.2551764761284554</v>
      </c>
      <c r="BX11" s="67">
        <v>0.47729186644918775</v>
      </c>
      <c r="BY11" s="10" t="str">
        <f t="shared" si="24"/>
        <v>NV</v>
      </c>
      <c r="BZ11" s="10" t="str">
        <f t="shared" si="25"/>
        <v xml:space="preserve"> </v>
      </c>
      <c r="CA11" s="10"/>
      <c r="CB11" s="53">
        <v>4</v>
      </c>
      <c r="CC11" s="55">
        <v>3.75</v>
      </c>
      <c r="CD11" s="56">
        <v>0.57645920259370143</v>
      </c>
      <c r="CE11" s="10" t="str">
        <f t="shared" si="26"/>
        <v>NV</v>
      </c>
      <c r="CF11" s="10" t="str">
        <f t="shared" si="27"/>
        <v xml:space="preserve"> </v>
      </c>
      <c r="CG11" s="10"/>
      <c r="CH11" s="54">
        <v>19</v>
      </c>
      <c r="CI11" s="57">
        <v>3.4912364733867749</v>
      </c>
      <c r="CJ11" s="58">
        <v>0.26962246756987313</v>
      </c>
      <c r="CK11" s="10" t="str">
        <f t="shared" si="28"/>
        <v>NV</v>
      </c>
      <c r="CL11" s="10" t="str">
        <f t="shared" si="29"/>
        <v xml:space="preserve"> </v>
      </c>
      <c r="CM11" s="114">
        <f t="shared" si="30"/>
        <v>5.7997736835846414E-2</v>
      </c>
      <c r="CN11" s="76"/>
      <c r="CO11" s="27">
        <v>86</v>
      </c>
      <c r="CP11" s="28">
        <v>3.5236777840235285</v>
      </c>
      <c r="CQ11" s="29">
        <v>0.11536308475559459</v>
      </c>
      <c r="CR11" s="67"/>
      <c r="CS11" s="42">
        <v>25</v>
      </c>
      <c r="CT11" s="43">
        <v>3.2021296942769815</v>
      </c>
      <c r="CU11" s="67">
        <v>0.26390666791122053</v>
      </c>
      <c r="CV11" s="10" t="str">
        <f t="shared" si="31"/>
        <v>NV</v>
      </c>
      <c r="CW11" s="10" t="str">
        <f t="shared" si="32"/>
        <v xml:space="preserve"> </v>
      </c>
      <c r="CX11" s="114">
        <f t="shared" si="33"/>
        <v>0.32154808974654703</v>
      </c>
      <c r="CY11" s="10"/>
      <c r="CZ11" s="42">
        <v>16.66314873</v>
      </c>
      <c r="DA11" s="43">
        <v>3.9949368488893038</v>
      </c>
      <c r="DB11" s="67">
        <v>0.31523430657843199</v>
      </c>
      <c r="DC11" s="10" t="str">
        <f t="shared" si="34"/>
        <v>NV</v>
      </c>
      <c r="DD11" s="10" t="str">
        <f t="shared" si="35"/>
        <v xml:space="preserve"> </v>
      </c>
      <c r="DE11" s="10"/>
      <c r="DF11" s="53">
        <v>29</v>
      </c>
      <c r="DG11" s="55">
        <v>3.7847835909839218</v>
      </c>
      <c r="DH11" s="56">
        <v>0.1660869554717182</v>
      </c>
      <c r="DI11" s="10" t="str">
        <f t="shared" si="36"/>
        <v>NV</v>
      </c>
      <c r="DJ11" s="10" t="str">
        <f t="shared" si="0"/>
        <v xml:space="preserve"> </v>
      </c>
      <c r="DK11" s="10"/>
      <c r="DL11" s="54">
        <v>13</v>
      </c>
      <c r="DM11" s="57">
        <v>3.2909546851465534</v>
      </c>
      <c r="DN11" s="58">
        <v>0.24953299134045287</v>
      </c>
      <c r="DO11" s="10" t="str">
        <f t="shared" si="37"/>
        <v>NV</v>
      </c>
      <c r="DP11" s="10" t="str">
        <f t="shared" si="38"/>
        <v xml:space="preserve"> </v>
      </c>
      <c r="DQ11" s="114">
        <f t="shared" si="39"/>
        <v>0.23272309887697507</v>
      </c>
      <c r="DR11" s="76"/>
      <c r="DS11" s="27">
        <v>20</v>
      </c>
      <c r="DT11" s="28">
        <v>3.6540668494115631</v>
      </c>
      <c r="DU11" s="97">
        <v>0.28684137029753637</v>
      </c>
      <c r="DV11" s="10"/>
      <c r="DW11" s="42">
        <v>7</v>
      </c>
      <c r="DX11" s="43">
        <v>3.8571428571428572</v>
      </c>
      <c r="DY11" s="68">
        <v>0.26169283809063487</v>
      </c>
      <c r="DZ11" s="10" t="str">
        <f t="shared" si="40"/>
        <v>NV</v>
      </c>
      <c r="EA11" s="10" t="str">
        <f t="shared" si="41"/>
        <v xml:space="preserve"> </v>
      </c>
      <c r="EB11" s="114">
        <f t="shared" si="42"/>
        <v>-0.20307600773129408</v>
      </c>
      <c r="EC11" s="10"/>
      <c r="ED11" s="42">
        <v>2.0794782600000001</v>
      </c>
      <c r="EE11" s="43">
        <v>2.5</v>
      </c>
      <c r="EF11" s="68">
        <v>1.4437244413927033</v>
      </c>
      <c r="EG11" s="10" t="str">
        <f t="shared" si="43"/>
        <v>NV</v>
      </c>
      <c r="EH11" s="10" t="str">
        <f t="shared" si="44"/>
        <v xml:space="preserve"> </v>
      </c>
      <c r="EI11" s="10"/>
      <c r="EJ11" s="53">
        <v>5</v>
      </c>
      <c r="EK11" s="55">
        <v>3.2104713792130792</v>
      </c>
      <c r="EL11" s="56">
        <v>0.19362316465601265</v>
      </c>
      <c r="EM11" s="10" t="str">
        <f t="shared" si="45"/>
        <v>NV</v>
      </c>
      <c r="EN11" s="10" t="str">
        <f t="shared" si="46"/>
        <v xml:space="preserve"> </v>
      </c>
      <c r="EO11" s="10"/>
      <c r="EP11" s="54">
        <v>2</v>
      </c>
      <c r="EQ11" s="57">
        <v>4.5</v>
      </c>
      <c r="ER11" s="58">
        <v>0.44121621008071654</v>
      </c>
      <c r="ES11" s="10" t="str">
        <f t="shared" si="47"/>
        <v>NV</v>
      </c>
      <c r="ET11" s="10" t="str">
        <f t="shared" si="48"/>
        <v xml:space="preserve"> </v>
      </c>
      <c r="EU11" s="114">
        <f t="shared" si="49"/>
        <v>-0.84593315058843688</v>
      </c>
      <c r="EV11" s="76"/>
      <c r="EW11" s="27">
        <v>46</v>
      </c>
      <c r="EX11" s="28">
        <v>3.6923170574898965</v>
      </c>
      <c r="EY11" s="29">
        <v>0.14887489324493811</v>
      </c>
      <c r="EZ11" s="10"/>
      <c r="FA11" s="42">
        <v>19</v>
      </c>
      <c r="FB11" s="43">
        <v>3.8438042058164603</v>
      </c>
      <c r="FC11" s="67">
        <v>0.30804847667650581</v>
      </c>
      <c r="FD11" s="10" t="str">
        <f t="shared" si="50"/>
        <v>NV</v>
      </c>
      <c r="FE11" s="10" t="str">
        <f t="shared" si="51"/>
        <v xml:space="preserve"> </v>
      </c>
      <c r="FF11" s="114">
        <f t="shared" si="52"/>
        <v>-0.15148714832656385</v>
      </c>
      <c r="FG11" s="10"/>
      <c r="FH11" s="42">
        <v>3.9902204399999999</v>
      </c>
      <c r="FI11" s="43">
        <v>3.5000000000000004</v>
      </c>
      <c r="FJ11" s="67">
        <v>0.28914680739658921</v>
      </c>
      <c r="FK11" s="10" t="str">
        <f t="shared" si="53"/>
        <v>NV</v>
      </c>
      <c r="FL11" s="10" t="str">
        <f t="shared" si="54"/>
        <v xml:space="preserve"> </v>
      </c>
      <c r="FM11" s="10"/>
      <c r="FN11" s="53">
        <v>11</v>
      </c>
      <c r="FO11" s="55">
        <v>4.1501734901658507</v>
      </c>
      <c r="FP11" s="56">
        <v>0.26395179524143153</v>
      </c>
      <c r="FQ11" s="10" t="str">
        <f t="shared" si="55"/>
        <v>NV</v>
      </c>
      <c r="FR11" s="10" t="str">
        <f t="shared" si="56"/>
        <v xml:space="preserve"> </v>
      </c>
      <c r="FS11" s="10"/>
      <c r="FT11" s="54">
        <v>10</v>
      </c>
      <c r="FU11" s="57">
        <v>3.9691637585710211</v>
      </c>
      <c r="FV11" s="58">
        <v>0.3997807468257828</v>
      </c>
      <c r="FW11" s="10" t="str">
        <f t="shared" si="57"/>
        <v>NV</v>
      </c>
      <c r="FX11" s="10" t="str">
        <f t="shared" si="125"/>
        <v xml:space="preserve"> </v>
      </c>
      <c r="FY11" s="114">
        <f t="shared" si="58"/>
        <v>-0.27684670108112464</v>
      </c>
      <c r="FZ11" s="76"/>
      <c r="GA11" s="27">
        <v>32</v>
      </c>
      <c r="GB11" s="28">
        <v>3.5909492956238354</v>
      </c>
      <c r="GC11" s="29">
        <v>0.18869319663460304</v>
      </c>
      <c r="GD11" s="67"/>
      <c r="GE11" s="42">
        <v>17</v>
      </c>
      <c r="GF11" s="43">
        <v>3.52959149844567</v>
      </c>
      <c r="GG11" s="67">
        <v>0.24297439212196129</v>
      </c>
      <c r="GH11" s="10" t="str">
        <f t="shared" si="59"/>
        <v>NV</v>
      </c>
      <c r="GI11" s="10" t="str">
        <f t="shared" si="60"/>
        <v xml:space="preserve"> </v>
      </c>
      <c r="GJ11" s="114">
        <f t="shared" si="61"/>
        <v>6.1357797178165363E-2</v>
      </c>
      <c r="GK11" s="67"/>
      <c r="GL11" s="42">
        <v>20.203867319999993</v>
      </c>
      <c r="GM11" s="43">
        <v>3.2380952380952381</v>
      </c>
      <c r="GN11" s="67">
        <v>0.24298046511505708</v>
      </c>
      <c r="GO11" s="10" t="str">
        <f t="shared" si="62"/>
        <v>NV</v>
      </c>
      <c r="GP11" s="10" t="str">
        <f t="shared" si="63"/>
        <v xml:space="preserve"> </v>
      </c>
      <c r="GQ11" s="10"/>
      <c r="GR11" s="53">
        <v>12</v>
      </c>
      <c r="GS11" s="55">
        <v>3.391016749386687</v>
      </c>
      <c r="GT11" s="56">
        <v>0.363476241829091</v>
      </c>
      <c r="GU11" s="10" t="str">
        <f t="shared" si="64"/>
        <v>NV</v>
      </c>
      <c r="GV11" s="10" t="str">
        <f t="shared" si="65"/>
        <v xml:space="preserve"> </v>
      </c>
      <c r="GW11" s="10"/>
      <c r="GX11" s="54">
        <v>33</v>
      </c>
      <c r="GY11" s="57">
        <v>3.5449010653724815</v>
      </c>
      <c r="GZ11" s="58">
        <v>0.19871721096816464</v>
      </c>
      <c r="HA11" s="10">
        <f t="shared" si="66"/>
        <v>0.16803948034957683</v>
      </c>
      <c r="HB11" s="10" t="str">
        <f t="shared" si="126"/>
        <v xml:space="preserve"> </v>
      </c>
      <c r="HC11" s="114">
        <f t="shared" si="67"/>
        <v>4.604823025135385E-2</v>
      </c>
      <c r="HD11" s="76"/>
      <c r="HE11" s="27">
        <v>30</v>
      </c>
      <c r="HF11" s="28">
        <v>3.5823347322252439</v>
      </c>
      <c r="HG11" s="29">
        <v>0.1914358800928653</v>
      </c>
      <c r="HH11" s="10"/>
      <c r="HI11" s="42">
        <v>20</v>
      </c>
      <c r="HJ11" s="43">
        <v>3.7536099660417874</v>
      </c>
      <c r="HK11" s="67">
        <v>0.21670861093460855</v>
      </c>
      <c r="HL11" s="10" t="str">
        <f t="shared" si="68"/>
        <v>NV</v>
      </c>
      <c r="HM11" s="10" t="str">
        <f t="shared" si="69"/>
        <v xml:space="preserve"> </v>
      </c>
      <c r="HN11" s="114">
        <f t="shared" si="70"/>
        <v>-0.17127523381654353</v>
      </c>
      <c r="HO11" s="10"/>
      <c r="HP11" s="42">
        <v>12.493383010000001</v>
      </c>
      <c r="HQ11" s="43">
        <v>4.0108436369789962</v>
      </c>
      <c r="HR11" s="67">
        <v>0.36449734657956151</v>
      </c>
      <c r="HS11" s="10" t="str">
        <f t="shared" si="71"/>
        <v>NV</v>
      </c>
      <c r="HT11" s="10" t="str">
        <f t="shared" si="72"/>
        <v xml:space="preserve"> </v>
      </c>
      <c r="HU11" s="10"/>
      <c r="HV11" s="53">
        <v>8</v>
      </c>
      <c r="HW11" s="55">
        <v>3.7023375526568501</v>
      </c>
      <c r="HX11" s="56">
        <v>0.37349511991644357</v>
      </c>
      <c r="HY11" s="10" t="str">
        <f t="shared" si="73"/>
        <v>NV</v>
      </c>
      <c r="HZ11" s="10" t="str">
        <f t="shared" si="74"/>
        <v xml:space="preserve"> </v>
      </c>
      <c r="IA11" s="10"/>
      <c r="IB11" s="54">
        <v>19</v>
      </c>
      <c r="IC11" s="57">
        <v>4.0000000000000009</v>
      </c>
      <c r="ID11" s="58">
        <v>0.23238340266184743</v>
      </c>
      <c r="IE11" s="10" t="str">
        <f t="shared" si="75"/>
        <v>NV</v>
      </c>
      <c r="IF11" s="10" t="str">
        <f t="shared" si="127"/>
        <v xml:space="preserve"> </v>
      </c>
      <c r="IG11" s="114">
        <f t="shared" si="76"/>
        <v>-0.41766526777475699</v>
      </c>
      <c r="IH11" s="76"/>
      <c r="II11" s="27">
        <v>79</v>
      </c>
      <c r="IJ11" s="28">
        <v>3.6003715069807098</v>
      </c>
      <c r="IK11" s="29">
        <v>0.10732097176683716</v>
      </c>
      <c r="IL11" s="10"/>
      <c r="IM11" s="42">
        <v>47</v>
      </c>
      <c r="IN11" s="43">
        <v>3.2949363952256094</v>
      </c>
      <c r="IO11" s="67">
        <v>0.16878927002594651</v>
      </c>
      <c r="IP11" s="10">
        <f t="shared" si="77"/>
        <v>1.5270303325583923</v>
      </c>
      <c r="IQ11" s="10" t="str">
        <f t="shared" si="78"/>
        <v xml:space="preserve"> </v>
      </c>
      <c r="IR11" s="114">
        <f t="shared" si="79"/>
        <v>0.30543511175510041</v>
      </c>
      <c r="IS11" s="10"/>
      <c r="IT11" s="42">
        <v>30.502125069999984</v>
      </c>
      <c r="IU11" s="43">
        <v>3.3785004163973817</v>
      </c>
      <c r="IV11" s="67">
        <v>0.21548033441001577</v>
      </c>
      <c r="IW11" s="10">
        <f t="shared" si="80"/>
        <v>0.92167037032457</v>
      </c>
      <c r="IX11" s="10" t="str">
        <f t="shared" si="81"/>
        <v xml:space="preserve"> </v>
      </c>
      <c r="IY11" s="10"/>
      <c r="IZ11" s="53">
        <v>47</v>
      </c>
      <c r="JA11" s="55">
        <v>3.4698024407106001</v>
      </c>
      <c r="JB11" s="56">
        <v>0.16010187998009576</v>
      </c>
      <c r="JC11" s="10">
        <f t="shared" si="82"/>
        <v>0.67742081033701895</v>
      </c>
      <c r="JD11" s="10" t="str">
        <f t="shared" si="83"/>
        <v xml:space="preserve"> </v>
      </c>
      <c r="JE11" s="10"/>
      <c r="JF11" s="54">
        <v>53</v>
      </c>
      <c r="JG11" s="57">
        <v>3.5211132427554555</v>
      </c>
      <c r="JH11" s="58">
        <v>0.13599866993303295</v>
      </c>
      <c r="JI11" s="10">
        <f t="shared" si="84"/>
        <v>0.45749541665746624</v>
      </c>
      <c r="JJ11" s="10" t="str">
        <f t="shared" si="85"/>
        <v xml:space="preserve"> </v>
      </c>
      <c r="JK11" s="114">
        <f t="shared" si="86"/>
        <v>7.9258264225254393E-2</v>
      </c>
      <c r="JL11" s="76"/>
      <c r="JM11" s="27">
        <v>4</v>
      </c>
      <c r="JN11" s="28">
        <v>3</v>
      </c>
      <c r="JO11" s="29">
        <v>0.91337536736763081</v>
      </c>
      <c r="JP11" s="10"/>
      <c r="JQ11" s="42">
        <v>5</v>
      </c>
      <c r="JR11" s="43">
        <v>4.2</v>
      </c>
      <c r="JS11" s="67">
        <v>0.58257526552276462</v>
      </c>
      <c r="JT11" s="10" t="str">
        <f t="shared" si="87"/>
        <v>NV</v>
      </c>
      <c r="JU11" s="10" t="str">
        <f t="shared" si="88"/>
        <v xml:space="preserve"> </v>
      </c>
      <c r="JV11" s="114">
        <f t="shared" si="89"/>
        <v>-1.2000000000000002</v>
      </c>
      <c r="JW11" s="10"/>
      <c r="JX11" s="42">
        <v>2.9703581699999999</v>
      </c>
      <c r="JY11" s="43">
        <v>4</v>
      </c>
      <c r="JZ11" s="67">
        <v>0.58167685159737692</v>
      </c>
      <c r="KA11" s="10" t="str">
        <f t="shared" si="90"/>
        <v>NV</v>
      </c>
      <c r="KB11" s="10" t="str">
        <f t="shared" si="91"/>
        <v xml:space="preserve"> </v>
      </c>
      <c r="KC11" s="10"/>
      <c r="KD11" s="53">
        <v>3</v>
      </c>
      <c r="KE11" s="55">
        <v>3.3333333333333335</v>
      </c>
      <c r="KF11" s="61">
        <v>1.2230299195858236</v>
      </c>
      <c r="KG11" s="10" t="str">
        <f t="shared" si="92"/>
        <v>NV</v>
      </c>
      <c r="KH11" s="10" t="str">
        <f t="shared" si="93"/>
        <v xml:space="preserve"> </v>
      </c>
      <c r="KI11" s="10"/>
      <c r="KJ11" s="54">
        <v>6</v>
      </c>
      <c r="KK11" s="57">
        <v>3</v>
      </c>
      <c r="KL11" s="58">
        <v>0.71125142297773425</v>
      </c>
      <c r="KM11" s="10" t="str">
        <f t="shared" si="94"/>
        <v>NV</v>
      </c>
      <c r="KN11" s="10" t="str">
        <f t="shared" si="95"/>
        <v xml:space="preserve"> </v>
      </c>
      <c r="KO11" s="114">
        <f t="shared" si="96"/>
        <v>0</v>
      </c>
      <c r="KP11" s="76"/>
      <c r="KQ11" s="27">
        <v>60</v>
      </c>
      <c r="KR11" s="28">
        <v>2.9001785442822823</v>
      </c>
      <c r="KS11" s="29">
        <v>0.16917383992354346</v>
      </c>
      <c r="KT11" s="10"/>
      <c r="KU11" s="42">
        <v>22</v>
      </c>
      <c r="KV11" s="43">
        <v>3.0918822477788841</v>
      </c>
      <c r="KW11" s="67">
        <v>0.31489004788458097</v>
      </c>
      <c r="KX11" s="10" t="str">
        <f t="shared" si="97"/>
        <v>NV</v>
      </c>
      <c r="KY11" s="10" t="str">
        <f t="shared" si="98"/>
        <v xml:space="preserve"> </v>
      </c>
      <c r="KZ11" s="114">
        <f t="shared" si="99"/>
        <v>-0.19170370349660182</v>
      </c>
      <c r="LA11" s="10"/>
      <c r="LB11" s="42">
        <v>31.170547880000008</v>
      </c>
      <c r="LC11" s="43">
        <v>3.0152979919325054</v>
      </c>
      <c r="LD11" s="67">
        <v>0.22196327364405791</v>
      </c>
      <c r="LE11" s="10">
        <f t="shared" si="100"/>
        <v>-0.41249136592676533</v>
      </c>
      <c r="LF11" s="10" t="str">
        <f t="shared" si="101"/>
        <v xml:space="preserve"> </v>
      </c>
      <c r="LG11" s="10"/>
      <c r="LH11" s="53">
        <v>37</v>
      </c>
      <c r="LI11" s="55">
        <v>1.997405470182098</v>
      </c>
      <c r="LJ11" s="56">
        <v>0.2143668801591623</v>
      </c>
      <c r="LK11" s="10">
        <f t="shared" si="102"/>
        <v>3.3058865319135449</v>
      </c>
      <c r="LL11" s="10" t="str">
        <f t="shared" si="103"/>
        <v>*</v>
      </c>
      <c r="LM11" s="10"/>
      <c r="LN11" s="54">
        <v>44</v>
      </c>
      <c r="LO11" s="57">
        <v>2.249757557965363</v>
      </c>
      <c r="LP11" s="58">
        <v>0.17974625390304813</v>
      </c>
      <c r="LQ11" s="10">
        <f t="shared" si="104"/>
        <v>2.6350222610558047</v>
      </c>
      <c r="LR11" s="10" t="str">
        <f t="shared" si="128"/>
        <v>*</v>
      </c>
      <c r="LS11" s="114">
        <f t="shared" si="105"/>
        <v>0.65042098631691925</v>
      </c>
      <c r="LT11" s="76"/>
      <c r="LU11" s="27">
        <v>11</v>
      </c>
      <c r="LV11" s="28">
        <v>3.5454545454545454</v>
      </c>
      <c r="LW11" s="29">
        <v>0.47433992448908274</v>
      </c>
      <c r="LX11" s="10"/>
      <c r="LY11" s="42">
        <v>15</v>
      </c>
      <c r="LZ11" s="43">
        <v>2.7329842932704969</v>
      </c>
      <c r="MA11" s="67">
        <v>0.31590121641150737</v>
      </c>
      <c r="MB11" s="10" t="str">
        <f t="shared" si="106"/>
        <v>NV</v>
      </c>
      <c r="MC11" s="10" t="str">
        <f t="shared" si="107"/>
        <v xml:space="preserve"> </v>
      </c>
      <c r="MD11" s="114">
        <f t="shared" si="108"/>
        <v>0.81247025218404856</v>
      </c>
      <c r="ME11" s="10"/>
      <c r="MF11" s="42">
        <v>16.990978560000002</v>
      </c>
      <c r="MG11" s="43">
        <v>2.9230169560051515</v>
      </c>
      <c r="MH11" s="67">
        <v>0.31679805545243145</v>
      </c>
      <c r="MI11" s="10" t="str">
        <f t="shared" si="109"/>
        <v>NV</v>
      </c>
      <c r="MJ11" s="10" t="str">
        <f t="shared" si="110"/>
        <v xml:space="preserve"> </v>
      </c>
      <c r="MK11" s="10"/>
      <c r="ML11" s="53">
        <v>26</v>
      </c>
      <c r="MM11" s="55">
        <v>3.0384615384615383</v>
      </c>
      <c r="MN11" s="56">
        <v>0.24779534842698697</v>
      </c>
      <c r="MO11" s="10" t="str">
        <f t="shared" si="111"/>
        <v>NV</v>
      </c>
      <c r="MP11" s="10" t="str">
        <f t="shared" si="112"/>
        <v xml:space="preserve"> </v>
      </c>
      <c r="MQ11" s="10"/>
      <c r="MR11" s="54">
        <v>34</v>
      </c>
      <c r="MS11" s="57">
        <v>2.7144187164550098</v>
      </c>
      <c r="MT11" s="58">
        <v>0.23767073904082553</v>
      </c>
      <c r="MU11" s="10" t="str">
        <f t="shared" si="113"/>
        <v>NV</v>
      </c>
      <c r="MV11" s="10" t="str">
        <f t="shared" si="114"/>
        <v xml:space="preserve"> </v>
      </c>
      <c r="MW11" s="114">
        <f t="shared" si="115"/>
        <v>0.83103582899953565</v>
      </c>
      <c r="MX11" s="76"/>
      <c r="MY11" s="27">
        <v>15</v>
      </c>
      <c r="MZ11" s="28">
        <v>3.1333333333333333</v>
      </c>
      <c r="NA11" s="29">
        <v>0.36356675069168609</v>
      </c>
      <c r="NB11" s="10"/>
      <c r="NC11" s="42">
        <v>12</v>
      </c>
      <c r="ND11" s="43">
        <v>2.6704918024356035</v>
      </c>
      <c r="NE11" s="67">
        <v>0.39612259321639331</v>
      </c>
      <c r="NF11" s="10" t="str">
        <f t="shared" si="116"/>
        <v>NV</v>
      </c>
      <c r="NG11" s="10" t="str">
        <f t="shared" si="117"/>
        <v xml:space="preserve"> </v>
      </c>
      <c r="NH11" s="114">
        <f t="shared" si="118"/>
        <v>0.46284153089772984</v>
      </c>
      <c r="NI11" s="10"/>
      <c r="NJ11" s="42">
        <v>10.378040690000001</v>
      </c>
      <c r="NK11" s="43">
        <v>3.4923420549818638</v>
      </c>
      <c r="NL11" s="67">
        <v>0.50694784439279905</v>
      </c>
      <c r="NM11" s="10" t="str">
        <f t="shared" si="119"/>
        <v>NV</v>
      </c>
      <c r="NN11" s="10" t="str">
        <f t="shared" si="120"/>
        <v xml:space="preserve"> </v>
      </c>
      <c r="NO11" s="10"/>
      <c r="NP11" s="53">
        <v>9</v>
      </c>
      <c r="NQ11" s="55">
        <v>2.9232921506336353</v>
      </c>
      <c r="NR11" s="56">
        <v>0.4615098065233178</v>
      </c>
      <c r="NS11" s="10" t="str">
        <f t="shared" si="121"/>
        <v>NV</v>
      </c>
      <c r="NT11" s="10" t="str">
        <f t="shared" si="122"/>
        <v xml:space="preserve"> </v>
      </c>
      <c r="NU11" s="10"/>
      <c r="NV11" s="54">
        <v>16</v>
      </c>
      <c r="NW11" s="57">
        <v>2.5</v>
      </c>
      <c r="NX11" s="58">
        <v>0.21154181114555642</v>
      </c>
      <c r="NY11" s="10" t="str">
        <f t="shared" si="123"/>
        <v>NV</v>
      </c>
      <c r="NZ11" s="10" t="str">
        <f t="shared" si="129"/>
        <v xml:space="preserve"> </v>
      </c>
      <c r="OA11" s="114">
        <f t="shared" si="124"/>
        <v>0.6333333333333333</v>
      </c>
      <c r="OB11" s="58"/>
    </row>
    <row r="12" spans="1:392" x14ac:dyDescent="0.2">
      <c r="B12" s="65" t="s">
        <v>13</v>
      </c>
      <c r="C12" s="27">
        <v>45</v>
      </c>
      <c r="D12" s="28">
        <v>3.2222222222222228</v>
      </c>
      <c r="E12" s="29">
        <v>0.18734608587473553</v>
      </c>
      <c r="F12" s="10"/>
      <c r="G12" s="42">
        <v>19</v>
      </c>
      <c r="H12" s="43">
        <v>2.8947368421052628</v>
      </c>
      <c r="I12" s="67">
        <v>0.2754356365061747</v>
      </c>
      <c r="J12" s="10" t="str">
        <f t="shared" si="1"/>
        <v>NV</v>
      </c>
      <c r="K12" s="10" t="str">
        <f t="shared" si="2"/>
        <v xml:space="preserve"> </v>
      </c>
      <c r="L12" s="114">
        <f t="shared" si="3"/>
        <v>0.32748538011695993</v>
      </c>
      <c r="M12" s="10"/>
      <c r="N12" s="42">
        <v>6.2384347800000004</v>
      </c>
      <c r="O12" s="43">
        <v>2.833333333333333</v>
      </c>
      <c r="P12" s="67">
        <v>0.30024268810673888</v>
      </c>
      <c r="Q12" s="10" t="str">
        <f t="shared" si="4"/>
        <v>NV</v>
      </c>
      <c r="R12" s="10" t="str">
        <f t="shared" si="5"/>
        <v xml:space="preserve"> </v>
      </c>
      <c r="S12" s="10"/>
      <c r="T12" s="53">
        <v>6</v>
      </c>
      <c r="U12" s="55">
        <v>3.1666666666666665</v>
      </c>
      <c r="V12" s="56">
        <v>0.55506792387238213</v>
      </c>
      <c r="W12" s="10" t="str">
        <f t="shared" si="6"/>
        <v>NV</v>
      </c>
      <c r="X12" s="10" t="str">
        <f t="shared" si="7"/>
        <v xml:space="preserve"> </v>
      </c>
      <c r="Y12" s="10"/>
      <c r="Z12" s="54">
        <v>13</v>
      </c>
      <c r="AA12" s="57">
        <v>2.9230769230769229</v>
      </c>
      <c r="AB12" s="58">
        <v>0.24632978966851499</v>
      </c>
      <c r="AC12" s="10" t="str">
        <f t="shared" si="8"/>
        <v>NV</v>
      </c>
      <c r="AD12" s="10" t="str">
        <f t="shared" si="9"/>
        <v xml:space="preserve"> </v>
      </c>
      <c r="AE12" s="114">
        <f t="shared" si="10"/>
        <v>0.29914529914529986</v>
      </c>
      <c r="AF12" s="76"/>
      <c r="AG12" s="27">
        <v>10</v>
      </c>
      <c r="AH12" s="28">
        <v>3</v>
      </c>
      <c r="AI12" s="29">
        <v>0.14626945357137183</v>
      </c>
      <c r="AJ12" s="67"/>
      <c r="AK12" s="42">
        <v>6</v>
      </c>
      <c r="AL12" s="43">
        <v>3.166666666666667</v>
      </c>
      <c r="AM12" s="67">
        <v>0.39956034501530951</v>
      </c>
      <c r="AN12" s="10" t="str">
        <f t="shared" si="11"/>
        <v>NV</v>
      </c>
      <c r="AO12" s="10" t="str">
        <f t="shared" si="12"/>
        <v xml:space="preserve"> </v>
      </c>
      <c r="AP12" s="114">
        <f t="shared" si="13"/>
        <v>-0.16666666666666696</v>
      </c>
      <c r="AQ12" s="67"/>
      <c r="AR12" s="42">
        <v>3.8214843599999999</v>
      </c>
      <c r="AS12" s="43">
        <v>2.5</v>
      </c>
      <c r="AT12" s="67">
        <v>0.98725086584249555</v>
      </c>
      <c r="AU12" s="10" t="str">
        <f t="shared" si="14"/>
        <v>NV</v>
      </c>
      <c r="AV12" s="10" t="str">
        <f t="shared" si="15"/>
        <v xml:space="preserve"> </v>
      </c>
      <c r="AW12" s="10"/>
      <c r="AX12" s="53">
        <v>1</v>
      </c>
      <c r="AY12" s="60">
        <v>0.99999999999999989</v>
      </c>
      <c r="BA12" s="10" t="str">
        <f t="shared" si="16"/>
        <v>NV</v>
      </c>
      <c r="BB12" s="10" t="str">
        <f t="shared" si="17"/>
        <v xml:space="preserve"> </v>
      </c>
      <c r="BC12" s="10"/>
      <c r="BD12" s="54">
        <v>1</v>
      </c>
      <c r="BE12" s="57">
        <v>4</v>
      </c>
      <c r="BF12" s="59">
        <v>0</v>
      </c>
      <c r="BG12" s="10" t="str">
        <f t="shared" si="18"/>
        <v>NV</v>
      </c>
      <c r="BH12" s="10" t="str">
        <f t="shared" si="19"/>
        <v xml:space="preserve"> </v>
      </c>
      <c r="BI12" s="114">
        <f t="shared" si="20"/>
        <v>-1</v>
      </c>
      <c r="BJ12" s="76"/>
      <c r="BK12" s="27">
        <v>130</v>
      </c>
      <c r="BL12" s="28">
        <v>3.1330653998554423</v>
      </c>
      <c r="BM12" s="29">
        <v>0.10951965718167229</v>
      </c>
      <c r="BN12" s="10"/>
      <c r="BO12" s="42">
        <v>31</v>
      </c>
      <c r="BP12" s="43">
        <v>2.8718443300676348</v>
      </c>
      <c r="BQ12" s="67">
        <v>0.24014005406633737</v>
      </c>
      <c r="BR12" s="10">
        <f t="shared" si="21"/>
        <v>0.98971660096504355</v>
      </c>
      <c r="BS12" s="10" t="str">
        <f t="shared" si="22"/>
        <v xml:space="preserve"> </v>
      </c>
      <c r="BT12" s="114">
        <f t="shared" si="23"/>
        <v>0.26122106978780746</v>
      </c>
      <c r="BU12" s="10"/>
      <c r="BV12" s="42">
        <v>3.03484935</v>
      </c>
      <c r="BW12" s="43">
        <v>3.3425999152149015</v>
      </c>
      <c r="BX12" s="67">
        <v>0.88552182208904007</v>
      </c>
      <c r="BY12" s="10" t="str">
        <f t="shared" si="24"/>
        <v>NV</v>
      </c>
      <c r="BZ12" s="10" t="str">
        <f t="shared" si="25"/>
        <v xml:space="preserve"> </v>
      </c>
      <c r="CA12" s="10"/>
      <c r="CB12" s="53">
        <v>3</v>
      </c>
      <c r="CC12" s="55">
        <v>3.6666666666666665</v>
      </c>
      <c r="CD12" s="56">
        <v>0.80006814548329197</v>
      </c>
      <c r="CE12" s="10" t="str">
        <f t="shared" si="26"/>
        <v>NV</v>
      </c>
      <c r="CF12" s="10" t="str">
        <f t="shared" si="27"/>
        <v xml:space="preserve"> </v>
      </c>
      <c r="CG12" s="10"/>
      <c r="CH12" s="54">
        <v>18</v>
      </c>
      <c r="CI12" s="57">
        <v>2.937179059907753</v>
      </c>
      <c r="CJ12" s="58">
        <v>0.27903984073174709</v>
      </c>
      <c r="CK12" s="10" t="str">
        <f t="shared" si="28"/>
        <v>NV</v>
      </c>
      <c r="CL12" s="10" t="str">
        <f t="shared" si="29"/>
        <v xml:space="preserve"> </v>
      </c>
      <c r="CM12" s="114">
        <f t="shared" si="30"/>
        <v>0.19588633994768934</v>
      </c>
      <c r="CN12" s="76"/>
      <c r="CO12" s="27">
        <v>84</v>
      </c>
      <c r="CP12" s="28">
        <v>3.0516735055640543</v>
      </c>
      <c r="CQ12" s="29">
        <v>0.1112595019200837</v>
      </c>
      <c r="CR12" s="67"/>
      <c r="CS12" s="42">
        <v>22</v>
      </c>
      <c r="CT12" s="43">
        <v>2.5447402916584512</v>
      </c>
      <c r="CU12" s="67">
        <v>0.26037671245071858</v>
      </c>
      <c r="CV12" s="10" t="str">
        <f t="shared" si="31"/>
        <v>NV</v>
      </c>
      <c r="CW12" s="10" t="str">
        <f t="shared" si="32"/>
        <v xml:space="preserve"> </v>
      </c>
      <c r="CX12" s="114">
        <f t="shared" si="33"/>
        <v>0.50693321390560309</v>
      </c>
      <c r="CY12" s="10"/>
      <c r="CZ12" s="42">
        <v>17.702887860000001</v>
      </c>
      <c r="DA12" s="43">
        <v>3.3333333333333339</v>
      </c>
      <c r="DB12" s="67">
        <v>0.27260889958358986</v>
      </c>
      <c r="DC12" s="10" t="str">
        <f t="shared" si="34"/>
        <v>NV</v>
      </c>
      <c r="DD12" s="10" t="str">
        <f t="shared" si="35"/>
        <v xml:space="preserve"> </v>
      </c>
      <c r="DE12" s="10"/>
      <c r="DF12" s="53">
        <v>25</v>
      </c>
      <c r="DG12" s="55">
        <v>3.3207369941849922</v>
      </c>
      <c r="DH12" s="56">
        <v>0.25374961451818534</v>
      </c>
      <c r="DI12" s="10" t="str">
        <f t="shared" si="36"/>
        <v>NV</v>
      </c>
      <c r="DJ12" s="10" t="str">
        <f t="shared" si="0"/>
        <v xml:space="preserve"> </v>
      </c>
      <c r="DK12" s="10"/>
      <c r="DL12" s="54">
        <v>12</v>
      </c>
      <c r="DM12" s="57">
        <v>2.817503754038615</v>
      </c>
      <c r="DN12" s="58">
        <v>0.21129979977393229</v>
      </c>
      <c r="DO12" s="10" t="str">
        <f t="shared" si="37"/>
        <v>NV</v>
      </c>
      <c r="DP12" s="10" t="str">
        <f t="shared" si="38"/>
        <v xml:space="preserve"> </v>
      </c>
      <c r="DQ12" s="114">
        <f t="shared" si="39"/>
        <v>0.23416975152543928</v>
      </c>
      <c r="DR12" s="76"/>
      <c r="DS12" s="27">
        <v>18</v>
      </c>
      <c r="DT12" s="28">
        <v>3.217405112319101</v>
      </c>
      <c r="DU12" s="97">
        <v>0.32251787852764313</v>
      </c>
      <c r="DV12" s="10"/>
      <c r="DW12" s="42">
        <v>7</v>
      </c>
      <c r="DX12" s="43">
        <v>2.4277515054351237</v>
      </c>
      <c r="DY12" s="68">
        <v>0.3694017323607594</v>
      </c>
      <c r="DZ12" s="10" t="str">
        <f t="shared" si="40"/>
        <v>NV</v>
      </c>
      <c r="EA12" s="10" t="str">
        <f t="shared" si="41"/>
        <v xml:space="preserve"> </v>
      </c>
      <c r="EB12" s="114">
        <f t="shared" si="42"/>
        <v>0.78965360688397723</v>
      </c>
      <c r="EC12" s="10"/>
      <c r="ED12" s="42">
        <v>2.0794782600000001</v>
      </c>
      <c r="EE12" s="43">
        <v>2.5</v>
      </c>
      <c r="EF12" s="68">
        <v>1.4437244413927033</v>
      </c>
      <c r="EG12" s="10" t="str">
        <f t="shared" si="43"/>
        <v>NV</v>
      </c>
      <c r="EH12" s="10" t="str">
        <f t="shared" si="44"/>
        <v xml:space="preserve"> </v>
      </c>
      <c r="EI12" s="10"/>
      <c r="EJ12" s="53">
        <v>5</v>
      </c>
      <c r="EK12" s="55">
        <v>2.8942424129177127</v>
      </c>
      <c r="EL12" s="56">
        <v>0.43318345241442335</v>
      </c>
      <c r="EM12" s="10" t="str">
        <f t="shared" si="45"/>
        <v>NV</v>
      </c>
      <c r="EN12" s="10" t="str">
        <f t="shared" si="46"/>
        <v xml:space="preserve"> </v>
      </c>
      <c r="EO12" s="10"/>
      <c r="EP12" s="54">
        <v>3</v>
      </c>
      <c r="EQ12" s="57">
        <v>4</v>
      </c>
      <c r="ER12" s="58">
        <v>0.5241799021643232</v>
      </c>
      <c r="ES12" s="10" t="str">
        <f t="shared" si="47"/>
        <v>NV</v>
      </c>
      <c r="ET12" s="10" t="str">
        <f t="shared" si="48"/>
        <v xml:space="preserve"> </v>
      </c>
      <c r="EU12" s="114">
        <f t="shared" si="49"/>
        <v>-0.78259488768089902</v>
      </c>
      <c r="EV12" s="76"/>
      <c r="EW12" s="27">
        <v>47</v>
      </c>
      <c r="EX12" s="28">
        <v>3.0244731280524491</v>
      </c>
      <c r="EY12" s="29">
        <v>0.15409974902946982</v>
      </c>
      <c r="EZ12" s="10"/>
      <c r="FA12" s="42">
        <v>17</v>
      </c>
      <c r="FB12" s="43">
        <v>3.7074024852586183</v>
      </c>
      <c r="FC12" s="67">
        <v>0.31755116646710096</v>
      </c>
      <c r="FD12" s="10" t="str">
        <f t="shared" si="50"/>
        <v>NV</v>
      </c>
      <c r="FE12" s="10" t="str">
        <f t="shared" si="51"/>
        <v xml:space="preserve"> </v>
      </c>
      <c r="FF12" s="114">
        <f t="shared" si="52"/>
        <v>-0.68292935720616921</v>
      </c>
      <c r="FG12" s="10"/>
      <c r="FH12" s="42">
        <v>2.9504813099999998</v>
      </c>
      <c r="FI12" s="43">
        <v>1.3238017765989509</v>
      </c>
      <c r="FJ12" s="67">
        <v>0.33504699700881124</v>
      </c>
      <c r="FK12" s="10" t="str">
        <f t="shared" si="53"/>
        <v>NV</v>
      </c>
      <c r="FL12" s="10" t="str">
        <f t="shared" si="54"/>
        <v xml:space="preserve"> </v>
      </c>
      <c r="FM12" s="10"/>
      <c r="FN12" s="53">
        <v>11</v>
      </c>
      <c r="FO12" s="55">
        <v>3.390586003840895</v>
      </c>
      <c r="FP12" s="56">
        <v>0.37478807588456248</v>
      </c>
      <c r="FQ12" s="10" t="str">
        <f t="shared" si="55"/>
        <v>NV</v>
      </c>
      <c r="FR12" s="10" t="str">
        <f t="shared" si="56"/>
        <v xml:space="preserve"> </v>
      </c>
      <c r="FS12" s="10"/>
      <c r="FT12" s="54">
        <v>10</v>
      </c>
      <c r="FU12" s="57">
        <v>3.0828222825698837</v>
      </c>
      <c r="FV12" s="58">
        <v>0.44691879669547935</v>
      </c>
      <c r="FW12" s="10" t="str">
        <f t="shared" si="57"/>
        <v>NV</v>
      </c>
      <c r="FX12" s="10" t="str">
        <f t="shared" si="125"/>
        <v xml:space="preserve"> </v>
      </c>
      <c r="FY12" s="114">
        <f t="shared" si="58"/>
        <v>-5.8349154517434609E-2</v>
      </c>
      <c r="FZ12" s="76"/>
      <c r="GA12" s="27">
        <v>27</v>
      </c>
      <c r="GB12" s="28">
        <v>2.8430078065750259</v>
      </c>
      <c r="GC12" s="29">
        <v>0.23531628272934935</v>
      </c>
      <c r="GD12" s="67"/>
      <c r="GE12" s="42">
        <v>18</v>
      </c>
      <c r="GF12" s="43">
        <v>3.054355309390659</v>
      </c>
      <c r="GG12" s="67">
        <v>0.2954380709142912</v>
      </c>
      <c r="GH12" s="10" t="str">
        <f t="shared" si="59"/>
        <v>NV</v>
      </c>
      <c r="GI12" s="10" t="str">
        <f t="shared" si="60"/>
        <v xml:space="preserve"> </v>
      </c>
      <c r="GJ12" s="114">
        <f t="shared" si="61"/>
        <v>-0.21134750281563308</v>
      </c>
      <c r="GK12" s="67"/>
      <c r="GL12" s="42">
        <v>22.263518869999992</v>
      </c>
      <c r="GM12" s="43">
        <v>2.5678630473386623</v>
      </c>
      <c r="GN12" s="67">
        <v>0.29103810505533279</v>
      </c>
      <c r="GO12" s="10" t="str">
        <f t="shared" si="62"/>
        <v>NV</v>
      </c>
      <c r="GP12" s="10" t="str">
        <f t="shared" si="63"/>
        <v xml:space="preserve"> </v>
      </c>
      <c r="GQ12" s="10"/>
      <c r="GR12" s="53">
        <v>9</v>
      </c>
      <c r="GS12" s="55">
        <v>2.8888888888888888</v>
      </c>
      <c r="GT12" s="56">
        <v>0.49305188496344038</v>
      </c>
      <c r="GU12" s="10" t="str">
        <f t="shared" si="64"/>
        <v>NV</v>
      </c>
      <c r="GV12" s="10" t="str">
        <f t="shared" si="65"/>
        <v xml:space="preserve"> </v>
      </c>
      <c r="GW12" s="10"/>
      <c r="GX12" s="54">
        <v>30</v>
      </c>
      <c r="GY12" s="57">
        <v>3.2361809049165235</v>
      </c>
      <c r="GZ12" s="58">
        <v>0.19487714865225622</v>
      </c>
      <c r="HA12" s="10" t="str">
        <f t="shared" si="66"/>
        <v>NV</v>
      </c>
      <c r="HB12" s="10" t="str">
        <f t="shared" si="126"/>
        <v xml:space="preserve"> </v>
      </c>
      <c r="HC12" s="114">
        <f t="shared" si="67"/>
        <v>-0.39317309834149761</v>
      </c>
      <c r="HD12" s="76"/>
      <c r="HE12" s="27">
        <v>27</v>
      </c>
      <c r="HF12" s="28">
        <v>3.1694610955976787</v>
      </c>
      <c r="HG12" s="29">
        <v>0.2313382233934721</v>
      </c>
      <c r="HH12" s="10"/>
      <c r="HI12" s="42">
        <v>18</v>
      </c>
      <c r="HJ12" s="43">
        <v>3.1158061610189107</v>
      </c>
      <c r="HK12" s="67">
        <v>0.26824701735468598</v>
      </c>
      <c r="HL12" s="10" t="str">
        <f t="shared" si="68"/>
        <v>NV</v>
      </c>
      <c r="HM12" s="10" t="str">
        <f t="shared" si="69"/>
        <v xml:space="preserve"> </v>
      </c>
      <c r="HN12" s="114">
        <f t="shared" si="70"/>
        <v>5.3654934578768021E-2</v>
      </c>
      <c r="HO12" s="10"/>
      <c r="HP12" s="42">
        <v>11.531294089999999</v>
      </c>
      <c r="HQ12" s="43">
        <v>4</v>
      </c>
      <c r="HR12" s="67">
        <v>0.37732735263635186</v>
      </c>
      <c r="HS12" s="10" t="str">
        <f t="shared" si="71"/>
        <v>NV</v>
      </c>
      <c r="HT12" s="10" t="str">
        <f t="shared" si="72"/>
        <v xml:space="preserve"> </v>
      </c>
      <c r="HU12" s="10"/>
      <c r="HV12" s="53">
        <v>8</v>
      </c>
      <c r="HW12" s="55">
        <v>3</v>
      </c>
      <c r="HX12" s="56">
        <v>0.4501769704948812</v>
      </c>
      <c r="HY12" s="10" t="str">
        <f t="shared" si="73"/>
        <v>NV</v>
      </c>
      <c r="HZ12" s="10" t="str">
        <f t="shared" si="74"/>
        <v xml:space="preserve"> </v>
      </c>
      <c r="IA12" s="10"/>
      <c r="IB12" s="54">
        <v>18</v>
      </c>
      <c r="IC12" s="57">
        <v>3.6118980171076251</v>
      </c>
      <c r="ID12" s="58">
        <v>0.30695093256971462</v>
      </c>
      <c r="IE12" s="10" t="str">
        <f t="shared" si="75"/>
        <v>NV</v>
      </c>
      <c r="IF12" s="10" t="str">
        <f t="shared" si="127"/>
        <v xml:space="preserve"> </v>
      </c>
      <c r="IG12" s="114">
        <f t="shared" si="76"/>
        <v>-0.4424369215099464</v>
      </c>
      <c r="IH12" s="76"/>
      <c r="II12" s="27">
        <v>77</v>
      </c>
      <c r="IJ12" s="28">
        <v>2.8053131326537946</v>
      </c>
      <c r="IK12" s="29">
        <v>0.12647804486007097</v>
      </c>
      <c r="IL12" s="10"/>
      <c r="IM12" s="42">
        <v>46</v>
      </c>
      <c r="IN12" s="43">
        <v>2.8212560224182446</v>
      </c>
      <c r="IO12" s="67">
        <v>0.17882484911758728</v>
      </c>
      <c r="IP12" s="10">
        <f t="shared" si="77"/>
        <v>-7.2787943568239241E-2</v>
      </c>
      <c r="IQ12" s="10" t="str">
        <f t="shared" si="78"/>
        <v xml:space="preserve"> </v>
      </c>
      <c r="IR12" s="114">
        <f t="shared" si="79"/>
        <v>-1.5942889764450019E-2</v>
      </c>
      <c r="IS12" s="10"/>
      <c r="IT12" s="42">
        <v>29.540036149999988</v>
      </c>
      <c r="IU12" s="43">
        <v>2.8371550875708733</v>
      </c>
      <c r="IV12" s="67">
        <v>0.25314965657591604</v>
      </c>
      <c r="IW12" s="10" t="str">
        <f t="shared" si="80"/>
        <v>NV</v>
      </c>
      <c r="IX12" s="10" t="str">
        <f t="shared" si="81"/>
        <v xml:space="preserve"> </v>
      </c>
      <c r="IY12" s="10"/>
      <c r="IZ12" s="53">
        <v>49</v>
      </c>
      <c r="JA12" s="55">
        <v>3.0830257429910515</v>
      </c>
      <c r="JB12" s="56">
        <v>0.16898732654391033</v>
      </c>
      <c r="JC12" s="10">
        <f t="shared" si="82"/>
        <v>-1.3156946670844289</v>
      </c>
      <c r="JD12" s="10" t="str">
        <f t="shared" si="83"/>
        <v xml:space="preserve"> </v>
      </c>
      <c r="JE12" s="10"/>
      <c r="JF12" s="54">
        <v>47</v>
      </c>
      <c r="JG12" s="57">
        <v>3.0075593933317948</v>
      </c>
      <c r="JH12" s="58">
        <v>0.19086726960727288</v>
      </c>
      <c r="JI12" s="10">
        <f t="shared" si="84"/>
        <v>-0.88328926835747656</v>
      </c>
      <c r="JJ12" s="10" t="str">
        <f t="shared" si="85"/>
        <v xml:space="preserve"> </v>
      </c>
      <c r="JK12" s="114">
        <f t="shared" si="86"/>
        <v>-0.20224626067800022</v>
      </c>
      <c r="JL12" s="76"/>
      <c r="JM12" s="27">
        <v>4</v>
      </c>
      <c r="JN12" s="28">
        <v>3.5</v>
      </c>
      <c r="JO12" s="29">
        <v>0.64585391603440578</v>
      </c>
      <c r="JP12" s="10"/>
      <c r="JQ12" s="42">
        <v>4</v>
      </c>
      <c r="JR12" s="43">
        <v>4.75</v>
      </c>
      <c r="JS12" s="67">
        <v>0.24976224459637555</v>
      </c>
      <c r="JT12" s="10" t="str">
        <f t="shared" si="87"/>
        <v>NV</v>
      </c>
      <c r="JU12" s="10" t="str">
        <f t="shared" si="88"/>
        <v xml:space="preserve"> </v>
      </c>
      <c r="JV12" s="114">
        <f t="shared" si="89"/>
        <v>-1.25</v>
      </c>
      <c r="JW12" s="10"/>
      <c r="JX12" s="42">
        <v>2.9703581699999999</v>
      </c>
      <c r="JY12" s="43">
        <v>4</v>
      </c>
      <c r="JZ12" s="67">
        <v>0.58167685159737692</v>
      </c>
      <c r="KA12" s="10" t="str">
        <f t="shared" si="90"/>
        <v>NV</v>
      </c>
      <c r="KB12" s="10" t="str">
        <f t="shared" si="91"/>
        <v xml:space="preserve"> </v>
      </c>
      <c r="KC12" s="10"/>
      <c r="KD12" s="53">
        <v>3</v>
      </c>
      <c r="KE12" s="55">
        <v>2.6666666666666665</v>
      </c>
      <c r="KF12" s="61">
        <v>1.2230299195858236</v>
      </c>
      <c r="KG12" s="10" t="str">
        <f t="shared" si="92"/>
        <v>NV</v>
      </c>
      <c r="KH12" s="10" t="str">
        <f t="shared" si="93"/>
        <v xml:space="preserve"> </v>
      </c>
      <c r="KI12" s="10"/>
      <c r="KJ12" s="54">
        <v>5</v>
      </c>
      <c r="KK12" s="57">
        <v>2.4</v>
      </c>
      <c r="KL12" s="58">
        <v>0.4171971466999706</v>
      </c>
      <c r="KM12" s="10" t="str">
        <f t="shared" si="94"/>
        <v>NV</v>
      </c>
      <c r="KN12" s="10" t="str">
        <f t="shared" si="95"/>
        <v xml:space="preserve"> </v>
      </c>
      <c r="KO12" s="114">
        <f t="shared" si="96"/>
        <v>1.1000000000000001</v>
      </c>
      <c r="KP12" s="76"/>
      <c r="KQ12" s="27">
        <v>52</v>
      </c>
      <c r="KR12" s="28">
        <v>2.6542183823700278</v>
      </c>
      <c r="KS12" s="29">
        <v>0.1796354102184814</v>
      </c>
      <c r="KT12" s="10"/>
      <c r="KU12" s="42">
        <v>20</v>
      </c>
      <c r="KV12" s="43">
        <v>2.7006869478371622</v>
      </c>
      <c r="KW12" s="67">
        <v>0.33329272140517274</v>
      </c>
      <c r="KX12" s="10" t="str">
        <f t="shared" si="97"/>
        <v>NV</v>
      </c>
      <c r="KY12" s="10" t="str">
        <f t="shared" si="98"/>
        <v xml:space="preserve"> </v>
      </c>
      <c r="KZ12" s="114">
        <f t="shared" si="99"/>
        <v>-4.6468565467134404E-2</v>
      </c>
      <c r="LA12" s="10"/>
      <c r="LB12" s="42">
        <v>28.200189710000007</v>
      </c>
      <c r="LC12" s="43">
        <v>2.8764678250102453</v>
      </c>
      <c r="LD12" s="67">
        <v>0.26491322651058041</v>
      </c>
      <c r="LE12" s="10" t="str">
        <f t="shared" si="100"/>
        <v>NV</v>
      </c>
      <c r="LF12" s="10" t="str">
        <f t="shared" si="101"/>
        <v xml:space="preserve"> </v>
      </c>
      <c r="LG12" s="10"/>
      <c r="LH12" s="53">
        <v>32</v>
      </c>
      <c r="LI12" s="55">
        <v>2.093186508922233</v>
      </c>
      <c r="LJ12" s="56">
        <v>0.2378662152953806</v>
      </c>
      <c r="LK12" s="10">
        <f t="shared" si="102"/>
        <v>1.8821781732053067</v>
      </c>
      <c r="LL12" s="10" t="str">
        <f t="shared" si="103"/>
        <v xml:space="preserve"> </v>
      </c>
      <c r="LM12" s="10"/>
      <c r="LN12" s="54">
        <v>39</v>
      </c>
      <c r="LO12" s="57">
        <v>2.461931308875311</v>
      </c>
      <c r="LP12" s="58">
        <v>0.20222815771221289</v>
      </c>
      <c r="LQ12" s="10">
        <f t="shared" si="104"/>
        <v>0.71088291974886542</v>
      </c>
      <c r="LR12" s="10" t="str">
        <f t="shared" si="128"/>
        <v xml:space="preserve"> </v>
      </c>
      <c r="LS12" s="114">
        <f t="shared" si="105"/>
        <v>0.19228707349471685</v>
      </c>
      <c r="LT12" s="76"/>
      <c r="LU12" s="27">
        <v>9</v>
      </c>
      <c r="LV12" s="28">
        <v>3.4444444444444446</v>
      </c>
      <c r="LW12" s="29">
        <v>0.55581454592327884</v>
      </c>
      <c r="LX12" s="10"/>
      <c r="LY12" s="42">
        <v>12</v>
      </c>
      <c r="LZ12" s="43">
        <v>2.5</v>
      </c>
      <c r="MA12" s="67">
        <v>0.39855157915006878</v>
      </c>
      <c r="MB12" s="10" t="str">
        <f t="shared" si="106"/>
        <v>NV</v>
      </c>
      <c r="MC12" s="10" t="str">
        <f t="shared" si="107"/>
        <v xml:space="preserve"> </v>
      </c>
      <c r="MD12" s="114">
        <f t="shared" si="108"/>
        <v>0.94444444444444464</v>
      </c>
      <c r="ME12" s="10"/>
      <c r="MF12" s="42">
        <v>17.822149020000001</v>
      </c>
      <c r="MG12" s="43">
        <v>2.0555555555555558</v>
      </c>
      <c r="MH12" s="67">
        <v>0.26300101953803462</v>
      </c>
      <c r="MI12" s="10" t="str">
        <f t="shared" si="109"/>
        <v>NV</v>
      </c>
      <c r="MJ12" s="10" t="str">
        <f t="shared" si="110"/>
        <v xml:space="preserve"> </v>
      </c>
      <c r="MK12" s="10"/>
      <c r="ML12" s="53">
        <v>23</v>
      </c>
      <c r="MM12" s="55">
        <v>2.7826086956521743</v>
      </c>
      <c r="MN12" s="56">
        <v>0.28427699618057711</v>
      </c>
      <c r="MO12" s="10" t="str">
        <f t="shared" si="111"/>
        <v>NV</v>
      </c>
      <c r="MP12" s="10" t="str">
        <f t="shared" si="112"/>
        <v xml:space="preserve"> </v>
      </c>
      <c r="MQ12" s="10"/>
      <c r="MR12" s="54">
        <v>29</v>
      </c>
      <c r="MS12" s="57">
        <v>2.5517241379310347</v>
      </c>
      <c r="MT12" s="58">
        <v>0.25988188037046989</v>
      </c>
      <c r="MU12" s="10" t="str">
        <f t="shared" si="113"/>
        <v>NV</v>
      </c>
      <c r="MV12" s="10" t="str">
        <f t="shared" si="114"/>
        <v xml:space="preserve"> </v>
      </c>
      <c r="MW12" s="114">
        <f t="shared" si="115"/>
        <v>0.89272030651340994</v>
      </c>
      <c r="MX12" s="76"/>
      <c r="MY12" s="27">
        <v>16</v>
      </c>
      <c r="MZ12" s="28">
        <v>3.25</v>
      </c>
      <c r="NA12" s="29">
        <v>0.30970642164805295</v>
      </c>
      <c r="NB12" s="10"/>
      <c r="NC12" s="42">
        <v>11</v>
      </c>
      <c r="ND12" s="43">
        <v>2.7303571421783293</v>
      </c>
      <c r="NE12" s="67">
        <v>0.4281785659235437</v>
      </c>
      <c r="NF12" s="10" t="str">
        <f t="shared" si="116"/>
        <v>NV</v>
      </c>
      <c r="NG12" s="10" t="str">
        <f t="shared" si="117"/>
        <v xml:space="preserve"> </v>
      </c>
      <c r="NH12" s="114">
        <f t="shared" si="118"/>
        <v>0.51964285782167075</v>
      </c>
      <c r="NI12" s="10"/>
      <c r="NJ12" s="42">
        <v>10.378040690000001</v>
      </c>
      <c r="NK12" s="43">
        <v>3</v>
      </c>
      <c r="NL12" s="67">
        <v>0.5268491673888287</v>
      </c>
      <c r="NM12" s="10" t="str">
        <f t="shared" si="119"/>
        <v>NV</v>
      </c>
      <c r="NN12" s="10" t="str">
        <f t="shared" si="120"/>
        <v xml:space="preserve"> </v>
      </c>
      <c r="NO12" s="10"/>
      <c r="NP12" s="53">
        <v>10</v>
      </c>
      <c r="NQ12" s="55">
        <v>2.6533819477682652</v>
      </c>
      <c r="NR12" s="56">
        <v>0.47862183808454167</v>
      </c>
      <c r="NS12" s="10" t="str">
        <f t="shared" si="121"/>
        <v>NV</v>
      </c>
      <c r="NT12" s="10" t="str">
        <f t="shared" si="122"/>
        <v xml:space="preserve"> </v>
      </c>
      <c r="NU12" s="10"/>
      <c r="NV12" s="54">
        <v>11</v>
      </c>
      <c r="NW12" s="57">
        <v>2.5454545454545454</v>
      </c>
      <c r="NX12" s="58">
        <v>0.35291969579457838</v>
      </c>
      <c r="NY12" s="10" t="str">
        <f t="shared" si="123"/>
        <v>NV</v>
      </c>
      <c r="NZ12" s="10" t="str">
        <f t="shared" si="129"/>
        <v xml:space="preserve"> </v>
      </c>
      <c r="OA12" s="114">
        <f t="shared" si="124"/>
        <v>0.70454545454545459</v>
      </c>
      <c r="OB12" s="58"/>
    </row>
    <row r="13" spans="1:392" x14ac:dyDescent="0.2">
      <c r="B13" s="65" t="s">
        <v>14</v>
      </c>
      <c r="C13" s="27">
        <v>209</v>
      </c>
      <c r="D13" s="28">
        <v>3.5502392344497617</v>
      </c>
      <c r="E13" s="29">
        <v>8.5174968256905487E-2</v>
      </c>
      <c r="F13" s="10"/>
      <c r="G13" s="42">
        <v>48</v>
      </c>
      <c r="H13" s="43">
        <v>3.4791666666666661</v>
      </c>
      <c r="I13" s="67">
        <v>0.1911839434086039</v>
      </c>
      <c r="J13" s="10">
        <f t="shared" si="1"/>
        <v>0.33957431478784017</v>
      </c>
      <c r="K13" s="10" t="str">
        <f t="shared" si="2"/>
        <v xml:space="preserve"> </v>
      </c>
      <c r="L13" s="114">
        <f t="shared" si="3"/>
        <v>7.1072567783095675E-2</v>
      </c>
      <c r="M13" s="10"/>
      <c r="N13" s="42">
        <v>37.430608680000027</v>
      </c>
      <c r="O13" s="43">
        <v>3.4722222222222223</v>
      </c>
      <c r="P13" s="67">
        <v>0.16329660307323435</v>
      </c>
      <c r="Q13" s="10">
        <f t="shared" si="4"/>
        <v>0.4236018367579853</v>
      </c>
      <c r="R13" s="10" t="str">
        <f t="shared" si="5"/>
        <v xml:space="preserve"> </v>
      </c>
      <c r="S13" s="10"/>
      <c r="T13" s="53">
        <v>54</v>
      </c>
      <c r="U13" s="55">
        <v>3.4444444444444455</v>
      </c>
      <c r="V13" s="56">
        <v>0.1432754154121815</v>
      </c>
      <c r="W13" s="10">
        <f t="shared" si="6"/>
        <v>0.63471342220188975</v>
      </c>
      <c r="X13" s="10" t="str">
        <f t="shared" si="7"/>
        <v xml:space="preserve"> </v>
      </c>
      <c r="Y13" s="10"/>
      <c r="Z13" s="54">
        <v>80</v>
      </c>
      <c r="AA13" s="57">
        <v>3.4625000000000004</v>
      </c>
      <c r="AB13" s="58">
        <v>0.11395943868964102</v>
      </c>
      <c r="AC13" s="10">
        <f t="shared" si="8"/>
        <v>0.61669749516872974</v>
      </c>
      <c r="AD13" s="10" t="str">
        <f t="shared" si="9"/>
        <v xml:space="preserve"> </v>
      </c>
      <c r="AE13" s="114">
        <f t="shared" si="10"/>
        <v>8.7739234449761394E-2</v>
      </c>
      <c r="AF13" s="76"/>
      <c r="AG13" s="27">
        <v>40</v>
      </c>
      <c r="AH13" s="28">
        <v>3.6760030024273438</v>
      </c>
      <c r="AI13" s="29">
        <v>0.16646192690824929</v>
      </c>
      <c r="AJ13" s="67"/>
      <c r="AK13" s="42">
        <v>21</v>
      </c>
      <c r="AL13" s="43">
        <v>3.5714285714285712</v>
      </c>
      <c r="AM13" s="67">
        <v>0.30406596407901021</v>
      </c>
      <c r="AN13" s="10" t="str">
        <f t="shared" si="11"/>
        <v>NV</v>
      </c>
      <c r="AO13" s="10" t="str">
        <f t="shared" si="12"/>
        <v xml:space="preserve"> </v>
      </c>
      <c r="AP13" s="114">
        <f t="shared" si="13"/>
        <v>0.10457443099877262</v>
      </c>
      <c r="AQ13" s="67"/>
      <c r="AR13" s="42">
        <v>21.973535070000001</v>
      </c>
      <c r="AS13" s="43">
        <v>3.8695652173913042</v>
      </c>
      <c r="AT13" s="67">
        <v>0.23486162248266398</v>
      </c>
      <c r="AU13" s="10" t="str">
        <f t="shared" si="14"/>
        <v>NV</v>
      </c>
      <c r="AV13" s="10" t="str">
        <f t="shared" si="15"/>
        <v xml:space="preserve"> </v>
      </c>
      <c r="AW13" s="10"/>
      <c r="AX13" s="53">
        <v>29</v>
      </c>
      <c r="AY13" s="55">
        <v>3.0681869333748351</v>
      </c>
      <c r="AZ13" s="56">
        <v>0.23701158253565388</v>
      </c>
      <c r="BA13" s="10" t="str">
        <f t="shared" si="16"/>
        <v>NV</v>
      </c>
      <c r="BB13" s="10" t="str">
        <f t="shared" si="17"/>
        <v xml:space="preserve"> </v>
      </c>
      <c r="BC13" s="10"/>
      <c r="BD13" s="54">
        <v>34</v>
      </c>
      <c r="BE13" s="57">
        <v>2.6725786985473503</v>
      </c>
      <c r="BF13" s="58">
        <v>0.17877476652830213</v>
      </c>
      <c r="BG13" s="10">
        <f t="shared" si="18"/>
        <v>4.1077748573615303</v>
      </c>
      <c r="BH13" s="10" t="str">
        <f t="shared" si="19"/>
        <v>*</v>
      </c>
      <c r="BI13" s="114">
        <f t="shared" si="20"/>
        <v>1.0034243038799935</v>
      </c>
      <c r="BJ13" s="76"/>
      <c r="BK13" s="27">
        <v>469</v>
      </c>
      <c r="BL13" s="28">
        <v>3.6448589379102514</v>
      </c>
      <c r="BM13" s="29">
        <v>5.4852945567091686E-2</v>
      </c>
      <c r="BN13" s="10"/>
      <c r="BO13" s="42">
        <v>122</v>
      </c>
      <c r="BP13" s="43">
        <v>3.6221615700408796</v>
      </c>
      <c r="BQ13" s="67">
        <v>0.11199877792227161</v>
      </c>
      <c r="BR13" s="10">
        <f t="shared" si="21"/>
        <v>0.18200125712817103</v>
      </c>
      <c r="BS13" s="10" t="str">
        <f t="shared" si="22"/>
        <v xml:space="preserve"> </v>
      </c>
      <c r="BT13" s="114">
        <f t="shared" si="23"/>
        <v>2.2697367869371821E-2</v>
      </c>
      <c r="BU13" s="10"/>
      <c r="BV13" s="42">
        <v>81.380078910000051</v>
      </c>
      <c r="BW13" s="43">
        <v>2.9744473305033314</v>
      </c>
      <c r="BX13" s="67">
        <v>6.1067726997662733E-2</v>
      </c>
      <c r="BY13" s="10">
        <f t="shared" si="24"/>
        <v>8.1671848023842948</v>
      </c>
      <c r="BZ13" s="10" t="str">
        <f t="shared" si="25"/>
        <v>*</v>
      </c>
      <c r="CA13" s="10"/>
      <c r="CB13" s="53">
        <v>126</v>
      </c>
      <c r="CC13" s="55">
        <v>2.8741095531430929</v>
      </c>
      <c r="CD13" s="56">
        <v>5.2422942282872073E-2</v>
      </c>
      <c r="CE13" s="10">
        <f t="shared" si="26"/>
        <v>10.158151259732545</v>
      </c>
      <c r="CF13" s="10" t="str">
        <f t="shared" si="27"/>
        <v>*</v>
      </c>
      <c r="CG13" s="10"/>
      <c r="CH13" s="54">
        <v>139</v>
      </c>
      <c r="CI13" s="57">
        <v>3.323395179277866</v>
      </c>
      <c r="CJ13" s="58">
        <v>9.5959250310757166E-2</v>
      </c>
      <c r="CK13" s="10">
        <f t="shared" si="28"/>
        <v>2.9083677227887841</v>
      </c>
      <c r="CL13" s="10" t="str">
        <f t="shared" si="29"/>
        <v>*</v>
      </c>
      <c r="CM13" s="114">
        <f t="shared" si="30"/>
        <v>0.32146375863238541</v>
      </c>
      <c r="CN13" s="76"/>
      <c r="CO13" s="27">
        <v>254</v>
      </c>
      <c r="CP13" s="28">
        <v>3.6237651439040888</v>
      </c>
      <c r="CQ13" s="29">
        <v>7.5506609589955809E-2</v>
      </c>
      <c r="CR13" s="67"/>
      <c r="CS13" s="42">
        <v>89</v>
      </c>
      <c r="CT13" s="43">
        <v>3.6851478660508943</v>
      </c>
      <c r="CU13" s="67">
        <v>0.12425593775574181</v>
      </c>
      <c r="CV13" s="10">
        <f t="shared" si="31"/>
        <v>-0.4221682590892385</v>
      </c>
      <c r="CW13" s="10" t="str">
        <f t="shared" si="32"/>
        <v xml:space="preserve"> </v>
      </c>
      <c r="CX13" s="114">
        <f t="shared" si="33"/>
        <v>-6.1382722146805513E-2</v>
      </c>
      <c r="CY13" s="10"/>
      <c r="CZ13" s="42">
        <v>63.955217730000015</v>
      </c>
      <c r="DA13" s="43">
        <v>3.8668760412020879</v>
      </c>
      <c r="DB13" s="67">
        <v>0.14686719201572271</v>
      </c>
      <c r="DC13" s="10">
        <f t="shared" si="34"/>
        <v>-1.4721502646378124</v>
      </c>
      <c r="DD13" s="10" t="str">
        <f t="shared" si="35"/>
        <v xml:space="preserve"> </v>
      </c>
      <c r="DE13" s="10"/>
      <c r="DF13" s="53">
        <v>77</v>
      </c>
      <c r="DG13" s="55">
        <v>3.8222924850673046</v>
      </c>
      <c r="DH13" s="56">
        <v>0.13319743770747469</v>
      </c>
      <c r="DI13" s="10">
        <f t="shared" si="36"/>
        <v>-1.2966284128578354</v>
      </c>
      <c r="DJ13" s="10" t="str">
        <f t="shared" si="0"/>
        <v xml:space="preserve"> </v>
      </c>
      <c r="DK13" s="10"/>
      <c r="DL13" s="54">
        <v>84</v>
      </c>
      <c r="DM13" s="57">
        <v>3.5627664416289617</v>
      </c>
      <c r="DN13" s="58">
        <v>0.12982587412842489</v>
      </c>
      <c r="DO13" s="10">
        <f t="shared" si="37"/>
        <v>0.40615284337317109</v>
      </c>
      <c r="DP13" s="10" t="str">
        <f t="shared" si="38"/>
        <v xml:space="preserve"> </v>
      </c>
      <c r="DQ13" s="114">
        <f t="shared" si="39"/>
        <v>6.0998702275127048E-2</v>
      </c>
      <c r="DR13" s="76"/>
      <c r="DS13" s="27">
        <v>80</v>
      </c>
      <c r="DT13" s="28">
        <v>3.4179006207197387</v>
      </c>
      <c r="DU13" s="29">
        <v>0.12728721111766139</v>
      </c>
      <c r="DV13" s="10"/>
      <c r="DW13" s="42">
        <v>29</v>
      </c>
      <c r="DX13" s="43">
        <v>3.3430949571786024</v>
      </c>
      <c r="DY13" s="67">
        <v>0.20074590627021915</v>
      </c>
      <c r="DZ13" s="10" t="str">
        <f t="shared" si="40"/>
        <v>NV</v>
      </c>
      <c r="EA13" s="10" t="str">
        <f t="shared" si="41"/>
        <v xml:space="preserve"> </v>
      </c>
      <c r="EB13" s="114">
        <f t="shared" si="42"/>
        <v>7.4805663541136269E-2</v>
      </c>
      <c r="EC13" s="10"/>
      <c r="ED13" s="42">
        <v>27.735484350000018</v>
      </c>
      <c r="EE13" s="43">
        <v>3.3313054127356532</v>
      </c>
      <c r="EF13" s="67">
        <v>0.22956647907545999</v>
      </c>
      <c r="EG13" s="10" t="str">
        <f t="shared" si="43"/>
        <v>NV</v>
      </c>
      <c r="EH13" s="10" t="str">
        <f t="shared" si="44"/>
        <v xml:space="preserve"> </v>
      </c>
      <c r="EI13" s="10"/>
      <c r="EJ13" s="53">
        <v>24</v>
      </c>
      <c r="EK13" s="55">
        <v>3.3789275871240272</v>
      </c>
      <c r="EL13" s="56">
        <v>0.24597982807600519</v>
      </c>
      <c r="EM13" s="10" t="str">
        <f t="shared" si="45"/>
        <v>NV</v>
      </c>
      <c r="EN13" s="10" t="str">
        <f t="shared" si="46"/>
        <v xml:space="preserve"> </v>
      </c>
      <c r="EO13" s="10"/>
      <c r="EP13" s="54">
        <v>23</v>
      </c>
      <c r="EQ13" s="57">
        <v>3.5652173913043481</v>
      </c>
      <c r="ER13" s="58">
        <v>0.21009168532234018</v>
      </c>
      <c r="ES13" s="10" t="str">
        <f t="shared" si="47"/>
        <v>NV</v>
      </c>
      <c r="ET13" s="10" t="str">
        <f t="shared" si="48"/>
        <v xml:space="preserve"> </v>
      </c>
      <c r="EU13" s="114">
        <f t="shared" si="49"/>
        <v>-0.14731677058460946</v>
      </c>
      <c r="EV13" s="76"/>
      <c r="EW13" s="27">
        <v>202</v>
      </c>
      <c r="EX13" s="28">
        <v>3.7194794050971427</v>
      </c>
      <c r="EY13" s="29">
        <v>8.0271411478266677E-2</v>
      </c>
      <c r="EZ13" s="10"/>
      <c r="FA13" s="42">
        <v>56</v>
      </c>
      <c r="FB13" s="43">
        <v>3.7500000000000004</v>
      </c>
      <c r="FC13" s="67">
        <v>0.16166652846684226</v>
      </c>
      <c r="FD13" s="10">
        <f t="shared" si="50"/>
        <v>-0.16909094360921728</v>
      </c>
      <c r="FE13" s="10" t="str">
        <f t="shared" si="51"/>
        <v xml:space="preserve"> </v>
      </c>
      <c r="FF13" s="114">
        <f t="shared" si="52"/>
        <v>-3.0520594902857745E-2</v>
      </c>
      <c r="FG13" s="10"/>
      <c r="FH13" s="42">
        <v>35.040980910000009</v>
      </c>
      <c r="FI13" s="43">
        <v>3.4210043830648003</v>
      </c>
      <c r="FJ13" s="67">
        <v>0.20717541143611148</v>
      </c>
      <c r="FK13" s="10">
        <f t="shared" si="53"/>
        <v>1.3433765400876878</v>
      </c>
      <c r="FL13" s="10" t="str">
        <f t="shared" si="54"/>
        <v xml:space="preserve"> </v>
      </c>
      <c r="FM13" s="10"/>
      <c r="FN13" s="53">
        <v>50</v>
      </c>
      <c r="FO13" s="55">
        <v>3.7569665964357726</v>
      </c>
      <c r="FP13" s="56">
        <v>0.16956465432699744</v>
      </c>
      <c r="FQ13" s="10">
        <f t="shared" si="55"/>
        <v>-0.19981968736159272</v>
      </c>
      <c r="FR13" s="10" t="str">
        <f t="shared" si="56"/>
        <v xml:space="preserve"> </v>
      </c>
      <c r="FS13" s="10"/>
      <c r="FT13" s="54">
        <v>66</v>
      </c>
      <c r="FU13" s="57">
        <v>3.0021650484144504</v>
      </c>
      <c r="FV13" s="58">
        <v>0.13535400401959061</v>
      </c>
      <c r="FW13" s="10">
        <f t="shared" si="57"/>
        <v>4.5582413860245588</v>
      </c>
      <c r="FX13" s="10" t="str">
        <f t="shared" si="125"/>
        <v>*</v>
      </c>
      <c r="FY13" s="114">
        <f t="shared" si="58"/>
        <v>0.71731435668269228</v>
      </c>
      <c r="FZ13" s="76"/>
      <c r="GA13" s="27">
        <v>58</v>
      </c>
      <c r="GB13" s="28">
        <v>3.5167750073265749</v>
      </c>
      <c r="GC13" s="29">
        <v>0.15151715341380176</v>
      </c>
      <c r="GD13" s="67"/>
      <c r="GE13" s="42">
        <v>42</v>
      </c>
      <c r="GF13" s="43">
        <v>3.3110532303373299</v>
      </c>
      <c r="GG13" s="67">
        <v>0.21632865810641028</v>
      </c>
      <c r="GH13" s="10">
        <f t="shared" si="59"/>
        <v>0.77891654111381137</v>
      </c>
      <c r="GI13" s="10" t="str">
        <f t="shared" si="60"/>
        <v xml:space="preserve"> </v>
      </c>
      <c r="GJ13" s="114">
        <f t="shared" si="61"/>
        <v>0.20572177698924499</v>
      </c>
      <c r="GK13" s="67"/>
      <c r="GL13" s="42">
        <v>46.857636709999973</v>
      </c>
      <c r="GM13" s="43">
        <v>3.791787132364747</v>
      </c>
      <c r="GN13" s="67">
        <v>0.15304108820269696</v>
      </c>
      <c r="GO13" s="10">
        <f t="shared" si="62"/>
        <v>-1.277000439046152</v>
      </c>
      <c r="GP13" s="10" t="str">
        <f t="shared" si="63"/>
        <v xml:space="preserve"> </v>
      </c>
      <c r="GQ13" s="10"/>
      <c r="GR13" s="53">
        <v>58</v>
      </c>
      <c r="GS13" s="55">
        <v>3.2955018024961178</v>
      </c>
      <c r="GT13" s="56">
        <v>0.15959633108899315</v>
      </c>
      <c r="GU13" s="10">
        <f t="shared" si="64"/>
        <v>1.0054919573893564</v>
      </c>
      <c r="GV13" s="10" t="str">
        <f t="shared" si="65"/>
        <v xml:space="preserve"> </v>
      </c>
      <c r="GW13" s="10"/>
      <c r="GX13" s="54">
        <v>54</v>
      </c>
      <c r="GY13" s="57">
        <v>3.3339517626084691</v>
      </c>
      <c r="GZ13" s="58">
        <v>0.16385335141417945</v>
      </c>
      <c r="HA13" s="10">
        <f t="shared" si="66"/>
        <v>0.81920639407256557</v>
      </c>
      <c r="HB13" s="10" t="str">
        <f t="shared" si="126"/>
        <v xml:space="preserve"> </v>
      </c>
      <c r="HC13" s="114">
        <f t="shared" si="67"/>
        <v>0.18282324471810574</v>
      </c>
      <c r="HD13" s="76"/>
      <c r="HE13" s="27">
        <v>76</v>
      </c>
      <c r="HF13" s="28">
        <v>3.3589700026105564</v>
      </c>
      <c r="HG13" s="29">
        <v>0.14369582984969637</v>
      </c>
      <c r="HH13" s="10"/>
      <c r="HI13" s="42">
        <v>39</v>
      </c>
      <c r="HJ13" s="43">
        <v>3.6446026844661725</v>
      </c>
      <c r="HK13" s="67">
        <v>0.20687367439961149</v>
      </c>
      <c r="HL13" s="10">
        <f t="shared" si="68"/>
        <v>-1.1339880617949445</v>
      </c>
      <c r="HM13" s="10" t="str">
        <f t="shared" si="69"/>
        <v xml:space="preserve"> </v>
      </c>
      <c r="HN13" s="114">
        <f t="shared" si="70"/>
        <v>-0.28563268185561608</v>
      </c>
      <c r="HO13" s="10"/>
      <c r="HP13" s="42">
        <v>34.038214479999986</v>
      </c>
      <c r="HQ13" s="43">
        <v>3.5199002374345452</v>
      </c>
      <c r="HR13" s="67">
        <v>0.20783903361470696</v>
      </c>
      <c r="HS13" s="10">
        <f t="shared" si="71"/>
        <v>-0.63690155659601888</v>
      </c>
      <c r="HT13" s="10" t="str">
        <f t="shared" si="72"/>
        <v xml:space="preserve"> </v>
      </c>
      <c r="HU13" s="10"/>
      <c r="HV13" s="53">
        <v>24</v>
      </c>
      <c r="HW13" s="55">
        <v>3.7285367087921464</v>
      </c>
      <c r="HX13" s="56">
        <v>0.16620159360726908</v>
      </c>
      <c r="HY13" s="10" t="str">
        <f t="shared" si="73"/>
        <v>NV</v>
      </c>
      <c r="HZ13" s="10" t="str">
        <f t="shared" si="74"/>
        <v xml:space="preserve"> </v>
      </c>
      <c r="IA13" s="10"/>
      <c r="IB13" s="54">
        <v>56</v>
      </c>
      <c r="IC13" s="57">
        <v>3.5427782898702542</v>
      </c>
      <c r="ID13" s="58">
        <v>0.17744074379613534</v>
      </c>
      <c r="IE13" s="10">
        <f t="shared" si="75"/>
        <v>-0.8050183429965625</v>
      </c>
      <c r="IF13" s="10" t="str">
        <f t="shared" si="127"/>
        <v xml:space="preserve"> </v>
      </c>
      <c r="IG13" s="114">
        <f t="shared" si="76"/>
        <v>-0.18380828725969778</v>
      </c>
      <c r="IH13" s="76"/>
      <c r="II13" s="27">
        <v>165</v>
      </c>
      <c r="IJ13" s="28">
        <v>3.6984111387364935</v>
      </c>
      <c r="IK13" s="29">
        <v>8.9565950477120571E-2</v>
      </c>
      <c r="IL13" s="10"/>
      <c r="IM13" s="42">
        <v>100</v>
      </c>
      <c r="IN13" s="43">
        <v>3.2672518169948295</v>
      </c>
      <c r="IO13" s="67">
        <v>0.12874292728155709</v>
      </c>
      <c r="IP13" s="10">
        <f t="shared" si="77"/>
        <v>2.7491501987014608</v>
      </c>
      <c r="IQ13" s="10" t="str">
        <f t="shared" si="78"/>
        <v>*</v>
      </c>
      <c r="IR13" s="114">
        <f t="shared" si="79"/>
        <v>0.43115932174166405</v>
      </c>
      <c r="IS13" s="10"/>
      <c r="IT13" s="42">
        <v>113.18668038999992</v>
      </c>
      <c r="IU13" s="43">
        <v>3.5437578411870931</v>
      </c>
      <c r="IV13" s="67">
        <v>0.10578361418190113</v>
      </c>
      <c r="IW13" s="10">
        <f t="shared" si="80"/>
        <v>1.1157586631677188</v>
      </c>
      <c r="IX13" s="10" t="str">
        <f t="shared" si="81"/>
        <v xml:space="preserve"> </v>
      </c>
      <c r="IY13" s="10"/>
      <c r="IZ13" s="53">
        <v>125</v>
      </c>
      <c r="JA13" s="55">
        <v>3.6430273793457091</v>
      </c>
      <c r="JB13" s="56">
        <v>9.85268720198514E-2</v>
      </c>
      <c r="JC13" s="10">
        <f t="shared" si="82"/>
        <v>0.41594213258176277</v>
      </c>
      <c r="JD13" s="10" t="str">
        <f t="shared" si="83"/>
        <v xml:space="preserve"> </v>
      </c>
      <c r="JE13" s="10"/>
      <c r="JF13" s="54">
        <v>131</v>
      </c>
      <c r="JG13" s="57">
        <v>3.4290724855109662</v>
      </c>
      <c r="JH13" s="58">
        <v>0.10705819758291124</v>
      </c>
      <c r="JI13" s="10">
        <f t="shared" si="84"/>
        <v>1.929589845875882</v>
      </c>
      <c r="JJ13" s="10" t="str">
        <f t="shared" si="85"/>
        <v xml:space="preserve"> </v>
      </c>
      <c r="JK13" s="114">
        <f t="shared" si="86"/>
        <v>0.2693386532255273</v>
      </c>
      <c r="JL13" s="76"/>
      <c r="JM13" s="27">
        <v>14</v>
      </c>
      <c r="JN13" s="28">
        <v>3.1428571428571428</v>
      </c>
      <c r="JO13" s="29">
        <v>0.34556586741617873</v>
      </c>
      <c r="JP13" s="10"/>
      <c r="JQ13" s="42">
        <v>9</v>
      </c>
      <c r="JR13" s="43">
        <v>4.333333333333333</v>
      </c>
      <c r="JS13" s="67">
        <v>0.37237888364849731</v>
      </c>
      <c r="JT13" s="10" t="str">
        <f t="shared" si="87"/>
        <v>NV</v>
      </c>
      <c r="JU13" s="10" t="str">
        <f t="shared" si="88"/>
        <v xml:space="preserve"> </v>
      </c>
      <c r="JV13" s="114">
        <f t="shared" si="89"/>
        <v>-1.1904761904761902</v>
      </c>
      <c r="JW13" s="10"/>
      <c r="JX13" s="42">
        <v>13.861671460000002</v>
      </c>
      <c r="JY13" s="43">
        <v>3.9285714285714284</v>
      </c>
      <c r="JZ13" s="67">
        <v>0.30661784817586363</v>
      </c>
      <c r="KA13" s="10" t="str">
        <f t="shared" si="90"/>
        <v>NV</v>
      </c>
      <c r="KB13" s="10" t="str">
        <f t="shared" si="91"/>
        <v xml:space="preserve"> </v>
      </c>
      <c r="KC13" s="10"/>
      <c r="KD13" s="53">
        <v>6</v>
      </c>
      <c r="KE13" s="55">
        <v>2.8333333333333335</v>
      </c>
      <c r="KF13" s="56">
        <v>0.60935222415818524</v>
      </c>
      <c r="KG13" s="10" t="str">
        <f t="shared" si="92"/>
        <v>NV</v>
      </c>
      <c r="KH13" s="10" t="str">
        <f t="shared" si="93"/>
        <v xml:space="preserve"> </v>
      </c>
      <c r="KI13" s="10"/>
      <c r="KJ13" s="54">
        <v>12</v>
      </c>
      <c r="KK13" s="57">
        <v>3.4166666666666665</v>
      </c>
      <c r="KL13" s="58">
        <v>0.34867135402227439</v>
      </c>
      <c r="KM13" s="10" t="str">
        <f t="shared" si="94"/>
        <v>NV</v>
      </c>
      <c r="KN13" s="10" t="str">
        <f t="shared" si="95"/>
        <v xml:space="preserve"> </v>
      </c>
      <c r="KO13" s="114">
        <f t="shared" si="96"/>
        <v>-0.27380952380952372</v>
      </c>
      <c r="KP13" s="76"/>
      <c r="KQ13" s="27">
        <v>135</v>
      </c>
      <c r="KR13" s="28">
        <v>3.4069397166398572</v>
      </c>
      <c r="KS13" s="29">
        <v>0.10789142168449405</v>
      </c>
      <c r="KT13" s="10"/>
      <c r="KU13" s="42">
        <v>69</v>
      </c>
      <c r="KV13" s="43">
        <v>3.4211724528507927</v>
      </c>
      <c r="KW13" s="67">
        <v>0.15369597360992263</v>
      </c>
      <c r="KX13" s="10">
        <f t="shared" si="97"/>
        <v>-7.5792931134992012E-2</v>
      </c>
      <c r="KY13" s="10" t="str">
        <f t="shared" si="98"/>
        <v xml:space="preserve"> </v>
      </c>
      <c r="KZ13" s="114">
        <f t="shared" si="99"/>
        <v>-1.423273621093557E-2</v>
      </c>
      <c r="LA13" s="10"/>
      <c r="LB13" s="42">
        <v>102.06839447999997</v>
      </c>
      <c r="LC13" s="43">
        <v>3.3647925249504729</v>
      </c>
      <c r="LD13" s="67">
        <v>0.12029782214954951</v>
      </c>
      <c r="LE13" s="10">
        <f t="shared" si="100"/>
        <v>0.26082399061480199</v>
      </c>
      <c r="LF13" s="10" t="str">
        <f t="shared" si="101"/>
        <v xml:space="preserve"> </v>
      </c>
      <c r="LG13" s="10"/>
      <c r="LH13" s="53">
        <v>163</v>
      </c>
      <c r="LI13" s="55">
        <v>3.1378154290315083</v>
      </c>
      <c r="LJ13" s="56">
        <v>9.8042278995428292E-2</v>
      </c>
      <c r="LK13" s="10">
        <f t="shared" si="102"/>
        <v>1.8460537074253569</v>
      </c>
      <c r="LL13" s="10" t="str">
        <f t="shared" si="103"/>
        <v xml:space="preserve"> </v>
      </c>
      <c r="LM13" s="10"/>
      <c r="LN13" s="54">
        <v>167</v>
      </c>
      <c r="LO13" s="57">
        <v>3.042121650132616</v>
      </c>
      <c r="LP13" s="58">
        <v>9.0314459354433538E-2</v>
      </c>
      <c r="LQ13" s="10">
        <f t="shared" si="104"/>
        <v>2.5928284840314237</v>
      </c>
      <c r="LR13" s="10" t="str">
        <f t="shared" si="128"/>
        <v>*</v>
      </c>
      <c r="LS13" s="114">
        <f t="shared" si="105"/>
        <v>0.36481806650724113</v>
      </c>
      <c r="LT13" s="76"/>
      <c r="LU13" s="27">
        <v>30</v>
      </c>
      <c r="LV13" s="28">
        <v>3.5</v>
      </c>
      <c r="LW13" s="29">
        <v>0.21316948784124451</v>
      </c>
      <c r="LX13" s="10"/>
      <c r="LY13" s="42">
        <v>35</v>
      </c>
      <c r="LZ13" s="43">
        <v>3.3155829593561101</v>
      </c>
      <c r="MA13" s="67">
        <v>0.21187444120522794</v>
      </c>
      <c r="MB13" s="10">
        <f t="shared" si="106"/>
        <v>0.61359274095900462</v>
      </c>
      <c r="MC13" s="10" t="str">
        <f t="shared" si="107"/>
        <v xml:space="preserve"> </v>
      </c>
      <c r="MD13" s="114">
        <f t="shared" si="108"/>
        <v>0.18441704064388986</v>
      </c>
      <c r="ME13" s="10"/>
      <c r="MF13" s="42">
        <v>46.535611329999959</v>
      </c>
      <c r="MG13" s="43">
        <v>3.7446808510638299</v>
      </c>
      <c r="MH13" s="67">
        <v>0.14809121980993281</v>
      </c>
      <c r="MI13" s="10">
        <f t="shared" si="109"/>
        <v>-0.94266957241629223</v>
      </c>
      <c r="MJ13" s="10" t="str">
        <f t="shared" si="110"/>
        <v xml:space="preserve"> </v>
      </c>
      <c r="MK13" s="10"/>
      <c r="ML13" s="53">
        <v>82</v>
      </c>
      <c r="MM13" s="55">
        <v>3.3780487804878052</v>
      </c>
      <c r="MN13" s="56">
        <v>0.13444803678100958</v>
      </c>
      <c r="MO13" s="10">
        <f t="shared" si="111"/>
        <v>0.48388196088081648</v>
      </c>
      <c r="MP13" s="10" t="str">
        <f t="shared" si="112"/>
        <v xml:space="preserve"> </v>
      </c>
      <c r="MQ13" s="10"/>
      <c r="MR13" s="54">
        <v>96</v>
      </c>
      <c r="MS13" s="57">
        <v>3.2679051665547485</v>
      </c>
      <c r="MT13" s="58">
        <v>0.13112567400125685</v>
      </c>
      <c r="MU13" s="10">
        <f t="shared" si="113"/>
        <v>0.92737702527946275</v>
      </c>
      <c r="MV13" s="10" t="str">
        <f t="shared" si="114"/>
        <v xml:space="preserve"> </v>
      </c>
      <c r="MW13" s="114">
        <f t="shared" si="115"/>
        <v>0.2320948334452515</v>
      </c>
      <c r="MX13" s="76"/>
      <c r="MY13" s="27">
        <v>44</v>
      </c>
      <c r="MZ13" s="28">
        <v>3.7496953417302463</v>
      </c>
      <c r="NA13" s="29">
        <v>0.14941045873899914</v>
      </c>
      <c r="NB13" s="10"/>
      <c r="NC13" s="42">
        <v>43</v>
      </c>
      <c r="ND13" s="43">
        <v>3.4888178912757772</v>
      </c>
      <c r="NE13" s="67">
        <v>0.17412318150447398</v>
      </c>
      <c r="NF13" s="10">
        <f t="shared" si="116"/>
        <v>1.1370219141609337</v>
      </c>
      <c r="NG13" s="10" t="str">
        <f t="shared" si="117"/>
        <v xml:space="preserve"> </v>
      </c>
      <c r="NH13" s="114">
        <f t="shared" si="118"/>
        <v>0.26087745045446908</v>
      </c>
      <c r="NI13" s="10"/>
      <c r="NJ13" s="42">
        <v>30.021479560000007</v>
      </c>
      <c r="NK13" s="43">
        <v>4.1042356055019162</v>
      </c>
      <c r="NL13" s="67">
        <v>0.16107618346339983</v>
      </c>
      <c r="NM13" s="10">
        <f t="shared" si="119"/>
        <v>-1.6137316373431565</v>
      </c>
      <c r="NN13" s="10" t="str">
        <f t="shared" si="120"/>
        <v xml:space="preserve"> </v>
      </c>
      <c r="NO13" s="10"/>
      <c r="NP13" s="53">
        <v>58</v>
      </c>
      <c r="NQ13" s="55">
        <v>3.4140204776999745</v>
      </c>
      <c r="NR13" s="56">
        <v>0.13016170766886409</v>
      </c>
      <c r="NS13" s="10">
        <f t="shared" si="121"/>
        <v>1.6939982201553618</v>
      </c>
      <c r="NT13" s="10" t="str">
        <f t="shared" si="122"/>
        <v xml:space="preserve"> </v>
      </c>
      <c r="NU13" s="10"/>
      <c r="NV13" s="54">
        <v>50</v>
      </c>
      <c r="NW13" s="57">
        <v>3.4882659225814154</v>
      </c>
      <c r="NX13" s="58">
        <v>0.17006563965760127</v>
      </c>
      <c r="NY13" s="10">
        <f t="shared" si="123"/>
        <v>1.1548492317557106</v>
      </c>
      <c r="NZ13" s="10" t="str">
        <f t="shared" si="129"/>
        <v xml:space="preserve"> </v>
      </c>
      <c r="OA13" s="114">
        <f t="shared" si="124"/>
        <v>0.26142941914883089</v>
      </c>
      <c r="OB13" s="58"/>
    </row>
    <row r="14" spans="1:392" x14ac:dyDescent="0.2">
      <c r="B14" s="65"/>
      <c r="C14" s="27"/>
      <c r="D14" s="28"/>
      <c r="E14" s="29"/>
      <c r="F14" s="10"/>
      <c r="G14" s="42"/>
      <c r="H14" s="43"/>
      <c r="I14" s="67"/>
      <c r="J14" s="10"/>
      <c r="K14" s="10"/>
      <c r="L14" s="114"/>
      <c r="M14" s="10"/>
      <c r="N14" s="42"/>
      <c r="O14" s="43"/>
      <c r="P14" s="67"/>
      <c r="Q14" s="10"/>
      <c r="R14" s="10"/>
      <c r="S14" s="10"/>
      <c r="T14" s="53"/>
      <c r="U14" s="55"/>
      <c r="V14" s="56"/>
      <c r="W14" s="10"/>
      <c r="X14" s="10"/>
      <c r="Y14" s="10"/>
      <c r="Z14" s="54"/>
      <c r="AA14" s="57"/>
      <c r="AB14" s="58"/>
      <c r="AC14" s="10"/>
      <c r="AD14" s="10"/>
      <c r="AE14" s="114"/>
      <c r="AF14" s="76"/>
      <c r="AG14" s="27"/>
      <c r="AH14" s="28"/>
      <c r="AI14" s="29"/>
      <c r="AJ14" s="67"/>
      <c r="AK14" s="42"/>
      <c r="AL14" s="43"/>
      <c r="AM14" s="67"/>
      <c r="AN14" s="10"/>
      <c r="AO14" s="10"/>
      <c r="AP14" s="114"/>
      <c r="AQ14" s="67"/>
      <c r="AR14" s="42"/>
      <c r="AS14" s="43"/>
      <c r="AT14" s="67"/>
      <c r="AU14" s="10"/>
      <c r="AV14" s="10"/>
      <c r="AW14" s="10"/>
      <c r="AX14" s="53"/>
      <c r="AY14" s="55"/>
      <c r="AZ14" s="56"/>
      <c r="BA14" s="10"/>
      <c r="BB14" s="10"/>
      <c r="BC14" s="10"/>
      <c r="BD14" s="54"/>
      <c r="BE14" s="57"/>
      <c r="BF14" s="58"/>
      <c r="BG14" s="10"/>
      <c r="BH14" s="10"/>
      <c r="BI14" s="114"/>
      <c r="BJ14" s="76"/>
      <c r="BK14" s="27"/>
      <c r="BL14" s="28"/>
      <c r="BM14" s="29"/>
      <c r="BN14" s="10"/>
      <c r="BO14" s="42"/>
      <c r="BP14" s="43"/>
      <c r="BQ14" s="67"/>
      <c r="BR14" s="10"/>
      <c r="BS14" s="10"/>
      <c r="BT14" s="114"/>
      <c r="BU14" s="10"/>
      <c r="BV14" s="42"/>
      <c r="BW14" s="43"/>
      <c r="BX14" s="67"/>
      <c r="BY14" s="10"/>
      <c r="BZ14" s="10"/>
      <c r="CA14" s="10"/>
      <c r="CB14" s="53"/>
      <c r="CC14" s="55"/>
      <c r="CD14" s="56"/>
      <c r="CE14" s="10"/>
      <c r="CF14" s="10"/>
      <c r="CG14" s="10"/>
      <c r="CH14" s="54"/>
      <c r="CI14" s="57"/>
      <c r="CJ14" s="58"/>
      <c r="CK14" s="10"/>
      <c r="CL14" s="10"/>
      <c r="CM14" s="114"/>
      <c r="CN14" s="76"/>
      <c r="CO14" s="27"/>
      <c r="CP14" s="28"/>
      <c r="CQ14" s="29"/>
      <c r="CR14" s="67"/>
      <c r="CS14" s="42"/>
      <c r="CT14" s="43"/>
      <c r="CU14" s="67"/>
      <c r="CV14" s="10"/>
      <c r="CW14" s="10"/>
      <c r="CX14" s="114"/>
      <c r="CY14" s="10"/>
      <c r="CZ14" s="42"/>
      <c r="DA14" s="43"/>
      <c r="DB14" s="67"/>
      <c r="DC14" s="10"/>
      <c r="DD14" s="10"/>
      <c r="DE14" s="10"/>
      <c r="DF14" s="53"/>
      <c r="DG14" s="55"/>
      <c r="DH14" s="56"/>
      <c r="DI14" s="10"/>
      <c r="DJ14" s="10"/>
      <c r="DK14" s="10"/>
      <c r="DL14" s="54"/>
      <c r="DM14" s="57"/>
      <c r="DN14" s="58"/>
      <c r="DO14" s="10"/>
      <c r="DP14" s="10"/>
      <c r="DQ14" s="114"/>
      <c r="DR14" s="76"/>
      <c r="DS14" s="27"/>
      <c r="DT14" s="28"/>
      <c r="DU14" s="29"/>
      <c r="DV14" s="10"/>
      <c r="DW14" s="42"/>
      <c r="DX14" s="43"/>
      <c r="DY14" s="67"/>
      <c r="DZ14" s="10"/>
      <c r="EA14" s="10"/>
      <c r="EB14" s="114"/>
      <c r="EC14" s="10"/>
      <c r="ED14" s="42"/>
      <c r="EE14" s="43"/>
      <c r="EF14" s="67"/>
      <c r="EG14" s="10"/>
      <c r="EH14" s="10"/>
      <c r="EI14" s="10"/>
      <c r="EJ14" s="53"/>
      <c r="EK14" s="55"/>
      <c r="EL14" s="56"/>
      <c r="EM14" s="10"/>
      <c r="EN14" s="10"/>
      <c r="EO14" s="10"/>
      <c r="EP14" s="54"/>
      <c r="EQ14" s="57"/>
      <c r="ER14" s="58"/>
      <c r="ES14" s="10"/>
      <c r="ET14" s="10"/>
      <c r="EU14" s="114"/>
      <c r="EV14" s="76"/>
      <c r="EW14" s="27"/>
      <c r="EX14" s="28"/>
      <c r="EY14" s="29"/>
      <c r="EZ14" s="10"/>
      <c r="FA14" s="42"/>
      <c r="FB14" s="43"/>
      <c r="FC14" s="67"/>
      <c r="FD14" s="10"/>
      <c r="FE14" s="10"/>
      <c r="FF14" s="114"/>
      <c r="FG14" s="10"/>
      <c r="FH14" s="42"/>
      <c r="FI14" s="43"/>
      <c r="FJ14" s="67"/>
      <c r="FK14" s="10"/>
      <c r="FL14" s="10"/>
      <c r="FM14" s="10"/>
      <c r="FN14" s="53"/>
      <c r="FO14" s="55"/>
      <c r="FP14" s="56"/>
      <c r="FQ14" s="10"/>
      <c r="FR14" s="10"/>
      <c r="FS14" s="10"/>
      <c r="FT14" s="54"/>
      <c r="FU14" s="57"/>
      <c r="FV14" s="58"/>
      <c r="FW14" s="10"/>
      <c r="FX14" s="10"/>
      <c r="FY14" s="114"/>
      <c r="FZ14" s="76"/>
      <c r="GA14" s="27"/>
      <c r="GB14" s="28"/>
      <c r="GC14" s="29"/>
      <c r="GD14" s="67"/>
      <c r="GE14" s="42"/>
      <c r="GF14" s="43"/>
      <c r="GG14" s="67"/>
      <c r="GH14" s="10"/>
      <c r="GI14" s="10"/>
      <c r="GJ14" s="114"/>
      <c r="GK14" s="67"/>
      <c r="GL14" s="42"/>
      <c r="GM14" s="43"/>
      <c r="GN14" s="67"/>
      <c r="GO14" s="10"/>
      <c r="GP14" s="10"/>
      <c r="GQ14" s="10"/>
      <c r="GR14" s="53"/>
      <c r="GS14" s="55"/>
      <c r="GT14" s="56"/>
      <c r="GU14" s="10"/>
      <c r="GV14" s="10"/>
      <c r="GW14" s="10"/>
      <c r="GX14" s="54"/>
      <c r="GY14" s="57"/>
      <c r="GZ14" s="58"/>
      <c r="HA14" s="10"/>
      <c r="HB14" s="10"/>
      <c r="HC14" s="114"/>
      <c r="HD14" s="76"/>
      <c r="HE14" s="27"/>
      <c r="HF14" s="28"/>
      <c r="HG14" s="29"/>
      <c r="HH14" s="10"/>
      <c r="HI14" s="42"/>
      <c r="HJ14" s="43"/>
      <c r="HK14" s="67"/>
      <c r="HL14" s="10"/>
      <c r="HM14" s="10"/>
      <c r="HN14" s="114"/>
      <c r="HO14" s="10"/>
      <c r="HP14" s="42"/>
      <c r="HQ14" s="43"/>
      <c r="HR14" s="67"/>
      <c r="HS14" s="10"/>
      <c r="HT14" s="10"/>
      <c r="HU14" s="10"/>
      <c r="HV14" s="53"/>
      <c r="HW14" s="55"/>
      <c r="HX14" s="56"/>
      <c r="HY14" s="10"/>
      <c r="HZ14" s="10"/>
      <c r="IA14" s="10"/>
      <c r="IB14" s="54"/>
      <c r="IC14" s="57"/>
      <c r="ID14" s="58"/>
      <c r="IE14" s="10"/>
      <c r="IF14" s="10"/>
      <c r="IG14" s="114"/>
      <c r="IH14" s="76"/>
      <c r="II14" s="27"/>
      <c r="IJ14" s="28"/>
      <c r="IK14" s="29"/>
      <c r="IL14" s="10"/>
      <c r="IM14" s="42"/>
      <c r="IN14" s="43"/>
      <c r="IO14" s="67"/>
      <c r="IP14" s="10"/>
      <c r="IQ14" s="10"/>
      <c r="IR14" s="114"/>
      <c r="IS14" s="10"/>
      <c r="IT14" s="42"/>
      <c r="IU14" s="43"/>
      <c r="IV14" s="67"/>
      <c r="IW14" s="10"/>
      <c r="IX14" s="10"/>
      <c r="IY14" s="10"/>
      <c r="IZ14" s="53"/>
      <c r="JA14" s="55"/>
      <c r="JB14" s="56"/>
      <c r="JC14" s="10"/>
      <c r="JD14" s="10"/>
      <c r="JE14" s="10"/>
      <c r="JF14" s="54"/>
      <c r="JG14" s="57"/>
      <c r="JH14" s="58"/>
      <c r="JI14" s="10"/>
      <c r="JJ14" s="10"/>
      <c r="JK14" s="114"/>
      <c r="JL14" s="76"/>
      <c r="JM14" s="27"/>
      <c r="JN14" s="28"/>
      <c r="JO14" s="29"/>
      <c r="JP14" s="10"/>
      <c r="JQ14" s="42"/>
      <c r="JR14" s="43"/>
      <c r="JS14" s="67"/>
      <c r="JT14" s="10"/>
      <c r="JU14" s="10"/>
      <c r="JV14" s="114"/>
      <c r="JW14" s="10"/>
      <c r="JX14" s="42"/>
      <c r="JY14" s="43"/>
      <c r="JZ14" s="67"/>
      <c r="KA14" s="10"/>
      <c r="KB14" s="10"/>
      <c r="KC14" s="10"/>
      <c r="KD14" s="53"/>
      <c r="KE14" s="55"/>
      <c r="KF14" s="56"/>
      <c r="KG14" s="10"/>
      <c r="KH14" s="10"/>
      <c r="KI14" s="10"/>
      <c r="KJ14" s="54"/>
      <c r="KK14" s="57"/>
      <c r="KL14" s="58"/>
      <c r="KM14" s="10"/>
      <c r="KN14" s="10"/>
      <c r="KO14" s="114"/>
      <c r="KP14" s="76"/>
      <c r="KQ14" s="27"/>
      <c r="KR14" s="28"/>
      <c r="KS14" s="29"/>
      <c r="KT14" s="10"/>
      <c r="KU14" s="42"/>
      <c r="KV14" s="43"/>
      <c r="KW14" s="67"/>
      <c r="KX14" s="10"/>
      <c r="KY14" s="10"/>
      <c r="KZ14" s="114"/>
      <c r="LA14" s="10"/>
      <c r="LB14" s="42"/>
      <c r="LC14" s="43"/>
      <c r="LD14" s="67"/>
      <c r="LE14" s="10"/>
      <c r="LF14" s="10"/>
      <c r="LG14" s="10"/>
      <c r="LH14" s="53"/>
      <c r="LI14" s="55"/>
      <c r="LJ14" s="56"/>
      <c r="LK14" s="10"/>
      <c r="LL14" s="10"/>
      <c r="LM14" s="10"/>
      <c r="LN14" s="54"/>
      <c r="LO14" s="57"/>
      <c r="LP14" s="58"/>
      <c r="LQ14" s="10"/>
      <c r="LR14" s="10"/>
      <c r="LS14" s="114"/>
      <c r="LT14" s="76"/>
      <c r="LU14" s="27"/>
      <c r="LV14" s="28"/>
      <c r="LW14" s="29"/>
      <c r="LX14" s="10"/>
      <c r="LY14" s="42"/>
      <c r="LZ14" s="43"/>
      <c r="MA14" s="67"/>
      <c r="MB14" s="10"/>
      <c r="MC14" s="10"/>
      <c r="MD14" s="114"/>
      <c r="ME14" s="10"/>
      <c r="MF14" s="42"/>
      <c r="MG14" s="43"/>
      <c r="MH14" s="67"/>
      <c r="MI14" s="10"/>
      <c r="MJ14" s="10"/>
      <c r="MK14" s="10"/>
      <c r="ML14" s="53"/>
      <c r="MM14" s="55"/>
      <c r="MN14" s="56"/>
      <c r="MO14" s="10"/>
      <c r="MP14" s="10"/>
      <c r="MQ14" s="10"/>
      <c r="MR14" s="54"/>
      <c r="MS14" s="57"/>
      <c r="MT14" s="58"/>
      <c r="MU14" s="10"/>
      <c r="MV14" s="10"/>
      <c r="MW14" s="114"/>
      <c r="MX14" s="76"/>
      <c r="MY14" s="27"/>
      <c r="MZ14" s="28"/>
      <c r="NA14" s="29"/>
      <c r="NB14" s="10"/>
      <c r="NC14" s="42"/>
      <c r="ND14" s="43"/>
      <c r="NE14" s="67"/>
      <c r="NF14" s="10"/>
      <c r="NG14" s="10"/>
      <c r="NH14" s="114"/>
      <c r="NI14" s="10"/>
      <c r="NJ14" s="42"/>
      <c r="NK14" s="43"/>
      <c r="NL14" s="67"/>
      <c r="NM14" s="10"/>
      <c r="NN14" s="10"/>
      <c r="NO14" s="10"/>
      <c r="NP14" s="53"/>
      <c r="NQ14" s="55"/>
      <c r="NR14" s="56"/>
      <c r="NS14" s="10"/>
      <c r="NT14" s="10"/>
      <c r="NU14" s="10"/>
      <c r="NV14" s="54"/>
      <c r="NW14" s="57"/>
      <c r="NX14" s="58"/>
      <c r="NY14" s="10"/>
      <c r="NZ14" s="10"/>
      <c r="OA14" s="114"/>
      <c r="OB14" s="58"/>
    </row>
    <row r="15" spans="1:392" x14ac:dyDescent="0.2">
      <c r="A15" s="73"/>
      <c r="B15" s="65" t="s">
        <v>15</v>
      </c>
      <c r="C15" s="27">
        <v>412</v>
      </c>
      <c r="D15" s="28">
        <v>3.8472564616924774</v>
      </c>
      <c r="E15" s="29">
        <v>5.6061105108226664E-2</v>
      </c>
      <c r="F15" s="10"/>
      <c r="G15" s="42">
        <v>128</v>
      </c>
      <c r="H15" s="43">
        <v>3.6953444358720327</v>
      </c>
      <c r="I15" s="67">
        <v>0.10407966635960425</v>
      </c>
      <c r="J15" s="10">
        <f t="shared" si="1"/>
        <v>1.2850193039572426</v>
      </c>
      <c r="K15" s="10" t="str">
        <f t="shared" si="2"/>
        <v xml:space="preserve"> </v>
      </c>
      <c r="L15" s="114">
        <f t="shared" si="3"/>
        <v>0.15191202582044472</v>
      </c>
      <c r="M15" s="10"/>
      <c r="N15" s="42">
        <v>93.576521700000072</v>
      </c>
      <c r="O15" s="43">
        <v>3.6666666666666674</v>
      </c>
      <c r="P15" s="67">
        <v>0.12586798543315497</v>
      </c>
      <c r="Q15" s="10">
        <f t="shared" si="4"/>
        <v>1.3106329225087567</v>
      </c>
      <c r="R15" s="10" t="str">
        <f t="shared" si="5"/>
        <v xml:space="preserve"> </v>
      </c>
      <c r="S15" s="10"/>
      <c r="T15" s="53">
        <v>124</v>
      </c>
      <c r="U15" s="55">
        <v>3.612903225806452</v>
      </c>
      <c r="V15" s="56">
        <v>0.10306173981105142</v>
      </c>
      <c r="W15" s="10">
        <f t="shared" si="6"/>
        <v>1.9975130927131346</v>
      </c>
      <c r="X15" s="10" t="str">
        <f t="shared" si="7"/>
        <v>*</v>
      </c>
      <c r="Y15" s="10"/>
      <c r="Z15" s="54">
        <v>206</v>
      </c>
      <c r="AA15" s="57">
        <v>3.0533980582524274</v>
      </c>
      <c r="AB15" s="58">
        <v>7.703719625709303E-2</v>
      </c>
      <c r="AC15" s="10">
        <f t="shared" si="8"/>
        <v>8.3321690549451457</v>
      </c>
      <c r="AD15" s="10" t="str">
        <f t="shared" si="9"/>
        <v>*</v>
      </c>
      <c r="AE15" s="114">
        <f t="shared" si="10"/>
        <v>0.79385840344004999</v>
      </c>
      <c r="AF15" s="76"/>
      <c r="AG15" s="27">
        <v>89</v>
      </c>
      <c r="AH15" s="28">
        <v>3.9687533462679769</v>
      </c>
      <c r="AI15" s="29">
        <v>0.11148122523441785</v>
      </c>
      <c r="AJ15" s="67"/>
      <c r="AK15" s="42">
        <v>42</v>
      </c>
      <c r="AL15" s="43">
        <v>4.1423163898476645</v>
      </c>
      <c r="AM15" s="67">
        <v>0.1648873060813783</v>
      </c>
      <c r="AN15" s="10">
        <f t="shared" si="11"/>
        <v>-0.87201220510844812</v>
      </c>
      <c r="AO15" s="10" t="str">
        <f t="shared" si="12"/>
        <v xml:space="preserve"> </v>
      </c>
      <c r="AP15" s="114">
        <f t="shared" si="13"/>
        <v>-0.17356304357968755</v>
      </c>
      <c r="AQ15" s="67"/>
      <c r="AR15" s="42">
        <v>63.138859979999999</v>
      </c>
      <c r="AS15" s="43">
        <v>3.3618142317938</v>
      </c>
      <c r="AT15" s="67">
        <v>0.15244521228593144</v>
      </c>
      <c r="AU15" s="10">
        <f t="shared" si="14"/>
        <v>3.2137208055935202</v>
      </c>
      <c r="AV15" s="10" t="str">
        <f t="shared" si="15"/>
        <v>*</v>
      </c>
      <c r="AW15" s="10"/>
      <c r="AX15" s="53">
        <v>89</v>
      </c>
      <c r="AY15" s="55">
        <v>3.5418742345251997</v>
      </c>
      <c r="AZ15" s="56">
        <v>0.14801753571770773</v>
      </c>
      <c r="BA15" s="10">
        <f t="shared" si="16"/>
        <v>2.3036798350112693</v>
      </c>
      <c r="BB15" s="10" t="str">
        <f t="shared" si="17"/>
        <v>*</v>
      </c>
      <c r="BC15" s="10"/>
      <c r="BD15" s="54">
        <v>80</v>
      </c>
      <c r="BE15" s="57">
        <v>2.6967314459541538</v>
      </c>
      <c r="BF15" s="58">
        <v>0.10100818080018782</v>
      </c>
      <c r="BG15" s="10">
        <f t="shared" si="18"/>
        <v>8.4556196570043554</v>
      </c>
      <c r="BH15" s="10" t="str">
        <f t="shared" si="19"/>
        <v>*</v>
      </c>
      <c r="BI15" s="114">
        <f t="shared" si="20"/>
        <v>1.2720219003138231</v>
      </c>
      <c r="BJ15" s="76"/>
      <c r="BK15" s="27">
        <v>980</v>
      </c>
      <c r="BL15" s="28">
        <v>3.6923703759234319</v>
      </c>
      <c r="BM15" s="29">
        <v>3.9838835682675107E-2</v>
      </c>
      <c r="BN15" s="10"/>
      <c r="BO15" s="42">
        <v>292</v>
      </c>
      <c r="BP15" s="43">
        <v>3.7671991292399345</v>
      </c>
      <c r="BQ15" s="67">
        <v>6.9007184806032879E-2</v>
      </c>
      <c r="BR15" s="10">
        <f t="shared" si="21"/>
        <v>-0.93909946275465594</v>
      </c>
      <c r="BS15" s="10" t="str">
        <f t="shared" si="22"/>
        <v xml:space="preserve"> </v>
      </c>
      <c r="BT15" s="114">
        <f t="shared" si="23"/>
        <v>-7.4828753316502628E-2</v>
      </c>
      <c r="BU15" s="10"/>
      <c r="BV15" s="42">
        <v>170.09297702999979</v>
      </c>
      <c r="BW15" s="43">
        <v>3.3454517828777646</v>
      </c>
      <c r="BX15" s="67">
        <v>7.340272805345173E-2</v>
      </c>
      <c r="BY15" s="10">
        <f t="shared" si="24"/>
        <v>4.1538667929216313</v>
      </c>
      <c r="BZ15" s="10" t="str">
        <f t="shared" si="25"/>
        <v>*</v>
      </c>
      <c r="CA15" s="10"/>
      <c r="CB15" s="53">
        <v>150</v>
      </c>
      <c r="CC15" s="55">
        <v>3.2580612372188731</v>
      </c>
      <c r="CD15" s="56">
        <v>6.1884566852652187E-2</v>
      </c>
      <c r="CE15" s="10">
        <f t="shared" si="26"/>
        <v>5.9010088625529287</v>
      </c>
      <c r="CF15" s="10" t="str">
        <f t="shared" si="27"/>
        <v>*</v>
      </c>
      <c r="CG15" s="10"/>
      <c r="CH15" s="54">
        <v>369</v>
      </c>
      <c r="CI15" s="57">
        <v>3.3215121020334193</v>
      </c>
      <c r="CJ15" s="58">
        <v>6.247288736328338E-2</v>
      </c>
      <c r="CK15" s="10">
        <f t="shared" si="28"/>
        <v>5.0052067152158841</v>
      </c>
      <c r="CL15" s="10" t="str">
        <f t="shared" si="29"/>
        <v>*</v>
      </c>
      <c r="CM15" s="114">
        <f t="shared" si="30"/>
        <v>0.37085827389001258</v>
      </c>
      <c r="CN15" s="76"/>
      <c r="CO15" s="27">
        <v>586</v>
      </c>
      <c r="CP15" s="28">
        <v>3.7676051000495256</v>
      </c>
      <c r="CQ15" s="29">
        <v>5.0964330371572775E-2</v>
      </c>
      <c r="CR15" s="67"/>
      <c r="CS15" s="42">
        <v>195</v>
      </c>
      <c r="CT15" s="43">
        <v>3.8354885363778166</v>
      </c>
      <c r="CU15" s="67">
        <v>8.3540514858481921E-2</v>
      </c>
      <c r="CV15" s="10">
        <f t="shared" si="31"/>
        <v>-0.69368630357808791</v>
      </c>
      <c r="CW15" s="10" t="str">
        <f t="shared" si="32"/>
        <v xml:space="preserve"> </v>
      </c>
      <c r="CX15" s="114">
        <f t="shared" si="33"/>
        <v>-6.7883436328290969E-2</v>
      </c>
      <c r="CY15" s="10"/>
      <c r="CZ15" s="42">
        <v>189.98223365999965</v>
      </c>
      <c r="DA15" s="43">
        <v>3.7260712183585771</v>
      </c>
      <c r="DB15" s="67">
        <v>8.744740109651751E-2</v>
      </c>
      <c r="DC15" s="10">
        <f t="shared" si="34"/>
        <v>0.41035433538415877</v>
      </c>
      <c r="DD15" s="10" t="str">
        <f t="shared" si="35"/>
        <v xml:space="preserve"> </v>
      </c>
      <c r="DE15" s="10"/>
      <c r="DF15" s="53">
        <v>176</v>
      </c>
      <c r="DG15" s="55">
        <v>4.1909511988938846</v>
      </c>
      <c r="DH15" s="56">
        <v>7.7238997886596814E-2</v>
      </c>
      <c r="DI15" s="10">
        <f t="shared" si="36"/>
        <v>-4.5748500634215397</v>
      </c>
      <c r="DJ15" s="10" t="str">
        <f t="shared" si="0"/>
        <v>*</v>
      </c>
      <c r="DK15" s="10"/>
      <c r="DL15" s="54">
        <v>226</v>
      </c>
      <c r="DM15" s="57">
        <v>3.5539371621081797</v>
      </c>
      <c r="DN15" s="58">
        <v>7.8386553720664054E-2</v>
      </c>
      <c r="DO15" s="10">
        <f t="shared" si="37"/>
        <v>2.2852754735761471</v>
      </c>
      <c r="DP15" s="10" t="str">
        <f t="shared" si="38"/>
        <v>*</v>
      </c>
      <c r="DQ15" s="114">
        <f t="shared" si="39"/>
        <v>0.21366793794134598</v>
      </c>
      <c r="DR15" s="76"/>
      <c r="DS15" s="27">
        <v>207</v>
      </c>
      <c r="DT15" s="28">
        <v>3.9655389627879623</v>
      </c>
      <c r="DU15" s="29">
        <v>7.5564495848588528E-2</v>
      </c>
      <c r="DV15" s="10"/>
      <c r="DW15" s="42">
        <v>71</v>
      </c>
      <c r="DX15" s="43">
        <v>3.9868975467860461</v>
      </c>
      <c r="DY15" s="67">
        <v>0.13243666242258273</v>
      </c>
      <c r="DZ15" s="10">
        <f t="shared" si="40"/>
        <v>-0.14007673093239378</v>
      </c>
      <c r="EA15" s="10" t="str">
        <f t="shared" si="41"/>
        <v xml:space="preserve"> </v>
      </c>
      <c r="EB15" s="114">
        <f t="shared" si="42"/>
        <v>-2.135858399808388E-2</v>
      </c>
      <c r="EC15" s="10"/>
      <c r="ED15" s="42">
        <v>75.337702860000036</v>
      </c>
      <c r="EE15" s="43">
        <v>3.5035568577196727</v>
      </c>
      <c r="EF15" s="67">
        <v>0.1525533953190179</v>
      </c>
      <c r="EG15" s="10">
        <f t="shared" si="43"/>
        <v>2.7136697625319268</v>
      </c>
      <c r="EH15" s="10" t="str">
        <f t="shared" si="44"/>
        <v>*</v>
      </c>
      <c r="EI15" s="10"/>
      <c r="EJ15" s="53">
        <v>75</v>
      </c>
      <c r="EK15" s="55">
        <v>3.7413380388759085</v>
      </c>
      <c r="EL15" s="56">
        <v>0.11526365746393226</v>
      </c>
      <c r="EM15" s="10">
        <f t="shared" si="45"/>
        <v>1.6267083796378745</v>
      </c>
      <c r="EN15" s="10" t="str">
        <f t="shared" si="46"/>
        <v xml:space="preserve"> </v>
      </c>
      <c r="EO15" s="10"/>
      <c r="EP15" s="54">
        <v>58</v>
      </c>
      <c r="EQ15" s="57">
        <v>4.1379310344827598</v>
      </c>
      <c r="ER15" s="58">
        <v>0.10892517506103899</v>
      </c>
      <c r="ES15" s="10">
        <f t="shared" si="47"/>
        <v>-1.3003896126330179</v>
      </c>
      <c r="ET15" s="10" t="str">
        <f t="shared" si="48"/>
        <v xml:space="preserve"> </v>
      </c>
      <c r="EU15" s="114">
        <f t="shared" si="49"/>
        <v>-0.17239207169479753</v>
      </c>
      <c r="EV15" s="76"/>
      <c r="EW15" s="27">
        <v>400</v>
      </c>
      <c r="EX15" s="28">
        <v>3.9530063767595078</v>
      </c>
      <c r="EY15" s="29">
        <v>5.6815943851682732E-2</v>
      </c>
      <c r="EZ15" s="10"/>
      <c r="FA15" s="42">
        <v>129</v>
      </c>
      <c r="FB15" s="43">
        <v>4.0149895971265703</v>
      </c>
      <c r="FC15" s="67">
        <v>9.718295758936181E-2</v>
      </c>
      <c r="FD15" s="10">
        <f t="shared" si="50"/>
        <v>-0.5506068849021748</v>
      </c>
      <c r="FE15" s="10" t="str">
        <f t="shared" si="51"/>
        <v xml:space="preserve"> </v>
      </c>
      <c r="FF15" s="114">
        <f t="shared" si="52"/>
        <v>-6.1983220367062497E-2</v>
      </c>
      <c r="FG15" s="10"/>
      <c r="FH15" s="42">
        <v>114.22749078000004</v>
      </c>
      <c r="FI15" s="43">
        <v>3.2012295936209481</v>
      </c>
      <c r="FJ15" s="67">
        <v>0.11543722289036382</v>
      </c>
      <c r="FK15" s="10">
        <f t="shared" si="53"/>
        <v>5.8430554304731555</v>
      </c>
      <c r="FL15" s="10" t="str">
        <f t="shared" si="54"/>
        <v>*</v>
      </c>
      <c r="FM15" s="10"/>
      <c r="FN15" s="53">
        <v>120</v>
      </c>
      <c r="FO15" s="55">
        <v>4.0590017068080382</v>
      </c>
      <c r="FP15" s="56">
        <v>9.6628257790025235E-2</v>
      </c>
      <c r="FQ15" s="10">
        <f t="shared" si="55"/>
        <v>-0.94559299502649807</v>
      </c>
      <c r="FR15" s="10" t="str">
        <f t="shared" si="56"/>
        <v xml:space="preserve"> </v>
      </c>
      <c r="FS15" s="10"/>
      <c r="FT15" s="54">
        <v>188</v>
      </c>
      <c r="FU15" s="57">
        <v>3.1670213722930161</v>
      </c>
      <c r="FV15" s="58">
        <v>7.5058019534171669E-2</v>
      </c>
      <c r="FW15" s="10">
        <f t="shared" si="57"/>
        <v>8.3493818395073376</v>
      </c>
      <c r="FX15" s="10" t="str">
        <f t="shared" si="125"/>
        <v>*</v>
      </c>
      <c r="FY15" s="114">
        <f t="shared" si="58"/>
        <v>0.78598500446649178</v>
      </c>
      <c r="FZ15" s="76"/>
      <c r="GA15" s="27">
        <v>188</v>
      </c>
      <c r="GB15" s="28">
        <v>4.022064758550596</v>
      </c>
      <c r="GC15" s="29">
        <v>7.6499243186716595E-2</v>
      </c>
      <c r="GD15" s="67"/>
      <c r="GE15" s="42">
        <v>139</v>
      </c>
      <c r="GF15" s="43">
        <v>3.9726171716054615</v>
      </c>
      <c r="GG15" s="67">
        <v>0.10021490903832775</v>
      </c>
      <c r="GH15" s="10">
        <f t="shared" si="59"/>
        <v>0.39220454377733732</v>
      </c>
      <c r="GI15" s="10" t="str">
        <f t="shared" si="60"/>
        <v xml:space="preserve"> </v>
      </c>
      <c r="GJ15" s="114">
        <f t="shared" si="61"/>
        <v>4.9447586945134514E-2</v>
      </c>
      <c r="GK15" s="67"/>
      <c r="GL15" s="42">
        <v>164.74683389000012</v>
      </c>
      <c r="GM15" s="43">
        <v>4.1434445103556818</v>
      </c>
      <c r="GN15" s="67">
        <v>7.8614533915721624E-2</v>
      </c>
      <c r="GO15" s="10">
        <f t="shared" si="62"/>
        <v>-1.1065485944912994</v>
      </c>
      <c r="GP15" s="10" t="str">
        <f t="shared" si="63"/>
        <v xml:space="preserve"> </v>
      </c>
      <c r="GQ15" s="10"/>
      <c r="GR15" s="53">
        <v>168</v>
      </c>
      <c r="GS15" s="55">
        <v>3.840953042313711</v>
      </c>
      <c r="GT15" s="56">
        <v>8.8857604901844023E-2</v>
      </c>
      <c r="GU15" s="10">
        <f t="shared" si="64"/>
        <v>1.5446490243397284</v>
      </c>
      <c r="GV15" s="10" t="str">
        <f t="shared" si="65"/>
        <v xml:space="preserve"> </v>
      </c>
      <c r="GW15" s="10"/>
      <c r="GX15" s="54">
        <v>171</v>
      </c>
      <c r="GY15" s="57">
        <v>3.7025279248571823</v>
      </c>
      <c r="GZ15" s="58">
        <v>9.0273479721696401E-2</v>
      </c>
      <c r="HA15" s="10">
        <f t="shared" si="66"/>
        <v>2.700440717667139</v>
      </c>
      <c r="HB15" s="10" t="str">
        <f t="shared" si="126"/>
        <v>*</v>
      </c>
      <c r="HC15" s="114">
        <f t="shared" si="67"/>
        <v>0.31953683369341368</v>
      </c>
      <c r="HD15" s="76"/>
      <c r="HE15" s="27">
        <v>201</v>
      </c>
      <c r="HF15" s="28">
        <v>3.7483061754943381</v>
      </c>
      <c r="HG15" s="29">
        <v>8.4246228284223068E-2</v>
      </c>
      <c r="HH15" s="10"/>
      <c r="HI15" s="42">
        <v>117</v>
      </c>
      <c r="HJ15" s="43">
        <v>3.975273602921257</v>
      </c>
      <c r="HK15" s="67">
        <v>0.10434427485005761</v>
      </c>
      <c r="HL15" s="10">
        <f t="shared" si="68"/>
        <v>-1.6924133660826226</v>
      </c>
      <c r="HM15" s="10" t="str">
        <f t="shared" si="69"/>
        <v xml:space="preserve"> </v>
      </c>
      <c r="HN15" s="114">
        <f t="shared" si="70"/>
        <v>-0.22696742742691889</v>
      </c>
      <c r="HO15" s="10"/>
      <c r="HP15" s="42">
        <v>112.5621478499999</v>
      </c>
      <c r="HQ15" s="43">
        <v>4.0160131724067849</v>
      </c>
      <c r="HR15" s="67">
        <v>0.10978996885750955</v>
      </c>
      <c r="HS15" s="10">
        <f t="shared" si="71"/>
        <v>-1.934465541108924</v>
      </c>
      <c r="HT15" s="10" t="str">
        <f t="shared" si="72"/>
        <v xml:space="preserve"> </v>
      </c>
      <c r="HU15" s="10"/>
      <c r="HV15" s="53">
        <v>75</v>
      </c>
      <c r="HW15" s="55">
        <v>4.1798962204101144</v>
      </c>
      <c r="HX15" s="56">
        <v>0.11243193226319917</v>
      </c>
      <c r="HY15" s="10">
        <f t="shared" si="73"/>
        <v>-3.0719618340953043</v>
      </c>
      <c r="HZ15" s="10" t="str">
        <f t="shared" si="74"/>
        <v>*</v>
      </c>
      <c r="IA15" s="10"/>
      <c r="IB15" s="54">
        <v>140</v>
      </c>
      <c r="IC15" s="57">
        <v>4.1723122239840063</v>
      </c>
      <c r="ID15" s="58">
        <v>8.9440328019687695E-2</v>
      </c>
      <c r="IE15" s="10">
        <f t="shared" si="75"/>
        <v>-3.450855189291818</v>
      </c>
      <c r="IF15" s="10" t="str">
        <f t="shared" si="127"/>
        <v>*</v>
      </c>
      <c r="IG15" s="114">
        <f t="shared" si="76"/>
        <v>-0.42400604848966816</v>
      </c>
      <c r="IH15" s="76"/>
      <c r="II15" s="27">
        <v>412</v>
      </c>
      <c r="IJ15" s="28">
        <v>3.6840726765751715</v>
      </c>
      <c r="IK15" s="29">
        <v>6.2721624929525113E-2</v>
      </c>
      <c r="IL15" s="10"/>
      <c r="IM15" s="42">
        <v>270</v>
      </c>
      <c r="IN15" s="43">
        <v>3.9162042236918815</v>
      </c>
      <c r="IO15" s="67">
        <v>7.147144776154267E-2</v>
      </c>
      <c r="IP15" s="10">
        <f t="shared" si="77"/>
        <v>-2.4411689089337441</v>
      </c>
      <c r="IQ15" s="10" t="str">
        <f t="shared" si="78"/>
        <v>*</v>
      </c>
      <c r="IR15" s="114">
        <f t="shared" si="79"/>
        <v>-0.23213154711671002</v>
      </c>
      <c r="IS15" s="10"/>
      <c r="IT15" s="42">
        <v>312.25644913000104</v>
      </c>
      <c r="IU15" s="43">
        <v>3.9519159731309519</v>
      </c>
      <c r="IV15" s="67">
        <v>6.0293707958816334E-2</v>
      </c>
      <c r="IW15" s="10">
        <f t="shared" si="80"/>
        <v>-3.078590768000915</v>
      </c>
      <c r="IX15" s="10" t="str">
        <f t="shared" si="81"/>
        <v>*</v>
      </c>
      <c r="IY15" s="10"/>
      <c r="IZ15" s="53">
        <v>308</v>
      </c>
      <c r="JA15" s="55">
        <v>3.9937169634728389</v>
      </c>
      <c r="JB15" s="56">
        <v>6.1295968040874851E-2</v>
      </c>
      <c r="JC15" s="10">
        <f t="shared" si="82"/>
        <v>-3.530742761728813</v>
      </c>
      <c r="JD15" s="10" t="str">
        <f t="shared" si="83"/>
        <v>*</v>
      </c>
      <c r="JE15" s="10"/>
      <c r="JF15" s="54">
        <v>333</v>
      </c>
      <c r="JG15" s="57">
        <v>3.8841687034952743</v>
      </c>
      <c r="JH15" s="58">
        <v>6.0326507819281679E-2</v>
      </c>
      <c r="JI15" s="10">
        <f t="shared" si="84"/>
        <v>-2.2993028523637031</v>
      </c>
      <c r="JJ15" s="10" t="str">
        <f t="shared" si="85"/>
        <v>*</v>
      </c>
      <c r="JK15" s="114">
        <f t="shared" si="86"/>
        <v>-0.20009602692010287</v>
      </c>
      <c r="JL15" s="76"/>
      <c r="JM15" s="27">
        <v>40</v>
      </c>
      <c r="JN15" s="28">
        <v>4.2499999999999982</v>
      </c>
      <c r="JO15" s="29">
        <v>0.16705783857225823</v>
      </c>
      <c r="JP15" s="10"/>
      <c r="JQ15" s="42">
        <v>29</v>
      </c>
      <c r="JR15" s="43">
        <v>4.5169147497335098</v>
      </c>
      <c r="JS15" s="67">
        <v>0.14568952128474583</v>
      </c>
      <c r="JT15" s="10" t="str">
        <f t="shared" si="87"/>
        <v>NV</v>
      </c>
      <c r="JU15" s="10" t="str">
        <f t="shared" si="88"/>
        <v xml:space="preserve"> </v>
      </c>
      <c r="JV15" s="114">
        <f t="shared" si="89"/>
        <v>-0.26691474973351159</v>
      </c>
      <c r="JW15" s="10"/>
      <c r="JX15" s="42">
        <v>32.673939870000005</v>
      </c>
      <c r="JY15" s="43">
        <v>4.5757575757575752</v>
      </c>
      <c r="JZ15" s="67">
        <v>0.13144926014099054</v>
      </c>
      <c r="KA15" s="10">
        <f t="shared" si="90"/>
        <v>-1.5324512485613893</v>
      </c>
      <c r="KB15" s="10" t="str">
        <f t="shared" si="91"/>
        <v xml:space="preserve"> </v>
      </c>
      <c r="KC15" s="10"/>
      <c r="KD15" s="53">
        <v>28</v>
      </c>
      <c r="KE15" s="55">
        <v>4.5357142857142847</v>
      </c>
      <c r="KF15" s="56">
        <v>0.17639337362458352</v>
      </c>
      <c r="KG15" s="10" t="str">
        <f t="shared" si="92"/>
        <v>NV</v>
      </c>
      <c r="KH15" s="10" t="str">
        <f t="shared" si="93"/>
        <v xml:space="preserve"> </v>
      </c>
      <c r="KI15" s="10"/>
      <c r="KJ15" s="54">
        <v>50</v>
      </c>
      <c r="KK15" s="57">
        <v>4.580000000000001</v>
      </c>
      <c r="KL15" s="58">
        <v>0.10279008132432663</v>
      </c>
      <c r="KM15" s="10">
        <f t="shared" si="94"/>
        <v>-1.6824012393002525</v>
      </c>
      <c r="KN15" s="10" t="str">
        <f t="shared" si="95"/>
        <v xml:space="preserve"> </v>
      </c>
      <c r="KO15" s="114">
        <f t="shared" si="96"/>
        <v>-0.33000000000000274</v>
      </c>
      <c r="KP15" s="76"/>
      <c r="KQ15" s="27">
        <v>446</v>
      </c>
      <c r="KR15" s="28">
        <v>3.8871432801321246</v>
      </c>
      <c r="KS15" s="29">
        <v>5.7869326479979125E-2</v>
      </c>
      <c r="KT15" s="10"/>
      <c r="KU15" s="42">
        <v>261</v>
      </c>
      <c r="KV15" s="43">
        <v>4.0342388442104928</v>
      </c>
      <c r="KW15" s="67">
        <v>6.4997271723821137E-2</v>
      </c>
      <c r="KX15" s="10">
        <f t="shared" si="97"/>
        <v>-1.6902507544821663</v>
      </c>
      <c r="KY15" s="10" t="str">
        <f t="shared" si="98"/>
        <v xml:space="preserve"> </v>
      </c>
      <c r="KZ15" s="114">
        <f t="shared" si="99"/>
        <v>-0.14709556407836821</v>
      </c>
      <c r="LA15" s="10"/>
      <c r="LB15" s="42">
        <v>317.48724621000008</v>
      </c>
      <c r="LC15" s="43">
        <v>4.3459364178596118</v>
      </c>
      <c r="LD15" s="67">
        <v>5.1335500216166681E-2</v>
      </c>
      <c r="LE15" s="10">
        <f t="shared" si="100"/>
        <v>-5.9308116858915252</v>
      </c>
      <c r="LF15" s="10" t="str">
        <f t="shared" si="101"/>
        <v>*</v>
      </c>
      <c r="LG15" s="10"/>
      <c r="LH15" s="53">
        <v>610</v>
      </c>
      <c r="LI15" s="55">
        <v>4.054259463136229</v>
      </c>
      <c r="LJ15" s="56">
        <v>4.314539065166826E-2</v>
      </c>
      <c r="LK15" s="10">
        <f t="shared" si="102"/>
        <v>-2.3151740989842309</v>
      </c>
      <c r="LL15" s="10" t="str">
        <f t="shared" si="103"/>
        <v>*</v>
      </c>
      <c r="LM15" s="10"/>
      <c r="LN15" s="54">
        <v>595</v>
      </c>
      <c r="LO15" s="57">
        <v>3.8950158557623653</v>
      </c>
      <c r="LP15" s="58">
        <v>4.5294292658925144E-2</v>
      </c>
      <c r="LQ15" s="10">
        <f t="shared" si="104"/>
        <v>-0.1071279007670449</v>
      </c>
      <c r="LR15" s="10" t="str">
        <f t="shared" si="128"/>
        <v xml:space="preserve"> </v>
      </c>
      <c r="LS15" s="114">
        <f t="shared" si="105"/>
        <v>-7.8725756302406857E-3</v>
      </c>
      <c r="LT15" s="76"/>
      <c r="LU15" s="27">
        <v>143</v>
      </c>
      <c r="LV15" s="28">
        <v>3.9790209790209787</v>
      </c>
      <c r="LW15" s="29">
        <v>9.3385273973348948E-2</v>
      </c>
      <c r="LX15" s="10"/>
      <c r="LY15" s="42">
        <v>150</v>
      </c>
      <c r="LZ15" s="43">
        <v>4.2334248724789045</v>
      </c>
      <c r="MA15" s="67">
        <v>7.6484594770067776E-2</v>
      </c>
      <c r="MB15" s="10">
        <f t="shared" si="106"/>
        <v>-2.1075772699991977</v>
      </c>
      <c r="MC15" s="10" t="str">
        <f t="shared" si="107"/>
        <v>*</v>
      </c>
      <c r="MD15" s="114">
        <f t="shared" si="108"/>
        <v>-0.2544038934579258</v>
      </c>
      <c r="ME15" s="10"/>
      <c r="MF15" s="42">
        <v>154.7765226999999</v>
      </c>
      <c r="MG15" s="43">
        <v>4.1875695335672534</v>
      </c>
      <c r="MH15" s="67">
        <v>7.000969472377494E-2</v>
      </c>
      <c r="MI15" s="10">
        <f t="shared" si="109"/>
        <v>-1.7868335075708255</v>
      </c>
      <c r="MJ15" s="10" t="str">
        <f t="shared" si="110"/>
        <v xml:space="preserve"> </v>
      </c>
      <c r="MK15" s="10"/>
      <c r="ML15" s="53">
        <v>369</v>
      </c>
      <c r="MM15" s="55">
        <v>3.9999999999999987</v>
      </c>
      <c r="MN15" s="56">
        <v>5.6129746488929357E-2</v>
      </c>
      <c r="MO15" s="10">
        <f t="shared" si="111"/>
        <v>-0.19254622980327618</v>
      </c>
      <c r="MP15" s="10" t="str">
        <f t="shared" si="112"/>
        <v xml:space="preserve"> </v>
      </c>
      <c r="MQ15" s="10"/>
      <c r="MR15" s="54">
        <v>366</v>
      </c>
      <c r="MS15" s="57">
        <v>3.9872106466350177</v>
      </c>
      <c r="MT15" s="58">
        <v>5.6481066342544774E-2</v>
      </c>
      <c r="MU15" s="10">
        <f t="shared" si="113"/>
        <v>-7.5040136855406905E-2</v>
      </c>
      <c r="MV15" s="10" t="str">
        <f t="shared" si="114"/>
        <v xml:space="preserve"> </v>
      </c>
      <c r="MW15" s="114">
        <f t="shared" si="115"/>
        <v>-8.1896676140389424E-3</v>
      </c>
      <c r="MX15" s="76"/>
      <c r="MY15" s="27">
        <v>172</v>
      </c>
      <c r="MZ15" s="28">
        <v>4.1512026716279786</v>
      </c>
      <c r="NA15" s="29">
        <v>7.9110894623032446E-2</v>
      </c>
      <c r="NB15" s="10"/>
      <c r="NC15" s="42">
        <v>122</v>
      </c>
      <c r="ND15" s="43">
        <v>4.1315619966881592</v>
      </c>
      <c r="NE15" s="67">
        <v>9.4560825882638394E-2</v>
      </c>
      <c r="NF15" s="10">
        <f t="shared" si="116"/>
        <v>0.15930542473045936</v>
      </c>
      <c r="NG15" s="10" t="str">
        <f t="shared" si="117"/>
        <v xml:space="preserve"> </v>
      </c>
      <c r="NH15" s="114">
        <f t="shared" si="118"/>
        <v>1.9640674939819469E-2</v>
      </c>
      <c r="NI15" s="10"/>
      <c r="NJ15" s="42">
        <v>105.71097417999999</v>
      </c>
      <c r="NK15" s="43">
        <v>4.47583247189029</v>
      </c>
      <c r="NL15" s="67">
        <v>7.4031411069363548E-2</v>
      </c>
      <c r="NM15" s="10">
        <f t="shared" si="119"/>
        <v>-2.9961906153696383</v>
      </c>
      <c r="NN15" s="10" t="str">
        <f t="shared" si="120"/>
        <v>*</v>
      </c>
      <c r="NO15" s="10"/>
      <c r="NP15" s="53">
        <v>172</v>
      </c>
      <c r="NQ15" s="55">
        <v>4.0287362672475089</v>
      </c>
      <c r="NR15" s="56">
        <v>7.9389577641462469E-2</v>
      </c>
      <c r="NS15" s="10">
        <f t="shared" si="121"/>
        <v>1.0926994716660585</v>
      </c>
      <c r="NT15" s="10" t="str">
        <f t="shared" si="122"/>
        <v xml:space="preserve"> </v>
      </c>
      <c r="NU15" s="10"/>
      <c r="NV15" s="54">
        <v>187</v>
      </c>
      <c r="NW15" s="57">
        <v>4.008359618185195</v>
      </c>
      <c r="NX15" s="58">
        <v>8.3046882574070863E-2</v>
      </c>
      <c r="NY15" s="10">
        <f t="shared" si="123"/>
        <v>1.2453988032047609</v>
      </c>
      <c r="NZ15" s="10" t="str">
        <f t="shared" si="129"/>
        <v xml:space="preserve"> </v>
      </c>
      <c r="OA15" s="114">
        <f t="shared" si="124"/>
        <v>0.14284305344278359</v>
      </c>
      <c r="OB15" s="58"/>
    </row>
    <row r="16" spans="1:392" x14ac:dyDescent="0.2">
      <c r="B16" s="65" t="s">
        <v>16</v>
      </c>
      <c r="C16" s="27">
        <v>407</v>
      </c>
      <c r="D16" s="28">
        <v>4.0713909518322291</v>
      </c>
      <c r="E16" s="29">
        <v>4.9612059783599255E-2</v>
      </c>
      <c r="F16" s="10"/>
      <c r="G16" s="42">
        <v>128</v>
      </c>
      <c r="H16" s="43">
        <v>4.0624934490518907</v>
      </c>
      <c r="I16" s="67">
        <v>9.2893889120674672E-2</v>
      </c>
      <c r="J16" s="10">
        <f t="shared" si="1"/>
        <v>8.4487021969445283E-2</v>
      </c>
      <c r="K16" s="10" t="str">
        <f t="shared" si="2"/>
        <v xml:space="preserve"> </v>
      </c>
      <c r="L16" s="114">
        <f t="shared" si="3"/>
        <v>8.8975027803384066E-3</v>
      </c>
      <c r="M16" s="10"/>
      <c r="N16" s="42">
        <v>92.536782570000071</v>
      </c>
      <c r="O16" s="43">
        <v>4.0000000000000009</v>
      </c>
      <c r="P16" s="67">
        <v>9.5306612777753943E-2</v>
      </c>
      <c r="Q16" s="10">
        <f t="shared" si="4"/>
        <v>0.66443379884606124</v>
      </c>
      <c r="R16" s="10" t="str">
        <f t="shared" si="5"/>
        <v xml:space="preserve"> </v>
      </c>
      <c r="S16" s="10"/>
      <c r="T16" s="53">
        <v>122</v>
      </c>
      <c r="U16" s="55">
        <v>3.9262295081967209</v>
      </c>
      <c r="V16" s="56">
        <v>8.6471054066309186E-2</v>
      </c>
      <c r="W16" s="10">
        <f t="shared" si="6"/>
        <v>1.456091544598445</v>
      </c>
      <c r="X16" s="10" t="str">
        <f t="shared" si="7"/>
        <v xml:space="preserve"> </v>
      </c>
      <c r="Y16" s="10"/>
      <c r="Z16" s="54">
        <v>209</v>
      </c>
      <c r="AA16" s="57">
        <v>3.3636363636363633</v>
      </c>
      <c r="AB16" s="58">
        <v>7.4314797279584316E-2</v>
      </c>
      <c r="AC16" s="10">
        <f t="shared" si="8"/>
        <v>7.9208390739889794</v>
      </c>
      <c r="AD16" s="10" t="str">
        <f t="shared" si="9"/>
        <v>*</v>
      </c>
      <c r="AE16" s="114">
        <f t="shared" si="10"/>
        <v>0.70775458819586579</v>
      </c>
      <c r="AF16" s="76"/>
      <c r="AG16" s="27">
        <v>92</v>
      </c>
      <c r="AH16" s="28">
        <v>4.1097228804009154</v>
      </c>
      <c r="AI16" s="29">
        <v>0.10244050317160777</v>
      </c>
      <c r="AJ16" s="67"/>
      <c r="AK16" s="42">
        <v>39</v>
      </c>
      <c r="AL16" s="43">
        <v>4.101954348179536</v>
      </c>
      <c r="AM16" s="67">
        <v>0.19984249950883987</v>
      </c>
      <c r="AN16" s="10">
        <f t="shared" si="11"/>
        <v>3.4593127805502062E-2</v>
      </c>
      <c r="AO16" s="10" t="str">
        <f t="shared" si="12"/>
        <v xml:space="preserve"> </v>
      </c>
      <c r="AP16" s="114">
        <f t="shared" si="13"/>
        <v>7.7685322213794095E-3</v>
      </c>
      <c r="AQ16" s="67"/>
      <c r="AR16" s="42">
        <v>66.004973250000006</v>
      </c>
      <c r="AS16" s="43">
        <v>3.6236700491352747</v>
      </c>
      <c r="AT16" s="67">
        <v>0.13855330931441381</v>
      </c>
      <c r="AU16" s="10">
        <f t="shared" si="14"/>
        <v>2.8207883894372934</v>
      </c>
      <c r="AV16" s="10" t="str">
        <f t="shared" si="15"/>
        <v>*</v>
      </c>
      <c r="AW16" s="10"/>
      <c r="AX16" s="53">
        <v>86</v>
      </c>
      <c r="AY16" s="55">
        <v>3.6278945767303683</v>
      </c>
      <c r="AZ16" s="56">
        <v>0.14428720829768227</v>
      </c>
      <c r="BA16" s="10">
        <f t="shared" si="16"/>
        <v>2.7228954938500527</v>
      </c>
      <c r="BB16" s="10" t="str">
        <f t="shared" si="17"/>
        <v>*</v>
      </c>
      <c r="BC16" s="10"/>
      <c r="BD16" s="54">
        <v>80</v>
      </c>
      <c r="BE16" s="57">
        <v>3.4401062148364958</v>
      </c>
      <c r="BF16" s="58">
        <v>0.10911934686796111</v>
      </c>
      <c r="BG16" s="10">
        <f t="shared" si="18"/>
        <v>4.4739558341877022</v>
      </c>
      <c r="BH16" s="10" t="str">
        <f t="shared" si="19"/>
        <v>*</v>
      </c>
      <c r="BI16" s="114">
        <f t="shared" si="20"/>
        <v>0.66961666556441957</v>
      </c>
      <c r="BJ16" s="76"/>
      <c r="BK16" s="27">
        <v>975</v>
      </c>
      <c r="BL16" s="28">
        <v>3.9840246203756586</v>
      </c>
      <c r="BM16" s="29">
        <v>3.5118093376465653E-2</v>
      </c>
      <c r="BN16" s="10"/>
      <c r="BO16" s="42">
        <v>287</v>
      </c>
      <c r="BP16" s="43">
        <v>4.0207737054125143</v>
      </c>
      <c r="BQ16" s="67">
        <v>6.3246138313409986E-2</v>
      </c>
      <c r="BR16" s="10">
        <f t="shared" si="21"/>
        <v>-0.50799150974022977</v>
      </c>
      <c r="BS16" s="10" t="str">
        <f t="shared" si="22"/>
        <v xml:space="preserve"> </v>
      </c>
      <c r="BT16" s="114">
        <f t="shared" si="23"/>
        <v>-3.67490850368557E-2</v>
      </c>
      <c r="BU16" s="10"/>
      <c r="BV16" s="42">
        <v>171.21708419999976</v>
      </c>
      <c r="BW16" s="43">
        <v>3.8099508433866895</v>
      </c>
      <c r="BX16" s="67">
        <v>6.0386303598455281E-2</v>
      </c>
      <c r="BY16" s="10">
        <f t="shared" si="24"/>
        <v>2.4919134707147563</v>
      </c>
      <c r="BZ16" s="10" t="str">
        <f t="shared" si="25"/>
        <v>*</v>
      </c>
      <c r="CA16" s="10"/>
      <c r="CB16" s="53">
        <v>149</v>
      </c>
      <c r="CC16" s="55">
        <v>3.7632160260702268</v>
      </c>
      <c r="CD16" s="56">
        <v>5.1501881109069655E-2</v>
      </c>
      <c r="CE16" s="10">
        <f t="shared" si="26"/>
        <v>3.5422563269986624</v>
      </c>
      <c r="CF16" s="10" t="str">
        <f t="shared" si="27"/>
        <v>*</v>
      </c>
      <c r="CG16" s="10"/>
      <c r="CH16" s="54">
        <v>371</v>
      </c>
      <c r="CI16" s="57">
        <v>3.7677454516260109</v>
      </c>
      <c r="CJ16" s="58">
        <v>5.325423255057548E-2</v>
      </c>
      <c r="CK16" s="10">
        <f t="shared" si="28"/>
        <v>3.390433028429094</v>
      </c>
      <c r="CL16" s="10" t="str">
        <f t="shared" si="29"/>
        <v>*</v>
      </c>
      <c r="CM16" s="114">
        <f t="shared" si="30"/>
        <v>0.2162791687496477</v>
      </c>
      <c r="CN16" s="76"/>
      <c r="CO16" s="27">
        <v>560</v>
      </c>
      <c r="CP16" s="28">
        <v>3.9846568739049508</v>
      </c>
      <c r="CQ16" s="29">
        <v>4.6711671300458342E-2</v>
      </c>
      <c r="CR16" s="67"/>
      <c r="CS16" s="42">
        <v>184</v>
      </c>
      <c r="CT16" s="43">
        <v>4.103506777014359</v>
      </c>
      <c r="CU16" s="67">
        <v>7.5560210537426203E-2</v>
      </c>
      <c r="CV16" s="10">
        <f t="shared" si="31"/>
        <v>-1.3379006018367863</v>
      </c>
      <c r="CW16" s="10" t="str">
        <f t="shared" si="32"/>
        <v xml:space="preserve"> </v>
      </c>
      <c r="CX16" s="114">
        <f t="shared" si="33"/>
        <v>-0.11884990310940813</v>
      </c>
      <c r="CY16" s="10"/>
      <c r="CZ16" s="42">
        <v>178.18030841999968</v>
      </c>
      <c r="DA16" s="43">
        <v>3.9757117234874304</v>
      </c>
      <c r="DB16" s="67">
        <v>7.714450921616775E-2</v>
      </c>
      <c r="DC16" s="10">
        <f t="shared" si="34"/>
        <v>9.918715627219675E-2</v>
      </c>
      <c r="DD16" s="10" t="str">
        <f t="shared" si="35"/>
        <v xml:space="preserve"> </v>
      </c>
      <c r="DE16" s="10"/>
      <c r="DF16" s="53">
        <v>174</v>
      </c>
      <c r="DG16" s="55">
        <v>4.1807211491143246</v>
      </c>
      <c r="DH16" s="56">
        <v>7.7594799977177414E-2</v>
      </c>
      <c r="DI16" s="10">
        <f t="shared" si="36"/>
        <v>-2.1647805651756507</v>
      </c>
      <c r="DJ16" s="10" t="str">
        <f t="shared" si="0"/>
        <v>*</v>
      </c>
      <c r="DK16" s="10"/>
      <c r="DL16" s="54">
        <v>226</v>
      </c>
      <c r="DM16" s="57">
        <v>3.9210469437572399</v>
      </c>
      <c r="DN16" s="58">
        <v>6.3123243138618002E-2</v>
      </c>
      <c r="DO16" s="10">
        <f t="shared" si="37"/>
        <v>0.81003671449327186</v>
      </c>
      <c r="DP16" s="10" t="str">
        <f t="shared" si="38"/>
        <v xml:space="preserve"> </v>
      </c>
      <c r="DQ16" s="114">
        <f t="shared" si="39"/>
        <v>6.360993014771088E-2</v>
      </c>
      <c r="DR16" s="76"/>
      <c r="DS16" s="27">
        <v>203</v>
      </c>
      <c r="DT16" s="28">
        <v>4.1122254423375741</v>
      </c>
      <c r="DU16" s="29">
        <v>7.094370514706265E-2</v>
      </c>
      <c r="DV16" s="10"/>
      <c r="DW16" s="42">
        <v>71</v>
      </c>
      <c r="DX16" s="43">
        <v>4.1557814149886063</v>
      </c>
      <c r="DY16" s="67">
        <v>0.11825990793928293</v>
      </c>
      <c r="DZ16" s="10">
        <f t="shared" si="40"/>
        <v>-0.31583521770154582</v>
      </c>
      <c r="EA16" s="10" t="str">
        <f t="shared" si="41"/>
        <v xml:space="preserve"> </v>
      </c>
      <c r="EB16" s="114">
        <f t="shared" si="42"/>
        <v>-4.3555972651032171E-2</v>
      </c>
      <c r="EC16" s="10"/>
      <c r="ED16" s="42">
        <v>76.377441990000037</v>
      </c>
      <c r="EE16" s="43">
        <v>3.6718215593907719</v>
      </c>
      <c r="EF16" s="67">
        <v>0.12823969378966776</v>
      </c>
      <c r="EG16" s="10">
        <f t="shared" si="43"/>
        <v>3.0050374558643838</v>
      </c>
      <c r="EH16" s="10" t="str">
        <f t="shared" si="44"/>
        <v>*</v>
      </c>
      <c r="EI16" s="10"/>
      <c r="EJ16" s="53">
        <v>75</v>
      </c>
      <c r="EK16" s="55">
        <v>3.8723843134827916</v>
      </c>
      <c r="EL16" s="56">
        <v>0.10627145553231299</v>
      </c>
      <c r="EM16" s="10">
        <f t="shared" si="45"/>
        <v>1.8770479347322888</v>
      </c>
      <c r="EN16" s="10" t="str">
        <f t="shared" si="46"/>
        <v xml:space="preserve"> </v>
      </c>
      <c r="EO16" s="10"/>
      <c r="EP16" s="54">
        <v>59</v>
      </c>
      <c r="EQ16" s="57">
        <v>4.2542372881355943</v>
      </c>
      <c r="ER16" s="58">
        <v>0.10254594257216576</v>
      </c>
      <c r="ES16" s="10">
        <f t="shared" si="47"/>
        <v>-1.1388796016921094</v>
      </c>
      <c r="ET16" s="10" t="str">
        <f t="shared" si="48"/>
        <v xml:space="preserve"> </v>
      </c>
      <c r="EU16" s="114">
        <f t="shared" si="49"/>
        <v>-0.14201184579802018</v>
      </c>
      <c r="EV16" s="76"/>
      <c r="EW16" s="27">
        <v>394</v>
      </c>
      <c r="EX16" s="28">
        <v>4.1406035035490154</v>
      </c>
      <c r="EY16" s="29">
        <v>5.3507360390438775E-2</v>
      </c>
      <c r="EZ16" s="10"/>
      <c r="FA16" s="42">
        <v>128</v>
      </c>
      <c r="FB16" s="43">
        <v>4.179881152545061</v>
      </c>
      <c r="FC16" s="67">
        <v>9.3018705936866244E-2</v>
      </c>
      <c r="FD16" s="10">
        <f t="shared" si="50"/>
        <v>-0.36601910881030919</v>
      </c>
      <c r="FE16" s="10" t="str">
        <f t="shared" si="51"/>
        <v xml:space="preserve"> </v>
      </c>
      <c r="FF16" s="114">
        <f t="shared" si="52"/>
        <v>-3.9277648996045578E-2</v>
      </c>
      <c r="FG16" s="10"/>
      <c r="FH16" s="42">
        <v>113.18775165000004</v>
      </c>
      <c r="FI16" s="43">
        <v>3.6375375341241694</v>
      </c>
      <c r="FJ16" s="67">
        <v>0.1064519178763887</v>
      </c>
      <c r="FK16" s="10">
        <f t="shared" si="53"/>
        <v>4.2223720737468851</v>
      </c>
      <c r="FL16" s="10" t="str">
        <f t="shared" si="54"/>
        <v>*</v>
      </c>
      <c r="FM16" s="10"/>
      <c r="FN16" s="53">
        <v>121</v>
      </c>
      <c r="FO16" s="55">
        <v>4.1426581717297069</v>
      </c>
      <c r="FP16" s="56">
        <v>9.1218926281746077E-2</v>
      </c>
      <c r="FQ16" s="10">
        <f t="shared" si="55"/>
        <v>-1.9428732676390812E-2</v>
      </c>
      <c r="FR16" s="10" t="str">
        <f t="shared" si="56"/>
        <v xml:space="preserve"> </v>
      </c>
      <c r="FS16" s="10"/>
      <c r="FT16" s="54">
        <v>188</v>
      </c>
      <c r="FU16" s="57">
        <v>3.6133443658967828</v>
      </c>
      <c r="FV16" s="58">
        <v>7.7969814577343963E-2</v>
      </c>
      <c r="FW16" s="10">
        <f t="shared" si="57"/>
        <v>5.5756920377888139</v>
      </c>
      <c r="FX16" s="10" t="str">
        <f t="shared" si="125"/>
        <v>*</v>
      </c>
      <c r="FY16" s="114">
        <f t="shared" si="58"/>
        <v>0.52725913765223265</v>
      </c>
      <c r="FZ16" s="76"/>
      <c r="GA16" s="27">
        <v>180</v>
      </c>
      <c r="GB16" s="28">
        <v>4.1321742553500478</v>
      </c>
      <c r="GC16" s="29">
        <v>7.9845087577553597E-2</v>
      </c>
      <c r="GD16" s="67"/>
      <c r="GE16" s="42">
        <v>135</v>
      </c>
      <c r="GF16" s="43">
        <v>4.0836655785786435</v>
      </c>
      <c r="GG16" s="67">
        <v>9.0714336075619836E-2</v>
      </c>
      <c r="GH16" s="10">
        <f t="shared" si="59"/>
        <v>0.40140116378167395</v>
      </c>
      <c r="GI16" s="10" t="str">
        <f t="shared" si="60"/>
        <v xml:space="preserve"> </v>
      </c>
      <c r="GJ16" s="114">
        <f t="shared" si="61"/>
        <v>4.8508676771404247E-2</v>
      </c>
      <c r="GK16" s="67"/>
      <c r="GL16" s="42">
        <v>156.08803361000005</v>
      </c>
      <c r="GM16" s="43">
        <v>4.2289269902603879</v>
      </c>
      <c r="GN16" s="67">
        <v>7.4672647589835911E-2</v>
      </c>
      <c r="GO16" s="10">
        <f t="shared" si="62"/>
        <v>-0.88502741585283984</v>
      </c>
      <c r="GP16" s="10" t="str">
        <f t="shared" si="63"/>
        <v xml:space="preserve"> </v>
      </c>
      <c r="GQ16" s="10"/>
      <c r="GR16" s="53">
        <v>166</v>
      </c>
      <c r="GS16" s="55">
        <v>3.9718797235437564</v>
      </c>
      <c r="GT16" s="56">
        <v>8.8255914331143548E-2</v>
      </c>
      <c r="GU16" s="10">
        <f t="shared" si="64"/>
        <v>1.3468538374616681</v>
      </c>
      <c r="GV16" s="10" t="str">
        <f t="shared" si="65"/>
        <v xml:space="preserve"> </v>
      </c>
      <c r="GW16" s="10"/>
      <c r="GX16" s="54">
        <v>167</v>
      </c>
      <c r="GY16" s="57">
        <v>3.8456214266031465</v>
      </c>
      <c r="GZ16" s="58">
        <v>8.8554482692108138E-2</v>
      </c>
      <c r="HA16" s="10">
        <f t="shared" si="66"/>
        <v>2.4032484190494148</v>
      </c>
      <c r="HB16" s="10" t="str">
        <f t="shared" si="126"/>
        <v>*</v>
      </c>
      <c r="HC16" s="114">
        <f t="shared" si="67"/>
        <v>0.28655282874690124</v>
      </c>
      <c r="HD16" s="76"/>
      <c r="HE16" s="27">
        <v>200</v>
      </c>
      <c r="HF16" s="28">
        <v>4.0057491254317927</v>
      </c>
      <c r="HG16" s="29">
        <v>7.6088324591260484E-2</v>
      </c>
      <c r="HH16" s="10"/>
      <c r="HI16" s="42">
        <v>112</v>
      </c>
      <c r="HJ16" s="43">
        <v>4.2510551570185227</v>
      </c>
      <c r="HK16" s="67">
        <v>8.3915220637768628E-2</v>
      </c>
      <c r="HL16" s="10">
        <f t="shared" si="68"/>
        <v>-2.1655820035121049</v>
      </c>
      <c r="HM16" s="10" t="str">
        <f t="shared" si="69"/>
        <v>*</v>
      </c>
      <c r="HN16" s="114">
        <f t="shared" si="70"/>
        <v>-0.24530603158672992</v>
      </c>
      <c r="HO16" s="10"/>
      <c r="HP16" s="42">
        <v>112.4266741399999</v>
      </c>
      <c r="HQ16" s="43">
        <v>4.1624695978042938</v>
      </c>
      <c r="HR16" s="67">
        <v>0.10091476048098165</v>
      </c>
      <c r="HS16" s="10">
        <f t="shared" si="71"/>
        <v>-1.2400222214566194</v>
      </c>
      <c r="HT16" s="10" t="str">
        <f t="shared" si="72"/>
        <v xml:space="preserve"> </v>
      </c>
      <c r="HU16" s="10"/>
      <c r="HV16" s="53">
        <v>74</v>
      </c>
      <c r="HW16" s="55">
        <v>4.3618512099218858</v>
      </c>
      <c r="HX16" s="56">
        <v>8.6409207473282929E-2</v>
      </c>
      <c r="HY16" s="10">
        <f t="shared" si="73"/>
        <v>-3.0929188524774727</v>
      </c>
      <c r="HZ16" s="10" t="str">
        <f t="shared" si="74"/>
        <v>*</v>
      </c>
      <c r="IA16" s="10"/>
      <c r="IB16" s="54">
        <v>141</v>
      </c>
      <c r="IC16" s="57">
        <v>4.3048245613836498</v>
      </c>
      <c r="ID16" s="58">
        <v>8.1129688481630075E-2</v>
      </c>
      <c r="IE16" s="10">
        <f t="shared" si="75"/>
        <v>-2.6888729101193487</v>
      </c>
      <c r="IF16" s="10" t="str">
        <f t="shared" si="127"/>
        <v>*</v>
      </c>
      <c r="IG16" s="114">
        <f t="shared" si="76"/>
        <v>-0.29907543595185704</v>
      </c>
      <c r="IH16" s="76"/>
      <c r="II16" s="27">
        <v>406</v>
      </c>
      <c r="IJ16" s="28">
        <v>3.8342244025786525</v>
      </c>
      <c r="IK16" s="29">
        <v>5.7798347428623983E-2</v>
      </c>
      <c r="IL16" s="10"/>
      <c r="IM16" s="42">
        <v>257</v>
      </c>
      <c r="IN16" s="43">
        <v>3.9748266351299648</v>
      </c>
      <c r="IO16" s="67">
        <v>7.0052023253076981E-2</v>
      </c>
      <c r="IP16" s="10">
        <f t="shared" si="77"/>
        <v>-1.5481734085418331</v>
      </c>
      <c r="IQ16" s="10" t="str">
        <f t="shared" si="78"/>
        <v xml:space="preserve"> </v>
      </c>
      <c r="IR16" s="114">
        <f t="shared" si="79"/>
        <v>-0.14060223255131232</v>
      </c>
      <c r="IS16" s="10"/>
      <c r="IT16" s="42">
        <v>307.71695195000109</v>
      </c>
      <c r="IU16" s="43">
        <v>4.0624412544653117</v>
      </c>
      <c r="IV16" s="67">
        <v>5.8696807183104528E-2</v>
      </c>
      <c r="IW16" s="10">
        <f t="shared" si="80"/>
        <v>-2.7703965015858345</v>
      </c>
      <c r="IX16" s="10" t="str">
        <f t="shared" si="81"/>
        <v>*</v>
      </c>
      <c r="IY16" s="10"/>
      <c r="IZ16" s="53">
        <v>300</v>
      </c>
      <c r="JA16" s="55">
        <v>4.0025629001347003</v>
      </c>
      <c r="JB16" s="56">
        <v>6.3082354011147035E-2</v>
      </c>
      <c r="JC16" s="10">
        <f t="shared" si="82"/>
        <v>-1.9675552953896223</v>
      </c>
      <c r="JD16" s="10" t="str">
        <f t="shared" si="83"/>
        <v>*</v>
      </c>
      <c r="JE16" s="10"/>
      <c r="JF16" s="54">
        <v>327</v>
      </c>
      <c r="JG16" s="57">
        <v>3.9106197441017367</v>
      </c>
      <c r="JH16" s="58">
        <v>6.1062544236069702E-2</v>
      </c>
      <c r="JI16" s="10">
        <f t="shared" si="84"/>
        <v>-0.90861349835018046</v>
      </c>
      <c r="JJ16" s="10" t="str">
        <f t="shared" si="85"/>
        <v xml:space="preserve"> </v>
      </c>
      <c r="JK16" s="114">
        <f t="shared" si="86"/>
        <v>-7.6395341523084248E-2</v>
      </c>
      <c r="JL16" s="76"/>
      <c r="JM16" s="27">
        <v>41</v>
      </c>
      <c r="JN16" s="28">
        <v>4.3170731707317058</v>
      </c>
      <c r="JO16" s="29">
        <v>0.14164965045257566</v>
      </c>
      <c r="JP16" s="10"/>
      <c r="JQ16" s="42">
        <v>29</v>
      </c>
      <c r="JR16" s="43">
        <v>4.4824086604287583</v>
      </c>
      <c r="JS16" s="67">
        <v>0.15390713855413488</v>
      </c>
      <c r="JT16" s="10" t="str">
        <f t="shared" si="87"/>
        <v>NV</v>
      </c>
      <c r="JU16" s="10" t="str">
        <f t="shared" si="88"/>
        <v xml:space="preserve"> </v>
      </c>
      <c r="JV16" s="114">
        <f t="shared" si="89"/>
        <v>-0.16533548969705247</v>
      </c>
      <c r="JW16" s="10"/>
      <c r="JX16" s="42">
        <v>32.673939870000005</v>
      </c>
      <c r="JY16" s="43">
        <v>4.4848484848484853</v>
      </c>
      <c r="JZ16" s="67">
        <v>0.13916282854865056</v>
      </c>
      <c r="KA16" s="10">
        <f t="shared" si="90"/>
        <v>-0.84490839598052703</v>
      </c>
      <c r="KB16" s="10" t="str">
        <f t="shared" si="91"/>
        <v xml:space="preserve"> </v>
      </c>
      <c r="KC16" s="10"/>
      <c r="KD16" s="53">
        <v>27</v>
      </c>
      <c r="KE16" s="55">
        <v>4.4814814814814801</v>
      </c>
      <c r="KF16" s="56">
        <v>0.18216196126309361</v>
      </c>
      <c r="KG16" s="10" t="str">
        <f t="shared" si="92"/>
        <v>NV</v>
      </c>
      <c r="KH16" s="10" t="str">
        <f t="shared" si="93"/>
        <v xml:space="preserve"> </v>
      </c>
      <c r="KI16" s="10"/>
      <c r="KJ16" s="54">
        <v>52</v>
      </c>
      <c r="KK16" s="57">
        <v>4.4038461538461524</v>
      </c>
      <c r="KL16" s="58">
        <v>0.13100866641831879</v>
      </c>
      <c r="KM16" s="10">
        <f t="shared" si="94"/>
        <v>-0.44972837830270473</v>
      </c>
      <c r="KN16" s="10" t="str">
        <f t="shared" si="95"/>
        <v xml:space="preserve"> </v>
      </c>
      <c r="KO16" s="114">
        <f t="shared" si="96"/>
        <v>-8.6772983114446589E-2</v>
      </c>
      <c r="KP16" s="76"/>
      <c r="KQ16" s="27">
        <v>422</v>
      </c>
      <c r="KR16" s="28">
        <v>4.0185532356699509</v>
      </c>
      <c r="KS16" s="29">
        <v>5.6542770787259715E-2</v>
      </c>
      <c r="KT16" s="10"/>
      <c r="KU16" s="42">
        <v>255</v>
      </c>
      <c r="KV16" s="43">
        <v>4.1367837339299216</v>
      </c>
      <c r="KW16" s="67">
        <v>6.1168247337504443E-2</v>
      </c>
      <c r="KX16" s="10">
        <f t="shared" si="97"/>
        <v>-1.4193593420322024</v>
      </c>
      <c r="KY16" s="10" t="str">
        <f t="shared" si="98"/>
        <v xml:space="preserve"> </v>
      </c>
      <c r="KZ16" s="114">
        <f t="shared" si="99"/>
        <v>-0.11823049825997067</v>
      </c>
      <c r="LA16" s="10"/>
      <c r="LB16" s="42">
        <v>309.56629108999994</v>
      </c>
      <c r="LC16" s="43">
        <v>4.2748277779871868</v>
      </c>
      <c r="LD16" s="67">
        <v>5.5443191913421973E-2</v>
      </c>
      <c r="LE16" s="10">
        <f t="shared" si="100"/>
        <v>-3.2362043869379749</v>
      </c>
      <c r="LF16" s="10" t="str">
        <f t="shared" si="101"/>
        <v>*</v>
      </c>
      <c r="LG16" s="10"/>
      <c r="LH16" s="53">
        <v>593</v>
      </c>
      <c r="LI16" s="55">
        <v>4.0831083575342442</v>
      </c>
      <c r="LJ16" s="56">
        <v>4.2837528392304737E-2</v>
      </c>
      <c r="LK16" s="10">
        <f t="shared" si="102"/>
        <v>-0.91002725799788808</v>
      </c>
      <c r="LL16" s="10" t="str">
        <f t="shared" si="103"/>
        <v xml:space="preserve"> </v>
      </c>
      <c r="LM16" s="10"/>
      <c r="LN16" s="54">
        <v>566</v>
      </c>
      <c r="LO16" s="57">
        <v>3.9498473275126411</v>
      </c>
      <c r="LP16" s="58">
        <v>4.4832981024938379E-2</v>
      </c>
      <c r="LQ16" s="10">
        <f t="shared" si="104"/>
        <v>0.95213145500928864</v>
      </c>
      <c r="LR16" s="10" t="str">
        <f t="shared" si="128"/>
        <v xml:space="preserve"> </v>
      </c>
      <c r="LS16" s="114">
        <f t="shared" si="105"/>
        <v>6.8705908157309814E-2</v>
      </c>
      <c r="LT16" s="76"/>
      <c r="LU16" s="27">
        <v>140</v>
      </c>
      <c r="LV16" s="28">
        <v>4.1000000000000014</v>
      </c>
      <c r="LW16" s="29">
        <v>8.0691287197729014E-2</v>
      </c>
      <c r="LX16" s="10"/>
      <c r="LY16" s="42">
        <v>143</v>
      </c>
      <c r="LZ16" s="43">
        <v>4.3076817558322222</v>
      </c>
      <c r="MA16" s="67">
        <v>7.3728385155122075E-2</v>
      </c>
      <c r="MB16" s="10">
        <f t="shared" si="106"/>
        <v>-1.9000702903957645</v>
      </c>
      <c r="MC16" s="10" t="str">
        <f t="shared" si="107"/>
        <v xml:space="preserve"> </v>
      </c>
      <c r="MD16" s="114">
        <f t="shared" si="108"/>
        <v>-0.20768175583222082</v>
      </c>
      <c r="ME16" s="10"/>
      <c r="MF16" s="42">
        <v>145.86544819</v>
      </c>
      <c r="MG16" s="43">
        <v>4.2736952030476587</v>
      </c>
      <c r="MH16" s="67">
        <v>7.0901503667834889E-2</v>
      </c>
      <c r="MI16" s="10">
        <f t="shared" si="109"/>
        <v>-1.6170391795323857</v>
      </c>
      <c r="MJ16" s="10" t="str">
        <f t="shared" si="110"/>
        <v xml:space="preserve"> </v>
      </c>
      <c r="MK16" s="10"/>
      <c r="ML16" s="53">
        <v>353</v>
      </c>
      <c r="MM16" s="55">
        <v>4.0991501416430642</v>
      </c>
      <c r="MN16" s="56">
        <v>5.4267531346136912E-2</v>
      </c>
      <c r="MO16" s="10">
        <f t="shared" si="111"/>
        <v>8.7396028413822685E-3</v>
      </c>
      <c r="MP16" s="10" t="str">
        <f t="shared" si="112"/>
        <v xml:space="preserve"> </v>
      </c>
      <c r="MQ16" s="10"/>
      <c r="MR16" s="54">
        <v>350</v>
      </c>
      <c r="MS16" s="57">
        <v>4.057336990340068</v>
      </c>
      <c r="MT16" s="58">
        <v>5.6418473923953764E-2</v>
      </c>
      <c r="MU16" s="10">
        <f t="shared" si="113"/>
        <v>0.43330840567465012</v>
      </c>
      <c r="MV16" s="10" t="str">
        <f t="shared" si="114"/>
        <v xml:space="preserve"> </v>
      </c>
      <c r="MW16" s="114">
        <f t="shared" si="115"/>
        <v>4.2663009659933415E-2</v>
      </c>
      <c r="MX16" s="76"/>
      <c r="MY16" s="27">
        <v>170</v>
      </c>
      <c r="MZ16" s="28">
        <v>4.1879509888213633</v>
      </c>
      <c r="NA16" s="29">
        <v>7.3238329064255897E-2</v>
      </c>
      <c r="NB16" s="10"/>
      <c r="NC16" s="42">
        <v>114</v>
      </c>
      <c r="ND16" s="43">
        <v>4.0970355048784581</v>
      </c>
      <c r="NE16" s="67">
        <v>9.6491678110449147E-2</v>
      </c>
      <c r="NF16" s="10">
        <f t="shared" si="116"/>
        <v>0.75050959004548168</v>
      </c>
      <c r="NG16" s="10" t="str">
        <f t="shared" si="117"/>
        <v xml:space="preserve"> </v>
      </c>
      <c r="NH16" s="114">
        <f t="shared" si="118"/>
        <v>9.0915483942905162E-2</v>
      </c>
      <c r="NI16" s="10"/>
      <c r="NJ16" s="42">
        <v>100.76037722999997</v>
      </c>
      <c r="NK16" s="43">
        <v>4.4681543315615491</v>
      </c>
      <c r="NL16" s="67">
        <v>7.5571923626395851E-2</v>
      </c>
      <c r="NM16" s="10">
        <f t="shared" si="119"/>
        <v>-2.6625763029913969</v>
      </c>
      <c r="NN16" s="10" t="str">
        <f t="shared" si="120"/>
        <v>*</v>
      </c>
      <c r="NO16" s="10"/>
      <c r="NP16" s="53">
        <v>163</v>
      </c>
      <c r="NQ16" s="55">
        <v>3.9854539325301093</v>
      </c>
      <c r="NR16" s="56">
        <v>7.8825441656038081E-2</v>
      </c>
      <c r="NS16" s="10">
        <f t="shared" si="121"/>
        <v>1.8819800378409945</v>
      </c>
      <c r="NT16" s="10" t="str">
        <f t="shared" si="122"/>
        <v xml:space="preserve"> </v>
      </c>
      <c r="NU16" s="10"/>
      <c r="NV16" s="54">
        <v>178</v>
      </c>
      <c r="NW16" s="57">
        <v>4.1145473583439491</v>
      </c>
      <c r="NX16" s="58">
        <v>7.9151215241386949E-2</v>
      </c>
      <c r="NY16" s="10">
        <f t="shared" si="123"/>
        <v>0.68069207199974469</v>
      </c>
      <c r="NZ16" s="10" t="str">
        <f t="shared" si="129"/>
        <v xml:space="preserve"> </v>
      </c>
      <c r="OA16" s="114">
        <f t="shared" si="124"/>
        <v>7.3403630477414161E-2</v>
      </c>
      <c r="OB16" s="58"/>
    </row>
    <row r="17" spans="1:392" x14ac:dyDescent="0.2">
      <c r="B17" s="65" t="s">
        <v>17</v>
      </c>
      <c r="C17" s="27">
        <v>398</v>
      </c>
      <c r="D17" s="28">
        <v>4.0177370848957539</v>
      </c>
      <c r="E17" s="29">
        <v>5.2860107103267384E-2</v>
      </c>
      <c r="F17" s="10"/>
      <c r="G17" s="42">
        <v>126</v>
      </c>
      <c r="H17" s="43">
        <v>4.0634853029380658</v>
      </c>
      <c r="I17" s="67">
        <v>9.3692506055971417E-2</v>
      </c>
      <c r="J17" s="10">
        <f t="shared" si="1"/>
        <v>-0.42526635659239986</v>
      </c>
      <c r="K17" s="10" t="str">
        <f t="shared" si="2"/>
        <v xml:space="preserve"> </v>
      </c>
      <c r="L17" s="114">
        <f t="shared" si="3"/>
        <v>-4.5748218042311883E-2</v>
      </c>
      <c r="M17" s="10"/>
      <c r="N17" s="42">
        <v>93.576521700000072</v>
      </c>
      <c r="O17" s="43">
        <v>3.8222222222222224</v>
      </c>
      <c r="P17" s="67">
        <v>0.10459715853182763</v>
      </c>
      <c r="Q17" s="10">
        <f t="shared" si="4"/>
        <v>1.6682813514137389</v>
      </c>
      <c r="R17" s="10" t="str">
        <f t="shared" si="5"/>
        <v xml:space="preserve"> </v>
      </c>
      <c r="S17" s="10"/>
      <c r="T17" s="53">
        <v>124</v>
      </c>
      <c r="U17" s="55">
        <v>3.9758064516129039</v>
      </c>
      <c r="V17" s="56">
        <v>9.111611967006758E-2</v>
      </c>
      <c r="W17" s="10">
        <f t="shared" si="6"/>
        <v>0.3980536214593377</v>
      </c>
      <c r="X17" s="10" t="str">
        <f t="shared" si="7"/>
        <v xml:space="preserve"> </v>
      </c>
      <c r="Y17" s="10"/>
      <c r="Z17" s="54">
        <v>211</v>
      </c>
      <c r="AA17" s="57">
        <v>3.4928909952606642</v>
      </c>
      <c r="AB17" s="58">
        <v>7.472403435546239E-2</v>
      </c>
      <c r="AC17" s="10">
        <f t="shared" si="8"/>
        <v>5.73409784572197</v>
      </c>
      <c r="AD17" s="10" t="str">
        <f t="shared" si="9"/>
        <v>*</v>
      </c>
      <c r="AE17" s="114">
        <f t="shared" si="10"/>
        <v>0.52484608963508972</v>
      </c>
      <c r="AF17" s="76"/>
      <c r="AG17" s="27">
        <v>90</v>
      </c>
      <c r="AH17" s="28">
        <v>4.1351130486477592</v>
      </c>
      <c r="AI17" s="29">
        <v>0.1032915059741568</v>
      </c>
      <c r="AJ17" s="67"/>
      <c r="AK17" s="42">
        <v>39</v>
      </c>
      <c r="AL17" s="43">
        <v>4.1019543481795342</v>
      </c>
      <c r="AM17" s="67">
        <v>0.1822981818888163</v>
      </c>
      <c r="AN17" s="10">
        <f t="shared" si="11"/>
        <v>0.1582546663127932</v>
      </c>
      <c r="AO17" s="10" t="str">
        <f t="shared" si="12"/>
        <v xml:space="preserve"> </v>
      </c>
      <c r="AP17" s="114">
        <f t="shared" si="13"/>
        <v>3.3158700468225E-2</v>
      </c>
      <c r="AQ17" s="67"/>
      <c r="AR17" s="42">
        <v>67.044712380000007</v>
      </c>
      <c r="AS17" s="43">
        <v>3.3109779602279201</v>
      </c>
      <c r="AT17" s="67">
        <v>0.15641276220294009</v>
      </c>
      <c r="AU17" s="10">
        <f t="shared" si="14"/>
        <v>4.3967732267492723</v>
      </c>
      <c r="AV17" s="10" t="str">
        <f t="shared" si="15"/>
        <v>*</v>
      </c>
      <c r="AW17" s="10"/>
      <c r="AX17" s="53">
        <v>87</v>
      </c>
      <c r="AY17" s="55">
        <v>3.6319716289458763</v>
      </c>
      <c r="AZ17" s="56">
        <v>0.13426838824953605</v>
      </c>
      <c r="BA17" s="10">
        <f t="shared" si="16"/>
        <v>2.970098129598068</v>
      </c>
      <c r="BB17" s="10" t="str">
        <f t="shared" si="17"/>
        <v>*</v>
      </c>
      <c r="BC17" s="10"/>
      <c r="BD17" s="54">
        <v>79</v>
      </c>
      <c r="BE17" s="57">
        <v>3.4812692353377521</v>
      </c>
      <c r="BF17" s="58">
        <v>0.11502714433766367</v>
      </c>
      <c r="BG17" s="10">
        <f t="shared" si="18"/>
        <v>4.2293304930322551</v>
      </c>
      <c r="BH17" s="10" t="str">
        <f t="shared" si="19"/>
        <v>*</v>
      </c>
      <c r="BI17" s="114">
        <f t="shared" si="20"/>
        <v>0.65384381331000707</v>
      </c>
      <c r="BJ17" s="76"/>
      <c r="BK17" s="27">
        <v>957</v>
      </c>
      <c r="BL17" s="28">
        <v>4.0097187018339016</v>
      </c>
      <c r="BM17" s="29">
        <v>3.5487956261008133E-2</v>
      </c>
      <c r="BN17" s="10"/>
      <c r="BO17" s="42">
        <v>284</v>
      </c>
      <c r="BP17" s="43">
        <v>3.999905900047219</v>
      </c>
      <c r="BQ17" s="67">
        <v>6.987218010343603E-2</v>
      </c>
      <c r="BR17" s="10">
        <f t="shared" si="21"/>
        <v>0.1252146695399137</v>
      </c>
      <c r="BS17" s="10" t="str">
        <f t="shared" si="22"/>
        <v xml:space="preserve"> </v>
      </c>
      <c r="BT17" s="114">
        <f t="shared" si="23"/>
        <v>9.8128017866825346E-3</v>
      </c>
      <c r="BU17" s="10"/>
      <c r="BV17" s="42">
        <v>174.16756550999975</v>
      </c>
      <c r="BW17" s="43">
        <v>3.5085555655591598</v>
      </c>
      <c r="BX17" s="67">
        <v>6.8028425287289224E-2</v>
      </c>
      <c r="BY17" s="10">
        <f t="shared" si="24"/>
        <v>6.5316431303576241</v>
      </c>
      <c r="BZ17" s="10" t="str">
        <f t="shared" si="25"/>
        <v>*</v>
      </c>
      <c r="CA17" s="10"/>
      <c r="CB17" s="53">
        <v>153</v>
      </c>
      <c r="CC17" s="55">
        <v>3.656050435826411</v>
      </c>
      <c r="CD17" s="56">
        <v>5.5375878278259127E-2</v>
      </c>
      <c r="CE17" s="10">
        <f t="shared" si="26"/>
        <v>5.3772312247914167</v>
      </c>
      <c r="CF17" s="10" t="str">
        <f t="shared" si="27"/>
        <v>*</v>
      </c>
      <c r="CG17" s="10"/>
      <c r="CH17" s="54">
        <v>364</v>
      </c>
      <c r="CI17" s="57">
        <v>3.7663339317781981</v>
      </c>
      <c r="CJ17" s="58">
        <v>5.2642315095853605E-2</v>
      </c>
      <c r="CK17" s="10">
        <f t="shared" si="28"/>
        <v>3.8336114796691274</v>
      </c>
      <c r="CL17" s="10" t="str">
        <f t="shared" si="29"/>
        <v>*</v>
      </c>
      <c r="CM17" s="114">
        <f t="shared" si="30"/>
        <v>0.24338477005570347</v>
      </c>
      <c r="CN17" s="76"/>
      <c r="CO17" s="27">
        <v>562</v>
      </c>
      <c r="CP17" s="28">
        <v>3.991784164855158</v>
      </c>
      <c r="CQ17" s="29">
        <v>4.6089187383706071E-2</v>
      </c>
      <c r="CR17" s="67"/>
      <c r="CS17" s="42">
        <v>184</v>
      </c>
      <c r="CT17" s="43">
        <v>3.9846356106332146</v>
      </c>
      <c r="CU17" s="67">
        <v>8.1533659162089087E-2</v>
      </c>
      <c r="CV17" s="10">
        <f t="shared" si="31"/>
        <v>7.6325581692066075E-2</v>
      </c>
      <c r="CW17" s="10" t="str">
        <f t="shared" si="32"/>
        <v xml:space="preserve"> </v>
      </c>
      <c r="CX17" s="114">
        <f t="shared" si="33"/>
        <v>7.1485542219433817E-3</v>
      </c>
      <c r="CY17" s="10"/>
      <c r="CZ17" s="42">
        <v>174.52756013999971</v>
      </c>
      <c r="DA17" s="43">
        <v>3.9851846522238308</v>
      </c>
      <c r="DB17" s="67">
        <v>7.9282655210717437E-2</v>
      </c>
      <c r="DC17" s="10">
        <f t="shared" si="34"/>
        <v>7.1963966070586555E-2</v>
      </c>
      <c r="DD17" s="10" t="str">
        <f t="shared" si="35"/>
        <v xml:space="preserve"> </v>
      </c>
      <c r="DE17" s="10"/>
      <c r="DF17" s="53">
        <v>172</v>
      </c>
      <c r="DG17" s="55">
        <v>4.1811666023900242</v>
      </c>
      <c r="DH17" s="56">
        <v>7.8786337258379704E-2</v>
      </c>
      <c r="DI17" s="10">
        <f t="shared" si="36"/>
        <v>-2.0748088857252469</v>
      </c>
      <c r="DJ17" s="10" t="str">
        <f t="shared" si="0"/>
        <v>*</v>
      </c>
      <c r="DK17" s="10"/>
      <c r="DL17" s="54">
        <v>226</v>
      </c>
      <c r="DM17" s="57">
        <v>3.8267706487421607</v>
      </c>
      <c r="DN17" s="58">
        <v>6.3350610866712814E-2</v>
      </c>
      <c r="DO17" s="10">
        <f t="shared" si="37"/>
        <v>2.1063149129855918</v>
      </c>
      <c r="DP17" s="10" t="str">
        <f t="shared" si="38"/>
        <v>*</v>
      </c>
      <c r="DQ17" s="114">
        <f t="shared" si="39"/>
        <v>0.1650135161129973</v>
      </c>
      <c r="DR17" s="76"/>
      <c r="DS17" s="27">
        <v>197</v>
      </c>
      <c r="DT17" s="28">
        <v>4.0606527514118342</v>
      </c>
      <c r="DU17" s="29">
        <v>7.5397616779023152E-2</v>
      </c>
      <c r="DV17" s="10"/>
      <c r="DW17" s="42">
        <v>71</v>
      </c>
      <c r="DX17" s="43">
        <v>4.1138436840965316</v>
      </c>
      <c r="DY17" s="67">
        <v>0.12141969483297879</v>
      </c>
      <c r="DZ17" s="10">
        <f t="shared" si="40"/>
        <v>-0.372159868740986</v>
      </c>
      <c r="EA17" s="10" t="str">
        <f t="shared" si="41"/>
        <v xml:space="preserve"> </v>
      </c>
      <c r="EB17" s="114">
        <f t="shared" si="42"/>
        <v>-5.3190932684697323E-2</v>
      </c>
      <c r="EC17" s="10"/>
      <c r="ED17" s="42">
        <v>77.417181120000038</v>
      </c>
      <c r="EE17" s="43">
        <v>3.6649783357547303</v>
      </c>
      <c r="EF17" s="67">
        <v>0.12134146096837324</v>
      </c>
      <c r="EG17" s="10">
        <f t="shared" si="43"/>
        <v>2.7696946148962884</v>
      </c>
      <c r="EH17" s="10" t="str">
        <f t="shared" si="44"/>
        <v>*</v>
      </c>
      <c r="EI17" s="10"/>
      <c r="EJ17" s="53">
        <v>74</v>
      </c>
      <c r="EK17" s="55">
        <v>3.9579798833269959</v>
      </c>
      <c r="EL17" s="56">
        <v>0.10351024044593396</v>
      </c>
      <c r="EM17" s="10">
        <f t="shared" si="45"/>
        <v>0.80176067929363548</v>
      </c>
      <c r="EN17" s="10" t="str">
        <f t="shared" si="46"/>
        <v xml:space="preserve"> </v>
      </c>
      <c r="EO17" s="10"/>
      <c r="EP17" s="54">
        <v>55</v>
      </c>
      <c r="EQ17" s="57">
        <v>4.2545454545454549</v>
      </c>
      <c r="ER17" s="58">
        <v>0.12418952950673538</v>
      </c>
      <c r="ES17" s="10">
        <f t="shared" si="47"/>
        <v>-1.3345645056625304</v>
      </c>
      <c r="ET17" s="10" t="str">
        <f t="shared" si="48"/>
        <v xml:space="preserve"> </v>
      </c>
      <c r="EU17" s="114">
        <f t="shared" si="49"/>
        <v>-0.19389270313362061</v>
      </c>
      <c r="EV17" s="76"/>
      <c r="EW17" s="27">
        <v>390</v>
      </c>
      <c r="EX17" s="28">
        <v>4.0739940829613293</v>
      </c>
      <c r="EY17" s="29">
        <v>5.5974118748141483E-2</v>
      </c>
      <c r="EZ17" s="10"/>
      <c r="FA17" s="42">
        <v>121</v>
      </c>
      <c r="FB17" s="43">
        <v>4.1657018460336692</v>
      </c>
      <c r="FC17" s="67">
        <v>0.10513119007099224</v>
      </c>
      <c r="FD17" s="10">
        <f t="shared" si="50"/>
        <v>-0.76998309053612668</v>
      </c>
      <c r="FE17" s="10" t="str">
        <f t="shared" si="51"/>
        <v xml:space="preserve"> </v>
      </c>
      <c r="FF17" s="114">
        <f t="shared" si="52"/>
        <v>-9.1707763072339965E-2</v>
      </c>
      <c r="FG17" s="10"/>
      <c r="FH17" s="42">
        <v>113.01901557000004</v>
      </c>
      <c r="FI17" s="43">
        <v>3.4664396150871553</v>
      </c>
      <c r="FJ17" s="67">
        <v>0.10404213906300823</v>
      </c>
      <c r="FK17" s="10">
        <f t="shared" si="53"/>
        <v>5.1425161597721569</v>
      </c>
      <c r="FL17" s="10" t="str">
        <f t="shared" si="54"/>
        <v>*</v>
      </c>
      <c r="FM17" s="10"/>
      <c r="FN17" s="53">
        <v>120</v>
      </c>
      <c r="FO17" s="55">
        <v>4.0400099734487762</v>
      </c>
      <c r="FP17" s="56">
        <v>9.6884294246974173E-2</v>
      </c>
      <c r="FQ17" s="10">
        <f t="shared" si="55"/>
        <v>0.3037242587106358</v>
      </c>
      <c r="FR17" s="10" t="str">
        <f t="shared" si="56"/>
        <v xml:space="preserve"> </v>
      </c>
      <c r="FS17" s="10"/>
      <c r="FT17" s="54">
        <v>190</v>
      </c>
      <c r="FU17" s="57">
        <v>3.5504794293917543</v>
      </c>
      <c r="FV17" s="58">
        <v>7.7265345514924366E-2</v>
      </c>
      <c r="FW17" s="10">
        <f t="shared" si="57"/>
        <v>5.4870096265954285</v>
      </c>
      <c r="FX17" s="10" t="str">
        <f t="shared" si="125"/>
        <v>*</v>
      </c>
      <c r="FY17" s="114">
        <f t="shared" si="58"/>
        <v>0.52351465356957494</v>
      </c>
      <c r="FZ17" s="76"/>
      <c r="GA17" s="27">
        <v>177</v>
      </c>
      <c r="GB17" s="28">
        <v>4.0291997919638405</v>
      </c>
      <c r="GC17" s="29">
        <v>8.8365578584008814E-2</v>
      </c>
      <c r="GD17" s="67"/>
      <c r="GE17" s="42">
        <v>135</v>
      </c>
      <c r="GF17" s="43">
        <v>3.9645687077383651</v>
      </c>
      <c r="GG17" s="67">
        <v>0.10234226426916958</v>
      </c>
      <c r="GH17" s="10">
        <f t="shared" si="59"/>
        <v>0.47799644384078827</v>
      </c>
      <c r="GI17" s="10" t="str">
        <f t="shared" si="60"/>
        <v xml:space="preserve"> </v>
      </c>
      <c r="GJ17" s="114">
        <f t="shared" si="61"/>
        <v>6.4631084225475366E-2</v>
      </c>
      <c r="GK17" s="67"/>
      <c r="GL17" s="42">
        <v>159.10977408000005</v>
      </c>
      <c r="GM17" s="43">
        <v>4.1934943696452001</v>
      </c>
      <c r="GN17" s="67">
        <v>7.8787628744514213E-2</v>
      </c>
      <c r="GO17" s="10">
        <f t="shared" si="62"/>
        <v>-1.3877515271776779</v>
      </c>
      <c r="GP17" s="10" t="str">
        <f t="shared" si="63"/>
        <v xml:space="preserve"> </v>
      </c>
      <c r="GQ17" s="10"/>
      <c r="GR17" s="53">
        <v>163</v>
      </c>
      <c r="GS17" s="55">
        <v>3.9202709949118177</v>
      </c>
      <c r="GT17" s="56">
        <v>9.4922251512264882E-2</v>
      </c>
      <c r="GU17" s="10">
        <f t="shared" si="64"/>
        <v>0.83993634744086876</v>
      </c>
      <c r="GV17" s="10" t="str">
        <f t="shared" si="65"/>
        <v xml:space="preserve"> </v>
      </c>
      <c r="GW17" s="10"/>
      <c r="GX17" s="54">
        <v>165</v>
      </c>
      <c r="GY17" s="57">
        <v>3.8555758685155448</v>
      </c>
      <c r="GZ17" s="58">
        <v>9.1325493879298947E-2</v>
      </c>
      <c r="HA17" s="10">
        <f t="shared" si="66"/>
        <v>1.3662782393641768</v>
      </c>
      <c r="HB17" s="10" t="str">
        <f t="shared" si="126"/>
        <v xml:space="preserve"> </v>
      </c>
      <c r="HC17" s="114">
        <f t="shared" si="67"/>
        <v>0.17362392344829569</v>
      </c>
      <c r="HD17" s="76"/>
      <c r="HE17" s="27">
        <v>193</v>
      </c>
      <c r="HF17" s="28">
        <v>4.0393242620890204</v>
      </c>
      <c r="HG17" s="29">
        <v>7.8328774039245014E-2</v>
      </c>
      <c r="HH17" s="10"/>
      <c r="HI17" s="42">
        <v>111</v>
      </c>
      <c r="HJ17" s="43">
        <v>4.2354405422514523</v>
      </c>
      <c r="HK17" s="67">
        <v>8.8020840311237677E-2</v>
      </c>
      <c r="HL17" s="10">
        <f t="shared" si="68"/>
        <v>-1.6644508143113126</v>
      </c>
      <c r="HM17" s="10" t="str">
        <f t="shared" si="69"/>
        <v xml:space="preserve"> </v>
      </c>
      <c r="HN17" s="114">
        <f t="shared" si="70"/>
        <v>-0.19611628016243188</v>
      </c>
      <c r="HO17" s="10"/>
      <c r="HP17" s="42">
        <v>109.26945995999991</v>
      </c>
      <c r="HQ17" s="43">
        <v>4.1107421491277583</v>
      </c>
      <c r="HR17" s="67">
        <v>0.10532849644366103</v>
      </c>
      <c r="HS17" s="10">
        <f t="shared" si="71"/>
        <v>-0.54409006824987083</v>
      </c>
      <c r="HT17" s="10" t="str">
        <f t="shared" si="72"/>
        <v xml:space="preserve"> </v>
      </c>
      <c r="HU17" s="10"/>
      <c r="HV17" s="53">
        <v>75</v>
      </c>
      <c r="HW17" s="55">
        <v>4.2271682724856845</v>
      </c>
      <c r="HX17" s="56">
        <v>9.5921655646151641E-2</v>
      </c>
      <c r="HY17" s="10">
        <f t="shared" si="73"/>
        <v>-1.5168274944718607</v>
      </c>
      <c r="HZ17" s="10" t="str">
        <f t="shared" si="74"/>
        <v xml:space="preserve"> </v>
      </c>
      <c r="IA17" s="10"/>
      <c r="IB17" s="54">
        <v>139</v>
      </c>
      <c r="IC17" s="57">
        <v>4.280311457137171</v>
      </c>
      <c r="ID17" s="58">
        <v>8.5365411109047606E-2</v>
      </c>
      <c r="IE17" s="10">
        <f t="shared" si="75"/>
        <v>-2.0800550531038486</v>
      </c>
      <c r="IF17" s="10" t="str">
        <f t="shared" si="127"/>
        <v>*</v>
      </c>
      <c r="IG17" s="114">
        <f t="shared" si="76"/>
        <v>-0.24098719504815058</v>
      </c>
      <c r="IH17" s="76"/>
      <c r="II17" s="27">
        <v>411</v>
      </c>
      <c r="IJ17" s="28">
        <v>3.781176522580135</v>
      </c>
      <c r="IK17" s="29">
        <v>5.9783013126752264E-2</v>
      </c>
      <c r="IL17" s="10"/>
      <c r="IM17" s="42">
        <v>262</v>
      </c>
      <c r="IN17" s="43">
        <v>3.8144958395928765</v>
      </c>
      <c r="IO17" s="67">
        <v>7.5477996584334073E-2</v>
      </c>
      <c r="IP17" s="10">
        <f t="shared" si="77"/>
        <v>-0.34604635922289517</v>
      </c>
      <c r="IQ17" s="10" t="str">
        <f t="shared" si="78"/>
        <v xml:space="preserve"> </v>
      </c>
      <c r="IR17" s="114">
        <f t="shared" si="79"/>
        <v>-3.3319317012741489E-2</v>
      </c>
      <c r="IS17" s="10"/>
      <c r="IT17" s="42">
        <v>301.53799730000117</v>
      </c>
      <c r="IU17" s="43">
        <v>3.9885854035616757</v>
      </c>
      <c r="IV17" s="67">
        <v>6.4805095948390817E-2</v>
      </c>
      <c r="IW17" s="10">
        <f t="shared" si="80"/>
        <v>-2.3524110210690763</v>
      </c>
      <c r="IX17" s="10" t="str">
        <f t="shared" si="81"/>
        <v>*</v>
      </c>
      <c r="IY17" s="10"/>
      <c r="IZ17" s="53">
        <v>292</v>
      </c>
      <c r="JA17" s="55">
        <v>3.9514050247864829</v>
      </c>
      <c r="JB17" s="56">
        <v>6.7012127282017483E-2</v>
      </c>
      <c r="JC17" s="10">
        <f t="shared" si="82"/>
        <v>-1.8955705397578502</v>
      </c>
      <c r="JD17" s="10" t="str">
        <f t="shared" si="83"/>
        <v xml:space="preserve"> </v>
      </c>
      <c r="JE17" s="10"/>
      <c r="JF17" s="54">
        <v>331</v>
      </c>
      <c r="JG17" s="57">
        <v>3.9758647190281451</v>
      </c>
      <c r="JH17" s="58">
        <v>6.2396583872580284E-2</v>
      </c>
      <c r="JI17" s="10">
        <f t="shared" si="84"/>
        <v>-2.2529761328185658</v>
      </c>
      <c r="JJ17" s="10" t="str">
        <f t="shared" si="85"/>
        <v>*</v>
      </c>
      <c r="JK17" s="114">
        <f t="shared" si="86"/>
        <v>-0.19468819644801005</v>
      </c>
      <c r="JL17" s="76"/>
      <c r="JM17" s="27">
        <v>44</v>
      </c>
      <c r="JN17" s="28">
        <v>4.2499999999999982</v>
      </c>
      <c r="JO17" s="29">
        <v>0.1346027154586219</v>
      </c>
      <c r="JP17" s="10"/>
      <c r="JQ17" s="42">
        <v>28</v>
      </c>
      <c r="JR17" s="43">
        <v>4.2866152766064101</v>
      </c>
      <c r="JS17" s="67">
        <v>0.1843065016711925</v>
      </c>
      <c r="JT17" s="10" t="str">
        <f t="shared" si="87"/>
        <v>NV</v>
      </c>
      <c r="JU17" s="10" t="str">
        <f t="shared" si="88"/>
        <v xml:space="preserve"> </v>
      </c>
      <c r="JV17" s="114">
        <f t="shared" si="89"/>
        <v>-3.661527660641184E-2</v>
      </c>
      <c r="JW17" s="10"/>
      <c r="JX17" s="42">
        <v>32.673939870000005</v>
      </c>
      <c r="JY17" s="43">
        <v>4.454545454545455</v>
      </c>
      <c r="JZ17" s="67">
        <v>0.1389543447933082</v>
      </c>
      <c r="KA17" s="10">
        <f t="shared" si="90"/>
        <v>-1.0573090764916859</v>
      </c>
      <c r="KB17" s="10" t="str">
        <f t="shared" si="91"/>
        <v xml:space="preserve"> </v>
      </c>
      <c r="KC17" s="10"/>
      <c r="KD17" s="53">
        <v>27</v>
      </c>
      <c r="KE17" s="55">
        <v>4.4074074074074057</v>
      </c>
      <c r="KF17" s="56">
        <v>0.18914832626048414</v>
      </c>
      <c r="KG17" s="10" t="str">
        <f t="shared" si="92"/>
        <v>NV</v>
      </c>
      <c r="KH17" s="10" t="str">
        <f t="shared" si="93"/>
        <v xml:space="preserve"> </v>
      </c>
      <c r="KI17" s="10"/>
      <c r="KJ17" s="54">
        <v>51</v>
      </c>
      <c r="KK17" s="57">
        <v>4.3529411764705861</v>
      </c>
      <c r="KL17" s="58">
        <v>0.12901356376923551</v>
      </c>
      <c r="KM17" s="10">
        <f t="shared" si="94"/>
        <v>-0.55212105538003553</v>
      </c>
      <c r="KN17" s="10" t="str">
        <f t="shared" si="95"/>
        <v xml:space="preserve"> </v>
      </c>
      <c r="KO17" s="114">
        <f t="shared" si="96"/>
        <v>-0.10294117647058787</v>
      </c>
      <c r="KP17" s="76"/>
      <c r="KQ17" s="27">
        <v>424</v>
      </c>
      <c r="KR17" s="28">
        <v>3.9834098980750463</v>
      </c>
      <c r="KS17" s="29">
        <v>5.719495992606282E-2</v>
      </c>
      <c r="KT17" s="10"/>
      <c r="KU17" s="42">
        <v>256</v>
      </c>
      <c r="KV17" s="43">
        <v>4.0267761241083395</v>
      </c>
      <c r="KW17" s="67">
        <v>6.6774081936749302E-2</v>
      </c>
      <c r="KX17" s="10">
        <f t="shared" si="97"/>
        <v>-0.49324275802096385</v>
      </c>
      <c r="KY17" s="10" t="str">
        <f t="shared" si="98"/>
        <v xml:space="preserve"> </v>
      </c>
      <c r="KZ17" s="114">
        <f t="shared" si="99"/>
        <v>-4.3366226033293209E-2</v>
      </c>
      <c r="LA17" s="10"/>
      <c r="LB17" s="42">
        <v>303.62557474999983</v>
      </c>
      <c r="LC17" s="43">
        <v>4.1498854836832217</v>
      </c>
      <c r="LD17" s="67">
        <v>5.9236906519273387E-2</v>
      </c>
      <c r="LE17" s="10">
        <f t="shared" si="100"/>
        <v>-2.0217474863515701</v>
      </c>
      <c r="LF17" s="10" t="str">
        <f t="shared" si="101"/>
        <v>*</v>
      </c>
      <c r="LG17" s="10"/>
      <c r="LH17" s="53">
        <v>582</v>
      </c>
      <c r="LI17" s="55">
        <v>3.9955473241440553</v>
      </c>
      <c r="LJ17" s="56">
        <v>4.6364008445611116E-2</v>
      </c>
      <c r="LK17" s="10">
        <f t="shared" si="102"/>
        <v>-0.16485097181682223</v>
      </c>
      <c r="LL17" s="10" t="str">
        <f t="shared" si="103"/>
        <v xml:space="preserve"> </v>
      </c>
      <c r="LM17" s="10"/>
      <c r="LN17" s="54">
        <v>562</v>
      </c>
      <c r="LO17" s="57">
        <v>3.8714351865338528</v>
      </c>
      <c r="LP17" s="58">
        <v>4.8765717386640317E-2</v>
      </c>
      <c r="LQ17" s="10">
        <f t="shared" si="104"/>
        <v>1.489773962258895</v>
      </c>
      <c r="LR17" s="10" t="str">
        <f t="shared" si="128"/>
        <v xml:space="preserve"> </v>
      </c>
      <c r="LS17" s="114">
        <f t="shared" si="105"/>
        <v>0.11197471154119354</v>
      </c>
      <c r="LT17" s="76"/>
      <c r="LU17" s="27">
        <v>140</v>
      </c>
      <c r="LV17" s="28">
        <v>4.142857142857145</v>
      </c>
      <c r="LW17" s="29">
        <v>8.4594134034459256E-2</v>
      </c>
      <c r="LX17" s="10"/>
      <c r="LY17" s="42">
        <v>138</v>
      </c>
      <c r="LZ17" s="43">
        <v>4.2100923951785649</v>
      </c>
      <c r="MA17" s="67">
        <v>7.9277467630188392E-2</v>
      </c>
      <c r="MB17" s="10">
        <f t="shared" si="106"/>
        <v>-0.57993575484332061</v>
      </c>
      <c r="MC17" s="10" t="str">
        <f t="shared" si="107"/>
        <v xml:space="preserve"> </v>
      </c>
      <c r="MD17" s="114">
        <f t="shared" si="108"/>
        <v>-6.7235252321419914E-2</v>
      </c>
      <c r="ME17" s="10"/>
      <c r="MF17" s="42">
        <v>145.86544819</v>
      </c>
      <c r="MG17" s="43">
        <v>4.226179935957318</v>
      </c>
      <c r="MH17" s="67">
        <v>7.301746264865247E-2</v>
      </c>
      <c r="MI17" s="10">
        <f t="shared" si="109"/>
        <v>-0.7456281389634124</v>
      </c>
      <c r="MJ17" s="10" t="str">
        <f t="shared" si="110"/>
        <v xml:space="preserve"> </v>
      </c>
      <c r="MK17" s="10"/>
      <c r="ML17" s="53">
        <v>338</v>
      </c>
      <c r="MM17" s="55">
        <v>3.9497041420118331</v>
      </c>
      <c r="MN17" s="56">
        <v>6.1002298496568672E-2</v>
      </c>
      <c r="MO17" s="10">
        <f t="shared" si="111"/>
        <v>1.8519870824740807</v>
      </c>
      <c r="MP17" s="10" t="str">
        <f t="shared" si="112"/>
        <v xml:space="preserve"> </v>
      </c>
      <c r="MQ17" s="10"/>
      <c r="MR17" s="54">
        <v>347</v>
      </c>
      <c r="MS17" s="57">
        <v>3.9599662683203571</v>
      </c>
      <c r="MT17" s="58">
        <v>6.0562924271475652E-2</v>
      </c>
      <c r="MU17" s="10">
        <f t="shared" si="113"/>
        <v>1.7579132373090929</v>
      </c>
      <c r="MV17" s="10" t="str">
        <f t="shared" si="114"/>
        <v xml:space="preserve"> </v>
      </c>
      <c r="MW17" s="114">
        <f t="shared" si="115"/>
        <v>0.18289087453678787</v>
      </c>
      <c r="MX17" s="76"/>
      <c r="MY17" s="27">
        <v>164</v>
      </c>
      <c r="MZ17" s="28">
        <v>4.1095678625924705</v>
      </c>
      <c r="NA17" s="29">
        <v>7.8836469483553245E-2</v>
      </c>
      <c r="NB17" s="10"/>
      <c r="NC17" s="42">
        <v>116</v>
      </c>
      <c r="ND17" s="43">
        <v>4.0779132790607919</v>
      </c>
      <c r="NE17" s="67">
        <v>9.9621178620160761E-2</v>
      </c>
      <c r="NF17" s="10">
        <f t="shared" si="116"/>
        <v>0.24916707214266326</v>
      </c>
      <c r="NG17" s="10" t="str">
        <f t="shared" si="117"/>
        <v xml:space="preserve"> </v>
      </c>
      <c r="NH17" s="114">
        <f t="shared" si="118"/>
        <v>3.1654583531678604E-2</v>
      </c>
      <c r="NI17" s="10"/>
      <c r="NJ17" s="42">
        <v>99.770257839999971</v>
      </c>
      <c r="NK17" s="43">
        <v>4.3553055195752721</v>
      </c>
      <c r="NL17" s="67">
        <v>8.2489982361096906E-2</v>
      </c>
      <c r="NM17" s="10">
        <f t="shared" si="119"/>
        <v>-2.1536235334947196</v>
      </c>
      <c r="NN17" s="10" t="str">
        <f t="shared" si="120"/>
        <v>*</v>
      </c>
      <c r="NO17" s="10"/>
      <c r="NP17" s="53">
        <v>166</v>
      </c>
      <c r="NQ17" s="55">
        <v>4.0043262109134288</v>
      </c>
      <c r="NR17" s="56">
        <v>7.2677509479574992E-2</v>
      </c>
      <c r="NS17" s="10">
        <f t="shared" si="121"/>
        <v>0.98150255959984967</v>
      </c>
      <c r="NT17" s="10" t="str">
        <f t="shared" si="122"/>
        <v xml:space="preserve"> </v>
      </c>
      <c r="NU17" s="10"/>
      <c r="NV17" s="54">
        <v>179</v>
      </c>
      <c r="NW17" s="57">
        <v>4.1606139303437093</v>
      </c>
      <c r="NX17" s="58">
        <v>7.5543404490178809E-2</v>
      </c>
      <c r="NY17" s="10">
        <f t="shared" si="123"/>
        <v>-0.46750668680677288</v>
      </c>
      <c r="NZ17" s="10" t="str">
        <f t="shared" si="129"/>
        <v xml:space="preserve"> </v>
      </c>
      <c r="OA17" s="114">
        <f t="shared" si="124"/>
        <v>-5.1046067751238766E-2</v>
      </c>
      <c r="OB17" s="58"/>
    </row>
    <row r="18" spans="1:392" x14ac:dyDescent="0.2">
      <c r="B18" s="65"/>
      <c r="C18" s="27"/>
      <c r="D18" s="28"/>
      <c r="E18" s="29"/>
      <c r="F18" s="10"/>
      <c r="G18" s="42"/>
      <c r="H18" s="43"/>
      <c r="I18" s="67"/>
      <c r="J18" s="10"/>
      <c r="K18" s="10"/>
      <c r="L18" s="114"/>
      <c r="M18" s="10"/>
      <c r="N18" s="42"/>
      <c r="O18" s="43"/>
      <c r="P18" s="67"/>
      <c r="Q18" s="10"/>
      <c r="R18" s="10"/>
      <c r="S18" s="10"/>
      <c r="T18" s="53"/>
      <c r="U18" s="55"/>
      <c r="V18" s="56"/>
      <c r="W18" s="10"/>
      <c r="X18" s="10"/>
      <c r="Y18" s="10"/>
      <c r="Z18" s="54"/>
      <c r="AA18" s="57"/>
      <c r="AB18" s="58"/>
      <c r="AC18" s="10"/>
      <c r="AD18" s="10"/>
      <c r="AE18" s="114"/>
      <c r="AF18" s="76"/>
      <c r="AG18" s="27"/>
      <c r="AH18" s="28"/>
      <c r="AI18" s="29"/>
      <c r="AJ18" s="67"/>
      <c r="AK18" s="42"/>
      <c r="AL18" s="43"/>
      <c r="AM18" s="67"/>
      <c r="AN18" s="10"/>
      <c r="AO18" s="10"/>
      <c r="AP18" s="114"/>
      <c r="AQ18" s="67"/>
      <c r="AR18" s="42"/>
      <c r="AS18" s="43"/>
      <c r="AT18" s="67"/>
      <c r="AU18" s="10"/>
      <c r="AV18" s="10"/>
      <c r="AW18" s="10"/>
      <c r="AX18" s="53"/>
      <c r="AY18" s="55"/>
      <c r="AZ18" s="56"/>
      <c r="BA18" s="10"/>
      <c r="BB18" s="10"/>
      <c r="BC18" s="10"/>
      <c r="BD18" s="54"/>
      <c r="BE18" s="57"/>
      <c r="BF18" s="58"/>
      <c r="BG18" s="10"/>
      <c r="BH18" s="10"/>
      <c r="BI18" s="114"/>
      <c r="BJ18" s="76"/>
      <c r="BK18" s="27"/>
      <c r="BL18" s="28"/>
      <c r="BM18" s="29"/>
      <c r="BN18" s="10"/>
      <c r="BO18" s="42"/>
      <c r="BP18" s="43"/>
      <c r="BQ18" s="67"/>
      <c r="BR18" s="10"/>
      <c r="BS18" s="10"/>
      <c r="BT18" s="114"/>
      <c r="BU18" s="10"/>
      <c r="BV18" s="42"/>
      <c r="BW18" s="43"/>
      <c r="BX18" s="67"/>
      <c r="BY18" s="10"/>
      <c r="BZ18" s="10"/>
      <c r="CA18" s="10"/>
      <c r="CB18" s="53"/>
      <c r="CC18" s="55"/>
      <c r="CD18" s="56"/>
      <c r="CE18" s="10"/>
      <c r="CF18" s="10"/>
      <c r="CG18" s="10"/>
      <c r="CH18" s="54"/>
      <c r="CI18" s="57"/>
      <c r="CJ18" s="58"/>
      <c r="CK18" s="10"/>
      <c r="CL18" s="10"/>
      <c r="CM18" s="114"/>
      <c r="CN18" s="76"/>
      <c r="CO18" s="27"/>
      <c r="CP18" s="28"/>
      <c r="CQ18" s="29"/>
      <c r="CR18" s="67"/>
      <c r="CS18" s="42"/>
      <c r="CT18" s="43"/>
      <c r="CU18" s="67"/>
      <c r="CV18" s="10"/>
      <c r="CW18" s="10"/>
      <c r="CX18" s="114"/>
      <c r="CY18" s="10"/>
      <c r="CZ18" s="42"/>
      <c r="DA18" s="43"/>
      <c r="DB18" s="67"/>
      <c r="DC18" s="10"/>
      <c r="DD18" s="10"/>
      <c r="DE18" s="10"/>
      <c r="DF18" s="53"/>
      <c r="DG18" s="55"/>
      <c r="DH18" s="56"/>
      <c r="DI18" s="10"/>
      <c r="DJ18" s="10"/>
      <c r="DK18" s="10"/>
      <c r="DL18" s="54"/>
      <c r="DM18" s="57"/>
      <c r="DN18" s="58"/>
      <c r="DO18" s="10"/>
      <c r="DP18" s="10"/>
      <c r="DQ18" s="114"/>
      <c r="DR18" s="76"/>
      <c r="DS18" s="27"/>
      <c r="DT18" s="28"/>
      <c r="DU18" s="29"/>
      <c r="DV18" s="10"/>
      <c r="DW18" s="42"/>
      <c r="DX18" s="43"/>
      <c r="DY18" s="67"/>
      <c r="DZ18" s="10"/>
      <c r="EA18" s="10"/>
      <c r="EB18" s="114"/>
      <c r="EC18" s="10"/>
      <c r="ED18" s="42"/>
      <c r="EE18" s="43"/>
      <c r="EF18" s="67"/>
      <c r="EG18" s="10"/>
      <c r="EH18" s="10"/>
      <c r="EI18" s="10"/>
      <c r="EJ18" s="53"/>
      <c r="EK18" s="55"/>
      <c r="EL18" s="56"/>
      <c r="EM18" s="10"/>
      <c r="EN18" s="10"/>
      <c r="EO18" s="10"/>
      <c r="EP18" s="54"/>
      <c r="EQ18" s="57"/>
      <c r="ER18" s="58"/>
      <c r="ES18" s="10"/>
      <c r="ET18" s="10"/>
      <c r="EU18" s="114"/>
      <c r="EV18" s="76"/>
      <c r="EW18" s="27"/>
      <c r="EX18" s="28"/>
      <c r="EY18" s="29"/>
      <c r="EZ18" s="10"/>
      <c r="FA18" s="42"/>
      <c r="FB18" s="43"/>
      <c r="FC18" s="67"/>
      <c r="FD18" s="10"/>
      <c r="FE18" s="10"/>
      <c r="FF18" s="114"/>
      <c r="FG18" s="10"/>
      <c r="FH18" s="42"/>
      <c r="FI18" s="43"/>
      <c r="FJ18" s="67"/>
      <c r="FK18" s="10"/>
      <c r="FL18" s="10"/>
      <c r="FM18" s="10"/>
      <c r="FN18" s="53"/>
      <c r="FO18" s="55"/>
      <c r="FP18" s="56"/>
      <c r="FQ18" s="10"/>
      <c r="FR18" s="10"/>
      <c r="FS18" s="10"/>
      <c r="FT18" s="54"/>
      <c r="FU18" s="57"/>
      <c r="FV18" s="58"/>
      <c r="FW18" s="10"/>
      <c r="FX18" s="10"/>
      <c r="FY18" s="114"/>
      <c r="FZ18" s="76"/>
      <c r="GA18" s="27"/>
      <c r="GB18" s="28"/>
      <c r="GC18" s="29"/>
      <c r="GD18" s="67"/>
      <c r="GE18" s="42"/>
      <c r="GF18" s="43"/>
      <c r="GG18" s="67"/>
      <c r="GH18" s="10"/>
      <c r="GI18" s="10"/>
      <c r="GJ18" s="114"/>
      <c r="GK18" s="67"/>
      <c r="GL18" s="42"/>
      <c r="GM18" s="43"/>
      <c r="GN18" s="67"/>
      <c r="GO18" s="10"/>
      <c r="GP18" s="10"/>
      <c r="GQ18" s="10"/>
      <c r="GR18" s="53"/>
      <c r="GS18" s="55"/>
      <c r="GT18" s="56"/>
      <c r="GU18" s="10"/>
      <c r="GV18" s="10"/>
      <c r="GW18" s="10"/>
      <c r="GX18" s="54"/>
      <c r="GY18" s="57"/>
      <c r="GZ18" s="58"/>
      <c r="HA18" s="10"/>
      <c r="HB18" s="10"/>
      <c r="HC18" s="114"/>
      <c r="HD18" s="76"/>
      <c r="HE18" s="27"/>
      <c r="HF18" s="28"/>
      <c r="HG18" s="29"/>
      <c r="HH18" s="10"/>
      <c r="HI18" s="42"/>
      <c r="HJ18" s="43"/>
      <c r="HK18" s="67"/>
      <c r="HL18" s="10"/>
      <c r="HM18" s="10"/>
      <c r="HN18" s="114"/>
      <c r="HO18" s="10"/>
      <c r="HP18" s="42"/>
      <c r="HQ18" s="43"/>
      <c r="HR18" s="67"/>
      <c r="HS18" s="10"/>
      <c r="HT18" s="10"/>
      <c r="HU18" s="10"/>
      <c r="HV18" s="53"/>
      <c r="HW18" s="55"/>
      <c r="HX18" s="56"/>
      <c r="HY18" s="10"/>
      <c r="HZ18" s="10"/>
      <c r="IA18" s="10"/>
      <c r="IB18" s="54"/>
      <c r="IC18" s="57"/>
      <c r="ID18" s="58"/>
      <c r="IE18" s="10"/>
      <c r="IF18" s="10"/>
      <c r="IG18" s="114"/>
      <c r="IH18" s="76"/>
      <c r="II18" s="27"/>
      <c r="IJ18" s="28"/>
      <c r="IK18" s="29"/>
      <c r="IL18" s="10"/>
      <c r="IM18" s="42"/>
      <c r="IN18" s="43"/>
      <c r="IO18" s="67"/>
      <c r="IP18" s="10"/>
      <c r="IQ18" s="10"/>
      <c r="IR18" s="114"/>
      <c r="IS18" s="10"/>
      <c r="IT18" s="42"/>
      <c r="IU18" s="43"/>
      <c r="IV18" s="67"/>
      <c r="IW18" s="10"/>
      <c r="IX18" s="10"/>
      <c r="IY18" s="10"/>
      <c r="IZ18" s="53"/>
      <c r="JA18" s="55"/>
      <c r="JB18" s="56"/>
      <c r="JC18" s="10"/>
      <c r="JD18" s="10"/>
      <c r="JE18" s="10"/>
      <c r="JF18" s="54"/>
      <c r="JG18" s="57"/>
      <c r="JH18" s="58"/>
      <c r="JI18" s="10"/>
      <c r="JJ18" s="10"/>
      <c r="JK18" s="114"/>
      <c r="JL18" s="76"/>
      <c r="JM18" s="27"/>
      <c r="JN18" s="28"/>
      <c r="JO18" s="29"/>
      <c r="JP18" s="10"/>
      <c r="JQ18" s="42"/>
      <c r="JR18" s="43"/>
      <c r="JS18" s="67"/>
      <c r="JT18" s="10"/>
      <c r="JU18" s="10"/>
      <c r="JV18" s="114"/>
      <c r="JW18" s="10"/>
      <c r="JX18" s="42"/>
      <c r="JY18" s="43"/>
      <c r="JZ18" s="67"/>
      <c r="KA18" s="10"/>
      <c r="KB18" s="10"/>
      <c r="KC18" s="10"/>
      <c r="KD18" s="53"/>
      <c r="KE18" s="55"/>
      <c r="KF18" s="56"/>
      <c r="KG18" s="10"/>
      <c r="KH18" s="10"/>
      <c r="KI18" s="10"/>
      <c r="KJ18" s="54"/>
      <c r="KK18" s="57"/>
      <c r="KL18" s="58"/>
      <c r="KM18" s="10"/>
      <c r="KN18" s="10"/>
      <c r="KO18" s="114"/>
      <c r="KP18" s="76"/>
      <c r="KQ18" s="27"/>
      <c r="KR18" s="28"/>
      <c r="KS18" s="29"/>
      <c r="KT18" s="10"/>
      <c r="KU18" s="42"/>
      <c r="KV18" s="43"/>
      <c r="KW18" s="67"/>
      <c r="KX18" s="10"/>
      <c r="KY18" s="10"/>
      <c r="KZ18" s="114"/>
      <c r="LA18" s="10"/>
      <c r="LB18" s="42"/>
      <c r="LC18" s="43"/>
      <c r="LD18" s="67"/>
      <c r="LE18" s="10"/>
      <c r="LF18" s="10"/>
      <c r="LG18" s="10"/>
      <c r="LH18" s="53"/>
      <c r="LI18" s="55"/>
      <c r="LJ18" s="56"/>
      <c r="LK18" s="10"/>
      <c r="LL18" s="10"/>
      <c r="LM18" s="10"/>
      <c r="LN18" s="54"/>
      <c r="LO18" s="57"/>
      <c r="LP18" s="58"/>
      <c r="LQ18" s="10"/>
      <c r="LR18" s="10"/>
      <c r="LS18" s="114"/>
      <c r="LT18" s="76"/>
      <c r="LU18" s="27"/>
      <c r="LV18" s="28"/>
      <c r="LW18" s="29"/>
      <c r="LX18" s="10"/>
      <c r="LY18" s="42"/>
      <c r="LZ18" s="43"/>
      <c r="MA18" s="67"/>
      <c r="MB18" s="10"/>
      <c r="MC18" s="10"/>
      <c r="MD18" s="114"/>
      <c r="ME18" s="10"/>
      <c r="MF18" s="42"/>
      <c r="MG18" s="43"/>
      <c r="MH18" s="67"/>
      <c r="MI18" s="10"/>
      <c r="MJ18" s="10"/>
      <c r="MK18" s="10"/>
      <c r="ML18" s="53"/>
      <c r="MM18" s="55"/>
      <c r="MN18" s="56"/>
      <c r="MO18" s="10"/>
      <c r="MP18" s="10"/>
      <c r="MQ18" s="10"/>
      <c r="MR18" s="54"/>
      <c r="MS18" s="57"/>
      <c r="MT18" s="58"/>
      <c r="MU18" s="10"/>
      <c r="MV18" s="10"/>
      <c r="MW18" s="114"/>
      <c r="MX18" s="76"/>
      <c r="MY18" s="27"/>
      <c r="MZ18" s="28"/>
      <c r="NA18" s="29"/>
      <c r="NB18" s="10"/>
      <c r="NC18" s="42"/>
      <c r="ND18" s="43"/>
      <c r="NE18" s="67"/>
      <c r="NF18" s="10"/>
      <c r="NG18" s="10"/>
      <c r="NH18" s="114"/>
      <c r="NI18" s="10"/>
      <c r="NJ18" s="42"/>
      <c r="NK18" s="43"/>
      <c r="NL18" s="67"/>
      <c r="NM18" s="10"/>
      <c r="NN18" s="10"/>
      <c r="NO18" s="10"/>
      <c r="NP18" s="53"/>
      <c r="NQ18" s="55"/>
      <c r="NR18" s="56"/>
      <c r="NS18" s="10"/>
      <c r="NT18" s="10"/>
      <c r="NU18" s="10"/>
      <c r="NV18" s="54"/>
      <c r="NW18" s="57"/>
      <c r="NX18" s="58"/>
      <c r="NY18" s="10"/>
      <c r="NZ18" s="10"/>
      <c r="OA18" s="114"/>
      <c r="OB18" s="58"/>
    </row>
    <row r="19" spans="1:392" x14ac:dyDescent="0.2">
      <c r="A19" s="73"/>
      <c r="B19" s="65" t="s">
        <v>18</v>
      </c>
      <c r="C19" s="27">
        <v>421</v>
      </c>
      <c r="D19" s="28">
        <v>3.952644402489367</v>
      </c>
      <c r="E19" s="29">
        <v>5.0898644092719214E-2</v>
      </c>
      <c r="F19" s="10"/>
      <c r="G19" s="42">
        <v>128</v>
      </c>
      <c r="H19" s="43">
        <v>3.6486159946270318</v>
      </c>
      <c r="I19" s="67">
        <v>0.11320230511299428</v>
      </c>
      <c r="J19" s="10">
        <f t="shared" si="1"/>
        <v>2.4494986159490981</v>
      </c>
      <c r="K19" s="10" t="str">
        <f t="shared" si="2"/>
        <v>*</v>
      </c>
      <c r="L19" s="114">
        <f t="shared" si="3"/>
        <v>0.3040284078623352</v>
      </c>
      <c r="M19" s="10"/>
      <c r="N19" s="42">
        <v>72.781739100000053</v>
      </c>
      <c r="O19" s="43">
        <v>3.785714285714286</v>
      </c>
      <c r="P19" s="67">
        <v>0.11784936749809126</v>
      </c>
      <c r="Q19" s="10">
        <f t="shared" si="4"/>
        <v>1.3003712362520554</v>
      </c>
      <c r="R19" s="10" t="str">
        <f t="shared" si="5"/>
        <v xml:space="preserve"> </v>
      </c>
      <c r="S19" s="10"/>
      <c r="T19" s="53">
        <v>131</v>
      </c>
      <c r="U19" s="55">
        <v>3.5267175572519087</v>
      </c>
      <c r="V19" s="56">
        <v>9.4663004043004442E-2</v>
      </c>
      <c r="W19" s="10">
        <f t="shared" si="6"/>
        <v>3.9628807543667879</v>
      </c>
      <c r="X19" s="10" t="str">
        <f t="shared" si="7"/>
        <v>*</v>
      </c>
      <c r="Y19" s="10"/>
      <c r="Z19" s="54">
        <v>211</v>
      </c>
      <c r="AA19" s="57">
        <v>3.0473933649289084</v>
      </c>
      <c r="AB19" s="58">
        <v>7.4827922961672969E-2</v>
      </c>
      <c r="AC19" s="10">
        <f t="shared" si="8"/>
        <v>10.00299372200605</v>
      </c>
      <c r="AD19" s="10" t="str">
        <f t="shared" si="9"/>
        <v>*</v>
      </c>
      <c r="AE19" s="114">
        <f t="shared" si="10"/>
        <v>0.90525103756045855</v>
      </c>
      <c r="AF19" s="76"/>
      <c r="AG19" s="27">
        <v>92</v>
      </c>
      <c r="AH19" s="28">
        <v>3.9043554166903691</v>
      </c>
      <c r="AI19" s="29">
        <v>0.10199101982989991</v>
      </c>
      <c r="AJ19" s="67"/>
      <c r="AK19" s="42">
        <v>46</v>
      </c>
      <c r="AL19" s="43">
        <v>4.0437912977782489</v>
      </c>
      <c r="AM19" s="67">
        <v>0.17504316516057311</v>
      </c>
      <c r="AN19" s="10">
        <f t="shared" si="11"/>
        <v>-0.68826996415609831</v>
      </c>
      <c r="AO19" s="10" t="str">
        <f t="shared" si="12"/>
        <v xml:space="preserve"> </v>
      </c>
      <c r="AP19" s="114">
        <f t="shared" si="13"/>
        <v>-0.13943588108787974</v>
      </c>
      <c r="AQ19" s="67"/>
      <c r="AR19" s="42">
        <v>36.304101420000002</v>
      </c>
      <c r="AS19" s="43">
        <v>4.1578947368421053</v>
      </c>
      <c r="AT19" s="67">
        <v>0.16619010023131434</v>
      </c>
      <c r="AU19" s="10">
        <f t="shared" si="14"/>
        <v>-1.3002646041605987</v>
      </c>
      <c r="AV19" s="10" t="str">
        <f t="shared" si="15"/>
        <v xml:space="preserve"> </v>
      </c>
      <c r="AW19" s="10"/>
      <c r="AX19" s="53">
        <v>67</v>
      </c>
      <c r="AY19" s="55">
        <v>3.5652298729249265</v>
      </c>
      <c r="AZ19" s="56">
        <v>0.16260699336941895</v>
      </c>
      <c r="BA19" s="10">
        <f t="shared" si="16"/>
        <v>1.7667773259174007</v>
      </c>
      <c r="BB19" s="10" t="str">
        <f t="shared" si="17"/>
        <v xml:space="preserve"> </v>
      </c>
      <c r="BC19" s="10"/>
      <c r="BD19" s="54">
        <v>25</v>
      </c>
      <c r="BE19" s="57">
        <v>2.9204757745444039</v>
      </c>
      <c r="BF19" s="58">
        <v>0.22463107361439036</v>
      </c>
      <c r="BG19" s="10" t="str">
        <f t="shared" si="18"/>
        <v>NV</v>
      </c>
      <c r="BH19" s="10" t="str">
        <f t="shared" si="19"/>
        <v xml:space="preserve"> </v>
      </c>
      <c r="BI19" s="114">
        <f t="shared" si="20"/>
        <v>0.98387964214596524</v>
      </c>
      <c r="BJ19" s="76"/>
      <c r="BK19" s="27">
        <v>1018</v>
      </c>
      <c r="BL19" s="28">
        <v>3.882201630426231</v>
      </c>
      <c r="BM19" s="29">
        <v>3.4891803944564988E-2</v>
      </c>
      <c r="BN19" s="10"/>
      <c r="BO19" s="42">
        <v>296</v>
      </c>
      <c r="BP19" s="43">
        <v>3.8474719717906236</v>
      </c>
      <c r="BQ19" s="67">
        <v>6.5866143494315368E-2</v>
      </c>
      <c r="BR19" s="10">
        <f t="shared" si="21"/>
        <v>0.46593756654307528</v>
      </c>
      <c r="BS19" s="10" t="str">
        <f t="shared" si="22"/>
        <v xml:space="preserve"> </v>
      </c>
      <c r="BT19" s="114">
        <f t="shared" si="23"/>
        <v>3.4729658635607397E-2</v>
      </c>
      <c r="BU19" s="10"/>
      <c r="BV19" s="42">
        <v>79.581027420000055</v>
      </c>
      <c r="BW19" s="43">
        <v>3.6546616559125602</v>
      </c>
      <c r="BX19" s="67">
        <v>0.1303334915158412</v>
      </c>
      <c r="BY19" s="10">
        <f t="shared" si="24"/>
        <v>1.6864412878242252</v>
      </c>
      <c r="BZ19" s="10" t="str">
        <f t="shared" si="25"/>
        <v xml:space="preserve"> </v>
      </c>
      <c r="CA19" s="10"/>
      <c r="CB19" s="53">
        <v>181</v>
      </c>
      <c r="CC19" s="55">
        <v>2.5918618069661497</v>
      </c>
      <c r="CD19" s="56">
        <v>5.5920034149423155E-2</v>
      </c>
      <c r="CE19" s="10">
        <f t="shared" si="26"/>
        <v>19.576488334485852</v>
      </c>
      <c r="CF19" s="10" t="str">
        <f t="shared" si="27"/>
        <v>*</v>
      </c>
      <c r="CG19" s="10"/>
      <c r="CH19" s="54">
        <v>295</v>
      </c>
      <c r="CI19" s="57">
        <v>3.3019524103038362</v>
      </c>
      <c r="CJ19" s="58">
        <v>7.0946492583546683E-2</v>
      </c>
      <c r="CK19" s="10">
        <f t="shared" si="28"/>
        <v>7.339141771332776</v>
      </c>
      <c r="CL19" s="10" t="str">
        <f t="shared" si="29"/>
        <v>*</v>
      </c>
      <c r="CM19" s="114">
        <f t="shared" si="30"/>
        <v>0.58024922012239477</v>
      </c>
      <c r="CN19" s="76"/>
      <c r="CO19" s="27">
        <v>567</v>
      </c>
      <c r="CP19" s="28">
        <v>3.9493353911584701</v>
      </c>
      <c r="CQ19" s="29">
        <v>4.6285511077764414E-2</v>
      </c>
      <c r="CR19" s="67"/>
      <c r="CS19" s="42">
        <v>175</v>
      </c>
      <c r="CT19" s="43">
        <v>3.9485336213834938</v>
      </c>
      <c r="CU19" s="67">
        <v>8.228678392582929E-2</v>
      </c>
      <c r="CV19" s="10">
        <f t="shared" si="31"/>
        <v>8.4923217270132054E-3</v>
      </c>
      <c r="CW19" s="10" t="str">
        <f t="shared" si="32"/>
        <v xml:space="preserve"> </v>
      </c>
      <c r="CX19" s="114">
        <f t="shared" si="33"/>
        <v>8.0176977497625757E-4</v>
      </c>
      <c r="CY19" s="10"/>
      <c r="CZ19" s="42">
        <v>166.82754602999978</v>
      </c>
      <c r="DA19" s="43">
        <v>3.9907332607426707</v>
      </c>
      <c r="DB19" s="67">
        <v>8.1432076869933118E-2</v>
      </c>
      <c r="DC19" s="10">
        <f t="shared" si="34"/>
        <v>-0.44196794066445716</v>
      </c>
      <c r="DD19" s="10" t="str">
        <f t="shared" si="35"/>
        <v xml:space="preserve"> </v>
      </c>
      <c r="DE19" s="10"/>
      <c r="DF19" s="53">
        <v>170</v>
      </c>
      <c r="DG19" s="55">
        <v>4.0177889181244852</v>
      </c>
      <c r="DH19" s="56">
        <v>8.4954269356128514E-2</v>
      </c>
      <c r="DI19" s="10">
        <f t="shared" si="36"/>
        <v>-0.7075672645715656</v>
      </c>
      <c r="DJ19" s="10" t="str">
        <f t="shared" si="0"/>
        <v xml:space="preserve"> </v>
      </c>
      <c r="DK19" s="10"/>
      <c r="DL19" s="54">
        <v>167</v>
      </c>
      <c r="DM19" s="57">
        <v>3.5841463051216209</v>
      </c>
      <c r="DN19" s="58">
        <v>9.1177690398928993E-2</v>
      </c>
      <c r="DO19" s="10">
        <f t="shared" si="37"/>
        <v>3.5714191461110647</v>
      </c>
      <c r="DP19" s="10" t="str">
        <f t="shared" si="38"/>
        <v>*</v>
      </c>
      <c r="DQ19" s="114">
        <f t="shared" si="39"/>
        <v>0.36518908603684919</v>
      </c>
      <c r="DR19" s="76"/>
      <c r="DS19" s="27">
        <v>199</v>
      </c>
      <c r="DT19" s="28">
        <v>4.0653055696095137</v>
      </c>
      <c r="DU19" s="29">
        <v>6.9055620724688099E-2</v>
      </c>
      <c r="DV19" s="10"/>
      <c r="DW19" s="42">
        <v>77</v>
      </c>
      <c r="DX19" s="43">
        <v>3.7030307035943353</v>
      </c>
      <c r="DY19" s="67">
        <v>0.13858903435855441</v>
      </c>
      <c r="DZ19" s="10">
        <f t="shared" si="40"/>
        <v>2.3396638753952357</v>
      </c>
      <c r="EA19" s="10" t="str">
        <f t="shared" si="41"/>
        <v>*</v>
      </c>
      <c r="EB19" s="114">
        <f t="shared" si="42"/>
        <v>0.36227486601517844</v>
      </c>
      <c r="EC19" s="10"/>
      <c r="ED19" s="42">
        <v>70.111684560000043</v>
      </c>
      <c r="EE19" s="43">
        <v>3.5907835388629552</v>
      </c>
      <c r="EF19" s="67">
        <v>0.13358718120477028</v>
      </c>
      <c r="EG19" s="10">
        <f t="shared" si="43"/>
        <v>3.1554814689192812</v>
      </c>
      <c r="EH19" s="10" t="str">
        <f t="shared" si="44"/>
        <v>*</v>
      </c>
      <c r="EI19" s="10"/>
      <c r="EJ19" s="53">
        <v>66</v>
      </c>
      <c r="EK19" s="55">
        <v>3.5075954428367884</v>
      </c>
      <c r="EL19" s="56">
        <v>0.13242397649850352</v>
      </c>
      <c r="EM19" s="10">
        <f t="shared" si="45"/>
        <v>3.7343023464008254</v>
      </c>
      <c r="EN19" s="10" t="str">
        <f t="shared" si="46"/>
        <v>*</v>
      </c>
      <c r="EO19" s="10"/>
      <c r="EP19" s="54">
        <v>57</v>
      </c>
      <c r="EQ19" s="57">
        <v>4</v>
      </c>
      <c r="ER19" s="58">
        <v>0.10973865906478568</v>
      </c>
      <c r="ES19" s="10">
        <f t="shared" si="47"/>
        <v>0.50367476454015325</v>
      </c>
      <c r="ET19" s="10" t="str">
        <f t="shared" si="48"/>
        <v xml:space="preserve"> </v>
      </c>
      <c r="EU19" s="114">
        <f t="shared" si="49"/>
        <v>6.5305569609513725E-2</v>
      </c>
      <c r="EV19" s="76"/>
      <c r="EW19" s="27">
        <v>416</v>
      </c>
      <c r="EX19" s="28">
        <v>3.9765123217624971</v>
      </c>
      <c r="EY19" s="29">
        <v>5.0570507197901973E-2</v>
      </c>
      <c r="EZ19" s="10"/>
      <c r="FA19" s="42">
        <v>135</v>
      </c>
      <c r="FB19" s="43">
        <v>4.0214828199250281</v>
      </c>
      <c r="FC19" s="67">
        <v>9.0088195382114378E-2</v>
      </c>
      <c r="FD19" s="10">
        <f t="shared" si="50"/>
        <v>-0.43529048238446549</v>
      </c>
      <c r="FE19" s="10" t="str">
        <f t="shared" si="51"/>
        <v xml:space="preserve"> </v>
      </c>
      <c r="FF19" s="114">
        <f t="shared" si="52"/>
        <v>-4.4970498162530959E-2</v>
      </c>
      <c r="FG19" s="10"/>
      <c r="FH19" s="42">
        <v>86.829478590000036</v>
      </c>
      <c r="FI19" s="43">
        <v>3.5812349976015216</v>
      </c>
      <c r="FJ19" s="67">
        <v>0.13661869613327204</v>
      </c>
      <c r="FK19" s="10">
        <f t="shared" si="53"/>
        <v>2.7133654594090943</v>
      </c>
      <c r="FL19" s="10" t="str">
        <f t="shared" si="54"/>
        <v>*</v>
      </c>
      <c r="FM19" s="10"/>
      <c r="FN19" s="53">
        <v>127</v>
      </c>
      <c r="FO19" s="55">
        <v>3.8467756285899135</v>
      </c>
      <c r="FP19" s="56">
        <v>9.5152466267217378E-2</v>
      </c>
      <c r="FQ19" s="10">
        <f t="shared" si="55"/>
        <v>1.2039851455642834</v>
      </c>
      <c r="FR19" s="10" t="str">
        <f t="shared" si="56"/>
        <v xml:space="preserve"> </v>
      </c>
      <c r="FS19" s="10"/>
      <c r="FT19" s="54">
        <v>152</v>
      </c>
      <c r="FU19" s="57">
        <v>2.9548463506103615</v>
      </c>
      <c r="FV19" s="58">
        <v>8.8668664733650954E-2</v>
      </c>
      <c r="FW19" s="10">
        <f t="shared" si="57"/>
        <v>10.008876164074794</v>
      </c>
      <c r="FX19" s="10" t="str">
        <f t="shared" si="125"/>
        <v>*</v>
      </c>
      <c r="FY19" s="114">
        <f t="shared" si="58"/>
        <v>1.0216659711521356</v>
      </c>
      <c r="FZ19" s="76"/>
      <c r="GA19" s="27">
        <v>190</v>
      </c>
      <c r="GB19" s="28">
        <v>4.1130615695820971</v>
      </c>
      <c r="GC19" s="29">
        <v>7.435971724021978E-2</v>
      </c>
      <c r="GD19" s="67"/>
      <c r="GE19" s="42">
        <v>134</v>
      </c>
      <c r="GF19" s="43">
        <v>4.053601161515398</v>
      </c>
      <c r="GG19" s="67">
        <v>9.166766219140654E-2</v>
      </c>
      <c r="GH19" s="10">
        <f t="shared" si="59"/>
        <v>0.5037511409108355</v>
      </c>
      <c r="GI19" s="10" t="str">
        <f t="shared" si="60"/>
        <v xml:space="preserve"> </v>
      </c>
      <c r="GJ19" s="114">
        <f t="shared" si="61"/>
        <v>5.9460408066699166E-2</v>
      </c>
      <c r="GK19" s="67"/>
      <c r="GL19" s="42">
        <v>159.10977408000008</v>
      </c>
      <c r="GM19" s="43">
        <v>4.0579992088692141</v>
      </c>
      <c r="GN19" s="67">
        <v>8.7035398559918639E-2</v>
      </c>
      <c r="GO19" s="10">
        <f t="shared" si="62"/>
        <v>0.48099895529173986</v>
      </c>
      <c r="GP19" s="10" t="str">
        <f t="shared" si="63"/>
        <v xml:space="preserve"> </v>
      </c>
      <c r="GQ19" s="10"/>
      <c r="GR19" s="53">
        <v>160</v>
      </c>
      <c r="GS19" s="55">
        <v>3.8668570833211171</v>
      </c>
      <c r="GT19" s="56">
        <v>9.1455976994954918E-2</v>
      </c>
      <c r="GU19" s="10">
        <f t="shared" si="64"/>
        <v>2.0887628783764969</v>
      </c>
      <c r="GV19" s="10" t="str">
        <f t="shared" si="65"/>
        <v>*</v>
      </c>
      <c r="GW19" s="10"/>
      <c r="GX19" s="54">
        <v>155</v>
      </c>
      <c r="GY19" s="57">
        <v>3.9033095392718131</v>
      </c>
      <c r="GZ19" s="58">
        <v>8.340681324870447E-2</v>
      </c>
      <c r="HA19" s="10">
        <f t="shared" si="66"/>
        <v>1.8771258662917432</v>
      </c>
      <c r="HB19" s="10" t="str">
        <f t="shared" si="126"/>
        <v xml:space="preserve"> </v>
      </c>
      <c r="HC19" s="114">
        <f t="shared" si="67"/>
        <v>0.209752030310284</v>
      </c>
      <c r="HD19" s="76"/>
      <c r="HE19" s="27">
        <v>206</v>
      </c>
      <c r="HF19" s="28">
        <v>3.931637247522072</v>
      </c>
      <c r="HG19" s="29">
        <v>7.9204151618917584E-2</v>
      </c>
      <c r="HH19" s="10"/>
      <c r="HI19" s="42">
        <v>121</v>
      </c>
      <c r="HJ19" s="43">
        <v>3.8403053855870244</v>
      </c>
      <c r="HK19" s="67">
        <v>0.11611414155455102</v>
      </c>
      <c r="HL19" s="10">
        <f t="shared" si="68"/>
        <v>0.64979309860587375</v>
      </c>
      <c r="HM19" s="10" t="str">
        <f t="shared" si="69"/>
        <v xml:space="preserve"> </v>
      </c>
      <c r="HN19" s="114">
        <f t="shared" si="70"/>
        <v>9.1331861935047609E-2</v>
      </c>
      <c r="HO19" s="10"/>
      <c r="HP19" s="42">
        <v>115.7193620299999</v>
      </c>
      <c r="HQ19" s="43">
        <v>4.0012897293709688</v>
      </c>
      <c r="HR19" s="67">
        <v>0.112079995783368</v>
      </c>
      <c r="HS19" s="10">
        <f t="shared" si="71"/>
        <v>-0.50751772149912555</v>
      </c>
      <c r="HT19" s="10" t="str">
        <f t="shared" si="72"/>
        <v xml:space="preserve"> </v>
      </c>
      <c r="HU19" s="10"/>
      <c r="HV19" s="53">
        <v>81</v>
      </c>
      <c r="HW19" s="55">
        <v>4.2347087228346316</v>
      </c>
      <c r="HX19" s="56">
        <v>9.0322995924481342E-2</v>
      </c>
      <c r="HY19" s="10">
        <f t="shared" si="73"/>
        <v>-2.5228341776690053</v>
      </c>
      <c r="HZ19" s="10" t="str">
        <f t="shared" si="74"/>
        <v>*</v>
      </c>
      <c r="IA19" s="10"/>
      <c r="IB19" s="54">
        <v>136</v>
      </c>
      <c r="IC19" s="57">
        <v>4.1259484068114833</v>
      </c>
      <c r="ID19" s="58">
        <v>8.7578107098202254E-2</v>
      </c>
      <c r="IE19" s="10">
        <f t="shared" si="75"/>
        <v>-1.6455692540046212</v>
      </c>
      <c r="IF19" s="10" t="str">
        <f t="shared" si="127"/>
        <v xml:space="preserve"> </v>
      </c>
      <c r="IG19" s="114">
        <f t="shared" si="76"/>
        <v>-0.19431115928941134</v>
      </c>
      <c r="IH19" s="76"/>
      <c r="II19" s="27">
        <v>427</v>
      </c>
      <c r="IJ19" s="28">
        <v>3.7748502721237736</v>
      </c>
      <c r="IK19" s="29">
        <v>5.8551583894866428E-2</v>
      </c>
      <c r="IL19" s="10"/>
      <c r="IM19" s="42">
        <v>284</v>
      </c>
      <c r="IN19" s="43">
        <v>3.7620514755163419</v>
      </c>
      <c r="IO19" s="67">
        <v>7.2781883298095415E-2</v>
      </c>
      <c r="IP19" s="10">
        <f t="shared" si="77"/>
        <v>0.13701692359234191</v>
      </c>
      <c r="IQ19" s="10" t="str">
        <f t="shared" si="78"/>
        <v xml:space="preserve"> </v>
      </c>
      <c r="IR19" s="114">
        <f t="shared" si="79"/>
        <v>1.2798796607431662E-2</v>
      </c>
      <c r="IS19" s="10"/>
      <c r="IT19" s="42">
        <v>319.26201899000085</v>
      </c>
      <c r="IU19" s="43">
        <v>3.7469973074607101</v>
      </c>
      <c r="IV19" s="67">
        <v>6.5827051073528695E-2</v>
      </c>
      <c r="IW19" s="10">
        <f t="shared" si="80"/>
        <v>0.31615417068939444</v>
      </c>
      <c r="IX19" s="10" t="str">
        <f t="shared" si="81"/>
        <v xml:space="preserve"> </v>
      </c>
      <c r="IY19" s="10"/>
      <c r="IZ19" s="53">
        <v>298</v>
      </c>
      <c r="JA19" s="55">
        <v>3.8599602438042435</v>
      </c>
      <c r="JB19" s="56">
        <v>6.5810906811700279E-2</v>
      </c>
      <c r="JC19" s="10">
        <f t="shared" si="82"/>
        <v>-0.96620081420260429</v>
      </c>
      <c r="JD19" s="10" t="str">
        <f t="shared" si="83"/>
        <v xml:space="preserve"> </v>
      </c>
      <c r="JE19" s="10"/>
      <c r="JF19" s="54">
        <v>337</v>
      </c>
      <c r="JG19" s="57">
        <v>3.8975056687092775</v>
      </c>
      <c r="JH19" s="58">
        <v>6.0003068253392224E-2</v>
      </c>
      <c r="JI19" s="10">
        <f t="shared" si="84"/>
        <v>-1.4630208363317154</v>
      </c>
      <c r="JJ19" s="10" t="str">
        <f t="shared" si="85"/>
        <v xml:space="preserve"> </v>
      </c>
      <c r="JK19" s="114">
        <f t="shared" si="86"/>
        <v>-0.12265539658550395</v>
      </c>
      <c r="JL19" s="76"/>
      <c r="JM19" s="27">
        <v>39</v>
      </c>
      <c r="JN19" s="28">
        <v>4.4871794871794881</v>
      </c>
      <c r="JO19" s="29">
        <v>0.12662916358723955</v>
      </c>
      <c r="JP19" s="10"/>
      <c r="JQ19" s="42">
        <v>26</v>
      </c>
      <c r="JR19" s="43">
        <v>4.4607250757076615</v>
      </c>
      <c r="JS19" s="67">
        <v>0.17751613896626822</v>
      </c>
      <c r="JT19" s="10" t="str">
        <f t="shared" si="87"/>
        <v>NV</v>
      </c>
      <c r="JU19" s="10" t="str">
        <f t="shared" si="88"/>
        <v xml:space="preserve"> </v>
      </c>
      <c r="JV19" s="114">
        <f t="shared" si="89"/>
        <v>2.6454411471826589E-2</v>
      </c>
      <c r="JW19" s="10"/>
      <c r="JX19" s="42">
        <v>28.713462310000004</v>
      </c>
      <c r="JY19" s="43">
        <v>4.4137931034482749</v>
      </c>
      <c r="JZ19" s="67">
        <v>0.1538955803229429</v>
      </c>
      <c r="KA19" s="10" t="str">
        <f t="shared" si="90"/>
        <v>NV</v>
      </c>
      <c r="KB19" s="10" t="str">
        <f t="shared" si="91"/>
        <v xml:space="preserve"> </v>
      </c>
      <c r="KC19" s="10"/>
      <c r="KD19" s="53">
        <v>24</v>
      </c>
      <c r="KE19" s="55">
        <v>4.708333333333333</v>
      </c>
      <c r="KF19" s="56">
        <v>0.1289417500326708</v>
      </c>
      <c r="KG19" s="10" t="str">
        <f t="shared" si="92"/>
        <v>NV</v>
      </c>
      <c r="KH19" s="10" t="str">
        <f t="shared" si="93"/>
        <v xml:space="preserve"> </v>
      </c>
      <c r="KI19" s="10"/>
      <c r="KJ19" s="54">
        <v>37</v>
      </c>
      <c r="KK19" s="57">
        <v>4.2162162162162167</v>
      </c>
      <c r="KL19" s="58">
        <v>0.18867778488583603</v>
      </c>
      <c r="KM19" s="10">
        <f t="shared" si="94"/>
        <v>1.1924535835883969</v>
      </c>
      <c r="KN19" s="10" t="str">
        <f t="shared" si="95"/>
        <v xml:space="preserve"> </v>
      </c>
      <c r="KO19" s="114">
        <f t="shared" si="96"/>
        <v>0.27096327096327144</v>
      </c>
      <c r="KP19" s="76"/>
      <c r="KQ19" s="27">
        <v>446</v>
      </c>
      <c r="KR19" s="28">
        <v>3.9774398954609183</v>
      </c>
      <c r="KS19" s="29">
        <v>5.2238269977748428E-2</v>
      </c>
      <c r="KT19" s="10"/>
      <c r="KU19" s="42">
        <v>258</v>
      </c>
      <c r="KV19" s="43">
        <v>3.9341864716464565</v>
      </c>
      <c r="KW19" s="67">
        <v>7.1433038547692354E-2</v>
      </c>
      <c r="KX19" s="10">
        <f t="shared" si="97"/>
        <v>0.48876215966395098</v>
      </c>
      <c r="KY19" s="10" t="str">
        <f t="shared" si="98"/>
        <v xml:space="preserve"> </v>
      </c>
      <c r="KZ19" s="114">
        <f t="shared" si="99"/>
        <v>4.3253423814461733E-2</v>
      </c>
      <c r="LA19" s="10"/>
      <c r="LB19" s="42">
        <v>297.01263687999972</v>
      </c>
      <c r="LC19" s="43">
        <v>4.3315085904233088</v>
      </c>
      <c r="LD19" s="67">
        <v>4.9129634631746431E-2</v>
      </c>
      <c r="LE19" s="10">
        <f t="shared" si="100"/>
        <v>-4.9373957323830222</v>
      </c>
      <c r="LF19" s="10" t="str">
        <f t="shared" si="101"/>
        <v>*</v>
      </c>
      <c r="LG19" s="10"/>
      <c r="LH19" s="53">
        <v>572</v>
      </c>
      <c r="LI19" s="55">
        <v>4.0071452347579468</v>
      </c>
      <c r="LJ19" s="56">
        <v>4.4081039661917072E-2</v>
      </c>
      <c r="LK19" s="10">
        <f t="shared" si="102"/>
        <v>-0.43459454069362075</v>
      </c>
      <c r="LL19" s="10" t="str">
        <f t="shared" si="103"/>
        <v xml:space="preserve"> </v>
      </c>
      <c r="LM19" s="10"/>
      <c r="LN19" s="54">
        <v>562</v>
      </c>
      <c r="LO19" s="57">
        <v>4.0069039311898864</v>
      </c>
      <c r="LP19" s="58">
        <v>4.4184971326417043E-2</v>
      </c>
      <c r="LQ19" s="10">
        <f t="shared" si="104"/>
        <v>-0.43064164060745913</v>
      </c>
      <c r="LR19" s="10" t="str">
        <f t="shared" si="128"/>
        <v xml:space="preserve"> </v>
      </c>
      <c r="LS19" s="114">
        <f t="shared" si="105"/>
        <v>-2.9464035728968163E-2</v>
      </c>
      <c r="LT19" s="76"/>
      <c r="LU19" s="27">
        <v>126</v>
      </c>
      <c r="LV19" s="28">
        <v>4.190476190476188</v>
      </c>
      <c r="LW19" s="29">
        <v>8.2623002830560857E-2</v>
      </c>
      <c r="LX19" s="10"/>
      <c r="LY19" s="42">
        <v>133</v>
      </c>
      <c r="LZ19" s="43">
        <v>4.1503171559356273</v>
      </c>
      <c r="MA19" s="67">
        <v>9.0861851018181103E-2</v>
      </c>
      <c r="MB19" s="10">
        <f t="shared" si="106"/>
        <v>0.32699981706413905</v>
      </c>
      <c r="MC19" s="10" t="str">
        <f t="shared" si="107"/>
        <v xml:space="preserve"> </v>
      </c>
      <c r="MD19" s="114">
        <f t="shared" si="108"/>
        <v>4.015903454056069E-2</v>
      </c>
      <c r="ME19" s="10"/>
      <c r="MF19" s="42">
        <v>160.71723903999984</v>
      </c>
      <c r="MG19" s="43">
        <v>4.1806362549743339</v>
      </c>
      <c r="MH19" s="67">
        <v>6.8041178552055687E-2</v>
      </c>
      <c r="MI19" s="10">
        <f t="shared" si="109"/>
        <v>9.1933261482500486E-2</v>
      </c>
      <c r="MJ19" s="10" t="str">
        <f t="shared" si="110"/>
        <v xml:space="preserve"> </v>
      </c>
      <c r="MK19" s="10"/>
      <c r="ML19" s="53">
        <v>330</v>
      </c>
      <c r="MM19" s="55">
        <v>3.8484848484848468</v>
      </c>
      <c r="MN19" s="56">
        <v>6.1286049808988489E-2</v>
      </c>
      <c r="MO19" s="10">
        <f t="shared" si="111"/>
        <v>3.324452574465699</v>
      </c>
      <c r="MP19" s="10" t="str">
        <f t="shared" si="112"/>
        <v>*</v>
      </c>
      <c r="MQ19" s="10"/>
      <c r="MR19" s="54">
        <v>325</v>
      </c>
      <c r="MS19" s="57">
        <v>4.0525540694523583</v>
      </c>
      <c r="MT19" s="58">
        <v>5.8548819546661343E-2</v>
      </c>
      <c r="MU19" s="10">
        <f t="shared" si="113"/>
        <v>1.3619970157565426</v>
      </c>
      <c r="MV19" s="10" t="str">
        <f t="shared" si="114"/>
        <v xml:space="preserve"> </v>
      </c>
      <c r="MW19" s="114">
        <f t="shared" si="115"/>
        <v>0.13792212102382972</v>
      </c>
      <c r="MX19" s="76"/>
      <c r="MY19" s="27">
        <v>152</v>
      </c>
      <c r="MZ19" s="28">
        <v>4.230420954348812</v>
      </c>
      <c r="NA19" s="29">
        <v>7.666551363060449E-2</v>
      </c>
      <c r="NB19" s="10"/>
      <c r="NC19" s="42">
        <v>101</v>
      </c>
      <c r="ND19" s="43">
        <v>4.0603230198408689</v>
      </c>
      <c r="NE19" s="67">
        <v>0.10890374502599669</v>
      </c>
      <c r="NF19" s="10">
        <f t="shared" si="116"/>
        <v>1.2771775770475511</v>
      </c>
      <c r="NG19" s="10" t="str">
        <f t="shared" si="117"/>
        <v xml:space="preserve"> </v>
      </c>
      <c r="NH19" s="114">
        <f t="shared" si="118"/>
        <v>0.17009793450794319</v>
      </c>
      <c r="NI19" s="10"/>
      <c r="NJ19" s="42">
        <v>93.670592569999954</v>
      </c>
      <c r="NK19" s="43">
        <v>4.3767455014617074</v>
      </c>
      <c r="NL19" s="67">
        <v>8.9900127240412367E-2</v>
      </c>
      <c r="NM19" s="10">
        <f t="shared" si="119"/>
        <v>-1.238454840317442</v>
      </c>
      <c r="NN19" s="10" t="str">
        <f t="shared" si="120"/>
        <v xml:space="preserve"> </v>
      </c>
      <c r="NO19" s="10"/>
      <c r="NP19" s="53">
        <v>169</v>
      </c>
      <c r="NQ19" s="55">
        <v>4.0303290052744245</v>
      </c>
      <c r="NR19" s="56">
        <v>8.0336641304309328E-2</v>
      </c>
      <c r="NS19" s="10">
        <f t="shared" si="121"/>
        <v>1.8018569390801757</v>
      </c>
      <c r="NT19" s="10" t="str">
        <f t="shared" si="122"/>
        <v xml:space="preserve"> </v>
      </c>
      <c r="NU19" s="10"/>
      <c r="NV19" s="54">
        <v>183</v>
      </c>
      <c r="NW19" s="57">
        <v>4.1231813785595008</v>
      </c>
      <c r="NX19" s="58">
        <v>7.6349979090674661E-2</v>
      </c>
      <c r="NY19" s="10">
        <f t="shared" si="123"/>
        <v>0.99113715453070372</v>
      </c>
      <c r="NZ19" s="10" t="str">
        <f t="shared" si="129"/>
        <v xml:space="preserve"> </v>
      </c>
      <c r="OA19" s="114">
        <f t="shared" si="124"/>
        <v>0.1072395757893112</v>
      </c>
      <c r="OB19" s="58"/>
    </row>
    <row r="20" spans="1:392" x14ac:dyDescent="0.2">
      <c r="B20" s="65" t="s">
        <v>19</v>
      </c>
      <c r="C20" s="27">
        <v>406</v>
      </c>
      <c r="D20" s="28">
        <v>3.8179099400901833</v>
      </c>
      <c r="E20" s="29">
        <v>5.4835468162202229E-2</v>
      </c>
      <c r="F20" s="10"/>
      <c r="G20" s="42">
        <v>122</v>
      </c>
      <c r="H20" s="43">
        <v>3.631008742354739</v>
      </c>
      <c r="I20" s="67">
        <v>0.11448041855462449</v>
      </c>
      <c r="J20" s="10">
        <f t="shared" si="1"/>
        <v>1.4724074087422463</v>
      </c>
      <c r="K20" s="10" t="str">
        <f t="shared" si="2"/>
        <v xml:space="preserve"> </v>
      </c>
      <c r="L20" s="114">
        <f t="shared" si="3"/>
        <v>0.18690119773544422</v>
      </c>
      <c r="M20" s="10"/>
      <c r="N20" s="42">
        <v>72.781739100000053</v>
      </c>
      <c r="O20" s="43">
        <v>3.7571428571428562</v>
      </c>
      <c r="P20" s="67">
        <v>0.12042665785016292</v>
      </c>
      <c r="Q20" s="10">
        <f t="shared" si="4"/>
        <v>0.45923122672610495</v>
      </c>
      <c r="R20" s="10" t="str">
        <f t="shared" si="5"/>
        <v xml:space="preserve"> </v>
      </c>
      <c r="S20" s="10"/>
      <c r="T20" s="53">
        <v>126</v>
      </c>
      <c r="U20" s="55">
        <v>3.6984126984126977</v>
      </c>
      <c r="V20" s="56">
        <v>8.8923078245410833E-2</v>
      </c>
      <c r="W20" s="10">
        <f t="shared" si="6"/>
        <v>1.1438289465720612</v>
      </c>
      <c r="X20" s="10" t="str">
        <f t="shared" si="7"/>
        <v xml:space="preserve"> </v>
      </c>
      <c r="Y20" s="10"/>
      <c r="Z20" s="54">
        <v>210</v>
      </c>
      <c r="AA20" s="57">
        <v>3.3238095238095235</v>
      </c>
      <c r="AB20" s="58">
        <v>6.9170840016267901E-2</v>
      </c>
      <c r="AC20" s="10">
        <f t="shared" si="8"/>
        <v>5.5976242674476326</v>
      </c>
      <c r="AD20" s="10" t="str">
        <f t="shared" si="9"/>
        <v>*</v>
      </c>
      <c r="AE20" s="114">
        <f t="shared" si="10"/>
        <v>0.4941004162806597</v>
      </c>
      <c r="AF20" s="76"/>
      <c r="AG20" s="27">
        <v>88</v>
      </c>
      <c r="AH20" s="28">
        <v>3.8409386415773552</v>
      </c>
      <c r="AI20" s="29">
        <v>0.10283247787043757</v>
      </c>
      <c r="AJ20" s="67"/>
      <c r="AK20" s="42">
        <v>47</v>
      </c>
      <c r="AL20" s="43">
        <v>4.0854362226253587</v>
      </c>
      <c r="AM20" s="67">
        <v>0.16547115023610792</v>
      </c>
      <c r="AN20" s="10">
        <f t="shared" si="11"/>
        <v>-1.2549857941959057</v>
      </c>
      <c r="AO20" s="10" t="str">
        <f t="shared" si="12"/>
        <v xml:space="preserve"> </v>
      </c>
      <c r="AP20" s="114">
        <f t="shared" si="13"/>
        <v>-0.24449758104800345</v>
      </c>
      <c r="AQ20" s="67"/>
      <c r="AR20" s="42">
        <v>37.259472510000002</v>
      </c>
      <c r="AS20" s="43">
        <v>4.1025641025641022</v>
      </c>
      <c r="AT20" s="67">
        <v>0.18344827738166231</v>
      </c>
      <c r="AU20" s="10">
        <f t="shared" si="14"/>
        <v>-1.244034407322135</v>
      </c>
      <c r="AV20" s="10" t="str">
        <f t="shared" si="15"/>
        <v xml:space="preserve"> </v>
      </c>
      <c r="AW20" s="10"/>
      <c r="AX20" s="53">
        <v>68</v>
      </c>
      <c r="AY20" s="55">
        <v>3.671460911473801</v>
      </c>
      <c r="AZ20" s="56">
        <v>0.14256382888540772</v>
      </c>
      <c r="BA20" s="10">
        <f t="shared" si="16"/>
        <v>0.96414128685073675</v>
      </c>
      <c r="BB20" s="10" t="str">
        <f t="shared" si="17"/>
        <v xml:space="preserve"> </v>
      </c>
      <c r="BC20" s="10"/>
      <c r="BD20" s="54">
        <v>24</v>
      </c>
      <c r="BE20" s="57">
        <v>3.6480824636839015</v>
      </c>
      <c r="BF20" s="58">
        <v>0.17358550851135515</v>
      </c>
      <c r="BG20" s="10" t="str">
        <f t="shared" si="18"/>
        <v>NV</v>
      </c>
      <c r="BH20" s="10" t="str">
        <f t="shared" si="19"/>
        <v xml:space="preserve"> </v>
      </c>
      <c r="BI20" s="114">
        <f t="shared" si="20"/>
        <v>0.19285617789345366</v>
      </c>
      <c r="BJ20" s="76"/>
      <c r="BK20" s="27">
        <v>998</v>
      </c>
      <c r="BL20" s="28">
        <v>3.8211655306908061</v>
      </c>
      <c r="BM20" s="29">
        <v>3.5205461189562803E-2</v>
      </c>
      <c r="BN20" s="10"/>
      <c r="BO20" s="42">
        <v>295</v>
      </c>
      <c r="BP20" s="43">
        <v>3.8169668072655578</v>
      </c>
      <c r="BQ20" s="67">
        <v>6.5900655515344811E-2</v>
      </c>
      <c r="BR20" s="10">
        <f t="shared" si="21"/>
        <v>5.6196577797133107E-2</v>
      </c>
      <c r="BS20" s="10" t="str">
        <f t="shared" si="22"/>
        <v xml:space="preserve"> </v>
      </c>
      <c r="BT20" s="114">
        <f t="shared" si="23"/>
        <v>4.1987234252482963E-3</v>
      </c>
      <c r="BU20" s="10"/>
      <c r="BV20" s="42">
        <v>77.501549160000053</v>
      </c>
      <c r="BW20" s="43">
        <v>3.6845542941402547</v>
      </c>
      <c r="BX20" s="67">
        <v>0.11617279832114887</v>
      </c>
      <c r="BY20" s="10">
        <f t="shared" si="24"/>
        <v>1.1253907520757711</v>
      </c>
      <c r="BZ20" s="10" t="str">
        <f t="shared" si="25"/>
        <v xml:space="preserve"> </v>
      </c>
      <c r="CA20" s="10"/>
      <c r="CB20" s="53">
        <v>177</v>
      </c>
      <c r="CC20" s="55">
        <v>3.4763752143078839</v>
      </c>
      <c r="CD20" s="56">
        <v>5.3388820084760091E-2</v>
      </c>
      <c r="CE20" s="10">
        <f t="shared" si="26"/>
        <v>5.3914368580713168</v>
      </c>
      <c r="CF20" s="10" t="str">
        <f t="shared" si="27"/>
        <v>*</v>
      </c>
      <c r="CG20" s="10"/>
      <c r="CH20" s="54">
        <v>295</v>
      </c>
      <c r="CI20" s="57">
        <v>3.7091110771457432</v>
      </c>
      <c r="CJ20" s="58">
        <v>5.8927607703651227E-2</v>
      </c>
      <c r="CK20" s="10">
        <f t="shared" si="28"/>
        <v>1.6324191018688341</v>
      </c>
      <c r="CL20" s="10" t="str">
        <f t="shared" si="29"/>
        <v xml:space="preserve"> </v>
      </c>
      <c r="CM20" s="114">
        <f t="shared" si="30"/>
        <v>0.11205445354506294</v>
      </c>
      <c r="CN20" s="76"/>
      <c r="CO20" s="27">
        <v>567</v>
      </c>
      <c r="CP20" s="28">
        <v>3.9395737292033077</v>
      </c>
      <c r="CQ20" s="29">
        <v>4.4437235084457384E-2</v>
      </c>
      <c r="CR20" s="67"/>
      <c r="CS20" s="42">
        <v>173</v>
      </c>
      <c r="CT20" s="43">
        <v>4.0060399904097928</v>
      </c>
      <c r="CU20" s="67">
        <v>8.0433137319696132E-2</v>
      </c>
      <c r="CV20" s="10">
        <f t="shared" si="31"/>
        <v>-0.72330770080623652</v>
      </c>
      <c r="CW20" s="10" t="str">
        <f t="shared" si="32"/>
        <v xml:space="preserve"> </v>
      </c>
      <c r="CX20" s="114">
        <f t="shared" si="33"/>
        <v>-6.6466261206485022E-2</v>
      </c>
      <c r="CY20" s="10"/>
      <c r="CZ20" s="42">
        <v>165.78780689999977</v>
      </c>
      <c r="DA20" s="43">
        <v>4.0399942092484524</v>
      </c>
      <c r="DB20" s="67">
        <v>7.8154424842423867E-2</v>
      </c>
      <c r="DC20" s="10">
        <f t="shared" si="34"/>
        <v>-1.1169709050466163</v>
      </c>
      <c r="DD20" s="10" t="str">
        <f t="shared" si="35"/>
        <v xml:space="preserve"> </v>
      </c>
      <c r="DE20" s="10"/>
      <c r="DF20" s="53">
        <v>173</v>
      </c>
      <c r="DG20" s="55">
        <v>4.0105693995208318</v>
      </c>
      <c r="DH20" s="56">
        <v>8.1535985043610093E-2</v>
      </c>
      <c r="DI20" s="10">
        <f t="shared" si="36"/>
        <v>-0.76455387237889993</v>
      </c>
      <c r="DJ20" s="10" t="str">
        <f t="shared" si="0"/>
        <v xml:space="preserve"> </v>
      </c>
      <c r="DK20" s="10"/>
      <c r="DL20" s="54">
        <v>162</v>
      </c>
      <c r="DM20" s="57">
        <v>3.8224891975232915</v>
      </c>
      <c r="DN20" s="58">
        <v>8.2621958153626801E-2</v>
      </c>
      <c r="DO20" s="10">
        <f t="shared" si="37"/>
        <v>1.24805043261438</v>
      </c>
      <c r="DP20" s="10" t="str">
        <f t="shared" si="38"/>
        <v xml:space="preserve"> </v>
      </c>
      <c r="DQ20" s="114">
        <f t="shared" si="39"/>
        <v>0.1170845316800162</v>
      </c>
      <c r="DR20" s="76"/>
      <c r="DS20" s="27">
        <v>200</v>
      </c>
      <c r="DT20" s="28">
        <v>3.854392409218407</v>
      </c>
      <c r="DU20" s="29">
        <v>7.7187317108918574E-2</v>
      </c>
      <c r="DV20" s="10"/>
      <c r="DW20" s="42">
        <v>75</v>
      </c>
      <c r="DX20" s="43">
        <v>3.8412552126172708</v>
      </c>
      <c r="DY20" s="67">
        <v>0.12172433800165607</v>
      </c>
      <c r="DZ20" s="10">
        <f t="shared" si="40"/>
        <v>9.1145526204391938E-2</v>
      </c>
      <c r="EA20" s="10" t="str">
        <f t="shared" si="41"/>
        <v xml:space="preserve"> </v>
      </c>
      <c r="EB20" s="114">
        <f t="shared" si="42"/>
        <v>1.3137196601136214E-2</v>
      </c>
      <c r="EC20" s="10"/>
      <c r="ED20" s="42">
        <v>68.032206300000041</v>
      </c>
      <c r="EE20" s="43">
        <v>3.5299460263131288</v>
      </c>
      <c r="EF20" s="67">
        <v>0.13644000201048645</v>
      </c>
      <c r="EG20" s="10">
        <f t="shared" si="43"/>
        <v>2.0696988830646355</v>
      </c>
      <c r="EH20" s="10" t="str">
        <f t="shared" si="44"/>
        <v>*</v>
      </c>
      <c r="EI20" s="10"/>
      <c r="EJ20" s="53">
        <v>67</v>
      </c>
      <c r="EK20" s="55">
        <v>3.4999627132689399</v>
      </c>
      <c r="EL20" s="56">
        <v>0.13364752023101101</v>
      </c>
      <c r="EM20" s="10">
        <f t="shared" si="45"/>
        <v>2.2964838871455928</v>
      </c>
      <c r="EN20" s="10" t="str">
        <f t="shared" si="46"/>
        <v>*</v>
      </c>
      <c r="EO20" s="10"/>
      <c r="EP20" s="54">
        <v>58</v>
      </c>
      <c r="EQ20" s="57">
        <v>4</v>
      </c>
      <c r="ER20" s="58">
        <v>0.12592077809023725</v>
      </c>
      <c r="ES20" s="10">
        <f t="shared" si="47"/>
        <v>-0.98586424372789849</v>
      </c>
      <c r="ET20" s="10" t="str">
        <f t="shared" si="48"/>
        <v xml:space="preserve"> </v>
      </c>
      <c r="EU20" s="114">
        <f t="shared" si="49"/>
        <v>-0.14560759078159302</v>
      </c>
      <c r="EV20" s="76"/>
      <c r="EW20" s="27">
        <v>412</v>
      </c>
      <c r="EX20" s="28">
        <v>3.9308317010567788</v>
      </c>
      <c r="EY20" s="29">
        <v>5.1366220417208258E-2</v>
      </c>
      <c r="EZ20" s="10"/>
      <c r="FA20" s="42">
        <v>133</v>
      </c>
      <c r="FB20" s="43">
        <v>3.8047214889343492</v>
      </c>
      <c r="FC20" s="67">
        <v>0.10418187100585555</v>
      </c>
      <c r="FD20" s="10">
        <f t="shared" si="50"/>
        <v>1.0856915140088896</v>
      </c>
      <c r="FE20" s="10" t="str">
        <f t="shared" si="51"/>
        <v xml:space="preserve"> </v>
      </c>
      <c r="FF20" s="114">
        <f t="shared" si="52"/>
        <v>0.12611021212242957</v>
      </c>
      <c r="FG20" s="10"/>
      <c r="FH20" s="42">
        <v>82.754890110000034</v>
      </c>
      <c r="FI20" s="43">
        <v>3.5911721270485764</v>
      </c>
      <c r="FJ20" s="67">
        <v>0.1333249740689596</v>
      </c>
      <c r="FK20" s="10">
        <f t="shared" si="53"/>
        <v>2.377274919277983</v>
      </c>
      <c r="FL20" s="10" t="str">
        <f t="shared" si="54"/>
        <v>*</v>
      </c>
      <c r="FM20" s="10"/>
      <c r="FN20" s="53">
        <v>127</v>
      </c>
      <c r="FO20" s="55">
        <v>3.7839836388454562</v>
      </c>
      <c r="FP20" s="56">
        <v>9.6975480769059264E-2</v>
      </c>
      <c r="FQ20" s="10">
        <f t="shared" si="55"/>
        <v>1.3381527801060993</v>
      </c>
      <c r="FR20" s="10" t="str">
        <f t="shared" si="56"/>
        <v xml:space="preserve"> </v>
      </c>
      <c r="FS20" s="10"/>
      <c r="FT20" s="54">
        <v>154</v>
      </c>
      <c r="FU20" s="57">
        <v>3.4216033664511727</v>
      </c>
      <c r="FV20" s="58">
        <v>7.8094945797660256E-2</v>
      </c>
      <c r="FW20" s="10">
        <f t="shared" si="57"/>
        <v>5.4478320367678705</v>
      </c>
      <c r="FX20" s="10" t="str">
        <f t="shared" si="125"/>
        <v>*</v>
      </c>
      <c r="FY20" s="114">
        <f t="shared" si="58"/>
        <v>0.50922833460560613</v>
      </c>
      <c r="FZ20" s="76"/>
      <c r="GA20" s="27">
        <v>188</v>
      </c>
      <c r="GB20" s="28">
        <v>3.9582243991615464</v>
      </c>
      <c r="GC20" s="29">
        <v>7.7971745193484779E-2</v>
      </c>
      <c r="GD20" s="67"/>
      <c r="GE20" s="42">
        <v>139</v>
      </c>
      <c r="GF20" s="43">
        <v>3.9076173765325173</v>
      </c>
      <c r="GG20" s="67">
        <v>9.6527181371793058E-2</v>
      </c>
      <c r="GH20" s="10">
        <f t="shared" si="59"/>
        <v>0.40784154740916811</v>
      </c>
      <c r="GI20" s="10" t="str">
        <f t="shared" si="60"/>
        <v xml:space="preserve"> </v>
      </c>
      <c r="GJ20" s="114">
        <f t="shared" si="61"/>
        <v>5.0607022629029164E-2</v>
      </c>
      <c r="GK20" s="67"/>
      <c r="GL20" s="42">
        <v>160.20733671000008</v>
      </c>
      <c r="GM20" s="43">
        <v>4.0626755521076792</v>
      </c>
      <c r="GN20" s="67">
        <v>8.3565564323473993E-2</v>
      </c>
      <c r="GO20" s="10">
        <f t="shared" si="62"/>
        <v>-0.91389259011274482</v>
      </c>
      <c r="GP20" s="10" t="str">
        <f t="shared" si="63"/>
        <v xml:space="preserve"> </v>
      </c>
      <c r="GQ20" s="10"/>
      <c r="GR20" s="53">
        <v>163</v>
      </c>
      <c r="GS20" s="55">
        <v>3.8055503983662287</v>
      </c>
      <c r="GT20" s="56">
        <v>9.2446463487215816E-2</v>
      </c>
      <c r="GU20" s="10">
        <f t="shared" si="64"/>
        <v>1.2624179701586802</v>
      </c>
      <c r="GV20" s="10" t="str">
        <f t="shared" si="65"/>
        <v xml:space="preserve"> </v>
      </c>
      <c r="GW20" s="10"/>
      <c r="GX20" s="54">
        <v>153</v>
      </c>
      <c r="GY20" s="57">
        <v>3.8837056506470877</v>
      </c>
      <c r="GZ20" s="58">
        <v>8.5926223301757129E-2</v>
      </c>
      <c r="HA20" s="10">
        <f t="shared" si="66"/>
        <v>0.64223814900379939</v>
      </c>
      <c r="HB20" s="10" t="str">
        <f t="shared" si="126"/>
        <v xml:space="preserve"> </v>
      </c>
      <c r="HC20" s="114">
        <f t="shared" si="67"/>
        <v>7.4518748514458721E-2</v>
      </c>
      <c r="HD20" s="76"/>
      <c r="HE20" s="27">
        <v>201</v>
      </c>
      <c r="HF20" s="28">
        <v>3.9044847849519204</v>
      </c>
      <c r="HG20" s="29">
        <v>7.5372401404213557E-2</v>
      </c>
      <c r="HH20" s="10"/>
      <c r="HI20" s="42">
        <v>121</v>
      </c>
      <c r="HJ20" s="43">
        <v>4.0455223459951268</v>
      </c>
      <c r="HK20" s="67">
        <v>9.882485768277087E-2</v>
      </c>
      <c r="HL20" s="10">
        <f t="shared" si="68"/>
        <v>-1.1347698181983099</v>
      </c>
      <c r="HM20" s="10" t="str">
        <f t="shared" si="69"/>
        <v xml:space="preserve"> </v>
      </c>
      <c r="HN20" s="114">
        <f t="shared" si="70"/>
        <v>-0.14103756104320642</v>
      </c>
      <c r="HO20" s="10"/>
      <c r="HP20" s="42">
        <v>115.7193620299999</v>
      </c>
      <c r="HQ20" s="43">
        <v>4.1827886268895655</v>
      </c>
      <c r="HR20" s="67">
        <v>9.0712017393970043E-2</v>
      </c>
      <c r="HS20" s="10">
        <f t="shared" si="71"/>
        <v>-2.359721796627571</v>
      </c>
      <c r="HT20" s="10" t="str">
        <f t="shared" si="72"/>
        <v>*</v>
      </c>
      <c r="HU20" s="10"/>
      <c r="HV20" s="53">
        <v>82</v>
      </c>
      <c r="HW20" s="55">
        <v>4.1140727994409785</v>
      </c>
      <c r="HX20" s="56">
        <v>9.4765795900283209E-2</v>
      </c>
      <c r="HY20" s="10">
        <f t="shared" si="73"/>
        <v>-1.7309177320531268</v>
      </c>
      <c r="HZ20" s="10" t="str">
        <f t="shared" si="74"/>
        <v xml:space="preserve"> </v>
      </c>
      <c r="IA20" s="10"/>
      <c r="IB20" s="54">
        <v>134</v>
      </c>
      <c r="IC20" s="57">
        <v>3.9999999999999987</v>
      </c>
      <c r="ID20" s="58">
        <v>9.2988784427934068E-2</v>
      </c>
      <c r="IE20" s="10">
        <f t="shared" si="75"/>
        <v>-0.79795994383902435</v>
      </c>
      <c r="IF20" s="10" t="str">
        <f t="shared" si="127"/>
        <v xml:space="preserve"> </v>
      </c>
      <c r="IG20" s="114">
        <f t="shared" si="76"/>
        <v>-9.551521504807825E-2</v>
      </c>
      <c r="IH20" s="76"/>
      <c r="II20" s="27">
        <v>430</v>
      </c>
      <c r="IJ20" s="28">
        <v>3.8765946207079867</v>
      </c>
      <c r="IK20" s="29">
        <v>5.3264568006499216E-2</v>
      </c>
      <c r="IL20" s="10"/>
      <c r="IM20" s="42">
        <v>285</v>
      </c>
      <c r="IN20" s="43">
        <v>3.7342597250520155</v>
      </c>
      <c r="IO20" s="67">
        <v>7.1531650408550862E-2</v>
      </c>
      <c r="IP20" s="10">
        <f t="shared" si="77"/>
        <v>1.5959583888624485</v>
      </c>
      <c r="IQ20" s="10" t="str">
        <f t="shared" si="78"/>
        <v xml:space="preserve"> </v>
      </c>
      <c r="IR20" s="114">
        <f t="shared" si="79"/>
        <v>0.14233489565597113</v>
      </c>
      <c r="IS20" s="10"/>
      <c r="IT20" s="42">
        <v>320.22410791000084</v>
      </c>
      <c r="IU20" s="43">
        <v>3.8975125536169077</v>
      </c>
      <c r="IV20" s="67">
        <v>6.3411000542094226E-2</v>
      </c>
      <c r="IW20" s="10">
        <f t="shared" si="80"/>
        <v>-0.25259097798517449</v>
      </c>
      <c r="IX20" s="10" t="str">
        <f t="shared" si="81"/>
        <v xml:space="preserve"> </v>
      </c>
      <c r="IY20" s="10"/>
      <c r="IZ20" s="53">
        <v>294</v>
      </c>
      <c r="JA20" s="55">
        <v>3.8903570584584171</v>
      </c>
      <c r="JB20" s="56">
        <v>6.154269763085074E-2</v>
      </c>
      <c r="JC20" s="10">
        <f t="shared" si="82"/>
        <v>-0.16908884313519715</v>
      </c>
      <c r="JD20" s="10" t="str">
        <f t="shared" si="83"/>
        <v xml:space="preserve"> </v>
      </c>
      <c r="JE20" s="10"/>
      <c r="JF20" s="54">
        <v>331</v>
      </c>
      <c r="JG20" s="57">
        <v>3.9120405961758906</v>
      </c>
      <c r="JH20" s="58">
        <v>5.9690557109170927E-2</v>
      </c>
      <c r="JI20" s="10">
        <f t="shared" si="84"/>
        <v>-0.44307203447726939</v>
      </c>
      <c r="JJ20" s="10" t="str">
        <f t="shared" si="85"/>
        <v xml:space="preserve"> </v>
      </c>
      <c r="JK20" s="114">
        <f t="shared" si="86"/>
        <v>-3.5445975467903956E-2</v>
      </c>
      <c r="JL20" s="76"/>
      <c r="JM20" s="27">
        <v>36</v>
      </c>
      <c r="JN20" s="28">
        <v>4.2222222222222223</v>
      </c>
      <c r="JO20" s="29">
        <v>0.15998435986842038</v>
      </c>
      <c r="JP20" s="10"/>
      <c r="JQ20" s="42">
        <v>28</v>
      </c>
      <c r="JR20" s="43">
        <v>4.4291725103867003</v>
      </c>
      <c r="JS20" s="67">
        <v>0.19535053202509309</v>
      </c>
      <c r="JT20" s="10" t="str">
        <f t="shared" si="87"/>
        <v>NV</v>
      </c>
      <c r="JU20" s="10" t="str">
        <f t="shared" si="88"/>
        <v xml:space="preserve"> </v>
      </c>
      <c r="JV20" s="114">
        <f t="shared" si="89"/>
        <v>-0.20695028816447802</v>
      </c>
      <c r="JW20" s="10"/>
      <c r="JX20" s="42">
        <v>28.713462310000004</v>
      </c>
      <c r="JY20" s="43">
        <v>4.3103448275862055</v>
      </c>
      <c r="JZ20" s="67">
        <v>0.18057740385704846</v>
      </c>
      <c r="KA20" s="10" t="str">
        <f t="shared" si="90"/>
        <v>NV</v>
      </c>
      <c r="KB20" s="10" t="str">
        <f t="shared" si="91"/>
        <v xml:space="preserve"> </v>
      </c>
      <c r="KC20" s="10"/>
      <c r="KD20" s="53">
        <v>24</v>
      </c>
      <c r="KE20" s="55">
        <v>4.6249999999999991</v>
      </c>
      <c r="KF20" s="56">
        <v>0.17029032101921557</v>
      </c>
      <c r="KG20" s="10" t="str">
        <f t="shared" si="92"/>
        <v>NV</v>
      </c>
      <c r="KH20" s="10" t="str">
        <f t="shared" si="93"/>
        <v xml:space="preserve"> </v>
      </c>
      <c r="KI20" s="10"/>
      <c r="KJ20" s="54">
        <v>39</v>
      </c>
      <c r="KK20" s="57">
        <v>4.0256410256410247</v>
      </c>
      <c r="KL20" s="58">
        <v>0.18028235409557067</v>
      </c>
      <c r="KM20" s="10">
        <f t="shared" si="94"/>
        <v>0.81557923067095317</v>
      </c>
      <c r="KN20" s="10" t="str">
        <f t="shared" si="95"/>
        <v xml:space="preserve"> </v>
      </c>
      <c r="KO20" s="114">
        <f t="shared" si="96"/>
        <v>0.19658119658119766</v>
      </c>
      <c r="KP20" s="76"/>
      <c r="KQ20" s="27">
        <v>439</v>
      </c>
      <c r="KR20" s="28">
        <v>3.8837818877730079</v>
      </c>
      <c r="KS20" s="29">
        <v>5.5430472473675246E-2</v>
      </c>
      <c r="KT20" s="10"/>
      <c r="KU20" s="42">
        <v>254</v>
      </c>
      <c r="KV20" s="43">
        <v>3.8385049911182456</v>
      </c>
      <c r="KW20" s="67">
        <v>7.4510162394937532E-2</v>
      </c>
      <c r="KX20" s="10">
        <f t="shared" si="97"/>
        <v>0.48754497501737215</v>
      </c>
      <c r="KY20" s="10" t="str">
        <f t="shared" si="98"/>
        <v xml:space="preserve"> </v>
      </c>
      <c r="KZ20" s="114">
        <f t="shared" si="99"/>
        <v>4.5276896654762311E-2</v>
      </c>
      <c r="LA20" s="10"/>
      <c r="LB20" s="42">
        <v>303.78452367999984</v>
      </c>
      <c r="LC20" s="43">
        <v>4.1465477773545016</v>
      </c>
      <c r="LD20" s="67">
        <v>5.6407267950958954E-2</v>
      </c>
      <c r="LE20" s="10">
        <f t="shared" si="100"/>
        <v>-3.3226074707325739</v>
      </c>
      <c r="LF20" s="10" t="str">
        <f t="shared" si="101"/>
        <v>*</v>
      </c>
      <c r="LG20" s="10"/>
      <c r="LH20" s="53">
        <v>570</v>
      </c>
      <c r="LI20" s="55">
        <v>3.9513560828657108</v>
      </c>
      <c r="LJ20" s="56">
        <v>4.4651628253217071E-2</v>
      </c>
      <c r="LK20" s="10">
        <f t="shared" si="102"/>
        <v>-0.94936935237056996</v>
      </c>
      <c r="LL20" s="10" t="str">
        <f t="shared" si="103"/>
        <v xml:space="preserve"> </v>
      </c>
      <c r="LM20" s="10"/>
      <c r="LN20" s="54">
        <v>558</v>
      </c>
      <c r="LO20" s="57">
        <v>3.9014340113328498</v>
      </c>
      <c r="LP20" s="58">
        <v>4.4553002971812798E-2</v>
      </c>
      <c r="LQ20" s="10">
        <f t="shared" si="104"/>
        <v>-0.24821538539000348</v>
      </c>
      <c r="LR20" s="10" t="str">
        <f t="shared" si="128"/>
        <v xml:space="preserve"> </v>
      </c>
      <c r="LS20" s="114">
        <f t="shared" si="105"/>
        <v>-1.7652123559841915E-2</v>
      </c>
      <c r="LT20" s="76"/>
      <c r="LU20" s="27">
        <v>128</v>
      </c>
      <c r="LV20" s="28">
        <v>4.1328125000000009</v>
      </c>
      <c r="LW20" s="29">
        <v>8.4049676889623157E-2</v>
      </c>
      <c r="LX20" s="10"/>
      <c r="LY20" s="42">
        <v>132</v>
      </c>
      <c r="LZ20" s="43">
        <v>4.1896551723563684</v>
      </c>
      <c r="MA20" s="67">
        <v>8.6747641869393766E-2</v>
      </c>
      <c r="MB20" s="10">
        <f t="shared" si="106"/>
        <v>-0.47060253253742523</v>
      </c>
      <c r="MC20" s="10" t="str">
        <f t="shared" si="107"/>
        <v xml:space="preserve"> </v>
      </c>
      <c r="MD20" s="114">
        <f t="shared" si="108"/>
        <v>-5.684267235636753E-2</v>
      </c>
      <c r="ME20" s="10"/>
      <c r="MF20" s="42">
        <v>159.56817071999984</v>
      </c>
      <c r="MG20" s="43">
        <v>4.0754560358477008</v>
      </c>
      <c r="MH20" s="67">
        <v>7.6930793236169526E-2</v>
      </c>
      <c r="MI20" s="10">
        <f t="shared" si="109"/>
        <v>0.50338461861588013</v>
      </c>
      <c r="MJ20" s="10" t="str">
        <f t="shared" si="110"/>
        <v xml:space="preserve"> </v>
      </c>
      <c r="MK20" s="10"/>
      <c r="ML20" s="53">
        <v>325</v>
      </c>
      <c r="MM20" s="55">
        <v>3.8246153846153845</v>
      </c>
      <c r="MN20" s="56">
        <v>5.9563195173507291E-2</v>
      </c>
      <c r="MO20" s="10">
        <f t="shared" si="111"/>
        <v>2.9917647731452961</v>
      </c>
      <c r="MP20" s="10" t="str">
        <f t="shared" si="112"/>
        <v>*</v>
      </c>
      <c r="MQ20" s="10"/>
      <c r="MR20" s="54">
        <v>330</v>
      </c>
      <c r="MS20" s="57">
        <v>3.9949420497257497</v>
      </c>
      <c r="MT20" s="58">
        <v>5.8952561409387691E-2</v>
      </c>
      <c r="MU20" s="10">
        <f t="shared" si="113"/>
        <v>1.3429380649737432</v>
      </c>
      <c r="MV20" s="10" t="str">
        <f t="shared" si="114"/>
        <v xml:space="preserve"> </v>
      </c>
      <c r="MW20" s="114">
        <f t="shared" si="115"/>
        <v>0.13787045027425116</v>
      </c>
      <c r="MX20" s="76"/>
      <c r="MY20" s="27">
        <v>154</v>
      </c>
      <c r="MZ20" s="28">
        <v>4.1624918513586833</v>
      </c>
      <c r="NA20" s="29">
        <v>7.8435784570731873E-2</v>
      </c>
      <c r="NB20" s="10"/>
      <c r="NC20" s="42">
        <v>100</v>
      </c>
      <c r="ND20" s="43">
        <v>4.2709766160160729</v>
      </c>
      <c r="NE20" s="67">
        <v>9.200234480686699E-2</v>
      </c>
      <c r="NF20" s="10">
        <f t="shared" si="116"/>
        <v>-0.89731621212879209</v>
      </c>
      <c r="NG20" s="10" t="str">
        <f t="shared" si="117"/>
        <v xml:space="preserve"> </v>
      </c>
      <c r="NH20" s="114">
        <f t="shared" si="118"/>
        <v>-0.10848476465738965</v>
      </c>
      <c r="NI20" s="10"/>
      <c r="NJ20" s="42">
        <v>91.531404859999952</v>
      </c>
      <c r="NK20" s="43">
        <v>4.1730762273804336</v>
      </c>
      <c r="NL20" s="67">
        <v>9.9487608948772926E-2</v>
      </c>
      <c r="NM20" s="10">
        <f t="shared" si="119"/>
        <v>-8.3546513041506495E-2</v>
      </c>
      <c r="NN20" s="10" t="str">
        <f t="shared" si="120"/>
        <v xml:space="preserve"> </v>
      </c>
      <c r="NO20" s="10"/>
      <c r="NP20" s="53">
        <v>167</v>
      </c>
      <c r="NQ20" s="55">
        <v>3.8519529232319001</v>
      </c>
      <c r="NR20" s="56">
        <v>8.430173567398036E-2</v>
      </c>
      <c r="NS20" s="10">
        <f t="shared" si="121"/>
        <v>2.6968786322228708</v>
      </c>
      <c r="NT20" s="10" t="str">
        <f t="shared" si="122"/>
        <v>*</v>
      </c>
      <c r="NU20" s="10"/>
      <c r="NV20" s="54">
        <v>183</v>
      </c>
      <c r="NW20" s="57">
        <v>4.0979364436523475</v>
      </c>
      <c r="NX20" s="58">
        <v>7.7338169442708757E-2</v>
      </c>
      <c r="NY20" s="10">
        <f t="shared" si="123"/>
        <v>0.58605989306424033</v>
      </c>
      <c r="NZ20" s="10" t="str">
        <f t="shared" si="129"/>
        <v xml:space="preserve"> </v>
      </c>
      <c r="OA20" s="114">
        <f t="shared" si="124"/>
        <v>6.4555407706335721E-2</v>
      </c>
      <c r="OB20" s="58"/>
    </row>
    <row r="21" spans="1:392" x14ac:dyDescent="0.2">
      <c r="B21" s="65"/>
      <c r="C21" s="27"/>
      <c r="D21" s="28"/>
      <c r="E21" s="29"/>
      <c r="F21" s="10"/>
      <c r="G21" s="42"/>
      <c r="H21" s="43"/>
      <c r="I21" s="67"/>
      <c r="J21" s="10"/>
      <c r="K21" s="10"/>
      <c r="L21" s="114"/>
      <c r="M21" s="10"/>
      <c r="N21" s="42"/>
      <c r="O21" s="43"/>
      <c r="P21" s="67"/>
      <c r="Q21" s="10"/>
      <c r="R21" s="10"/>
      <c r="S21" s="10"/>
      <c r="T21" s="53"/>
      <c r="U21" s="55"/>
      <c r="V21" s="56"/>
      <c r="W21" s="10"/>
      <c r="X21" s="10"/>
      <c r="Y21" s="10"/>
      <c r="Z21" s="54"/>
      <c r="AA21" s="57"/>
      <c r="AB21" s="58"/>
      <c r="AC21" s="10"/>
      <c r="AD21" s="10"/>
      <c r="AE21" s="114"/>
      <c r="AF21" s="76"/>
      <c r="AG21" s="27"/>
      <c r="AH21" s="28"/>
      <c r="AI21" s="29"/>
      <c r="AJ21" s="67"/>
      <c r="AK21" s="42"/>
      <c r="AL21" s="43"/>
      <c r="AM21" s="67"/>
      <c r="AN21" s="10"/>
      <c r="AO21" s="10"/>
      <c r="AP21" s="114"/>
      <c r="AQ21" s="67"/>
      <c r="AR21" s="42"/>
      <c r="AS21" s="43"/>
      <c r="AT21" s="67"/>
      <c r="AU21" s="10"/>
      <c r="AV21" s="10"/>
      <c r="AW21" s="10"/>
      <c r="AX21" s="53"/>
      <c r="AY21" s="55"/>
      <c r="AZ21" s="56"/>
      <c r="BA21" s="10"/>
      <c r="BB21" s="10"/>
      <c r="BC21" s="10"/>
      <c r="BD21" s="54"/>
      <c r="BE21" s="57"/>
      <c r="BF21" s="58"/>
      <c r="BG21" s="10"/>
      <c r="BH21" s="10"/>
      <c r="BI21" s="114"/>
      <c r="BJ21" s="76"/>
      <c r="BK21" s="27"/>
      <c r="BL21" s="28"/>
      <c r="BM21" s="29"/>
      <c r="BN21" s="10"/>
      <c r="BO21" s="42"/>
      <c r="BP21" s="43"/>
      <c r="BQ21" s="67"/>
      <c r="BR21" s="10"/>
      <c r="BS21" s="10"/>
      <c r="BT21" s="114"/>
      <c r="BU21" s="10"/>
      <c r="BV21" s="42"/>
      <c r="BW21" s="43"/>
      <c r="BX21" s="67"/>
      <c r="BY21" s="10"/>
      <c r="BZ21" s="10"/>
      <c r="CA21" s="10"/>
      <c r="CB21" s="53"/>
      <c r="CC21" s="55"/>
      <c r="CD21" s="56"/>
      <c r="CE21" s="10"/>
      <c r="CF21" s="10"/>
      <c r="CG21" s="10"/>
      <c r="CH21" s="54"/>
      <c r="CI21" s="57"/>
      <c r="CJ21" s="58"/>
      <c r="CK21" s="10"/>
      <c r="CL21" s="10"/>
      <c r="CM21" s="114"/>
      <c r="CN21" s="76"/>
      <c r="CO21" s="27"/>
      <c r="CP21" s="28"/>
      <c r="CQ21" s="29"/>
      <c r="CR21" s="67"/>
      <c r="CS21" s="42"/>
      <c r="CT21" s="43"/>
      <c r="CU21" s="67"/>
      <c r="CV21" s="10"/>
      <c r="CW21" s="10"/>
      <c r="CX21" s="114"/>
      <c r="CY21" s="10"/>
      <c r="CZ21" s="42"/>
      <c r="DA21" s="43"/>
      <c r="DB21" s="67"/>
      <c r="DC21" s="10"/>
      <c r="DD21" s="10"/>
      <c r="DE21" s="10"/>
      <c r="DF21" s="53"/>
      <c r="DG21" s="55"/>
      <c r="DH21" s="56"/>
      <c r="DI21" s="10"/>
      <c r="DJ21" s="10"/>
      <c r="DK21" s="10"/>
      <c r="DL21" s="54"/>
      <c r="DM21" s="57"/>
      <c r="DN21" s="58"/>
      <c r="DO21" s="10"/>
      <c r="DP21" s="10"/>
      <c r="DQ21" s="114"/>
      <c r="DR21" s="76"/>
      <c r="DS21" s="27"/>
      <c r="DT21" s="28"/>
      <c r="DU21" s="29"/>
      <c r="DV21" s="10"/>
      <c r="DW21" s="42"/>
      <c r="DX21" s="43"/>
      <c r="DY21" s="67"/>
      <c r="DZ21" s="10"/>
      <c r="EA21" s="10"/>
      <c r="EB21" s="114"/>
      <c r="EC21" s="10"/>
      <c r="ED21" s="42"/>
      <c r="EE21" s="43"/>
      <c r="EF21" s="67"/>
      <c r="EG21" s="10"/>
      <c r="EH21" s="10"/>
      <c r="EI21" s="10"/>
      <c r="EJ21" s="53"/>
      <c r="EK21" s="55"/>
      <c r="EL21" s="56"/>
      <c r="EM21" s="10"/>
      <c r="EN21" s="10"/>
      <c r="EO21" s="10"/>
      <c r="EP21" s="54"/>
      <c r="EQ21" s="57"/>
      <c r="ER21" s="58"/>
      <c r="ES21" s="10"/>
      <c r="ET21" s="10"/>
      <c r="EU21" s="114"/>
      <c r="EV21" s="76"/>
      <c r="EW21" s="27"/>
      <c r="EX21" s="28"/>
      <c r="EY21" s="29"/>
      <c r="EZ21" s="10"/>
      <c r="FA21" s="42"/>
      <c r="FB21" s="43"/>
      <c r="FC21" s="67"/>
      <c r="FD21" s="10"/>
      <c r="FE21" s="10"/>
      <c r="FF21" s="114"/>
      <c r="FG21" s="10"/>
      <c r="FH21" s="42"/>
      <c r="FI21" s="43"/>
      <c r="FJ21" s="67"/>
      <c r="FK21" s="10"/>
      <c r="FL21" s="10"/>
      <c r="FM21" s="10"/>
      <c r="FN21" s="53"/>
      <c r="FO21" s="55"/>
      <c r="FP21" s="56"/>
      <c r="FQ21" s="10"/>
      <c r="FR21" s="10"/>
      <c r="FS21" s="10"/>
      <c r="FT21" s="54"/>
      <c r="FU21" s="57"/>
      <c r="FV21" s="58"/>
      <c r="FW21" s="10"/>
      <c r="FX21" s="10"/>
      <c r="FY21" s="114"/>
      <c r="FZ21" s="76"/>
      <c r="GA21" s="27"/>
      <c r="GB21" s="28"/>
      <c r="GC21" s="29"/>
      <c r="GD21" s="67"/>
      <c r="GE21" s="42"/>
      <c r="GF21" s="43"/>
      <c r="GG21" s="67"/>
      <c r="GH21" s="10"/>
      <c r="GI21" s="10"/>
      <c r="GJ21" s="114"/>
      <c r="GK21" s="67"/>
      <c r="GL21" s="42"/>
      <c r="GM21" s="43"/>
      <c r="GN21" s="67"/>
      <c r="GO21" s="10"/>
      <c r="GP21" s="10"/>
      <c r="GQ21" s="10"/>
      <c r="GR21" s="53"/>
      <c r="GS21" s="55"/>
      <c r="GT21" s="56"/>
      <c r="GU21" s="10"/>
      <c r="GV21" s="10"/>
      <c r="GW21" s="10"/>
      <c r="GX21" s="54"/>
      <c r="GY21" s="57"/>
      <c r="GZ21" s="58"/>
      <c r="HA21" s="10"/>
      <c r="HB21" s="10"/>
      <c r="HC21" s="114"/>
      <c r="HD21" s="76"/>
      <c r="HE21" s="27"/>
      <c r="HF21" s="28"/>
      <c r="HG21" s="29"/>
      <c r="HH21" s="10"/>
      <c r="HI21" s="42"/>
      <c r="HJ21" s="43"/>
      <c r="HK21" s="67"/>
      <c r="HL21" s="10"/>
      <c r="HM21" s="10"/>
      <c r="HN21" s="114"/>
      <c r="HO21" s="10"/>
      <c r="HP21" s="42"/>
      <c r="HQ21" s="43"/>
      <c r="HR21" s="67"/>
      <c r="HS21" s="10"/>
      <c r="HT21" s="10"/>
      <c r="HU21" s="10"/>
      <c r="HV21" s="53"/>
      <c r="HW21" s="55"/>
      <c r="HX21" s="56"/>
      <c r="HY21" s="10"/>
      <c r="HZ21" s="10"/>
      <c r="IA21" s="10"/>
      <c r="IB21" s="54"/>
      <c r="IC21" s="57"/>
      <c r="ID21" s="58"/>
      <c r="IE21" s="10"/>
      <c r="IF21" s="10"/>
      <c r="IG21" s="114"/>
      <c r="IH21" s="76"/>
      <c r="II21" s="27"/>
      <c r="IJ21" s="28"/>
      <c r="IK21" s="29"/>
      <c r="IL21" s="10"/>
      <c r="IM21" s="42"/>
      <c r="IN21" s="43"/>
      <c r="IO21" s="67"/>
      <c r="IP21" s="10"/>
      <c r="IQ21" s="10"/>
      <c r="IR21" s="114"/>
      <c r="IS21" s="10"/>
      <c r="IT21" s="42"/>
      <c r="IU21" s="43"/>
      <c r="IV21" s="67"/>
      <c r="IW21" s="10"/>
      <c r="IX21" s="10"/>
      <c r="IY21" s="10"/>
      <c r="IZ21" s="53"/>
      <c r="JA21" s="55"/>
      <c r="JB21" s="56"/>
      <c r="JC21" s="10"/>
      <c r="JD21" s="10"/>
      <c r="JE21" s="10"/>
      <c r="JF21" s="54"/>
      <c r="JG21" s="57"/>
      <c r="JH21" s="58"/>
      <c r="JI21" s="10"/>
      <c r="JJ21" s="10"/>
      <c r="JK21" s="114"/>
      <c r="JL21" s="76"/>
      <c r="JM21" s="27"/>
      <c r="JN21" s="28"/>
      <c r="JO21" s="29"/>
      <c r="JP21" s="10"/>
      <c r="JQ21" s="42"/>
      <c r="JR21" s="43"/>
      <c r="JS21" s="67"/>
      <c r="JT21" s="10"/>
      <c r="JU21" s="10"/>
      <c r="JV21" s="114"/>
      <c r="JW21" s="10"/>
      <c r="JX21" s="42"/>
      <c r="JY21" s="43"/>
      <c r="JZ21" s="67"/>
      <c r="KA21" s="10"/>
      <c r="KB21" s="10"/>
      <c r="KC21" s="10"/>
      <c r="KD21" s="53"/>
      <c r="KE21" s="55"/>
      <c r="KF21" s="56"/>
      <c r="KG21" s="10"/>
      <c r="KH21" s="10"/>
      <c r="KI21" s="10"/>
      <c r="KJ21" s="54"/>
      <c r="KK21" s="57"/>
      <c r="KL21" s="58"/>
      <c r="KM21" s="10"/>
      <c r="KN21" s="10"/>
      <c r="KO21" s="114"/>
      <c r="KP21" s="76"/>
      <c r="KQ21" s="27"/>
      <c r="KR21" s="28"/>
      <c r="KS21" s="29"/>
      <c r="KT21" s="10"/>
      <c r="KU21" s="42"/>
      <c r="KV21" s="43"/>
      <c r="KW21" s="67"/>
      <c r="KX21" s="10"/>
      <c r="KY21" s="10"/>
      <c r="KZ21" s="114"/>
      <c r="LA21" s="10"/>
      <c r="LB21" s="42"/>
      <c r="LC21" s="43"/>
      <c r="LD21" s="67"/>
      <c r="LE21" s="10"/>
      <c r="LF21" s="10"/>
      <c r="LG21" s="10"/>
      <c r="LH21" s="53"/>
      <c r="LI21" s="55"/>
      <c r="LJ21" s="56"/>
      <c r="LK21" s="10"/>
      <c r="LL21" s="10"/>
      <c r="LM21" s="10"/>
      <c r="LN21" s="54"/>
      <c r="LO21" s="57"/>
      <c r="LP21" s="58"/>
      <c r="LQ21" s="10"/>
      <c r="LR21" s="10"/>
      <c r="LS21" s="114"/>
      <c r="LT21" s="76"/>
      <c r="LU21" s="27"/>
      <c r="LV21" s="28"/>
      <c r="LW21" s="29"/>
      <c r="LX21" s="10"/>
      <c r="LY21" s="42"/>
      <c r="LZ21" s="43"/>
      <c r="MA21" s="67"/>
      <c r="MB21" s="10"/>
      <c r="MC21" s="10"/>
      <c r="MD21" s="114"/>
      <c r="ME21" s="10"/>
      <c r="MF21" s="42"/>
      <c r="MG21" s="43"/>
      <c r="MH21" s="67"/>
      <c r="MI21" s="10"/>
      <c r="MJ21" s="10"/>
      <c r="MK21" s="10"/>
      <c r="ML21" s="53"/>
      <c r="MM21" s="55"/>
      <c r="MN21" s="56"/>
      <c r="MO21" s="10"/>
      <c r="MP21" s="10"/>
      <c r="MQ21" s="10"/>
      <c r="MR21" s="54"/>
      <c r="MS21" s="57"/>
      <c r="MT21" s="58"/>
      <c r="MU21" s="10"/>
      <c r="MV21" s="10"/>
      <c r="MW21" s="114"/>
      <c r="MX21" s="76"/>
      <c r="MY21" s="27"/>
      <c r="MZ21" s="28"/>
      <c r="NA21" s="29"/>
      <c r="NB21" s="10"/>
      <c r="NC21" s="42"/>
      <c r="ND21" s="43"/>
      <c r="NE21" s="67"/>
      <c r="NF21" s="10"/>
      <c r="NG21" s="10"/>
      <c r="NH21" s="114"/>
      <c r="NI21" s="10"/>
      <c r="NJ21" s="42"/>
      <c r="NK21" s="43"/>
      <c r="NL21" s="67"/>
      <c r="NM21" s="10"/>
      <c r="NN21" s="10"/>
      <c r="NO21" s="10"/>
      <c r="NP21" s="53"/>
      <c r="NQ21" s="55"/>
      <c r="NR21" s="56"/>
      <c r="NS21" s="10"/>
      <c r="NT21" s="10"/>
      <c r="NU21" s="10"/>
      <c r="NV21" s="54"/>
      <c r="NW21" s="57"/>
      <c r="NX21" s="58"/>
      <c r="NY21" s="10"/>
      <c r="NZ21" s="10"/>
      <c r="OA21" s="114"/>
      <c r="OB21" s="58"/>
    </row>
    <row r="22" spans="1:392" x14ac:dyDescent="0.2">
      <c r="A22" s="73"/>
      <c r="B22" s="65" t="s">
        <v>20</v>
      </c>
      <c r="C22" s="27">
        <v>419</v>
      </c>
      <c r="D22" s="28">
        <v>3.6708360944981941</v>
      </c>
      <c r="E22" s="29">
        <v>5.7675454188431036E-2</v>
      </c>
      <c r="F22" s="10"/>
      <c r="G22" s="42">
        <v>124</v>
      </c>
      <c r="H22" s="43">
        <v>3.4676407308784918</v>
      </c>
      <c r="I22" s="67">
        <v>0.11846406872111793</v>
      </c>
      <c r="J22" s="10">
        <f t="shared" si="1"/>
        <v>1.5421851336656196</v>
      </c>
      <c r="K22" s="10" t="str">
        <f t="shared" si="2"/>
        <v xml:space="preserve"> </v>
      </c>
      <c r="L22" s="114">
        <f t="shared" si="3"/>
        <v>0.20319536361970236</v>
      </c>
      <c r="M22" s="10"/>
      <c r="N22" s="42">
        <v>124.7686956000001</v>
      </c>
      <c r="O22" s="43">
        <v>3.3166666666666664</v>
      </c>
      <c r="P22" s="67">
        <v>9.062010214998914E-2</v>
      </c>
      <c r="Q22" s="10">
        <f t="shared" si="4"/>
        <v>3.2971380246061557</v>
      </c>
      <c r="R22" s="10" t="str">
        <f t="shared" si="5"/>
        <v>*</v>
      </c>
      <c r="S22" s="10"/>
      <c r="T22" s="53">
        <v>131</v>
      </c>
      <c r="U22" s="55">
        <v>3.4809160305343507</v>
      </c>
      <c r="V22" s="56">
        <v>9.9433186650448438E-2</v>
      </c>
      <c r="W22" s="10">
        <f t="shared" si="6"/>
        <v>1.6522025326446022</v>
      </c>
      <c r="X22" s="10" t="str">
        <f t="shared" si="7"/>
        <v xml:space="preserve"> </v>
      </c>
      <c r="Y22" s="10"/>
      <c r="Z22" s="54">
        <v>209</v>
      </c>
      <c r="AA22" s="57">
        <v>3.2296650717703361</v>
      </c>
      <c r="AB22" s="58">
        <v>6.9356830072094533E-2</v>
      </c>
      <c r="AC22" s="10">
        <f t="shared" si="8"/>
        <v>4.8907944877513332</v>
      </c>
      <c r="AD22" s="10" t="str">
        <f t="shared" si="9"/>
        <v>*</v>
      </c>
      <c r="AE22" s="114">
        <f t="shared" si="10"/>
        <v>0.44117102272785802</v>
      </c>
      <c r="AF22" s="76"/>
      <c r="AG22" s="27">
        <v>97</v>
      </c>
      <c r="AH22" s="28">
        <v>3.7448938058227177</v>
      </c>
      <c r="AI22" s="29">
        <v>0.11088481540840227</v>
      </c>
      <c r="AJ22" s="67"/>
      <c r="AK22" s="42">
        <v>52</v>
      </c>
      <c r="AL22" s="43">
        <v>3.9620283595261991</v>
      </c>
      <c r="AM22" s="67">
        <v>0.16407143020177439</v>
      </c>
      <c r="AN22" s="10">
        <f t="shared" si="11"/>
        <v>-1.096487069632309</v>
      </c>
      <c r="AO22" s="10" t="str">
        <f t="shared" si="12"/>
        <v xml:space="preserve"> </v>
      </c>
      <c r="AP22" s="114">
        <f t="shared" si="13"/>
        <v>-0.21713455370348145</v>
      </c>
      <c r="AQ22" s="67"/>
      <c r="AR22" s="42">
        <v>91.097725710000006</v>
      </c>
      <c r="AS22" s="43">
        <v>3.1773583299042376</v>
      </c>
      <c r="AT22" s="67">
        <v>0.11831665787383316</v>
      </c>
      <c r="AU22" s="10">
        <f t="shared" si="14"/>
        <v>3.499954700046553</v>
      </c>
      <c r="AV22" s="10" t="str">
        <f t="shared" si="15"/>
        <v>*</v>
      </c>
      <c r="AW22" s="10"/>
      <c r="AX22" s="53">
        <v>113</v>
      </c>
      <c r="AY22" s="55">
        <v>3.4393268743625089</v>
      </c>
      <c r="AZ22" s="56">
        <v>0.11481370051215629</v>
      </c>
      <c r="BA22" s="10">
        <f t="shared" si="16"/>
        <v>1.9143743025318227</v>
      </c>
      <c r="BB22" s="10" t="str">
        <f t="shared" si="17"/>
        <v xml:space="preserve"> </v>
      </c>
      <c r="BC22" s="10"/>
      <c r="BD22" s="54">
        <v>82</v>
      </c>
      <c r="BE22" s="57">
        <v>3.4437499474118778</v>
      </c>
      <c r="BF22" s="58">
        <v>0.10304400844966778</v>
      </c>
      <c r="BG22" s="10">
        <f t="shared" si="18"/>
        <v>1.9894278807428993</v>
      </c>
      <c r="BH22" s="10" t="str">
        <f t="shared" si="19"/>
        <v>*</v>
      </c>
      <c r="BI22" s="114">
        <f t="shared" si="20"/>
        <v>0.3011438584108399</v>
      </c>
      <c r="BJ22" s="76"/>
      <c r="BK22" s="27">
        <v>1050</v>
      </c>
      <c r="BL22" s="28">
        <v>3.7709970371195176</v>
      </c>
      <c r="BM22" s="29">
        <v>3.4950552150822559E-2</v>
      </c>
      <c r="BN22" s="10"/>
      <c r="BO22" s="42">
        <v>317</v>
      </c>
      <c r="BP22" s="43">
        <v>3.7287078209085127</v>
      </c>
      <c r="BQ22" s="67">
        <v>6.3606312020270131E-2</v>
      </c>
      <c r="BR22" s="10">
        <f t="shared" si="21"/>
        <v>0.5826871529521801</v>
      </c>
      <c r="BS22" s="10" t="str">
        <f t="shared" si="22"/>
        <v xml:space="preserve"> </v>
      </c>
      <c r="BT22" s="114">
        <f t="shared" si="23"/>
        <v>4.2289216211004899E-2</v>
      </c>
      <c r="BU22" s="10"/>
      <c r="BV22" s="42">
        <v>329.14094108999927</v>
      </c>
      <c r="BW22" s="43">
        <v>3.1105631813213086</v>
      </c>
      <c r="BX22" s="67">
        <v>4.2553445401289761E-2</v>
      </c>
      <c r="BY22" s="10">
        <f t="shared" si="24"/>
        <v>11.993352803763267</v>
      </c>
      <c r="BZ22" s="10" t="str">
        <f t="shared" si="25"/>
        <v>*</v>
      </c>
      <c r="CA22" s="10"/>
      <c r="CB22" s="53">
        <v>356</v>
      </c>
      <c r="CC22" s="55">
        <v>3.6005096752045311</v>
      </c>
      <c r="CD22" s="56">
        <v>3.8373091507153102E-2</v>
      </c>
      <c r="CE22" s="10">
        <f t="shared" si="26"/>
        <v>3.2846609992057263</v>
      </c>
      <c r="CF22" s="10" t="str">
        <f t="shared" si="27"/>
        <v>*</v>
      </c>
      <c r="CG22" s="10"/>
      <c r="CH22" s="54">
        <v>391</v>
      </c>
      <c r="CI22" s="57">
        <v>3.6751605784591752</v>
      </c>
      <c r="CJ22" s="58">
        <v>5.1631284866701661E-2</v>
      </c>
      <c r="CK22" s="10">
        <f t="shared" si="28"/>
        <v>1.5371102364539788</v>
      </c>
      <c r="CL22" s="10" t="str">
        <f t="shared" si="29"/>
        <v xml:space="preserve"> </v>
      </c>
      <c r="CM22" s="114">
        <f t="shared" si="30"/>
        <v>9.5836458660342405E-2</v>
      </c>
      <c r="CN22" s="76"/>
      <c r="CO22" s="27">
        <v>618</v>
      </c>
      <c r="CP22" s="28">
        <v>3.9082522286878874</v>
      </c>
      <c r="CQ22" s="29">
        <v>4.2432200423097775E-2</v>
      </c>
      <c r="CR22" s="67"/>
      <c r="CS22" s="42">
        <v>199</v>
      </c>
      <c r="CT22" s="43">
        <v>3.8950303695257964</v>
      </c>
      <c r="CU22" s="67">
        <v>7.8354490052611137E-2</v>
      </c>
      <c r="CV22" s="10">
        <f t="shared" si="31"/>
        <v>0.14838312907569196</v>
      </c>
      <c r="CW22" s="10" t="str">
        <f t="shared" si="32"/>
        <v xml:space="preserve"> </v>
      </c>
      <c r="CX22" s="114">
        <f t="shared" si="33"/>
        <v>1.3221859162090954E-2</v>
      </c>
      <c r="CY22" s="10"/>
      <c r="CZ22" s="42">
        <v>205.94311541999954</v>
      </c>
      <c r="DA22" s="43">
        <v>3.7827744561950256</v>
      </c>
      <c r="DB22" s="67">
        <v>7.0096319803761076E-2</v>
      </c>
      <c r="DC22" s="10">
        <f t="shared" si="34"/>
        <v>1.531357518069119</v>
      </c>
      <c r="DD22" s="10" t="str">
        <f t="shared" si="35"/>
        <v xml:space="preserve"> </v>
      </c>
      <c r="DE22" s="10"/>
      <c r="DF22" s="53">
        <v>184</v>
      </c>
      <c r="DG22" s="55">
        <v>3.9933298925780005</v>
      </c>
      <c r="DH22" s="56">
        <v>7.3569192727591312E-2</v>
      </c>
      <c r="DI22" s="10">
        <f t="shared" si="36"/>
        <v>-1.0017516497004071</v>
      </c>
      <c r="DJ22" s="10" t="str">
        <f t="shared" si="0"/>
        <v xml:space="preserve"> </v>
      </c>
      <c r="DK22" s="10"/>
      <c r="DL22" s="54">
        <v>240</v>
      </c>
      <c r="DM22" s="57">
        <v>3.8237175984933036</v>
      </c>
      <c r="DN22" s="58">
        <v>6.4308198235603159E-2</v>
      </c>
      <c r="DO22" s="10">
        <f t="shared" si="37"/>
        <v>1.0972015041964656</v>
      </c>
      <c r="DP22" s="10" t="str">
        <f t="shared" si="38"/>
        <v xml:space="preserve"> </v>
      </c>
      <c r="DQ22" s="114">
        <f t="shared" si="39"/>
        <v>8.4534630194583738E-2</v>
      </c>
      <c r="DR22" s="76"/>
      <c r="DS22" s="27">
        <v>203</v>
      </c>
      <c r="DT22" s="28">
        <v>3.7462070704933614</v>
      </c>
      <c r="DU22" s="29">
        <v>7.5997247253766179E-2</v>
      </c>
      <c r="DV22" s="10"/>
      <c r="DW22" s="42">
        <v>73</v>
      </c>
      <c r="DX22" s="43">
        <v>3.7131992691941114</v>
      </c>
      <c r="DY22" s="67">
        <v>0.12577753086268986</v>
      </c>
      <c r="DZ22" s="10">
        <f t="shared" si="40"/>
        <v>0.22461268118037317</v>
      </c>
      <c r="EA22" s="10" t="str">
        <f t="shared" si="41"/>
        <v xml:space="preserve"> </v>
      </c>
      <c r="EB22" s="114">
        <f t="shared" si="42"/>
        <v>3.3007801299250072E-2</v>
      </c>
      <c r="EC22" s="10"/>
      <c r="ED22" s="42">
        <v>90.792376380000036</v>
      </c>
      <c r="EE22" s="43">
        <v>3.4094782628488352</v>
      </c>
      <c r="EF22" s="67">
        <v>0.11479704857541806</v>
      </c>
      <c r="EG22" s="10">
        <f t="shared" si="43"/>
        <v>2.445853703127093</v>
      </c>
      <c r="EH22" s="10" t="str">
        <f t="shared" si="44"/>
        <v>*</v>
      </c>
      <c r="EI22" s="10"/>
      <c r="EJ22" s="53">
        <v>87</v>
      </c>
      <c r="EK22" s="55">
        <v>3.265118371652175</v>
      </c>
      <c r="EL22" s="56">
        <v>0.12184800584453997</v>
      </c>
      <c r="EM22" s="10">
        <f t="shared" si="45"/>
        <v>3.3500732893816747</v>
      </c>
      <c r="EN22" s="10" t="str">
        <f t="shared" si="46"/>
        <v>*</v>
      </c>
      <c r="EO22" s="10"/>
      <c r="EP22" s="54">
        <v>59</v>
      </c>
      <c r="EQ22" s="57">
        <v>3.6440677966101704</v>
      </c>
      <c r="ER22" s="58">
        <v>0.13130310899106357</v>
      </c>
      <c r="ES22" s="10">
        <f t="shared" si="47"/>
        <v>0.6732510062879502</v>
      </c>
      <c r="ET22" s="10" t="str">
        <f t="shared" si="48"/>
        <v xml:space="preserve"> </v>
      </c>
      <c r="EU22" s="114">
        <f t="shared" si="49"/>
        <v>0.102139273883191</v>
      </c>
      <c r="EV22" s="76"/>
      <c r="EW22" s="27">
        <v>431</v>
      </c>
      <c r="EX22" s="28">
        <v>3.8136588654815911</v>
      </c>
      <c r="EY22" s="29">
        <v>5.2734013557632749E-2</v>
      </c>
      <c r="EZ22" s="10"/>
      <c r="FA22" s="42">
        <v>134</v>
      </c>
      <c r="FB22" s="43">
        <v>3.7918611998717067</v>
      </c>
      <c r="FC22" s="67">
        <v>9.8730656457297963E-2</v>
      </c>
      <c r="FD22" s="10">
        <f t="shared" si="50"/>
        <v>0.19474144571014917</v>
      </c>
      <c r="FE22" s="10" t="str">
        <f t="shared" si="51"/>
        <v xml:space="preserve"> </v>
      </c>
      <c r="FF22" s="114">
        <f t="shared" si="52"/>
        <v>2.1797665609884387E-2</v>
      </c>
      <c r="FG22" s="10"/>
      <c r="FH22" s="42">
        <v>159.6361402499999</v>
      </c>
      <c r="FI22" s="43">
        <v>3.210349620877909</v>
      </c>
      <c r="FJ22" s="67">
        <v>8.0525030102996414E-2</v>
      </c>
      <c r="FK22" s="10">
        <f t="shared" si="53"/>
        <v>6.2677778697638642</v>
      </c>
      <c r="FL22" s="10" t="str">
        <f t="shared" si="54"/>
        <v>*</v>
      </c>
      <c r="FM22" s="10"/>
      <c r="FN22" s="53">
        <v>145</v>
      </c>
      <c r="FO22" s="55">
        <v>3.5198260083745811</v>
      </c>
      <c r="FP22" s="56">
        <v>9.6405932232953739E-2</v>
      </c>
      <c r="FQ22" s="10">
        <f t="shared" si="55"/>
        <v>2.6739738069309102</v>
      </c>
      <c r="FR22" s="10" t="str">
        <f t="shared" si="56"/>
        <v>*</v>
      </c>
      <c r="FS22" s="10"/>
      <c r="FT22" s="54">
        <v>189</v>
      </c>
      <c r="FU22" s="57">
        <v>3.6359132151052034</v>
      </c>
      <c r="FV22" s="58">
        <v>6.7013269483698318E-2</v>
      </c>
      <c r="FW22" s="10">
        <f t="shared" si="57"/>
        <v>2.0844062404565595</v>
      </c>
      <c r="FX22" s="10" t="str">
        <f t="shared" si="125"/>
        <v>*</v>
      </c>
      <c r="FY22" s="114">
        <f t="shared" si="58"/>
        <v>0.17774565037638768</v>
      </c>
      <c r="FZ22" s="76"/>
      <c r="GA22" s="27">
        <v>202</v>
      </c>
      <c r="GB22" s="28">
        <v>3.8305105169449027</v>
      </c>
      <c r="GC22" s="29">
        <v>8.2504928568281732E-2</v>
      </c>
      <c r="GD22" s="67"/>
      <c r="GE22" s="42">
        <v>153</v>
      </c>
      <c r="GF22" s="43">
        <v>3.6540040930376074</v>
      </c>
      <c r="GG22" s="67">
        <v>9.5347464131844945E-2</v>
      </c>
      <c r="GH22" s="10">
        <f t="shared" si="59"/>
        <v>1.3998661387944198</v>
      </c>
      <c r="GI22" s="10" t="str">
        <f t="shared" si="60"/>
        <v xml:space="preserve"> </v>
      </c>
      <c r="GJ22" s="114">
        <f t="shared" si="61"/>
        <v>0.17650642390729532</v>
      </c>
      <c r="GK22" s="67"/>
      <c r="GL22" s="42">
        <v>178.62249990000026</v>
      </c>
      <c r="GM22" s="43">
        <v>3.9131401503803493</v>
      </c>
      <c r="GN22" s="67">
        <v>8.2797714926760552E-2</v>
      </c>
      <c r="GO22" s="10">
        <f t="shared" si="62"/>
        <v>-0.70692012231537815</v>
      </c>
      <c r="GP22" s="10" t="str">
        <f t="shared" si="63"/>
        <v xml:space="preserve"> </v>
      </c>
      <c r="GQ22" s="10"/>
      <c r="GR22" s="53">
        <v>181</v>
      </c>
      <c r="GS22" s="55">
        <v>3.615292253025661</v>
      </c>
      <c r="GT22" s="56">
        <v>9.5597256560441213E-2</v>
      </c>
      <c r="GU22" s="10">
        <f t="shared" si="64"/>
        <v>1.7043336683981083</v>
      </c>
      <c r="GV22" s="10" t="str">
        <f t="shared" si="65"/>
        <v xml:space="preserve"> </v>
      </c>
      <c r="GW22" s="10"/>
      <c r="GX22" s="54">
        <v>178</v>
      </c>
      <c r="GY22" s="57">
        <v>3.7594579335136009</v>
      </c>
      <c r="GZ22" s="58">
        <v>7.932993579316866E-2</v>
      </c>
      <c r="HA22" s="10">
        <f t="shared" si="66"/>
        <v>0.62078214942335164</v>
      </c>
      <c r="HB22" s="10" t="str">
        <f t="shared" si="126"/>
        <v xml:space="preserve"> </v>
      </c>
      <c r="HC22" s="114">
        <f t="shared" si="67"/>
        <v>7.105258343130183E-2</v>
      </c>
      <c r="HD22" s="76"/>
      <c r="HE22" s="27">
        <v>210</v>
      </c>
      <c r="HF22" s="28">
        <v>3.7432603374683335</v>
      </c>
      <c r="HG22" s="29">
        <v>7.8878717972653875E-2</v>
      </c>
      <c r="HH22" s="10"/>
      <c r="HI22" s="42">
        <v>126</v>
      </c>
      <c r="HJ22" s="43">
        <v>3.9155825428723463</v>
      </c>
      <c r="HK22" s="67">
        <v>0.1029781412942396</v>
      </c>
      <c r="HL22" s="10">
        <f t="shared" si="68"/>
        <v>-1.3284532891903607</v>
      </c>
      <c r="HM22" s="10" t="str">
        <f t="shared" si="69"/>
        <v xml:space="preserve"> </v>
      </c>
      <c r="HN22" s="114">
        <f t="shared" si="70"/>
        <v>-0.17232220540401277</v>
      </c>
      <c r="HO22" s="10"/>
      <c r="HP22" s="42">
        <v>120.93622775999989</v>
      </c>
      <c r="HQ22" s="43">
        <v>4.1136151883889402</v>
      </c>
      <c r="HR22" s="67">
        <v>9.0663374319477685E-2</v>
      </c>
      <c r="HS22" s="10">
        <f t="shared" si="71"/>
        <v>-3.081831458604781</v>
      </c>
      <c r="HT22" s="10" t="str">
        <f t="shared" si="72"/>
        <v>*</v>
      </c>
      <c r="HU22" s="10"/>
      <c r="HV22" s="53">
        <v>82</v>
      </c>
      <c r="HW22" s="55">
        <v>4.0041991233657299</v>
      </c>
      <c r="HX22" s="56">
        <v>0.10687341218807998</v>
      </c>
      <c r="HY22" s="10">
        <f t="shared" si="73"/>
        <v>-1.9644584172920649</v>
      </c>
      <c r="HZ22" s="10" t="str">
        <f t="shared" si="74"/>
        <v>*</v>
      </c>
      <c r="IA22" s="10"/>
      <c r="IB22" s="54">
        <v>142</v>
      </c>
      <c r="IC22" s="57">
        <v>3.8784029035446763</v>
      </c>
      <c r="ID22" s="58">
        <v>9.7003322659699021E-2</v>
      </c>
      <c r="IE22" s="10">
        <f t="shared" si="75"/>
        <v>-1.0809158336781537</v>
      </c>
      <c r="IF22" s="10" t="str">
        <f t="shared" si="127"/>
        <v xml:space="preserve"> </v>
      </c>
      <c r="IG22" s="114">
        <f t="shared" si="76"/>
        <v>-0.13514256607634278</v>
      </c>
      <c r="IH22" s="76"/>
      <c r="II22" s="27">
        <v>479</v>
      </c>
      <c r="IJ22" s="28">
        <v>3.8025691934636443</v>
      </c>
      <c r="IK22" s="29">
        <v>5.1224605339069175E-2</v>
      </c>
      <c r="IL22" s="10"/>
      <c r="IM22" s="42">
        <v>320</v>
      </c>
      <c r="IN22" s="43">
        <v>3.6827465281341252</v>
      </c>
      <c r="IO22" s="67">
        <v>6.9188880562126104E-2</v>
      </c>
      <c r="IP22" s="10">
        <f t="shared" si="77"/>
        <v>1.3918703084817858</v>
      </c>
      <c r="IQ22" s="10" t="str">
        <f t="shared" si="78"/>
        <v xml:space="preserve"> </v>
      </c>
      <c r="IR22" s="114">
        <f t="shared" si="79"/>
        <v>0.11982266532951913</v>
      </c>
      <c r="IS22" s="10"/>
      <c r="IT22" s="42">
        <v>350.31981185000069</v>
      </c>
      <c r="IU22" s="43">
        <v>3.7341906348708851</v>
      </c>
      <c r="IV22" s="67">
        <v>6.1611452684520396E-2</v>
      </c>
      <c r="IW22" s="10">
        <f t="shared" si="80"/>
        <v>0.85340415219917609</v>
      </c>
      <c r="IX22" s="10" t="str">
        <f t="shared" si="81"/>
        <v xml:space="preserve"> </v>
      </c>
      <c r="IY22" s="10"/>
      <c r="IZ22" s="53">
        <v>331</v>
      </c>
      <c r="JA22" s="55">
        <v>3.8672201003175108</v>
      </c>
      <c r="JB22" s="56">
        <v>6.0299656187852727E-2</v>
      </c>
      <c r="JC22" s="10">
        <f t="shared" si="82"/>
        <v>-0.81712246698581481</v>
      </c>
      <c r="JD22" s="10" t="str">
        <f t="shared" si="83"/>
        <v xml:space="preserve"> </v>
      </c>
      <c r="JE22" s="10"/>
      <c r="JF22" s="54">
        <v>372</v>
      </c>
      <c r="JG22" s="57">
        <v>3.7507178993548949</v>
      </c>
      <c r="JH22" s="58">
        <v>5.7443139065995248E-2</v>
      </c>
      <c r="JI22" s="10">
        <f t="shared" si="84"/>
        <v>0.67369606362597378</v>
      </c>
      <c r="JJ22" s="10" t="str">
        <f t="shared" si="85"/>
        <v xml:space="preserve"> </v>
      </c>
      <c r="JK22" s="114">
        <f t="shared" si="86"/>
        <v>5.1851294108749446E-2</v>
      </c>
      <c r="JL22" s="76"/>
      <c r="JM22" s="27">
        <v>41</v>
      </c>
      <c r="JN22" s="28">
        <v>4.2926829268292686</v>
      </c>
      <c r="JO22" s="29">
        <v>0.13640351679092103</v>
      </c>
      <c r="JP22" s="10"/>
      <c r="JQ22" s="42">
        <v>31</v>
      </c>
      <c r="JR22" s="43">
        <v>4.4196202531062125</v>
      </c>
      <c r="JS22" s="67">
        <v>0.15219142393875687</v>
      </c>
      <c r="JT22" s="10">
        <f t="shared" si="87"/>
        <v>-0.62110744083315295</v>
      </c>
      <c r="JU22" s="10" t="str">
        <f t="shared" si="88"/>
        <v xml:space="preserve"> </v>
      </c>
      <c r="JV22" s="114">
        <f t="shared" si="89"/>
        <v>-0.12693732627694398</v>
      </c>
      <c r="JW22" s="10"/>
      <c r="JX22" s="42">
        <v>31.683820480000005</v>
      </c>
      <c r="JY22" s="43">
        <v>4.3125</v>
      </c>
      <c r="JZ22" s="67">
        <v>0.15916656322667883</v>
      </c>
      <c r="KA22" s="10">
        <f t="shared" si="90"/>
        <v>-9.4538761912080424E-2</v>
      </c>
      <c r="KB22" s="10" t="str">
        <f t="shared" si="91"/>
        <v xml:space="preserve"> </v>
      </c>
      <c r="KC22" s="10"/>
      <c r="KD22" s="53">
        <v>29</v>
      </c>
      <c r="KE22" s="55">
        <v>4.3103448275862055</v>
      </c>
      <c r="KF22" s="56">
        <v>0.20772500662661234</v>
      </c>
      <c r="KG22" s="10" t="str">
        <f t="shared" si="92"/>
        <v>NV</v>
      </c>
      <c r="KH22" s="10" t="str">
        <f t="shared" si="93"/>
        <v xml:space="preserve"> </v>
      </c>
      <c r="KI22" s="10"/>
      <c r="KJ22" s="54">
        <v>51</v>
      </c>
      <c r="KK22" s="57">
        <v>4.0784313725490193</v>
      </c>
      <c r="KL22" s="58">
        <v>0.15289876108454808</v>
      </c>
      <c r="KM22" s="10">
        <f t="shared" si="94"/>
        <v>1.0456403416918774</v>
      </c>
      <c r="KN22" s="10" t="str">
        <f t="shared" si="95"/>
        <v xml:space="preserve"> </v>
      </c>
      <c r="KO22" s="114">
        <f t="shared" si="96"/>
        <v>0.21425155428024922</v>
      </c>
      <c r="KP22" s="76"/>
      <c r="KQ22" s="27">
        <v>485</v>
      </c>
      <c r="KR22" s="28">
        <v>3.7567100542234622</v>
      </c>
      <c r="KS22" s="29">
        <v>5.5040932157692582E-2</v>
      </c>
      <c r="KT22" s="10"/>
      <c r="KU22" s="42">
        <v>294</v>
      </c>
      <c r="KV22" s="43">
        <v>3.8159828946366372</v>
      </c>
      <c r="KW22" s="67">
        <v>6.6630369264714509E-2</v>
      </c>
      <c r="KX22" s="10">
        <f t="shared" si="97"/>
        <v>-0.68583761818942601</v>
      </c>
      <c r="KY22" s="10" t="str">
        <f t="shared" si="98"/>
        <v xml:space="preserve"> </v>
      </c>
      <c r="KZ22" s="114">
        <f t="shared" si="99"/>
        <v>-5.9272840413175043E-2</v>
      </c>
      <c r="LA22" s="10"/>
      <c r="LB22" s="42">
        <v>342.24023096000053</v>
      </c>
      <c r="LC22" s="43">
        <v>3.9518533928235753</v>
      </c>
      <c r="LD22" s="67">
        <v>5.9148360498829995E-2</v>
      </c>
      <c r="LE22" s="10">
        <f t="shared" si="100"/>
        <v>-2.4152526547564199</v>
      </c>
      <c r="LF22" s="10" t="str">
        <f t="shared" si="101"/>
        <v>*</v>
      </c>
      <c r="LG22" s="10"/>
      <c r="LH22" s="53">
        <v>661</v>
      </c>
      <c r="LI22" s="55">
        <v>3.7740937335928004</v>
      </c>
      <c r="LJ22" s="56">
        <v>4.4195870608881159E-2</v>
      </c>
      <c r="LK22" s="10">
        <f t="shared" si="102"/>
        <v>-0.24626680842133788</v>
      </c>
      <c r="LL22" s="10" t="str">
        <f t="shared" si="103"/>
        <v xml:space="preserve"> </v>
      </c>
      <c r="LM22" s="10"/>
      <c r="LN22" s="54">
        <v>640</v>
      </c>
      <c r="LO22" s="57">
        <v>3.7997556264846923</v>
      </c>
      <c r="LP22" s="58">
        <v>4.3479471951196197E-2</v>
      </c>
      <c r="LQ22" s="10">
        <f t="shared" si="104"/>
        <v>-0.61368755482616066</v>
      </c>
      <c r="LR22" s="10" t="str">
        <f t="shared" si="128"/>
        <v xml:space="preserve"> </v>
      </c>
      <c r="LS22" s="114">
        <f t="shared" si="105"/>
        <v>-4.3045572261230181E-2</v>
      </c>
      <c r="LT22" s="76"/>
      <c r="LU22" s="27">
        <v>154</v>
      </c>
      <c r="LV22" s="28">
        <v>3.9610389610389594</v>
      </c>
      <c r="LW22" s="29">
        <v>8.2379189166635503E-2</v>
      </c>
      <c r="LX22" s="10"/>
      <c r="LY22" s="42">
        <v>155</v>
      </c>
      <c r="LZ22" s="43">
        <v>3.974180483485974</v>
      </c>
      <c r="MA22" s="67">
        <v>7.9744446412951975E-2</v>
      </c>
      <c r="MB22" s="10">
        <f t="shared" si="106"/>
        <v>-0.11461910207579001</v>
      </c>
      <c r="MC22" s="10" t="str">
        <f t="shared" si="107"/>
        <v xml:space="preserve"> </v>
      </c>
      <c r="MD22" s="114">
        <f t="shared" si="108"/>
        <v>-1.3141522447014609E-2</v>
      </c>
      <c r="ME22" s="10"/>
      <c r="MF22" s="42">
        <v>173.5887911099997</v>
      </c>
      <c r="MG22" s="43">
        <v>4.0417580740302901</v>
      </c>
      <c r="MH22" s="67">
        <v>7.3399129454727707E-2</v>
      </c>
      <c r="MI22" s="10">
        <f t="shared" si="109"/>
        <v>-0.73158359672815165</v>
      </c>
      <c r="MJ22" s="10" t="str">
        <f t="shared" si="110"/>
        <v xml:space="preserve"> </v>
      </c>
      <c r="MK22" s="10"/>
      <c r="ML22" s="53">
        <v>414</v>
      </c>
      <c r="MM22" s="55">
        <v>3.7946859903381664</v>
      </c>
      <c r="MN22" s="56">
        <v>5.4353831517099445E-2</v>
      </c>
      <c r="MO22" s="10">
        <f t="shared" si="111"/>
        <v>1.6855286928485402</v>
      </c>
      <c r="MP22" s="10" t="str">
        <f t="shared" si="112"/>
        <v xml:space="preserve"> </v>
      </c>
      <c r="MQ22" s="10"/>
      <c r="MR22" s="54">
        <v>402</v>
      </c>
      <c r="MS22" s="57">
        <v>3.9579555067006571</v>
      </c>
      <c r="MT22" s="58">
        <v>5.3010177911963649E-2</v>
      </c>
      <c r="MU22" s="10">
        <f t="shared" si="113"/>
        <v>3.1476260390759514E-2</v>
      </c>
      <c r="MV22" s="10" t="str">
        <f t="shared" si="114"/>
        <v xml:space="preserve"> </v>
      </c>
      <c r="MW22" s="114">
        <f t="shared" si="115"/>
        <v>3.0834543383022606E-3</v>
      </c>
      <c r="MX22" s="76"/>
      <c r="MY22" s="27">
        <v>183</v>
      </c>
      <c r="MZ22" s="28">
        <v>4.0983443248298608</v>
      </c>
      <c r="NA22" s="29">
        <v>7.3560047976830883E-2</v>
      </c>
      <c r="NB22" s="10"/>
      <c r="NC22" s="42">
        <v>132</v>
      </c>
      <c r="ND22" s="43">
        <v>4.0159273591623341</v>
      </c>
      <c r="NE22" s="67">
        <v>9.3795521369960541E-2</v>
      </c>
      <c r="NF22" s="10">
        <f t="shared" si="116"/>
        <v>0.69141651211833344</v>
      </c>
      <c r="NG22" s="10" t="str">
        <f t="shared" si="117"/>
        <v xml:space="preserve"> </v>
      </c>
      <c r="NH22" s="114">
        <f t="shared" si="118"/>
        <v>8.2416965667526654E-2</v>
      </c>
      <c r="NI22" s="10"/>
      <c r="NJ22" s="42">
        <v>111.49274159000002</v>
      </c>
      <c r="NK22" s="43">
        <v>4.1122694466159118</v>
      </c>
      <c r="NL22" s="67">
        <v>9.3109456912534305E-2</v>
      </c>
      <c r="NM22" s="10">
        <f t="shared" si="119"/>
        <v>-0.11735205785611508</v>
      </c>
      <c r="NN22" s="10" t="str">
        <f t="shared" si="120"/>
        <v xml:space="preserve"> </v>
      </c>
      <c r="NO22" s="10"/>
      <c r="NP22" s="53">
        <v>194</v>
      </c>
      <c r="NQ22" s="55">
        <v>3.8933662949170009</v>
      </c>
      <c r="NR22" s="56">
        <v>7.5606011848625879E-2</v>
      </c>
      <c r="NS22" s="10">
        <f t="shared" si="121"/>
        <v>1.9431729067350347</v>
      </c>
      <c r="NT22" s="10" t="str">
        <f t="shared" si="122"/>
        <v xml:space="preserve"> </v>
      </c>
      <c r="NU22" s="10"/>
      <c r="NV22" s="54">
        <v>200</v>
      </c>
      <c r="NW22" s="57">
        <v>4.0026700961874688</v>
      </c>
      <c r="NX22" s="58">
        <v>7.7478001140374397E-2</v>
      </c>
      <c r="NY22" s="10">
        <f t="shared" si="123"/>
        <v>0.89552462447566628</v>
      </c>
      <c r="NZ22" s="10" t="str">
        <f t="shared" si="129"/>
        <v xml:space="preserve"> </v>
      </c>
      <c r="OA22" s="114">
        <f t="shared" si="124"/>
        <v>9.5674228642391945E-2</v>
      </c>
      <c r="OB22" s="58"/>
    </row>
    <row r="23" spans="1:392" x14ac:dyDescent="0.2">
      <c r="B23" s="65" t="s">
        <v>21</v>
      </c>
      <c r="C23" s="27">
        <v>413</v>
      </c>
      <c r="D23" s="28">
        <v>3.9226757978228943</v>
      </c>
      <c r="E23" s="29">
        <v>4.9295549048866905E-2</v>
      </c>
      <c r="F23" s="10"/>
      <c r="G23" s="42">
        <v>128</v>
      </c>
      <c r="H23" s="43">
        <v>3.7264102064191365</v>
      </c>
      <c r="I23" s="67">
        <v>0.10176275669927808</v>
      </c>
      <c r="J23" s="10">
        <f t="shared" si="1"/>
        <v>1.7357283050619485</v>
      </c>
      <c r="K23" s="10" t="str">
        <f t="shared" si="2"/>
        <v xml:space="preserve"> </v>
      </c>
      <c r="L23" s="114">
        <f t="shared" si="3"/>
        <v>0.19626559140375788</v>
      </c>
      <c r="M23" s="10"/>
      <c r="N23" s="42">
        <v>127.8879129900001</v>
      </c>
      <c r="O23" s="43">
        <v>3.8617886178861789</v>
      </c>
      <c r="P23" s="67">
        <v>6.7281342662203952E-2</v>
      </c>
      <c r="Q23" s="10">
        <f t="shared" si="4"/>
        <v>0.72999545660098331</v>
      </c>
      <c r="R23" s="10" t="str">
        <f t="shared" si="5"/>
        <v xml:space="preserve"> </v>
      </c>
      <c r="S23" s="10"/>
      <c r="T23" s="53">
        <v>132</v>
      </c>
      <c r="U23" s="55">
        <v>3.7727272727272734</v>
      </c>
      <c r="V23" s="56">
        <v>8.3862051219908668E-2</v>
      </c>
      <c r="W23" s="10">
        <f t="shared" si="6"/>
        <v>1.54145266369709</v>
      </c>
      <c r="X23" s="10" t="str">
        <f t="shared" si="7"/>
        <v xml:space="preserve"> </v>
      </c>
      <c r="Y23" s="10"/>
      <c r="Z23" s="54">
        <v>210</v>
      </c>
      <c r="AA23" s="57">
        <v>3.3904761904761882</v>
      </c>
      <c r="AB23" s="58">
        <v>6.4703029294605821E-2</v>
      </c>
      <c r="AC23" s="10">
        <f t="shared" si="8"/>
        <v>6.5427345899874751</v>
      </c>
      <c r="AD23" s="10" t="str">
        <f t="shared" si="9"/>
        <v>*</v>
      </c>
      <c r="AE23" s="114">
        <f t="shared" si="10"/>
        <v>0.53219960734670613</v>
      </c>
      <c r="AF23" s="76"/>
      <c r="AG23" s="27">
        <v>97</v>
      </c>
      <c r="AH23" s="28">
        <v>3.8173140369443717</v>
      </c>
      <c r="AI23" s="29">
        <v>9.7906799027328725E-2</v>
      </c>
      <c r="AJ23" s="67"/>
      <c r="AK23" s="42">
        <v>55</v>
      </c>
      <c r="AL23" s="43">
        <v>4.0366308196823661</v>
      </c>
      <c r="AM23" s="67">
        <v>0.14617430159783737</v>
      </c>
      <c r="AN23" s="10">
        <f t="shared" si="11"/>
        <v>-1.2465876598996861</v>
      </c>
      <c r="AO23" s="10" t="str">
        <f t="shared" si="12"/>
        <v xml:space="preserve"> </v>
      </c>
      <c r="AP23" s="114">
        <f t="shared" si="13"/>
        <v>-0.21931678273799449</v>
      </c>
      <c r="AQ23" s="67"/>
      <c r="AR23" s="42">
        <v>92.053096800000006</v>
      </c>
      <c r="AS23" s="43">
        <v>3.812270871260901</v>
      </c>
      <c r="AT23" s="67">
        <v>8.9764885904209377E-2</v>
      </c>
      <c r="AU23" s="10">
        <f t="shared" si="14"/>
        <v>3.7967426451646129E-2</v>
      </c>
      <c r="AV23" s="10" t="str">
        <f t="shared" si="15"/>
        <v xml:space="preserve"> </v>
      </c>
      <c r="AW23" s="10"/>
      <c r="AX23" s="53">
        <v>112</v>
      </c>
      <c r="AY23" s="55">
        <v>3.6676514475701207</v>
      </c>
      <c r="AZ23" s="56">
        <v>9.9811280061028948E-2</v>
      </c>
      <c r="BA23" s="10">
        <f t="shared" si="16"/>
        <v>1.07043850781556</v>
      </c>
      <c r="BB23" s="10" t="str">
        <f t="shared" si="17"/>
        <v xml:space="preserve"> </v>
      </c>
      <c r="BC23" s="10"/>
      <c r="BD23" s="54">
        <v>81</v>
      </c>
      <c r="BE23" s="57">
        <v>3.5461130736270552</v>
      </c>
      <c r="BF23" s="58">
        <v>9.7685178067201867E-2</v>
      </c>
      <c r="BG23" s="10">
        <f t="shared" si="18"/>
        <v>1.9608975784444544</v>
      </c>
      <c r="BH23" s="10" t="str">
        <f t="shared" si="19"/>
        <v>*</v>
      </c>
      <c r="BI23" s="114">
        <f t="shared" si="20"/>
        <v>0.27120096331731647</v>
      </c>
      <c r="BJ23" s="76"/>
      <c r="BK23" s="27">
        <v>1063</v>
      </c>
      <c r="BL23" s="28">
        <v>3.9519000698291298</v>
      </c>
      <c r="BM23" s="29">
        <v>3.0337135891901443E-2</v>
      </c>
      <c r="BN23" s="10"/>
      <c r="BO23" s="42">
        <v>315</v>
      </c>
      <c r="BP23" s="43">
        <v>3.9270609904062255</v>
      </c>
      <c r="BQ23" s="67">
        <v>5.5033475275651993E-2</v>
      </c>
      <c r="BR23" s="10">
        <f t="shared" si="21"/>
        <v>0.39526698654323289</v>
      </c>
      <c r="BS23" s="10" t="str">
        <f t="shared" si="22"/>
        <v xml:space="preserve"> </v>
      </c>
      <c r="BT23" s="114">
        <f t="shared" si="23"/>
        <v>2.4839079422904309E-2</v>
      </c>
      <c r="BU23" s="10"/>
      <c r="BV23" s="42">
        <v>331.13605130999929</v>
      </c>
      <c r="BW23" s="43">
        <v>3.8753400134878251</v>
      </c>
      <c r="BX23" s="67">
        <v>3.0053815016070972E-2</v>
      </c>
      <c r="BY23" s="10">
        <f t="shared" si="24"/>
        <v>1.7928361267308246</v>
      </c>
      <c r="BZ23" s="10" t="str">
        <f t="shared" si="25"/>
        <v xml:space="preserve"> </v>
      </c>
      <c r="CA23" s="10"/>
      <c r="CB23" s="53">
        <v>354</v>
      </c>
      <c r="CC23" s="55">
        <v>3.9697248645324912</v>
      </c>
      <c r="CD23" s="56">
        <v>2.0044370355240794E-2</v>
      </c>
      <c r="CE23" s="10">
        <f t="shared" si="26"/>
        <v>-0.49021808548719464</v>
      </c>
      <c r="CF23" s="10" t="str">
        <f t="shared" si="27"/>
        <v xml:space="preserve"> </v>
      </c>
      <c r="CG23" s="10"/>
      <c r="CH23" s="54">
        <v>393</v>
      </c>
      <c r="CI23" s="57">
        <v>3.8006390152641818</v>
      </c>
      <c r="CJ23" s="58">
        <v>4.7892608454318079E-2</v>
      </c>
      <c r="CK23" s="10">
        <f t="shared" si="28"/>
        <v>2.6680946452591026</v>
      </c>
      <c r="CL23" s="10" t="str">
        <f t="shared" si="29"/>
        <v>*</v>
      </c>
      <c r="CM23" s="114">
        <f t="shared" si="30"/>
        <v>0.15126105456494798</v>
      </c>
      <c r="CN23" s="76"/>
      <c r="CO23" s="27">
        <v>632</v>
      </c>
      <c r="CP23" s="28">
        <v>3.9837395519178282</v>
      </c>
      <c r="CQ23" s="29">
        <v>4.0222283780888712E-2</v>
      </c>
      <c r="CR23" s="67"/>
      <c r="CS23" s="42">
        <v>195</v>
      </c>
      <c r="CT23" s="43">
        <v>4.0568687942276451</v>
      </c>
      <c r="CU23" s="67">
        <v>7.0054952672667925E-2</v>
      </c>
      <c r="CV23" s="10">
        <f t="shared" si="31"/>
        <v>-0.90528063024899186</v>
      </c>
      <c r="CW23" s="10" t="str">
        <f t="shared" si="32"/>
        <v xml:space="preserve"> </v>
      </c>
      <c r="CX23" s="114">
        <f t="shared" si="33"/>
        <v>-7.3129242309816878E-2</v>
      </c>
      <c r="CY23" s="10"/>
      <c r="CZ23" s="42">
        <v>207.85385759999954</v>
      </c>
      <c r="DA23" s="43">
        <v>4.0847639780345331</v>
      </c>
      <c r="DB23" s="67">
        <v>6.0171360677494935E-2</v>
      </c>
      <c r="DC23" s="10">
        <f t="shared" si="34"/>
        <v>-1.3958091369369046</v>
      </c>
      <c r="DD23" s="10" t="str">
        <f t="shared" si="35"/>
        <v xml:space="preserve"> </v>
      </c>
      <c r="DE23" s="10"/>
      <c r="DF23" s="53">
        <v>198</v>
      </c>
      <c r="DG23" s="55">
        <v>4.0309250903346081</v>
      </c>
      <c r="DH23" s="56">
        <v>7.3491459920097868E-2</v>
      </c>
      <c r="DI23" s="10">
        <f t="shared" si="36"/>
        <v>-0.56321816376377476</v>
      </c>
      <c r="DJ23" s="10" t="str">
        <f t="shared" si="0"/>
        <v xml:space="preserve"> </v>
      </c>
      <c r="DK23" s="10"/>
      <c r="DL23" s="54">
        <v>247</v>
      </c>
      <c r="DM23" s="57">
        <v>3.9632447896265366</v>
      </c>
      <c r="DN23" s="58">
        <v>5.6969912127450534E-2</v>
      </c>
      <c r="DO23" s="10">
        <f t="shared" si="37"/>
        <v>0.29388184407145879</v>
      </c>
      <c r="DP23" s="10" t="str">
        <f t="shared" si="38"/>
        <v xml:space="preserve"> </v>
      </c>
      <c r="DQ23" s="114">
        <f t="shared" si="39"/>
        <v>2.0494762291291657E-2</v>
      </c>
      <c r="DR23" s="76"/>
      <c r="DS23" s="27">
        <v>206</v>
      </c>
      <c r="DT23" s="28">
        <v>3.9626046028741695</v>
      </c>
      <c r="DU23" s="29">
        <v>6.9734043154691241E-2</v>
      </c>
      <c r="DV23" s="10"/>
      <c r="DW23" s="42">
        <v>76</v>
      </c>
      <c r="DX23" s="43">
        <v>3.9353330280068941</v>
      </c>
      <c r="DY23" s="67">
        <v>0.11756214545532502</v>
      </c>
      <c r="DZ23" s="10">
        <f t="shared" si="40"/>
        <v>0.19951650829459369</v>
      </c>
      <c r="EA23" s="10" t="str">
        <f t="shared" si="41"/>
        <v xml:space="preserve"> </v>
      </c>
      <c r="EB23" s="114">
        <f t="shared" si="42"/>
        <v>2.7271574867275383E-2</v>
      </c>
      <c r="EC23" s="10"/>
      <c r="ED23" s="42">
        <v>94.95133290000004</v>
      </c>
      <c r="EE23" s="43">
        <v>3.8256848268003618</v>
      </c>
      <c r="EF23" s="67">
        <v>9.9142013963736758E-2</v>
      </c>
      <c r="EG23" s="10">
        <f t="shared" si="43"/>
        <v>1.1296036302102199</v>
      </c>
      <c r="EH23" s="10" t="str">
        <f t="shared" si="44"/>
        <v xml:space="preserve"> </v>
      </c>
      <c r="EI23" s="10"/>
      <c r="EJ23" s="53">
        <v>87</v>
      </c>
      <c r="EK23" s="55">
        <v>3.73785391063219</v>
      </c>
      <c r="EL23" s="56">
        <v>0.10434883490327825</v>
      </c>
      <c r="EM23" s="10">
        <f t="shared" si="45"/>
        <v>1.7907701930978306</v>
      </c>
      <c r="EN23" s="10" t="str">
        <f t="shared" si="46"/>
        <v xml:space="preserve"> </v>
      </c>
      <c r="EO23" s="10"/>
      <c r="EP23" s="54">
        <v>60</v>
      </c>
      <c r="EQ23" s="57">
        <v>3.8166666666666655</v>
      </c>
      <c r="ER23" s="58">
        <v>0.12268548392286949</v>
      </c>
      <c r="ES23" s="10">
        <f t="shared" si="47"/>
        <v>1.0341482252458256</v>
      </c>
      <c r="ET23" s="10" t="str">
        <f t="shared" si="48"/>
        <v xml:space="preserve"> </v>
      </c>
      <c r="EU23" s="114">
        <f t="shared" si="49"/>
        <v>0.14593793620750395</v>
      </c>
      <c r="EV23" s="76"/>
      <c r="EW23" s="27">
        <v>436</v>
      </c>
      <c r="EX23" s="28">
        <v>4.0377228118072264</v>
      </c>
      <c r="EY23" s="29">
        <v>4.6575094702556857E-2</v>
      </c>
      <c r="EZ23" s="10"/>
      <c r="FA23" s="42">
        <v>135</v>
      </c>
      <c r="FB23" s="43">
        <v>4.0073576800162556</v>
      </c>
      <c r="FC23" s="67">
        <v>8.3067817330137447E-2</v>
      </c>
      <c r="FD23" s="10">
        <f t="shared" si="50"/>
        <v>0.31884782335386952</v>
      </c>
      <c r="FE23" s="10" t="str">
        <f t="shared" si="51"/>
        <v xml:space="preserve"> </v>
      </c>
      <c r="FF23" s="114">
        <f t="shared" si="52"/>
        <v>3.0365131790970779E-2</v>
      </c>
      <c r="FG23" s="10"/>
      <c r="FH23" s="42">
        <v>160.59151133999987</v>
      </c>
      <c r="FI23" s="43">
        <v>3.7266827837053453</v>
      </c>
      <c r="FJ23" s="67">
        <v>7.5341225729028016E-2</v>
      </c>
      <c r="FK23" s="10">
        <f t="shared" si="53"/>
        <v>3.511598615859072</v>
      </c>
      <c r="FL23" s="10" t="str">
        <f t="shared" si="54"/>
        <v>*</v>
      </c>
      <c r="FM23" s="10"/>
      <c r="FN23" s="53">
        <v>144</v>
      </c>
      <c r="FO23" s="55">
        <v>3.8922757470839255</v>
      </c>
      <c r="FP23" s="56">
        <v>8.3917817819861878E-2</v>
      </c>
      <c r="FQ23" s="10">
        <f t="shared" si="55"/>
        <v>1.5154485862938509</v>
      </c>
      <c r="FR23" s="10" t="str">
        <f t="shared" si="56"/>
        <v xml:space="preserve"> </v>
      </c>
      <c r="FS23" s="10"/>
      <c r="FT23" s="54">
        <v>191</v>
      </c>
      <c r="FU23" s="57">
        <v>3.7147349101499501</v>
      </c>
      <c r="FV23" s="58">
        <v>6.290366069570448E-2</v>
      </c>
      <c r="FW23" s="10">
        <f t="shared" si="57"/>
        <v>4.126614126378132</v>
      </c>
      <c r="FX23" s="10" t="str">
        <f t="shared" si="125"/>
        <v>*</v>
      </c>
      <c r="FY23" s="114">
        <f t="shared" si="58"/>
        <v>0.32298790165727631</v>
      </c>
      <c r="FZ23" s="76"/>
      <c r="GA23" s="27">
        <v>207</v>
      </c>
      <c r="GB23" s="28">
        <v>4.0212891692323804</v>
      </c>
      <c r="GC23" s="29">
        <v>6.8122204741264458E-2</v>
      </c>
      <c r="GD23" s="67"/>
      <c r="GE23" s="42">
        <v>159</v>
      </c>
      <c r="GF23" s="43">
        <v>3.8246573040026148</v>
      </c>
      <c r="GG23" s="67">
        <v>8.0771941202983713E-2</v>
      </c>
      <c r="GH23" s="10">
        <f t="shared" si="59"/>
        <v>1.8609279869311099</v>
      </c>
      <c r="GI23" s="10" t="str">
        <f t="shared" si="60"/>
        <v xml:space="preserve"> </v>
      </c>
      <c r="GJ23" s="114">
        <f t="shared" si="61"/>
        <v>0.19663186522976561</v>
      </c>
      <c r="GK23" s="67"/>
      <c r="GL23" s="42">
        <v>182.6063292900003</v>
      </c>
      <c r="GM23" s="43">
        <v>4.0286443449158496</v>
      </c>
      <c r="GN23" s="67">
        <v>7.5420300663540107E-2</v>
      </c>
      <c r="GO23" s="10">
        <f t="shared" si="62"/>
        <v>-7.2371392350106561E-2</v>
      </c>
      <c r="GP23" s="10" t="str">
        <f t="shared" si="63"/>
        <v xml:space="preserve"> </v>
      </c>
      <c r="GQ23" s="10"/>
      <c r="GR23" s="53">
        <v>194</v>
      </c>
      <c r="GS23" s="55">
        <v>3.7911433362820368</v>
      </c>
      <c r="GT23" s="56">
        <v>8.0412630900949814E-2</v>
      </c>
      <c r="GU23" s="10">
        <f t="shared" si="64"/>
        <v>2.1837762177909985</v>
      </c>
      <c r="GV23" s="10" t="str">
        <f t="shared" si="65"/>
        <v>*</v>
      </c>
      <c r="GW23" s="10"/>
      <c r="GX23" s="54">
        <v>181</v>
      </c>
      <c r="GY23" s="57">
        <v>3.874201610839906</v>
      </c>
      <c r="GZ23" s="58">
        <v>7.4701821883744801E-2</v>
      </c>
      <c r="HA23" s="10">
        <f t="shared" si="66"/>
        <v>1.454887153326843</v>
      </c>
      <c r="HB23" s="10" t="str">
        <f t="shared" si="126"/>
        <v xml:space="preserve"> </v>
      </c>
      <c r="HC23" s="114">
        <f t="shared" si="67"/>
        <v>0.14708755839247445</v>
      </c>
      <c r="HD23" s="76"/>
      <c r="HE23" s="27">
        <v>216</v>
      </c>
      <c r="HF23" s="28">
        <v>3.9736605070364495</v>
      </c>
      <c r="HG23" s="29">
        <v>6.8798346155253154E-2</v>
      </c>
      <c r="HH23" s="10"/>
      <c r="HI23" s="42">
        <v>130</v>
      </c>
      <c r="HJ23" s="43">
        <v>4.0491481040303672</v>
      </c>
      <c r="HK23" s="67">
        <v>8.7455807840370076E-2</v>
      </c>
      <c r="HL23" s="10">
        <f t="shared" si="68"/>
        <v>-0.67839856817225519</v>
      </c>
      <c r="HM23" s="10" t="str">
        <f t="shared" si="69"/>
        <v xml:space="preserve"> </v>
      </c>
      <c r="HN23" s="114">
        <f t="shared" si="70"/>
        <v>-7.5487596993917716E-2</v>
      </c>
      <c r="HO23" s="10"/>
      <c r="HP23" s="42">
        <v>118.8765762099999</v>
      </c>
      <c r="HQ23" s="43">
        <v>4.04172135014419</v>
      </c>
      <c r="HR23" s="67">
        <v>9.2971433657102504E-2</v>
      </c>
      <c r="HS23" s="10">
        <f t="shared" si="71"/>
        <v>-0.58846357502613578</v>
      </c>
      <c r="HT23" s="10" t="str">
        <f t="shared" si="72"/>
        <v xml:space="preserve"> </v>
      </c>
      <c r="HU23" s="10"/>
      <c r="HV23" s="53">
        <v>79</v>
      </c>
      <c r="HW23" s="55">
        <v>4.2019027474288002</v>
      </c>
      <c r="HX23" s="56">
        <v>8.570118231515049E-2</v>
      </c>
      <c r="HY23" s="10">
        <f t="shared" si="73"/>
        <v>-2.0768264942329759</v>
      </c>
      <c r="HZ23" s="10" t="str">
        <f t="shared" si="74"/>
        <v>*</v>
      </c>
      <c r="IA23" s="10"/>
      <c r="IB23" s="54">
        <v>145</v>
      </c>
      <c r="IC23" s="57">
        <v>4.1296625220079468</v>
      </c>
      <c r="ID23" s="58">
        <v>8.0381210946022547E-2</v>
      </c>
      <c r="IE23" s="10">
        <f t="shared" si="75"/>
        <v>-1.4744523364029132</v>
      </c>
      <c r="IF23" s="10" t="str">
        <f t="shared" si="127"/>
        <v xml:space="preserve"> </v>
      </c>
      <c r="IG23" s="114">
        <f t="shared" si="76"/>
        <v>-0.15600201497149735</v>
      </c>
      <c r="IH23" s="76"/>
      <c r="II23" s="27">
        <v>490</v>
      </c>
      <c r="IJ23" s="28">
        <v>3.9223648567952658</v>
      </c>
      <c r="IK23" s="29">
        <v>4.5962689230339478E-2</v>
      </c>
      <c r="IL23" s="10"/>
      <c r="IM23" s="42">
        <v>326</v>
      </c>
      <c r="IN23" s="43">
        <v>3.8425572319904613</v>
      </c>
      <c r="IO23" s="67">
        <v>5.7547030290416537E-2</v>
      </c>
      <c r="IP23" s="10">
        <f t="shared" si="77"/>
        <v>1.0836158722324309</v>
      </c>
      <c r="IQ23" s="10" t="str">
        <f t="shared" si="78"/>
        <v xml:space="preserve"> </v>
      </c>
      <c r="IR23" s="114">
        <f t="shared" si="79"/>
        <v>7.9807624804804522E-2</v>
      </c>
      <c r="IS23" s="10"/>
      <c r="IT23" s="42">
        <v>353.34155232000069</v>
      </c>
      <c r="IU23" s="43">
        <v>3.8822294609655374</v>
      </c>
      <c r="IV23" s="67">
        <v>5.3759687070029691E-2</v>
      </c>
      <c r="IW23" s="10">
        <f t="shared" si="80"/>
        <v>0.56744856629099272</v>
      </c>
      <c r="IX23" s="10" t="str">
        <f t="shared" si="81"/>
        <v xml:space="preserve"> </v>
      </c>
      <c r="IY23" s="10"/>
      <c r="IZ23" s="53">
        <v>339</v>
      </c>
      <c r="JA23" s="55">
        <v>3.9446729835103347</v>
      </c>
      <c r="JB23" s="56">
        <v>5.7642554108149731E-2</v>
      </c>
      <c r="JC23" s="10">
        <f t="shared" si="82"/>
        <v>-0.30258961983393823</v>
      </c>
      <c r="JD23" s="10" t="str">
        <f t="shared" si="83"/>
        <v xml:space="preserve"> </v>
      </c>
      <c r="JE23" s="10"/>
      <c r="JF23" s="54">
        <v>372</v>
      </c>
      <c r="JG23" s="57">
        <v>3.9035699627410239</v>
      </c>
      <c r="JH23" s="58">
        <v>5.3297406577555946E-2</v>
      </c>
      <c r="JI23" s="10">
        <f t="shared" si="84"/>
        <v>0.26705316145727381</v>
      </c>
      <c r="JJ23" s="10" t="str">
        <f t="shared" si="85"/>
        <v xml:space="preserve"> </v>
      </c>
      <c r="JK23" s="114">
        <f t="shared" si="86"/>
        <v>1.8794894054241951E-2</v>
      </c>
      <c r="JL23" s="76"/>
      <c r="JM23" s="27">
        <v>46</v>
      </c>
      <c r="JN23" s="28">
        <v>4.3478260869565215</v>
      </c>
      <c r="JO23" s="29">
        <v>0.13272625240589858</v>
      </c>
      <c r="JP23" s="10"/>
      <c r="JQ23" s="42">
        <v>35</v>
      </c>
      <c r="JR23" s="43">
        <v>4.3998878295255111</v>
      </c>
      <c r="JS23" s="67">
        <v>0.14322063709894017</v>
      </c>
      <c r="JT23" s="10">
        <f t="shared" si="87"/>
        <v>-0.26662100352759738</v>
      </c>
      <c r="JU23" s="10" t="str">
        <f t="shared" si="88"/>
        <v xml:space="preserve"> </v>
      </c>
      <c r="JV23" s="114">
        <f t="shared" si="89"/>
        <v>-5.2061742568989544E-2</v>
      </c>
      <c r="JW23" s="10"/>
      <c r="JX23" s="42">
        <v>30.693701090000005</v>
      </c>
      <c r="JY23" s="43">
        <v>4.4193548387096788</v>
      </c>
      <c r="JZ23" s="67">
        <v>0.14572781458870607</v>
      </c>
      <c r="KA23" s="10">
        <f t="shared" si="90"/>
        <v>-0.36288513889608892</v>
      </c>
      <c r="KB23" s="10" t="str">
        <f t="shared" si="91"/>
        <v xml:space="preserve"> </v>
      </c>
      <c r="KC23" s="10"/>
      <c r="KD23" s="53">
        <v>31</v>
      </c>
      <c r="KE23" s="55">
        <v>4.3225806451612918</v>
      </c>
      <c r="KF23" s="56">
        <v>0.18998633737993129</v>
      </c>
      <c r="KG23" s="10">
        <f t="shared" si="92"/>
        <v>0.10893089889108934</v>
      </c>
      <c r="KH23" s="10" t="str">
        <f t="shared" si="93"/>
        <v xml:space="preserve"> </v>
      </c>
      <c r="KI23" s="10"/>
      <c r="KJ23" s="54">
        <v>51</v>
      </c>
      <c r="KK23" s="57">
        <v>4.0588235294117654</v>
      </c>
      <c r="KL23" s="58">
        <v>0.14891676460259948</v>
      </c>
      <c r="KM23" s="10">
        <f t="shared" si="94"/>
        <v>1.448776147593458</v>
      </c>
      <c r="KN23" s="10" t="str">
        <f t="shared" si="95"/>
        <v xml:space="preserve"> </v>
      </c>
      <c r="KO23" s="114">
        <f t="shared" si="96"/>
        <v>0.28900255754475612</v>
      </c>
      <c r="KP23" s="76"/>
      <c r="KQ23" s="27">
        <v>493</v>
      </c>
      <c r="KR23" s="28">
        <v>3.957303320895488</v>
      </c>
      <c r="KS23" s="29">
        <v>4.6656898561048557E-2</v>
      </c>
      <c r="KT23" s="10"/>
      <c r="KU23" s="42">
        <v>303</v>
      </c>
      <c r="KV23" s="43">
        <v>3.9831431536051474</v>
      </c>
      <c r="KW23" s="67">
        <v>5.7181451789883715E-2</v>
      </c>
      <c r="KX23" s="10">
        <f t="shared" si="97"/>
        <v>-0.35012858632790467</v>
      </c>
      <c r="KY23" s="10" t="str">
        <f t="shared" si="98"/>
        <v xml:space="preserve"> </v>
      </c>
      <c r="KZ23" s="114">
        <f t="shared" si="99"/>
        <v>-2.5839832709659394E-2</v>
      </c>
      <c r="LA23" s="10"/>
      <c r="LB23" s="42">
        <v>351.3102544000007</v>
      </c>
      <c r="LC23" s="43">
        <v>4.0919973607237852</v>
      </c>
      <c r="LD23" s="67">
        <v>5.3304566284867266E-2</v>
      </c>
      <c r="LE23" s="10">
        <f t="shared" si="100"/>
        <v>-1.9013958264491615</v>
      </c>
      <c r="LF23" s="10" t="str">
        <f t="shared" si="101"/>
        <v xml:space="preserve"> </v>
      </c>
      <c r="LG23" s="10"/>
      <c r="LH23" s="53">
        <v>678</v>
      </c>
      <c r="LI23" s="55">
        <v>3.9501842551991917</v>
      </c>
      <c r="LJ23" s="56">
        <v>4.0707233549779925E-2</v>
      </c>
      <c r="LK23" s="10">
        <f t="shared" si="102"/>
        <v>0.11497411064591082</v>
      </c>
      <c r="LL23" s="10" t="str">
        <f t="shared" si="103"/>
        <v xml:space="preserve"> </v>
      </c>
      <c r="LM23" s="10"/>
      <c r="LN23" s="54">
        <v>666</v>
      </c>
      <c r="LO23" s="57">
        <v>3.9112976206946048</v>
      </c>
      <c r="LP23" s="58">
        <v>3.8162249139183112E-2</v>
      </c>
      <c r="LQ23" s="10">
        <f t="shared" si="104"/>
        <v>0.76324785268186557</v>
      </c>
      <c r="LR23" s="10" t="str">
        <f t="shared" si="128"/>
        <v xml:space="preserve"> </v>
      </c>
      <c r="LS23" s="114">
        <f t="shared" si="105"/>
        <v>4.6005700200883126E-2</v>
      </c>
      <c r="LT23" s="76"/>
      <c r="LU23" s="27">
        <v>158</v>
      </c>
      <c r="LV23" s="28">
        <v>4.0569620253164533</v>
      </c>
      <c r="LW23" s="29">
        <v>7.14374959715708E-2</v>
      </c>
      <c r="LX23" s="10"/>
      <c r="LY23" s="42">
        <v>167</v>
      </c>
      <c r="LZ23" s="43">
        <v>4.0778808880455264</v>
      </c>
      <c r="MA23" s="67">
        <v>7.5939957899731805E-2</v>
      </c>
      <c r="MB23" s="10">
        <f t="shared" si="106"/>
        <v>-0.20064088825509024</v>
      </c>
      <c r="MC23" s="10" t="str">
        <f t="shared" si="107"/>
        <v xml:space="preserve"> </v>
      </c>
      <c r="MD23" s="114">
        <f t="shared" si="108"/>
        <v>-2.0918862729073062E-2</v>
      </c>
      <c r="ME23" s="10"/>
      <c r="MF23" s="42">
        <v>176.55914927999967</v>
      </c>
      <c r="MG23" s="43">
        <v>4.1532127986587692</v>
      </c>
      <c r="MH23" s="67">
        <v>6.7617647567973671E-2</v>
      </c>
      <c r="MI23" s="10">
        <f t="shared" si="109"/>
        <v>-0.97851698772626616</v>
      </c>
      <c r="MJ23" s="10" t="str">
        <f t="shared" si="110"/>
        <v xml:space="preserve"> </v>
      </c>
      <c r="MK23" s="10"/>
      <c r="ML23" s="53">
        <v>414</v>
      </c>
      <c r="MM23" s="55">
        <v>3.9057971014492758</v>
      </c>
      <c r="MN23" s="56">
        <v>4.9499412170946111E-2</v>
      </c>
      <c r="MO23" s="10">
        <f t="shared" si="111"/>
        <v>1.7393087964371661</v>
      </c>
      <c r="MP23" s="10" t="str">
        <f t="shared" si="112"/>
        <v xml:space="preserve"> </v>
      </c>
      <c r="MQ23" s="10"/>
      <c r="MR23" s="54">
        <v>414</v>
      </c>
      <c r="MS23" s="57">
        <v>3.947484466084147</v>
      </c>
      <c r="MT23" s="58">
        <v>4.9194536433735746E-2</v>
      </c>
      <c r="MU23" s="10">
        <f t="shared" si="113"/>
        <v>1.2621689827829086</v>
      </c>
      <c r="MV23" s="10" t="str">
        <f t="shared" si="114"/>
        <v xml:space="preserve"> </v>
      </c>
      <c r="MW23" s="114">
        <f t="shared" si="115"/>
        <v>0.10947755923230629</v>
      </c>
      <c r="MX23" s="76"/>
      <c r="MY23" s="27">
        <v>191</v>
      </c>
      <c r="MZ23" s="28">
        <v>4.1518424559621581</v>
      </c>
      <c r="NA23" s="29">
        <v>6.8566414680661283E-2</v>
      </c>
      <c r="NB23" s="10"/>
      <c r="NC23" s="42">
        <v>133</v>
      </c>
      <c r="ND23" s="43">
        <v>4.173437730720476</v>
      </c>
      <c r="NE23" s="67">
        <v>8.5806073245120934E-2</v>
      </c>
      <c r="NF23" s="10">
        <f t="shared" si="116"/>
        <v>-0.19661309151576367</v>
      </c>
      <c r="NG23" s="10" t="str">
        <f t="shared" si="117"/>
        <v xml:space="preserve"> </v>
      </c>
      <c r="NH23" s="114">
        <f t="shared" si="118"/>
        <v>-2.1595274758317906E-2</v>
      </c>
      <c r="NI23" s="10"/>
      <c r="NJ23" s="42">
        <v>111.65169052000002</v>
      </c>
      <c r="NK23" s="43">
        <v>4.2348370258245511</v>
      </c>
      <c r="NL23" s="67">
        <v>8.4562478991331735E-2</v>
      </c>
      <c r="NM23" s="10">
        <f t="shared" si="119"/>
        <v>-0.76234369765065157</v>
      </c>
      <c r="NN23" s="10" t="str">
        <f t="shared" si="120"/>
        <v xml:space="preserve"> </v>
      </c>
      <c r="NO23" s="10"/>
      <c r="NP23" s="53">
        <v>198</v>
      </c>
      <c r="NQ23" s="55">
        <v>3.9497177250794815</v>
      </c>
      <c r="NR23" s="56">
        <v>6.5998058252745434E-2</v>
      </c>
      <c r="NS23" s="10">
        <f t="shared" si="121"/>
        <v>2.1238554106905818</v>
      </c>
      <c r="NT23" s="10" t="str">
        <f t="shared" si="122"/>
        <v>*</v>
      </c>
      <c r="NU23" s="10"/>
      <c r="NV23" s="54">
        <v>201</v>
      </c>
      <c r="NW23" s="57">
        <v>4.1298578982169563</v>
      </c>
      <c r="NX23" s="58">
        <v>6.6791120151057704E-2</v>
      </c>
      <c r="NY23" s="10">
        <f t="shared" si="123"/>
        <v>0.22967458740423227</v>
      </c>
      <c r="NZ23" s="10" t="str">
        <f t="shared" si="129"/>
        <v xml:space="preserve"> </v>
      </c>
      <c r="OA23" s="114">
        <f t="shared" si="124"/>
        <v>2.1984557745201805E-2</v>
      </c>
      <c r="OB23" s="58"/>
    </row>
    <row r="24" spans="1:392" x14ac:dyDescent="0.2">
      <c r="B24" s="65" t="s">
        <v>22</v>
      </c>
      <c r="C24" s="27">
        <v>422</v>
      </c>
      <c r="D24" s="28">
        <v>3.7205623662395504</v>
      </c>
      <c r="E24" s="29">
        <v>5.5133121258261593E-2</v>
      </c>
      <c r="F24" s="10"/>
      <c r="G24" s="42">
        <v>132</v>
      </c>
      <c r="H24" s="43">
        <v>3.3182187741621152</v>
      </c>
      <c r="I24" s="67">
        <v>0.12215366380742296</v>
      </c>
      <c r="J24" s="10">
        <f t="shared" si="1"/>
        <v>3.0021312329276886</v>
      </c>
      <c r="K24" s="10" t="str">
        <f t="shared" si="2"/>
        <v>*</v>
      </c>
      <c r="L24" s="114">
        <f t="shared" si="3"/>
        <v>0.4023435920774352</v>
      </c>
      <c r="M24" s="10"/>
      <c r="N24" s="42">
        <v>128.92765212000009</v>
      </c>
      <c r="O24" s="43">
        <v>2.7741935483870961</v>
      </c>
      <c r="P24" s="67">
        <v>0.11714226925251696</v>
      </c>
      <c r="Q24" s="10">
        <f t="shared" si="4"/>
        <v>7.3096715469805051</v>
      </c>
      <c r="R24" s="10" t="str">
        <f t="shared" si="5"/>
        <v>*</v>
      </c>
      <c r="S24" s="10"/>
      <c r="T24" s="53">
        <v>131</v>
      </c>
      <c r="U24" s="55">
        <v>3.1297709923664114</v>
      </c>
      <c r="V24" s="56">
        <v>0.10691522673311019</v>
      </c>
      <c r="W24" s="10">
        <f t="shared" si="6"/>
        <v>4.9112492455394197</v>
      </c>
      <c r="X24" s="10" t="str">
        <f t="shared" si="7"/>
        <v>*</v>
      </c>
      <c r="Y24" s="10"/>
      <c r="Z24" s="54">
        <v>211</v>
      </c>
      <c r="AA24" s="57">
        <v>2.9526066350710907</v>
      </c>
      <c r="AB24" s="58">
        <v>7.2957103014605007E-2</v>
      </c>
      <c r="AC24" s="10">
        <f t="shared" si="8"/>
        <v>8.3979003834905335</v>
      </c>
      <c r="AD24" s="10" t="str">
        <f t="shared" si="9"/>
        <v>*</v>
      </c>
      <c r="AE24" s="114">
        <f t="shared" si="10"/>
        <v>0.76795573116845972</v>
      </c>
      <c r="AF24" s="76"/>
      <c r="AG24" s="27">
        <v>100</v>
      </c>
      <c r="AH24" s="28">
        <v>3.6722987697550513</v>
      </c>
      <c r="AI24" s="29">
        <v>0.11182529408525348</v>
      </c>
      <c r="AJ24" s="67"/>
      <c r="AK24" s="42">
        <v>56</v>
      </c>
      <c r="AL24" s="43">
        <v>3.9816569860451998</v>
      </c>
      <c r="AM24" s="67">
        <v>0.15756931703700949</v>
      </c>
      <c r="AN24" s="10">
        <f t="shared" si="11"/>
        <v>-1.6010883256732285</v>
      </c>
      <c r="AO24" s="10" t="str">
        <f t="shared" si="12"/>
        <v xml:space="preserve"> </v>
      </c>
      <c r="AP24" s="114">
        <f t="shared" si="13"/>
        <v>-0.30935821629014848</v>
      </c>
      <c r="AQ24" s="67"/>
      <c r="AR24" s="42">
        <v>93.008467890000006</v>
      </c>
      <c r="AS24" s="43">
        <v>2.7891199534305113</v>
      </c>
      <c r="AT24" s="67">
        <v>0.12878127482872787</v>
      </c>
      <c r="AU24" s="10">
        <f t="shared" si="14"/>
        <v>5.1782190402178223</v>
      </c>
      <c r="AV24" s="10" t="str">
        <f t="shared" si="15"/>
        <v>*</v>
      </c>
      <c r="AW24" s="10"/>
      <c r="AX24" s="53">
        <v>114</v>
      </c>
      <c r="AY24" s="55">
        <v>3.0601798881047455</v>
      </c>
      <c r="AZ24" s="56">
        <v>0.12481180798530649</v>
      </c>
      <c r="BA24" s="10">
        <f t="shared" si="16"/>
        <v>3.6527077372602372</v>
      </c>
      <c r="BB24" s="10" t="str">
        <f t="shared" si="17"/>
        <v>*</v>
      </c>
      <c r="BC24" s="10"/>
      <c r="BD24" s="54">
        <v>82</v>
      </c>
      <c r="BE24" s="57">
        <v>2.5053177429524598</v>
      </c>
      <c r="BF24" s="58">
        <v>0.11225900781452904</v>
      </c>
      <c r="BG24" s="10">
        <f t="shared" si="18"/>
        <v>7.3648947736031554</v>
      </c>
      <c r="BH24" s="10" t="str">
        <f t="shared" si="19"/>
        <v>*</v>
      </c>
      <c r="BI24" s="114">
        <f t="shared" si="20"/>
        <v>1.1669810268025915</v>
      </c>
      <c r="BJ24" s="76"/>
      <c r="BK24" s="27">
        <v>1077</v>
      </c>
      <c r="BL24" s="28">
        <v>3.7177009401689043</v>
      </c>
      <c r="BM24" s="29">
        <v>3.5966687508988099E-2</v>
      </c>
      <c r="BN24" s="10"/>
      <c r="BO24" s="42">
        <v>323</v>
      </c>
      <c r="BP24" s="43">
        <v>3.6499411339645094</v>
      </c>
      <c r="BQ24" s="67">
        <v>6.8498934317316143E-2</v>
      </c>
      <c r="BR24" s="10">
        <f t="shared" si="21"/>
        <v>0.87581916045286079</v>
      </c>
      <c r="BS24" s="10" t="str">
        <f t="shared" si="22"/>
        <v xml:space="preserve"> </v>
      </c>
      <c r="BT24" s="114">
        <f t="shared" si="23"/>
        <v>6.7759806204394923E-2</v>
      </c>
      <c r="BU24" s="10"/>
      <c r="BV24" s="42">
        <v>330.18068021999926</v>
      </c>
      <c r="BW24" s="43">
        <v>2.3163431562089101</v>
      </c>
      <c r="BX24" s="67">
        <v>5.2878795374330601E-2</v>
      </c>
      <c r="BY24" s="10">
        <f t="shared" si="24"/>
        <v>21.912887466435876</v>
      </c>
      <c r="BZ24" s="10" t="str">
        <f t="shared" si="25"/>
        <v>*</v>
      </c>
      <c r="CA24" s="10"/>
      <c r="CB24" s="53">
        <v>355</v>
      </c>
      <c r="CC24" s="55">
        <v>2.1681795441023306</v>
      </c>
      <c r="CD24" s="56">
        <v>3.7004730983896977E-2</v>
      </c>
      <c r="CE24" s="10">
        <f t="shared" si="26"/>
        <v>30.027270001889782</v>
      </c>
      <c r="CF24" s="10" t="str">
        <f t="shared" si="27"/>
        <v>*</v>
      </c>
      <c r="CG24" s="10"/>
      <c r="CH24" s="54">
        <v>392</v>
      </c>
      <c r="CI24" s="57">
        <v>3.0663788780749166</v>
      </c>
      <c r="CJ24" s="58">
        <v>6.4061428461331893E-2</v>
      </c>
      <c r="CK24" s="10">
        <f t="shared" si="28"/>
        <v>8.8654483044956365</v>
      </c>
      <c r="CL24" s="10" t="str">
        <f t="shared" si="29"/>
        <v>*</v>
      </c>
      <c r="CM24" s="114">
        <f t="shared" si="30"/>
        <v>0.65132206209398769</v>
      </c>
      <c r="CN24" s="76"/>
      <c r="CO24" s="27">
        <v>647</v>
      </c>
      <c r="CP24" s="28">
        <v>3.8498535111430625</v>
      </c>
      <c r="CQ24" s="29">
        <v>4.4369775730592295E-2</v>
      </c>
      <c r="CR24" s="67"/>
      <c r="CS24" s="42">
        <v>195</v>
      </c>
      <c r="CT24" s="43">
        <v>3.8463689203689677</v>
      </c>
      <c r="CU24" s="67">
        <v>8.1058659462469956E-2</v>
      </c>
      <c r="CV24" s="10">
        <f t="shared" si="31"/>
        <v>3.7708878399580592E-2</v>
      </c>
      <c r="CW24" s="10" t="str">
        <f t="shared" si="32"/>
        <v xml:space="preserve"> </v>
      </c>
      <c r="CX24" s="114">
        <f t="shared" si="33"/>
        <v>3.4845907740947979E-3</v>
      </c>
      <c r="CY24" s="10"/>
      <c r="CZ24" s="42">
        <v>205.69001129999958</v>
      </c>
      <c r="DA24" s="43">
        <v>3.4159733249039874</v>
      </c>
      <c r="DB24" s="67">
        <v>9.1587343873303736E-2</v>
      </c>
      <c r="DC24" s="10">
        <f t="shared" si="34"/>
        <v>4.2633848476614764</v>
      </c>
      <c r="DD24" s="10" t="str">
        <f t="shared" si="35"/>
        <v>*</v>
      </c>
      <c r="DE24" s="10"/>
      <c r="DF24" s="53">
        <v>199</v>
      </c>
      <c r="DG24" s="55">
        <v>3.913525130198344</v>
      </c>
      <c r="DH24" s="56">
        <v>8.0020120782972159E-2</v>
      </c>
      <c r="DI24" s="10">
        <f t="shared" si="36"/>
        <v>-0.69587937078179973</v>
      </c>
      <c r="DJ24" s="10" t="str">
        <f t="shared" si="0"/>
        <v xml:space="preserve"> </v>
      </c>
      <c r="DK24" s="10"/>
      <c r="DL24" s="54">
        <v>242</v>
      </c>
      <c r="DM24" s="57">
        <v>3.2729901376179082</v>
      </c>
      <c r="DN24" s="58">
        <v>8.1923700103713137E-2</v>
      </c>
      <c r="DO24" s="10">
        <f t="shared" si="37"/>
        <v>6.1916850771831271</v>
      </c>
      <c r="DP24" s="10" t="str">
        <f t="shared" si="38"/>
        <v>*</v>
      </c>
      <c r="DQ24" s="114">
        <f t="shared" si="39"/>
        <v>0.57686337352515427</v>
      </c>
      <c r="DR24" s="76"/>
      <c r="DS24" s="27">
        <v>211</v>
      </c>
      <c r="DT24" s="28">
        <v>4.0153986543414684</v>
      </c>
      <c r="DU24" s="29">
        <v>6.7025526018166234E-2</v>
      </c>
      <c r="DV24" s="10"/>
      <c r="DW24" s="42">
        <v>77</v>
      </c>
      <c r="DX24" s="43">
        <v>3.5854099599342075</v>
      </c>
      <c r="DY24" s="67">
        <v>0.14144812534240445</v>
      </c>
      <c r="DZ24" s="10">
        <f t="shared" si="40"/>
        <v>2.7470973762907085</v>
      </c>
      <c r="EA24" s="10" t="str">
        <f t="shared" si="41"/>
        <v>*</v>
      </c>
      <c r="EB24" s="114">
        <f t="shared" si="42"/>
        <v>0.42998869440726084</v>
      </c>
      <c r="EC24" s="10"/>
      <c r="ED24" s="42">
        <v>94.95133290000004</v>
      </c>
      <c r="EE24" s="43">
        <v>2.9793011069989941</v>
      </c>
      <c r="EF24" s="67">
        <v>0.1378036397637773</v>
      </c>
      <c r="EG24" s="10">
        <f t="shared" si="43"/>
        <v>6.7613070665906987</v>
      </c>
      <c r="EH24" s="10" t="str">
        <f t="shared" si="44"/>
        <v>*</v>
      </c>
      <c r="EI24" s="10"/>
      <c r="EJ24" s="53">
        <v>87</v>
      </c>
      <c r="EK24" s="55">
        <v>3.0149823338831676</v>
      </c>
      <c r="EL24" s="56">
        <v>0.12854476632614714</v>
      </c>
      <c r="EM24" s="10">
        <f t="shared" si="45"/>
        <v>6.9008708251236968</v>
      </c>
      <c r="EN24" s="10" t="str">
        <f t="shared" si="46"/>
        <v>*</v>
      </c>
      <c r="EO24" s="10"/>
      <c r="EP24" s="54">
        <v>60</v>
      </c>
      <c r="EQ24" s="57">
        <v>3.75</v>
      </c>
      <c r="ER24" s="58">
        <v>0.12494470778053803</v>
      </c>
      <c r="ES24" s="10">
        <f t="shared" si="47"/>
        <v>1.8718101025709426</v>
      </c>
      <c r="ET24" s="10" t="str">
        <f t="shared" si="48"/>
        <v xml:space="preserve"> </v>
      </c>
      <c r="EU24" s="114">
        <f t="shared" si="49"/>
        <v>0.26539865434146837</v>
      </c>
      <c r="EV24" s="76"/>
      <c r="EW24" s="27">
        <v>443</v>
      </c>
      <c r="EX24" s="28">
        <v>3.7905852282419801</v>
      </c>
      <c r="EY24" s="29">
        <v>5.5653428692544069E-2</v>
      </c>
      <c r="EZ24" s="10"/>
      <c r="FA24" s="42">
        <v>139</v>
      </c>
      <c r="FB24" s="43">
        <v>3.5690371965280754</v>
      </c>
      <c r="FC24" s="67">
        <v>0.10556928606449316</v>
      </c>
      <c r="FD24" s="10">
        <f t="shared" si="50"/>
        <v>1.8564347404102601</v>
      </c>
      <c r="FE24" s="10" t="str">
        <f t="shared" si="51"/>
        <v xml:space="preserve"> </v>
      </c>
      <c r="FF24" s="114">
        <f t="shared" si="52"/>
        <v>0.22154803171390469</v>
      </c>
      <c r="FG24" s="10"/>
      <c r="FH24" s="42">
        <v>161.63125046999988</v>
      </c>
      <c r="FI24" s="43">
        <v>2.6347429802199178</v>
      </c>
      <c r="FJ24" s="67">
        <v>0.10277621264029912</v>
      </c>
      <c r="FK24" s="10">
        <f t="shared" si="53"/>
        <v>9.8893825527485788</v>
      </c>
      <c r="FL24" s="10" t="str">
        <f t="shared" si="54"/>
        <v>*</v>
      </c>
      <c r="FM24" s="10"/>
      <c r="FN24" s="53">
        <v>146</v>
      </c>
      <c r="FO24" s="55">
        <v>3.264874469831708</v>
      </c>
      <c r="FP24" s="56">
        <v>0.11188166742853126</v>
      </c>
      <c r="FQ24" s="10">
        <f t="shared" si="55"/>
        <v>4.2070579087049484</v>
      </c>
      <c r="FR24" s="10" t="str">
        <f t="shared" si="56"/>
        <v>*</v>
      </c>
      <c r="FS24" s="10"/>
      <c r="FT24" s="54">
        <v>195</v>
      </c>
      <c r="FU24" s="57">
        <v>2.8230903571690216</v>
      </c>
      <c r="FV24" s="58">
        <v>8.2514674039984484E-2</v>
      </c>
      <c r="FW24" s="10">
        <f t="shared" si="57"/>
        <v>9.7207560740162027</v>
      </c>
      <c r="FX24" s="10" t="str">
        <f t="shared" si="125"/>
        <v>*</v>
      </c>
      <c r="FY24" s="114">
        <f t="shared" si="58"/>
        <v>0.96749487107295851</v>
      </c>
      <c r="FZ24" s="76"/>
      <c r="GA24" s="27">
        <v>215</v>
      </c>
      <c r="GB24" s="28">
        <v>3.8144804233395599</v>
      </c>
      <c r="GC24" s="29">
        <v>8.3646919020348307E-2</v>
      </c>
      <c r="GD24" s="67"/>
      <c r="GE24" s="42">
        <v>160</v>
      </c>
      <c r="GF24" s="43">
        <v>3.532646028608069</v>
      </c>
      <c r="GG24" s="67">
        <v>0.10232165284467902</v>
      </c>
      <c r="GH24" s="10">
        <f t="shared" si="59"/>
        <v>2.1325081728368587</v>
      </c>
      <c r="GI24" s="10" t="str">
        <f t="shared" si="60"/>
        <v>*</v>
      </c>
      <c r="GJ24" s="114">
        <f t="shared" si="61"/>
        <v>0.28183439473149097</v>
      </c>
      <c r="GK24" s="67"/>
      <c r="GL24" s="42">
        <v>188.37886281000038</v>
      </c>
      <c r="GM24" s="43">
        <v>3.7069513537955729</v>
      </c>
      <c r="GN24" s="67">
        <v>9.3082368144230127E-2</v>
      </c>
      <c r="GO24" s="10">
        <f t="shared" si="62"/>
        <v>0.85923959284671925</v>
      </c>
      <c r="GP24" s="10" t="str">
        <f t="shared" si="63"/>
        <v xml:space="preserve"> </v>
      </c>
      <c r="GQ24" s="10"/>
      <c r="GR24" s="53">
        <v>196</v>
      </c>
      <c r="GS24" s="55">
        <v>3.4094098788767249</v>
      </c>
      <c r="GT24" s="56">
        <v>0.10145899046706526</v>
      </c>
      <c r="GU24" s="10">
        <f t="shared" si="64"/>
        <v>3.0805194221232446</v>
      </c>
      <c r="GV24" s="10" t="str">
        <f t="shared" si="65"/>
        <v>*</v>
      </c>
      <c r="GW24" s="10"/>
      <c r="GX24" s="54">
        <v>180</v>
      </c>
      <c r="GY24" s="57">
        <v>3.5301507540971029</v>
      </c>
      <c r="GZ24" s="58">
        <v>9.08158526409759E-2</v>
      </c>
      <c r="HA24" s="10">
        <f t="shared" si="66"/>
        <v>2.3028627975250666</v>
      </c>
      <c r="HB24" s="10" t="str">
        <f t="shared" si="126"/>
        <v>*</v>
      </c>
      <c r="HC24" s="114">
        <f t="shared" si="67"/>
        <v>0.28432966924245706</v>
      </c>
      <c r="HD24" s="76"/>
      <c r="HE24" s="27">
        <v>219</v>
      </c>
      <c r="HF24" s="28">
        <v>3.7508330444941067</v>
      </c>
      <c r="HG24" s="29">
        <v>8.5337303869707448E-2</v>
      </c>
      <c r="HH24" s="10"/>
      <c r="HI24" s="42">
        <v>129</v>
      </c>
      <c r="HJ24" s="43">
        <v>3.6023812026753079</v>
      </c>
      <c r="HK24" s="67">
        <v>0.11764385372288311</v>
      </c>
      <c r="HL24" s="10">
        <f t="shared" si="68"/>
        <v>1.0214393964698081</v>
      </c>
      <c r="HM24" s="10" t="str">
        <f t="shared" si="69"/>
        <v xml:space="preserve"> </v>
      </c>
      <c r="HN24" s="114">
        <f t="shared" si="70"/>
        <v>0.14845184181879878</v>
      </c>
      <c r="HO24" s="10"/>
      <c r="HP24" s="42">
        <v>121.89831667999989</v>
      </c>
      <c r="HQ24" s="43">
        <v>3.7794604659671167</v>
      </c>
      <c r="HR24" s="67">
        <v>0.11372519992317524</v>
      </c>
      <c r="HS24" s="10">
        <f t="shared" si="71"/>
        <v>-0.20134272579612755</v>
      </c>
      <c r="HT24" s="10" t="str">
        <f t="shared" si="72"/>
        <v xml:space="preserve"> </v>
      </c>
      <c r="HU24" s="10"/>
      <c r="HV24" s="53">
        <v>83</v>
      </c>
      <c r="HW24" s="55">
        <v>4.0298657306542784</v>
      </c>
      <c r="HX24" s="56">
        <v>0.11494941679125094</v>
      </c>
      <c r="HY24" s="10">
        <f t="shared" si="73"/>
        <v>-1.9490473499737526</v>
      </c>
      <c r="HZ24" s="10" t="str">
        <f t="shared" si="74"/>
        <v xml:space="preserve"> </v>
      </c>
      <c r="IA24" s="10"/>
      <c r="IB24" s="54">
        <v>146</v>
      </c>
      <c r="IC24" s="57">
        <v>3.9244883556570209</v>
      </c>
      <c r="ID24" s="58">
        <v>9.1011311602647998E-2</v>
      </c>
      <c r="IE24" s="10">
        <f t="shared" si="75"/>
        <v>-1.3918945474259525</v>
      </c>
      <c r="IF24" s="10" t="str">
        <f t="shared" si="127"/>
        <v xml:space="preserve"> </v>
      </c>
      <c r="IG24" s="114">
        <f t="shared" si="76"/>
        <v>-0.17365531116291422</v>
      </c>
      <c r="IH24" s="76"/>
      <c r="II24" s="27">
        <v>497</v>
      </c>
      <c r="IJ24" s="28">
        <v>3.694188304989741</v>
      </c>
      <c r="IK24" s="29">
        <v>5.5038023622822056E-2</v>
      </c>
      <c r="IL24" s="10"/>
      <c r="IM24" s="42">
        <v>330</v>
      </c>
      <c r="IN24" s="43">
        <v>3.5713409468640811</v>
      </c>
      <c r="IO24" s="67">
        <v>7.1969861908728242E-2</v>
      </c>
      <c r="IP24" s="10">
        <f t="shared" si="77"/>
        <v>1.35589104300074</v>
      </c>
      <c r="IQ24" s="10" t="str">
        <f t="shared" si="78"/>
        <v xml:space="preserve"> </v>
      </c>
      <c r="IR24" s="114">
        <f t="shared" si="79"/>
        <v>0.12284735812565994</v>
      </c>
      <c r="IS24" s="10"/>
      <c r="IT24" s="42">
        <v>355.13025645000062</v>
      </c>
      <c r="IU24" s="43">
        <v>3.6522051224959764</v>
      </c>
      <c r="IV24" s="67">
        <v>6.1958704078924585E-2</v>
      </c>
      <c r="IW24" s="10">
        <f t="shared" si="80"/>
        <v>0.50659180103964407</v>
      </c>
      <c r="IX24" s="10" t="str">
        <f t="shared" si="81"/>
        <v xml:space="preserve"> </v>
      </c>
      <c r="IY24" s="10"/>
      <c r="IZ24" s="53">
        <v>341</v>
      </c>
      <c r="JA24" s="55">
        <v>3.8340619906181743</v>
      </c>
      <c r="JB24" s="56">
        <v>6.5945804727390381E-2</v>
      </c>
      <c r="JC24" s="10">
        <f t="shared" si="82"/>
        <v>-1.6284173308410588</v>
      </c>
      <c r="JD24" s="10" t="str">
        <f t="shared" si="83"/>
        <v xml:space="preserve"> </v>
      </c>
      <c r="JE24" s="10"/>
      <c r="JF24" s="54">
        <v>378</v>
      </c>
      <c r="JG24" s="57">
        <v>3.7629878867260107</v>
      </c>
      <c r="JH24" s="58">
        <v>5.8392656453845879E-2</v>
      </c>
      <c r="JI24" s="10">
        <f t="shared" si="84"/>
        <v>-0.85739395539382324</v>
      </c>
      <c r="JJ24" s="10" t="str">
        <f t="shared" si="85"/>
        <v xml:space="preserve"> </v>
      </c>
      <c r="JK24" s="114">
        <f t="shared" si="86"/>
        <v>-6.8799581736269655E-2</v>
      </c>
      <c r="JL24" s="76"/>
      <c r="JM24" s="27">
        <v>46</v>
      </c>
      <c r="JN24" s="28">
        <v>4.3043478260869561</v>
      </c>
      <c r="JO24" s="29">
        <v>0.15507715856462778</v>
      </c>
      <c r="JP24" s="10"/>
      <c r="JQ24" s="42">
        <v>34</v>
      </c>
      <c r="JR24" s="43">
        <v>4.3816397230206059</v>
      </c>
      <c r="JS24" s="67">
        <v>0.15233516983603557</v>
      </c>
      <c r="JT24" s="10">
        <f t="shared" si="87"/>
        <v>-0.35555796200810191</v>
      </c>
      <c r="JU24" s="10" t="str">
        <f t="shared" si="88"/>
        <v xml:space="preserve"> </v>
      </c>
      <c r="JV24" s="114">
        <f t="shared" si="89"/>
        <v>-7.7291896933649795E-2</v>
      </c>
      <c r="JW24" s="10"/>
      <c r="JX24" s="42">
        <v>30.693701090000005</v>
      </c>
      <c r="JY24" s="43">
        <v>4.4193548387096779</v>
      </c>
      <c r="JZ24" s="67">
        <v>0.15300103588556874</v>
      </c>
      <c r="KA24" s="10">
        <f t="shared" si="90"/>
        <v>-0.52792046614989729</v>
      </c>
      <c r="KB24" s="10" t="str">
        <f t="shared" si="91"/>
        <v xml:space="preserve"> </v>
      </c>
      <c r="KC24" s="10"/>
      <c r="KD24" s="53">
        <v>31</v>
      </c>
      <c r="KE24" s="55">
        <v>4.3870967741935489</v>
      </c>
      <c r="KF24" s="56">
        <v>0.1798027014608114</v>
      </c>
      <c r="KG24" s="10">
        <f t="shared" si="92"/>
        <v>-0.34850410139631954</v>
      </c>
      <c r="KH24" s="10" t="str">
        <f t="shared" si="93"/>
        <v xml:space="preserve"> </v>
      </c>
      <c r="KI24" s="10"/>
      <c r="KJ24" s="54">
        <v>52</v>
      </c>
      <c r="KK24" s="57">
        <v>4.3269230769230784</v>
      </c>
      <c r="KL24" s="58">
        <v>0.14410118351384282</v>
      </c>
      <c r="KM24" s="10">
        <f t="shared" si="94"/>
        <v>-0.10664128274092891</v>
      </c>
      <c r="KN24" s="10" t="str">
        <f t="shared" si="95"/>
        <v xml:space="preserve"> </v>
      </c>
      <c r="KO24" s="114">
        <f t="shared" si="96"/>
        <v>-2.2575250836122329E-2</v>
      </c>
      <c r="KP24" s="76"/>
      <c r="KQ24" s="27">
        <v>501</v>
      </c>
      <c r="KR24" s="28">
        <v>3.886166431655655</v>
      </c>
      <c r="KS24" s="29">
        <v>5.0400286254128977E-2</v>
      </c>
      <c r="KT24" s="10"/>
      <c r="KU24" s="42">
        <v>307</v>
      </c>
      <c r="KV24" s="43">
        <v>3.8304856978599968</v>
      </c>
      <c r="KW24" s="67">
        <v>6.7616622628739659E-2</v>
      </c>
      <c r="KX24" s="10">
        <f t="shared" si="97"/>
        <v>0.66024189134915756</v>
      </c>
      <c r="KY24" s="10" t="str">
        <f t="shared" si="98"/>
        <v xml:space="preserve"> </v>
      </c>
      <c r="KZ24" s="114">
        <f t="shared" si="99"/>
        <v>5.5680733795658188E-2</v>
      </c>
      <c r="LA24" s="10"/>
      <c r="LB24" s="42">
        <v>354.28061257000076</v>
      </c>
      <c r="LC24" s="43">
        <v>4.2067073569698374</v>
      </c>
      <c r="LD24" s="67">
        <v>5.0567883099053045E-2</v>
      </c>
      <c r="LE24" s="10">
        <f t="shared" si="100"/>
        <v>-4.4896594865689465</v>
      </c>
      <c r="LF24" s="10" t="str">
        <f t="shared" si="101"/>
        <v>*</v>
      </c>
      <c r="LG24" s="10"/>
      <c r="LH24" s="53">
        <v>686</v>
      </c>
      <c r="LI24" s="55">
        <v>3.826845701189149</v>
      </c>
      <c r="LJ24" s="56">
        <v>4.5028241523609153E-2</v>
      </c>
      <c r="LK24" s="10">
        <f t="shared" si="102"/>
        <v>0.87772043935331379</v>
      </c>
      <c r="LL24" s="10" t="str">
        <f t="shared" si="103"/>
        <v xml:space="preserve"> </v>
      </c>
      <c r="LM24" s="10"/>
      <c r="LN24" s="54">
        <v>674</v>
      </c>
      <c r="LO24" s="57">
        <v>3.9391879807578447</v>
      </c>
      <c r="LP24" s="58">
        <v>4.0785234606072078E-2</v>
      </c>
      <c r="LQ24" s="10">
        <f t="shared" si="104"/>
        <v>-0.81778750278970047</v>
      </c>
      <c r="LR24" s="10" t="str">
        <f t="shared" si="128"/>
        <v xml:space="preserve"> </v>
      </c>
      <c r="LS24" s="114">
        <f t="shared" si="105"/>
        <v>-5.3021549102189702E-2</v>
      </c>
      <c r="LT24" s="76"/>
      <c r="LU24" s="27">
        <v>158</v>
      </c>
      <c r="LV24" s="28">
        <v>3.9113924050632907</v>
      </c>
      <c r="LW24" s="29">
        <v>8.9550214673431383E-2</v>
      </c>
      <c r="LX24" s="10"/>
      <c r="LY24" s="42">
        <v>172</v>
      </c>
      <c r="LZ24" s="43">
        <v>3.9710310218756568</v>
      </c>
      <c r="MA24" s="67">
        <v>8.2596314616340483E-2</v>
      </c>
      <c r="MB24" s="10">
        <f t="shared" si="106"/>
        <v>-0.48954232073782333</v>
      </c>
      <c r="MC24" s="10" t="str">
        <f t="shared" si="107"/>
        <v xml:space="preserve"> </v>
      </c>
      <c r="MD24" s="114">
        <f t="shared" si="108"/>
        <v>-5.9638616812366152E-2</v>
      </c>
      <c r="ME24" s="10"/>
      <c r="MF24" s="42">
        <v>178.53938805999965</v>
      </c>
      <c r="MG24" s="43">
        <v>4.0849655018695525</v>
      </c>
      <c r="MH24" s="67">
        <v>6.8909449092809966E-2</v>
      </c>
      <c r="MI24" s="10">
        <f t="shared" si="109"/>
        <v>-1.5361201064621841</v>
      </c>
      <c r="MJ24" s="10" t="str">
        <f t="shared" si="110"/>
        <v xml:space="preserve"> </v>
      </c>
      <c r="MK24" s="10"/>
      <c r="ML24" s="53">
        <v>419</v>
      </c>
      <c r="MM24" s="55">
        <v>3.718377088305489</v>
      </c>
      <c r="MN24" s="56">
        <v>5.6110782194361573E-2</v>
      </c>
      <c r="MO24" s="10">
        <f t="shared" si="111"/>
        <v>1.826462105505726</v>
      </c>
      <c r="MP24" s="10" t="str">
        <f t="shared" si="112"/>
        <v xml:space="preserve"> </v>
      </c>
      <c r="MQ24" s="10"/>
      <c r="MR24" s="54">
        <v>426</v>
      </c>
      <c r="MS24" s="57">
        <v>3.9183431186408892</v>
      </c>
      <c r="MT24" s="58">
        <v>5.5390388830059603E-2</v>
      </c>
      <c r="MU24" s="10">
        <f t="shared" si="113"/>
        <v>-6.6010920023896025E-2</v>
      </c>
      <c r="MV24" s="10" t="str">
        <f t="shared" si="114"/>
        <v xml:space="preserve"> </v>
      </c>
      <c r="MW24" s="114">
        <f t="shared" si="115"/>
        <v>-6.9507135775985773E-3</v>
      </c>
      <c r="MX24" s="76"/>
      <c r="MY24" s="27">
        <v>191</v>
      </c>
      <c r="MZ24" s="28">
        <v>4.1726584540877862</v>
      </c>
      <c r="NA24" s="29">
        <v>7.3373351944754917E-2</v>
      </c>
      <c r="NB24" s="10"/>
      <c r="NC24" s="42">
        <v>135</v>
      </c>
      <c r="ND24" s="43">
        <v>3.9487776482898522</v>
      </c>
      <c r="NE24" s="67">
        <v>0.10049733228826185</v>
      </c>
      <c r="NF24" s="10">
        <f t="shared" si="116"/>
        <v>1.7992197905684031</v>
      </c>
      <c r="NG24" s="10" t="str">
        <f t="shared" si="117"/>
        <v xml:space="preserve"> </v>
      </c>
      <c r="NH24" s="114">
        <f t="shared" si="118"/>
        <v>0.22388080579793401</v>
      </c>
      <c r="NI24" s="10"/>
      <c r="NJ24" s="42">
        <v>114.62204869000003</v>
      </c>
      <c r="NK24" s="43">
        <v>4.132345293801432</v>
      </c>
      <c r="NL24" s="67">
        <v>9.8221613371850439E-2</v>
      </c>
      <c r="NM24" s="10">
        <f t="shared" si="119"/>
        <v>0.32881450740082735</v>
      </c>
      <c r="NN24" s="10" t="str">
        <f t="shared" si="120"/>
        <v xml:space="preserve"> </v>
      </c>
      <c r="NO24" s="10"/>
      <c r="NP24" s="53">
        <v>199</v>
      </c>
      <c r="NQ24" s="55">
        <v>3.9049128822989432</v>
      </c>
      <c r="NR24" s="56">
        <v>7.6977497510801976E-2</v>
      </c>
      <c r="NS24" s="10">
        <f t="shared" si="121"/>
        <v>2.5177155587743165</v>
      </c>
      <c r="NT24" s="10" t="str">
        <f t="shared" si="122"/>
        <v>*</v>
      </c>
      <c r="NU24" s="10"/>
      <c r="NV24" s="54">
        <v>206</v>
      </c>
      <c r="NW24" s="57">
        <v>4.0985282359570183</v>
      </c>
      <c r="NX24" s="58">
        <v>7.9366255121941856E-2</v>
      </c>
      <c r="NY24" s="10">
        <f t="shared" si="123"/>
        <v>0.68584278189033265</v>
      </c>
      <c r="NZ24" s="10" t="str">
        <f t="shared" si="129"/>
        <v xml:space="preserve"> </v>
      </c>
      <c r="OA24" s="114">
        <f t="shared" si="124"/>
        <v>7.4130218130767922E-2</v>
      </c>
      <c r="OB24" s="58"/>
    </row>
    <row r="25" spans="1:392" x14ac:dyDescent="0.2">
      <c r="B25" s="65" t="s">
        <v>23</v>
      </c>
      <c r="C25" s="27">
        <v>409</v>
      </c>
      <c r="D25" s="28">
        <v>3.9903692265865418</v>
      </c>
      <c r="E25" s="29">
        <v>5.0173264581333379E-2</v>
      </c>
      <c r="F25" s="10"/>
      <c r="G25" s="42">
        <v>129</v>
      </c>
      <c r="H25" s="43">
        <v>3.7674902287991223</v>
      </c>
      <c r="I25" s="67">
        <v>9.6525637753063678E-2</v>
      </c>
      <c r="J25" s="10">
        <f t="shared" si="1"/>
        <v>2.0487698575068682</v>
      </c>
      <c r="K25" s="10" t="str">
        <f t="shared" si="2"/>
        <v>*</v>
      </c>
      <c r="L25" s="114">
        <f t="shared" si="3"/>
        <v>0.22287899778741949</v>
      </c>
      <c r="M25" s="10"/>
      <c r="N25" s="42">
        <v>126.8481738600001</v>
      </c>
      <c r="O25" s="43">
        <v>4.0573770491803298</v>
      </c>
      <c r="P25" s="67">
        <v>6.9704572418221783E-2</v>
      </c>
      <c r="Q25" s="10">
        <f t="shared" si="4"/>
        <v>-0.7802119215639074</v>
      </c>
      <c r="R25" s="10" t="str">
        <f t="shared" si="5"/>
        <v xml:space="preserve"> </v>
      </c>
      <c r="S25" s="10"/>
      <c r="T25" s="53">
        <v>134</v>
      </c>
      <c r="U25" s="55">
        <v>3.8134328358208953</v>
      </c>
      <c r="V25" s="56">
        <v>9.3506335465880233E-2</v>
      </c>
      <c r="W25" s="10">
        <f t="shared" si="6"/>
        <v>1.667372791074301</v>
      </c>
      <c r="X25" s="10" t="str">
        <f t="shared" si="7"/>
        <v xml:space="preserve"> </v>
      </c>
      <c r="Y25" s="10"/>
      <c r="Z25" s="54">
        <v>209</v>
      </c>
      <c r="AA25" s="57">
        <v>3.4258373205741615</v>
      </c>
      <c r="AB25" s="58">
        <v>6.4253288377943335E-2</v>
      </c>
      <c r="AC25" s="10">
        <f t="shared" si="8"/>
        <v>6.9248999167191974</v>
      </c>
      <c r="AD25" s="10" t="str">
        <f t="shared" si="9"/>
        <v>*</v>
      </c>
      <c r="AE25" s="114">
        <f t="shared" si="10"/>
        <v>0.56453190601238035</v>
      </c>
      <c r="AF25" s="76"/>
      <c r="AG25" s="27">
        <v>100</v>
      </c>
      <c r="AH25" s="28">
        <v>3.9108348765777055</v>
      </c>
      <c r="AI25" s="29">
        <v>9.0651436665724339E-2</v>
      </c>
      <c r="AJ25" s="67"/>
      <c r="AK25" s="42">
        <v>57</v>
      </c>
      <c r="AL25" s="43">
        <v>4.1755609356287833</v>
      </c>
      <c r="AM25" s="67">
        <v>0.12749782996399456</v>
      </c>
      <c r="AN25" s="10">
        <f t="shared" si="11"/>
        <v>-1.6921923252570397</v>
      </c>
      <c r="AO25" s="10" t="str">
        <f t="shared" si="12"/>
        <v xml:space="preserve"> </v>
      </c>
      <c r="AP25" s="114">
        <f t="shared" si="13"/>
        <v>-0.26472605905107782</v>
      </c>
      <c r="AQ25" s="67"/>
      <c r="AR25" s="42">
        <v>93.963838980000006</v>
      </c>
      <c r="AS25" s="43">
        <v>4.0915069020522923</v>
      </c>
      <c r="AT25" s="67">
        <v>9.2466961258609967E-2</v>
      </c>
      <c r="AU25" s="10">
        <f t="shared" si="14"/>
        <v>-1.3952517863431582</v>
      </c>
      <c r="AV25" s="10" t="str">
        <f t="shared" si="15"/>
        <v xml:space="preserve"> </v>
      </c>
      <c r="AW25" s="10"/>
      <c r="AX25" s="53">
        <v>118</v>
      </c>
      <c r="AY25" s="55">
        <v>3.9309473886731841</v>
      </c>
      <c r="AZ25" s="56">
        <v>9.6681548407114459E-2</v>
      </c>
      <c r="BA25" s="10">
        <f t="shared" si="16"/>
        <v>-0.15175471108585267</v>
      </c>
      <c r="BB25" s="10" t="str">
        <f t="shared" si="17"/>
        <v xml:space="preserve"> </v>
      </c>
      <c r="BC25" s="10"/>
      <c r="BD25" s="54">
        <v>82</v>
      </c>
      <c r="BE25" s="57">
        <v>3.7043756968199038</v>
      </c>
      <c r="BF25" s="58">
        <v>0.10030545154654071</v>
      </c>
      <c r="BG25" s="10">
        <f t="shared" si="18"/>
        <v>1.5270721830231764</v>
      </c>
      <c r="BH25" s="10" t="str">
        <f t="shared" si="19"/>
        <v xml:space="preserve"> </v>
      </c>
      <c r="BI25" s="114">
        <f t="shared" si="20"/>
        <v>0.2064591797578017</v>
      </c>
      <c r="BJ25" s="76"/>
      <c r="BK25" s="27">
        <v>1091</v>
      </c>
      <c r="BL25" s="28">
        <v>4.0813961746663789</v>
      </c>
      <c r="BM25" s="29">
        <v>3.0040804126902985E-2</v>
      </c>
      <c r="BN25" s="10"/>
      <c r="BO25" s="42">
        <v>332</v>
      </c>
      <c r="BP25" s="43">
        <v>4.0632068431420061</v>
      </c>
      <c r="BQ25" s="67">
        <v>5.36188624102635E-2</v>
      </c>
      <c r="BR25" s="10">
        <f t="shared" si="21"/>
        <v>0.2959500330145427</v>
      </c>
      <c r="BS25" s="10" t="str">
        <f t="shared" si="22"/>
        <v xml:space="preserve"> </v>
      </c>
      <c r="BT25" s="114">
        <f t="shared" si="23"/>
        <v>1.8189331524372854E-2</v>
      </c>
      <c r="BU25" s="10"/>
      <c r="BV25" s="42">
        <v>331.13605130999935</v>
      </c>
      <c r="BW25" s="43">
        <v>4.2329458059454446</v>
      </c>
      <c r="BX25" s="67">
        <v>3.4593367894107614E-2</v>
      </c>
      <c r="BY25" s="10">
        <f t="shared" si="24"/>
        <v>-3.3077527748705036</v>
      </c>
      <c r="BZ25" s="10" t="str">
        <f t="shared" si="25"/>
        <v>*</v>
      </c>
      <c r="CA25" s="10"/>
      <c r="CB25" s="53">
        <v>354</v>
      </c>
      <c r="CC25" s="55">
        <v>4.3459048916515481</v>
      </c>
      <c r="CD25" s="56">
        <v>3.0058619901339977E-2</v>
      </c>
      <c r="CE25" s="10">
        <f t="shared" si="26"/>
        <v>-6.2242160309994423</v>
      </c>
      <c r="CF25" s="10" t="str">
        <f t="shared" si="27"/>
        <v>*</v>
      </c>
      <c r="CG25" s="10"/>
      <c r="CH25" s="54">
        <v>397</v>
      </c>
      <c r="CI25" s="57">
        <v>3.9940085809051662</v>
      </c>
      <c r="CJ25" s="58">
        <v>4.5447340375855849E-2</v>
      </c>
      <c r="CK25" s="10">
        <f t="shared" si="28"/>
        <v>1.6040738883257795</v>
      </c>
      <c r="CL25" s="10" t="str">
        <f t="shared" si="29"/>
        <v xml:space="preserve"> </v>
      </c>
      <c r="CM25" s="114">
        <f t="shared" si="30"/>
        <v>8.7387593761212745E-2</v>
      </c>
      <c r="CN25" s="76"/>
      <c r="CO25" s="27">
        <v>648</v>
      </c>
      <c r="CP25" s="28">
        <v>4.1177375524192064</v>
      </c>
      <c r="CQ25" s="29">
        <v>3.7594804795720062E-2</v>
      </c>
      <c r="CR25" s="67"/>
      <c r="CS25" s="42">
        <v>205</v>
      </c>
      <c r="CT25" s="43">
        <v>4.1559225909131774</v>
      </c>
      <c r="CU25" s="67">
        <v>6.8526906156310977E-2</v>
      </c>
      <c r="CV25" s="10">
        <f t="shared" si="31"/>
        <v>-0.48853680283788153</v>
      </c>
      <c r="CW25" s="10" t="str">
        <f t="shared" si="32"/>
        <v xml:space="preserve"> </v>
      </c>
      <c r="CX25" s="114">
        <f t="shared" si="33"/>
        <v>-3.8185038493971035E-2</v>
      </c>
      <c r="CY25" s="10"/>
      <c r="CZ25" s="42">
        <v>219.74015087999948</v>
      </c>
      <c r="DA25" s="43">
        <v>4.2089506971125825</v>
      </c>
      <c r="DB25" s="67">
        <v>6.0071042995443129E-2</v>
      </c>
      <c r="DC25" s="10">
        <f t="shared" si="34"/>
        <v>-1.2871329788217072</v>
      </c>
      <c r="DD25" s="10" t="str">
        <f t="shared" si="35"/>
        <v xml:space="preserve"> </v>
      </c>
      <c r="DE25" s="10"/>
      <c r="DF25" s="53">
        <v>202</v>
      </c>
      <c r="DG25" s="55">
        <v>4.180774818256463</v>
      </c>
      <c r="DH25" s="56">
        <v>6.9633152097878237E-2</v>
      </c>
      <c r="DI25" s="10">
        <f t="shared" si="36"/>
        <v>-0.79659174322775828</v>
      </c>
      <c r="DJ25" s="10" t="str">
        <f t="shared" si="0"/>
        <v xml:space="preserve"> </v>
      </c>
      <c r="DK25" s="10"/>
      <c r="DL25" s="54">
        <v>246</v>
      </c>
      <c r="DM25" s="57">
        <v>4.0683992136036613</v>
      </c>
      <c r="DN25" s="58">
        <v>5.6069911397907755E-2</v>
      </c>
      <c r="DO25" s="10">
        <f t="shared" si="37"/>
        <v>0.73086181690666696</v>
      </c>
      <c r="DP25" s="10" t="str">
        <f t="shared" si="38"/>
        <v xml:space="preserve"> </v>
      </c>
      <c r="DQ25" s="114">
        <f t="shared" si="39"/>
        <v>4.9338338815545058E-2</v>
      </c>
      <c r="DR25" s="76"/>
      <c r="DS25" s="27">
        <v>204</v>
      </c>
      <c r="DT25" s="28">
        <v>4.1798698411550879</v>
      </c>
      <c r="DU25" s="29">
        <v>6.0625614120703802E-2</v>
      </c>
      <c r="DV25" s="10"/>
      <c r="DW25" s="42">
        <v>78</v>
      </c>
      <c r="DX25" s="43">
        <v>3.9749654780696164</v>
      </c>
      <c r="DY25" s="67">
        <v>0.1197549695979358</v>
      </c>
      <c r="DZ25" s="10">
        <f t="shared" si="40"/>
        <v>1.5265582041798467</v>
      </c>
      <c r="EA25" s="10" t="str">
        <f t="shared" si="41"/>
        <v xml:space="preserve"> </v>
      </c>
      <c r="EB25" s="114">
        <f t="shared" si="42"/>
        <v>0.20490436308547144</v>
      </c>
      <c r="EC25" s="10"/>
      <c r="ED25" s="42">
        <v>91.832115510000037</v>
      </c>
      <c r="EE25" s="43">
        <v>3.8463807036170947</v>
      </c>
      <c r="EF25" s="67">
        <v>9.8515528856732024E-2</v>
      </c>
      <c r="EG25" s="10">
        <f t="shared" si="43"/>
        <v>2.8829762617974852</v>
      </c>
      <c r="EH25" s="10" t="str">
        <f t="shared" si="44"/>
        <v>*</v>
      </c>
      <c r="EI25" s="10"/>
      <c r="EJ25" s="53">
        <v>86</v>
      </c>
      <c r="EK25" s="55">
        <v>3.8920542737924109</v>
      </c>
      <c r="EL25" s="56">
        <v>9.765898467138176E-2</v>
      </c>
      <c r="EM25" s="10">
        <f t="shared" si="45"/>
        <v>2.5039047082984411</v>
      </c>
      <c r="EN25" s="10" t="str">
        <f t="shared" si="46"/>
        <v>*</v>
      </c>
      <c r="EO25" s="10"/>
      <c r="EP25" s="54">
        <v>60</v>
      </c>
      <c r="EQ25" s="57">
        <v>4.0333333333333332</v>
      </c>
      <c r="ER25" s="58">
        <v>0.11321675421688321</v>
      </c>
      <c r="ES25" s="10">
        <f t="shared" si="47"/>
        <v>1.1410099838142751</v>
      </c>
      <c r="ET25" s="10" t="str">
        <f t="shared" si="48"/>
        <v xml:space="preserve"> </v>
      </c>
      <c r="EU25" s="114">
        <f t="shared" si="49"/>
        <v>0.14653650782175465</v>
      </c>
      <c r="EV25" s="76"/>
      <c r="EW25" s="27">
        <v>440</v>
      </c>
      <c r="EX25" s="28">
        <v>4.2014913547005799</v>
      </c>
      <c r="EY25" s="29">
        <v>4.4737010134485208E-2</v>
      </c>
      <c r="EZ25" s="10"/>
      <c r="FA25" s="42">
        <v>140</v>
      </c>
      <c r="FB25" s="43">
        <v>4.2782224802714586</v>
      </c>
      <c r="FC25" s="67">
        <v>7.2379032029039655E-2</v>
      </c>
      <c r="FD25" s="10">
        <f t="shared" si="50"/>
        <v>-0.90177575793237374</v>
      </c>
      <c r="FE25" s="10" t="str">
        <f t="shared" si="51"/>
        <v xml:space="preserve"> </v>
      </c>
      <c r="FF25" s="114">
        <f t="shared" si="52"/>
        <v>-7.6731125570878689E-2</v>
      </c>
      <c r="FG25" s="10"/>
      <c r="FH25" s="42">
        <v>160.5915113399999</v>
      </c>
      <c r="FI25" s="43">
        <v>4.0853884947316299</v>
      </c>
      <c r="FJ25" s="67">
        <v>7.3449268826759825E-2</v>
      </c>
      <c r="FK25" s="10">
        <f t="shared" si="53"/>
        <v>1.3500154433470337</v>
      </c>
      <c r="FL25" s="10" t="str">
        <f t="shared" si="54"/>
        <v xml:space="preserve"> </v>
      </c>
      <c r="FM25" s="10"/>
      <c r="FN25" s="53">
        <v>151</v>
      </c>
      <c r="FO25" s="55">
        <v>4.0537384208825715</v>
      </c>
      <c r="FP25" s="56">
        <v>8.2462104887275262E-2</v>
      </c>
      <c r="FQ25" s="10">
        <f t="shared" si="55"/>
        <v>1.5749263991712428</v>
      </c>
      <c r="FR25" s="10" t="str">
        <f t="shared" si="56"/>
        <v xml:space="preserve"> </v>
      </c>
      <c r="FS25" s="10"/>
      <c r="FT25" s="54">
        <v>196</v>
      </c>
      <c r="FU25" s="57">
        <v>3.9239139806640315</v>
      </c>
      <c r="FV25" s="58">
        <v>6.2631242571390397E-2</v>
      </c>
      <c r="FW25" s="10">
        <f t="shared" si="57"/>
        <v>3.6063998474565677</v>
      </c>
      <c r="FX25" s="10" t="str">
        <f t="shared" si="125"/>
        <v>*</v>
      </c>
      <c r="FY25" s="114">
        <f t="shared" si="58"/>
        <v>0.27757737403654836</v>
      </c>
      <c r="FZ25" s="76"/>
      <c r="GA25" s="27">
        <v>216</v>
      </c>
      <c r="GB25" s="28">
        <v>4.0524696492168299</v>
      </c>
      <c r="GC25" s="29">
        <v>6.5945648284191319E-2</v>
      </c>
      <c r="GD25" s="67"/>
      <c r="GE25" s="42">
        <v>164</v>
      </c>
      <c r="GF25" s="43">
        <v>3.9824390402390573</v>
      </c>
      <c r="GG25" s="67">
        <v>7.6852096594420993E-2</v>
      </c>
      <c r="GH25" s="10">
        <f t="shared" si="59"/>
        <v>0.69154193203343461</v>
      </c>
      <c r="GI25" s="10" t="str">
        <f t="shared" si="60"/>
        <v xml:space="preserve"> </v>
      </c>
      <c r="GJ25" s="114">
        <f t="shared" si="61"/>
        <v>7.003060897777269E-2</v>
      </c>
      <c r="GK25" s="67"/>
      <c r="GL25" s="42">
        <v>185.49259605000034</v>
      </c>
      <c r="GM25" s="43">
        <v>4.0267379473122631</v>
      </c>
      <c r="GN25" s="67">
        <v>7.8910802606897756E-2</v>
      </c>
      <c r="GO25" s="10">
        <f t="shared" si="62"/>
        <v>0.25021483857226512</v>
      </c>
      <c r="GP25" s="10" t="str">
        <f t="shared" si="63"/>
        <v xml:space="preserve"> </v>
      </c>
      <c r="GQ25" s="10"/>
      <c r="GR25" s="53">
        <v>198</v>
      </c>
      <c r="GS25" s="55">
        <v>3.8016109147667874</v>
      </c>
      <c r="GT25" s="56">
        <v>8.096550840107572E-2</v>
      </c>
      <c r="GU25" s="10">
        <f t="shared" si="64"/>
        <v>2.4023234728922689</v>
      </c>
      <c r="GV25" s="10" t="str">
        <f t="shared" si="65"/>
        <v>*</v>
      </c>
      <c r="GW25" s="10"/>
      <c r="GX25" s="54">
        <v>186</v>
      </c>
      <c r="GY25" s="57">
        <v>3.9113992440389449</v>
      </c>
      <c r="GZ25" s="58">
        <v>7.7415222493507158E-2</v>
      </c>
      <c r="HA25" s="10">
        <f t="shared" si="66"/>
        <v>1.3871863209842072</v>
      </c>
      <c r="HB25" s="10" t="str">
        <f t="shared" si="126"/>
        <v xml:space="preserve"> </v>
      </c>
      <c r="HC25" s="114">
        <f t="shared" si="67"/>
        <v>0.14107040517788505</v>
      </c>
      <c r="HD25" s="76"/>
      <c r="HE25" s="27">
        <v>217</v>
      </c>
      <c r="HF25" s="28">
        <v>4.0542188512015569</v>
      </c>
      <c r="HG25" s="29">
        <v>7.1635328518681332E-2</v>
      </c>
      <c r="HH25" s="10"/>
      <c r="HI25" s="42">
        <v>128</v>
      </c>
      <c r="HJ25" s="43">
        <v>4.1268968164179052</v>
      </c>
      <c r="HK25" s="67">
        <v>9.1760771264924657E-2</v>
      </c>
      <c r="HL25" s="10">
        <f t="shared" si="68"/>
        <v>-0.62431895428851447</v>
      </c>
      <c r="HM25" s="10" t="str">
        <f t="shared" si="69"/>
        <v xml:space="preserve"> </v>
      </c>
      <c r="HN25" s="114">
        <f t="shared" si="70"/>
        <v>-7.2677965216348284E-2</v>
      </c>
      <c r="HO25" s="10"/>
      <c r="HP25" s="42">
        <v>121.07170146999989</v>
      </c>
      <c r="HQ25" s="43">
        <v>4.1430359064070048</v>
      </c>
      <c r="HR25" s="67">
        <v>9.2185616535002388E-2</v>
      </c>
      <c r="HS25" s="10">
        <f t="shared" si="71"/>
        <v>-0.76076670548002556</v>
      </c>
      <c r="HT25" s="10" t="str">
        <f t="shared" si="72"/>
        <v xml:space="preserve"> </v>
      </c>
      <c r="HU25" s="10"/>
      <c r="HV25" s="53">
        <v>82</v>
      </c>
      <c r="HW25" s="55">
        <v>4.3059693580359539</v>
      </c>
      <c r="HX25" s="56">
        <v>8.5338015782755891E-2</v>
      </c>
      <c r="HY25" s="10">
        <f t="shared" si="73"/>
        <v>-2.259493171137704</v>
      </c>
      <c r="HZ25" s="10" t="str">
        <f t="shared" si="74"/>
        <v>*</v>
      </c>
      <c r="IA25" s="10"/>
      <c r="IB25" s="54">
        <v>149</v>
      </c>
      <c r="IC25" s="57">
        <v>4.1473029045149463</v>
      </c>
      <c r="ID25" s="58">
        <v>8.4426834575803147E-2</v>
      </c>
      <c r="IE25" s="10">
        <f t="shared" si="75"/>
        <v>-0.84069549061872484</v>
      </c>
      <c r="IF25" s="10" t="str">
        <f t="shared" si="127"/>
        <v xml:space="preserve"> </v>
      </c>
      <c r="IG25" s="114">
        <f t="shared" si="76"/>
        <v>-9.3084053313389425E-2</v>
      </c>
      <c r="IH25" s="76"/>
      <c r="II25" s="27">
        <v>506</v>
      </c>
      <c r="IJ25" s="28">
        <v>4.0030678514589599</v>
      </c>
      <c r="IK25" s="29">
        <v>4.5911295488696317E-2</v>
      </c>
      <c r="IL25" s="10"/>
      <c r="IM25" s="42">
        <v>351</v>
      </c>
      <c r="IN25" s="43">
        <v>3.933078561691628</v>
      </c>
      <c r="IO25" s="67">
        <v>5.6033255918224494E-2</v>
      </c>
      <c r="IP25" s="10">
        <f t="shared" si="77"/>
        <v>0.96616733267863597</v>
      </c>
      <c r="IQ25" s="10" t="str">
        <f t="shared" si="78"/>
        <v xml:space="preserve"> </v>
      </c>
      <c r="IR25" s="114">
        <f t="shared" si="79"/>
        <v>6.9989289767331986E-2</v>
      </c>
      <c r="IS25" s="10"/>
      <c r="IT25" s="42">
        <v>364.06000415000057</v>
      </c>
      <c r="IU25" s="43">
        <v>4.0116870207149882</v>
      </c>
      <c r="IV25" s="67">
        <v>5.3663582504260482E-2</v>
      </c>
      <c r="IW25" s="10">
        <f t="shared" si="80"/>
        <v>-0.1220445581312963</v>
      </c>
      <c r="IX25" s="10" t="str">
        <f t="shared" si="81"/>
        <v xml:space="preserve"> </v>
      </c>
      <c r="IY25" s="10"/>
      <c r="IZ25" s="53">
        <v>354</v>
      </c>
      <c r="JA25" s="55">
        <v>4.0684112770912328</v>
      </c>
      <c r="JB25" s="56">
        <v>5.2807728861938352E-2</v>
      </c>
      <c r="JC25" s="10">
        <f t="shared" si="82"/>
        <v>-0.93381075970245508</v>
      </c>
      <c r="JD25" s="10" t="str">
        <f t="shared" si="83"/>
        <v xml:space="preserve"> </v>
      </c>
      <c r="JE25" s="10"/>
      <c r="JF25" s="54">
        <v>387</v>
      </c>
      <c r="JG25" s="57">
        <v>4.0326015510641655</v>
      </c>
      <c r="JH25" s="58">
        <v>5.1502397607488017E-2</v>
      </c>
      <c r="JI25" s="10">
        <f t="shared" si="84"/>
        <v>-0.42805412237232937</v>
      </c>
      <c r="JJ25" s="10" t="str">
        <f t="shared" si="85"/>
        <v xml:space="preserve"> </v>
      </c>
      <c r="JK25" s="114">
        <f t="shared" si="86"/>
        <v>-2.9533699605205577E-2</v>
      </c>
      <c r="JL25" s="76"/>
      <c r="JM25" s="27">
        <v>46</v>
      </c>
      <c r="JN25" s="28">
        <v>4.3913043478260851</v>
      </c>
      <c r="JO25" s="29">
        <v>0.13367318179014495</v>
      </c>
      <c r="JP25" s="10"/>
      <c r="JQ25" s="42">
        <v>34</v>
      </c>
      <c r="JR25" s="43">
        <v>4.5288683603966522</v>
      </c>
      <c r="JS25" s="67">
        <v>0.12833086237545296</v>
      </c>
      <c r="JT25" s="10">
        <f t="shared" si="87"/>
        <v>-0.74237198670523796</v>
      </c>
      <c r="JU25" s="10" t="str">
        <f t="shared" si="88"/>
        <v xml:space="preserve"> </v>
      </c>
      <c r="JV25" s="114">
        <f t="shared" si="89"/>
        <v>-0.13756401257056705</v>
      </c>
      <c r="JW25" s="10"/>
      <c r="JX25" s="42">
        <v>31.683820480000005</v>
      </c>
      <c r="JY25" s="43">
        <v>4.2500000000000009</v>
      </c>
      <c r="JZ25" s="67">
        <v>0.13539622216459635</v>
      </c>
      <c r="KA25" s="10">
        <f t="shared" si="90"/>
        <v>0.74267242934104305</v>
      </c>
      <c r="KB25" s="10" t="str">
        <f t="shared" si="91"/>
        <v xml:space="preserve"> </v>
      </c>
      <c r="KC25" s="10"/>
      <c r="KD25" s="53">
        <v>31</v>
      </c>
      <c r="KE25" s="55">
        <v>4.3225806451612909</v>
      </c>
      <c r="KF25" s="56">
        <v>0.18998633737993129</v>
      </c>
      <c r="KG25" s="10">
        <f t="shared" si="92"/>
        <v>0.29584020025026481</v>
      </c>
      <c r="KH25" s="10" t="str">
        <f t="shared" si="93"/>
        <v xml:space="preserve"> </v>
      </c>
      <c r="KI25" s="10"/>
      <c r="KJ25" s="54">
        <v>49</v>
      </c>
      <c r="KK25" s="57">
        <v>4.0816326530612246</v>
      </c>
      <c r="KL25" s="58">
        <v>0.14418690856387356</v>
      </c>
      <c r="KM25" s="10">
        <f t="shared" si="94"/>
        <v>1.5749967513805159</v>
      </c>
      <c r="KN25" s="10" t="str">
        <f t="shared" si="95"/>
        <v xml:space="preserve"> </v>
      </c>
      <c r="KO25" s="114">
        <f t="shared" si="96"/>
        <v>0.30967169476486056</v>
      </c>
      <c r="KP25" s="76"/>
      <c r="KQ25" s="27">
        <v>506</v>
      </c>
      <c r="KR25" s="28">
        <v>4.0274662717184633</v>
      </c>
      <c r="KS25" s="29">
        <v>4.5952206767119655E-2</v>
      </c>
      <c r="KT25" s="10"/>
      <c r="KU25" s="42">
        <v>307</v>
      </c>
      <c r="KV25" s="43">
        <v>3.993089326936401</v>
      </c>
      <c r="KW25" s="67">
        <v>6.0362929993822777E-2</v>
      </c>
      <c r="KX25" s="10">
        <f t="shared" si="97"/>
        <v>0.4531413795579296</v>
      </c>
      <c r="KY25" s="10" t="str">
        <f t="shared" si="98"/>
        <v xml:space="preserve"> </v>
      </c>
      <c r="KZ25" s="114">
        <f t="shared" si="99"/>
        <v>3.4376944782062324E-2</v>
      </c>
      <c r="LA25" s="10"/>
      <c r="LB25" s="42">
        <v>358.24109013000083</v>
      </c>
      <c r="LC25" s="43">
        <v>4.165728441615828</v>
      </c>
      <c r="LD25" s="67">
        <v>5.0775187415256308E-2</v>
      </c>
      <c r="LE25" s="10">
        <f t="shared" si="100"/>
        <v>-2.0189691440241821</v>
      </c>
      <c r="LF25" s="10" t="str">
        <f t="shared" si="101"/>
        <v>*</v>
      </c>
      <c r="LG25" s="10"/>
      <c r="LH25" s="53">
        <v>687</v>
      </c>
      <c r="LI25" s="55">
        <v>3.9414257956175089</v>
      </c>
      <c r="LJ25" s="56">
        <v>3.9033609365346549E-2</v>
      </c>
      <c r="LK25" s="10">
        <f t="shared" si="102"/>
        <v>1.4270427366805019</v>
      </c>
      <c r="LL25" s="10" t="str">
        <f t="shared" si="103"/>
        <v xml:space="preserve"> </v>
      </c>
      <c r="LM25" s="10"/>
      <c r="LN25" s="54">
        <v>678</v>
      </c>
      <c r="LO25" s="57">
        <v>3.9763279998756311</v>
      </c>
      <c r="LP25" s="58">
        <v>3.859465585547657E-2</v>
      </c>
      <c r="LQ25" s="10">
        <f t="shared" si="104"/>
        <v>0.85216810391432307</v>
      </c>
      <c r="LR25" s="10" t="str">
        <f t="shared" si="128"/>
        <v xml:space="preserve"> </v>
      </c>
      <c r="LS25" s="114">
        <f t="shared" si="105"/>
        <v>5.113827184283215E-2</v>
      </c>
      <c r="LT25" s="76"/>
      <c r="LU25" s="27">
        <v>163</v>
      </c>
      <c r="LV25" s="28">
        <v>4.1594987011593316</v>
      </c>
      <c r="LW25" s="29">
        <v>7.2278511191799649E-2</v>
      </c>
      <c r="LX25" s="10"/>
      <c r="LY25" s="42">
        <v>171</v>
      </c>
      <c r="LZ25" s="43">
        <v>4.163703108876426</v>
      </c>
      <c r="MA25" s="67">
        <v>7.2623647679245118E-2</v>
      </c>
      <c r="MB25" s="10">
        <f t="shared" si="106"/>
        <v>-4.1033988694709221E-2</v>
      </c>
      <c r="MC25" s="10" t="str">
        <f t="shared" si="107"/>
        <v xml:space="preserve"> </v>
      </c>
      <c r="MD25" s="114">
        <f t="shared" si="108"/>
        <v>-4.204407717094405E-3</v>
      </c>
      <c r="ME25" s="10"/>
      <c r="MF25" s="42">
        <v>180.51962683999963</v>
      </c>
      <c r="MG25" s="43">
        <v>4.248578346828582</v>
      </c>
      <c r="MH25" s="67">
        <v>6.3998159963178855E-2</v>
      </c>
      <c r="MI25" s="10">
        <f t="shared" si="109"/>
        <v>-0.92272384590590306</v>
      </c>
      <c r="MJ25" s="10" t="str">
        <f t="shared" si="110"/>
        <v xml:space="preserve"> </v>
      </c>
      <c r="MK25" s="10"/>
      <c r="ML25" s="53">
        <v>442</v>
      </c>
      <c r="MM25" s="55">
        <v>3.9751131221719462</v>
      </c>
      <c r="MN25" s="56">
        <v>4.8755896908939576E-2</v>
      </c>
      <c r="MO25" s="10">
        <f t="shared" si="111"/>
        <v>2.1148639023590006</v>
      </c>
      <c r="MP25" s="10" t="str">
        <f t="shared" si="112"/>
        <v>*</v>
      </c>
      <c r="MQ25" s="10"/>
      <c r="MR25" s="54">
        <v>432</v>
      </c>
      <c r="MS25" s="57">
        <v>4.0701110727576131</v>
      </c>
      <c r="MT25" s="58">
        <v>4.7714302044679968E-2</v>
      </c>
      <c r="MU25" s="10">
        <f t="shared" si="113"/>
        <v>1.0321017817036948</v>
      </c>
      <c r="MV25" s="10" t="str">
        <f t="shared" si="114"/>
        <v xml:space="preserve"> </v>
      </c>
      <c r="MW25" s="114">
        <f t="shared" si="115"/>
        <v>8.9387628401718544E-2</v>
      </c>
      <c r="MX25" s="76"/>
      <c r="MY25" s="27">
        <v>194</v>
      </c>
      <c r="MZ25" s="28">
        <v>4.2680845508076928</v>
      </c>
      <c r="NA25" s="29">
        <v>6.2883930902915858E-2</v>
      </c>
      <c r="NB25" s="10"/>
      <c r="NC25" s="42">
        <v>133</v>
      </c>
      <c r="ND25" s="43">
        <v>4.2788774001453254</v>
      </c>
      <c r="NE25" s="67">
        <v>7.8723376907606182E-2</v>
      </c>
      <c r="NF25" s="10">
        <f t="shared" si="116"/>
        <v>-0.10711874317974938</v>
      </c>
      <c r="NG25" s="10" t="str">
        <f t="shared" si="117"/>
        <v xml:space="preserve"> </v>
      </c>
      <c r="NH25" s="114">
        <f t="shared" si="118"/>
        <v>-1.0792849337632582E-2</v>
      </c>
      <c r="NI25" s="10"/>
      <c r="NJ25" s="42">
        <v>113.63192930000002</v>
      </c>
      <c r="NK25" s="43">
        <v>4.3223954539509846</v>
      </c>
      <c r="NL25" s="67">
        <v>7.6007324644197002E-2</v>
      </c>
      <c r="NM25" s="10">
        <f t="shared" si="119"/>
        <v>-0.5505504006048747</v>
      </c>
      <c r="NN25" s="10" t="str">
        <f t="shared" si="120"/>
        <v xml:space="preserve"> </v>
      </c>
      <c r="NO25" s="10"/>
      <c r="NP25" s="53">
        <v>203</v>
      </c>
      <c r="NQ25" s="55">
        <v>4.1007532437627372</v>
      </c>
      <c r="NR25" s="56">
        <v>6.7315651646705679E-2</v>
      </c>
      <c r="NS25" s="10">
        <f t="shared" si="121"/>
        <v>1.8164823103086853</v>
      </c>
      <c r="NT25" s="10" t="str">
        <f t="shared" si="122"/>
        <v xml:space="preserve"> </v>
      </c>
      <c r="NU25" s="10"/>
      <c r="NV25" s="54">
        <v>209</v>
      </c>
      <c r="NW25" s="57">
        <v>4.1251908125597527</v>
      </c>
      <c r="NX25" s="58">
        <v>7.0602791596305975E-2</v>
      </c>
      <c r="NY25" s="10">
        <f t="shared" si="123"/>
        <v>1.5113507187043795</v>
      </c>
      <c r="NZ25" s="10" t="str">
        <f t="shared" si="129"/>
        <v xml:space="preserve"> </v>
      </c>
      <c r="OA25" s="114">
        <f t="shared" si="124"/>
        <v>0.14289373824794005</v>
      </c>
      <c r="OB25" s="58"/>
    </row>
    <row r="26" spans="1:392" x14ac:dyDescent="0.2">
      <c r="B26" s="65"/>
      <c r="C26" s="27"/>
      <c r="D26" s="28"/>
      <c r="E26" s="29"/>
      <c r="F26" s="10"/>
      <c r="G26" s="42"/>
      <c r="H26" s="43"/>
      <c r="I26" s="67"/>
      <c r="J26" s="10"/>
      <c r="K26" s="10"/>
      <c r="L26" s="114"/>
      <c r="M26" s="10"/>
      <c r="N26" s="42"/>
      <c r="O26" s="43"/>
      <c r="P26" s="67"/>
      <c r="Q26" s="10"/>
      <c r="R26" s="10"/>
      <c r="S26" s="10"/>
      <c r="T26" s="53"/>
      <c r="U26" s="55"/>
      <c r="V26" s="56"/>
      <c r="W26" s="10"/>
      <c r="X26" s="10"/>
      <c r="Y26" s="10"/>
      <c r="Z26" s="54"/>
      <c r="AA26" s="57"/>
      <c r="AB26" s="58"/>
      <c r="AC26" s="10"/>
      <c r="AD26" s="10"/>
      <c r="AE26" s="114"/>
      <c r="AF26" s="76"/>
      <c r="AG26" s="27"/>
      <c r="AH26" s="28"/>
      <c r="AI26" s="29"/>
      <c r="AJ26" s="67"/>
      <c r="AK26" s="42"/>
      <c r="AL26" s="43"/>
      <c r="AM26" s="67"/>
      <c r="AN26" s="10"/>
      <c r="AO26" s="10"/>
      <c r="AP26" s="114"/>
      <c r="AQ26" s="67"/>
      <c r="AR26" s="42"/>
      <c r="AS26" s="43"/>
      <c r="AT26" s="67"/>
      <c r="AU26" s="10"/>
      <c r="AV26" s="10"/>
      <c r="AW26" s="10"/>
      <c r="AX26" s="53"/>
      <c r="AY26" s="55"/>
      <c r="AZ26" s="56"/>
      <c r="BA26" s="10"/>
      <c r="BB26" s="10"/>
      <c r="BC26" s="10"/>
      <c r="BD26" s="54"/>
      <c r="BE26" s="57"/>
      <c r="BF26" s="58"/>
      <c r="BG26" s="10"/>
      <c r="BH26" s="10"/>
      <c r="BI26" s="114"/>
      <c r="BJ26" s="76"/>
      <c r="BK26" s="27"/>
      <c r="BL26" s="28"/>
      <c r="BM26" s="29"/>
      <c r="BN26" s="10"/>
      <c r="BO26" s="42"/>
      <c r="BP26" s="43"/>
      <c r="BQ26" s="67"/>
      <c r="BR26" s="10"/>
      <c r="BS26" s="10"/>
      <c r="BT26" s="114"/>
      <c r="BU26" s="10"/>
      <c r="BV26" s="42"/>
      <c r="BW26" s="43"/>
      <c r="BX26" s="67"/>
      <c r="BY26" s="10"/>
      <c r="BZ26" s="10"/>
      <c r="CA26" s="10"/>
      <c r="CB26" s="53"/>
      <c r="CC26" s="55"/>
      <c r="CD26" s="56"/>
      <c r="CE26" s="10"/>
      <c r="CF26" s="10"/>
      <c r="CG26" s="10"/>
      <c r="CH26" s="54"/>
      <c r="CI26" s="57"/>
      <c r="CJ26" s="58"/>
      <c r="CK26" s="10"/>
      <c r="CL26" s="10"/>
      <c r="CM26" s="114"/>
      <c r="CN26" s="76"/>
      <c r="CO26" s="27"/>
      <c r="CP26" s="28"/>
      <c r="CQ26" s="29"/>
      <c r="CR26" s="67"/>
      <c r="CS26" s="42"/>
      <c r="CT26" s="43"/>
      <c r="CU26" s="67"/>
      <c r="CV26" s="10"/>
      <c r="CW26" s="10"/>
      <c r="CX26" s="114"/>
      <c r="CY26" s="10"/>
      <c r="CZ26" s="42"/>
      <c r="DA26" s="43"/>
      <c r="DB26" s="67"/>
      <c r="DC26" s="10"/>
      <c r="DD26" s="10"/>
      <c r="DE26" s="10"/>
      <c r="DF26" s="53"/>
      <c r="DG26" s="55"/>
      <c r="DH26" s="56"/>
      <c r="DI26" s="10"/>
      <c r="DJ26" s="10"/>
      <c r="DK26" s="10"/>
      <c r="DL26" s="54"/>
      <c r="DM26" s="57"/>
      <c r="DN26" s="58"/>
      <c r="DO26" s="10"/>
      <c r="DP26" s="10"/>
      <c r="DQ26" s="114"/>
      <c r="DR26" s="76"/>
      <c r="DS26" s="27"/>
      <c r="DT26" s="28"/>
      <c r="DU26" s="29"/>
      <c r="DV26" s="10"/>
      <c r="DW26" s="42"/>
      <c r="DX26" s="43"/>
      <c r="DY26" s="67"/>
      <c r="DZ26" s="10"/>
      <c r="EA26" s="10"/>
      <c r="EB26" s="114"/>
      <c r="EC26" s="10"/>
      <c r="ED26" s="42"/>
      <c r="EE26" s="43"/>
      <c r="EF26" s="67"/>
      <c r="EG26" s="10"/>
      <c r="EH26" s="10"/>
      <c r="EI26" s="10"/>
      <c r="EJ26" s="53"/>
      <c r="EK26" s="55"/>
      <c r="EL26" s="56"/>
      <c r="EM26" s="10"/>
      <c r="EN26" s="10"/>
      <c r="EO26" s="10"/>
      <c r="EP26" s="54"/>
      <c r="EQ26" s="57"/>
      <c r="ER26" s="58"/>
      <c r="ES26" s="10"/>
      <c r="ET26" s="10"/>
      <c r="EU26" s="114"/>
      <c r="EV26" s="76"/>
      <c r="EW26" s="27"/>
      <c r="EX26" s="28"/>
      <c r="EY26" s="29"/>
      <c r="EZ26" s="10"/>
      <c r="FA26" s="42"/>
      <c r="FB26" s="43"/>
      <c r="FC26" s="67"/>
      <c r="FD26" s="10"/>
      <c r="FE26" s="10"/>
      <c r="FF26" s="114"/>
      <c r="FG26" s="10"/>
      <c r="FH26" s="42"/>
      <c r="FI26" s="43"/>
      <c r="FJ26" s="67"/>
      <c r="FK26" s="10"/>
      <c r="FL26" s="10"/>
      <c r="FM26" s="10"/>
      <c r="FN26" s="53"/>
      <c r="FO26" s="55"/>
      <c r="FP26" s="56"/>
      <c r="FQ26" s="10"/>
      <c r="FR26" s="10"/>
      <c r="FS26" s="10"/>
      <c r="FT26" s="54"/>
      <c r="FU26" s="57"/>
      <c r="FV26" s="58"/>
      <c r="FW26" s="10"/>
      <c r="FX26" s="10"/>
      <c r="FY26" s="114"/>
      <c r="FZ26" s="76"/>
      <c r="GA26" s="27"/>
      <c r="GB26" s="28"/>
      <c r="GC26" s="29"/>
      <c r="GD26" s="67"/>
      <c r="GE26" s="42"/>
      <c r="GF26" s="43"/>
      <c r="GG26" s="67"/>
      <c r="GH26" s="10"/>
      <c r="GI26" s="10"/>
      <c r="GJ26" s="114"/>
      <c r="GK26" s="67"/>
      <c r="GL26" s="42"/>
      <c r="GM26" s="43"/>
      <c r="GN26" s="67"/>
      <c r="GO26" s="10"/>
      <c r="GP26" s="10"/>
      <c r="GQ26" s="10"/>
      <c r="GR26" s="53"/>
      <c r="GS26" s="55"/>
      <c r="GT26" s="56"/>
      <c r="GU26" s="10"/>
      <c r="GV26" s="10"/>
      <c r="GW26" s="10"/>
      <c r="GX26" s="54"/>
      <c r="GY26" s="57"/>
      <c r="GZ26" s="58"/>
      <c r="HA26" s="10"/>
      <c r="HB26" s="10"/>
      <c r="HC26" s="114"/>
      <c r="HD26" s="76"/>
      <c r="HE26" s="27"/>
      <c r="HF26" s="28"/>
      <c r="HG26" s="29"/>
      <c r="HH26" s="10"/>
      <c r="HI26" s="42"/>
      <c r="HJ26" s="43"/>
      <c r="HK26" s="67"/>
      <c r="HL26" s="10"/>
      <c r="HM26" s="10"/>
      <c r="HN26" s="114"/>
      <c r="HO26" s="10"/>
      <c r="HP26" s="42"/>
      <c r="HQ26" s="43"/>
      <c r="HR26" s="67"/>
      <c r="HS26" s="10"/>
      <c r="HT26" s="10"/>
      <c r="HU26" s="10"/>
      <c r="HV26" s="53"/>
      <c r="HW26" s="55"/>
      <c r="HX26" s="56"/>
      <c r="HY26" s="10"/>
      <c r="HZ26" s="10"/>
      <c r="IA26" s="10"/>
      <c r="IB26" s="54"/>
      <c r="IC26" s="57"/>
      <c r="ID26" s="58"/>
      <c r="IE26" s="10"/>
      <c r="IF26" s="10"/>
      <c r="IG26" s="114"/>
      <c r="IH26" s="76"/>
      <c r="II26" s="27"/>
      <c r="IJ26" s="28"/>
      <c r="IK26" s="29"/>
      <c r="IL26" s="10"/>
      <c r="IM26" s="42"/>
      <c r="IN26" s="43"/>
      <c r="IO26" s="67"/>
      <c r="IP26" s="10"/>
      <c r="IQ26" s="10"/>
      <c r="IR26" s="114"/>
      <c r="IS26" s="10"/>
      <c r="IT26" s="42"/>
      <c r="IU26" s="43"/>
      <c r="IV26" s="67"/>
      <c r="IW26" s="10"/>
      <c r="IX26" s="10"/>
      <c r="IY26" s="10"/>
      <c r="IZ26" s="53"/>
      <c r="JA26" s="55"/>
      <c r="JB26" s="56"/>
      <c r="JC26" s="10"/>
      <c r="JD26" s="10"/>
      <c r="JE26" s="10"/>
      <c r="JF26" s="54"/>
      <c r="JG26" s="57"/>
      <c r="JH26" s="58"/>
      <c r="JI26" s="10"/>
      <c r="JJ26" s="10"/>
      <c r="JK26" s="114"/>
      <c r="JL26" s="76"/>
      <c r="JM26" s="27"/>
      <c r="JN26" s="28"/>
      <c r="JO26" s="29"/>
      <c r="JP26" s="10"/>
      <c r="JQ26" s="42"/>
      <c r="JR26" s="43"/>
      <c r="JS26" s="67"/>
      <c r="JT26" s="10"/>
      <c r="JU26" s="10"/>
      <c r="JV26" s="114"/>
      <c r="JW26" s="10"/>
      <c r="JX26" s="42"/>
      <c r="JY26" s="43"/>
      <c r="JZ26" s="67"/>
      <c r="KA26" s="10"/>
      <c r="KB26" s="10"/>
      <c r="KC26" s="10"/>
      <c r="KD26" s="53"/>
      <c r="KE26" s="55"/>
      <c r="KF26" s="56"/>
      <c r="KG26" s="10"/>
      <c r="KH26" s="10"/>
      <c r="KI26" s="10"/>
      <c r="KJ26" s="54"/>
      <c r="KK26" s="57"/>
      <c r="KL26" s="58"/>
      <c r="KM26" s="10"/>
      <c r="KN26" s="10"/>
      <c r="KO26" s="114"/>
      <c r="KP26" s="76"/>
      <c r="KQ26" s="27"/>
      <c r="KR26" s="28"/>
      <c r="KS26" s="29"/>
      <c r="KT26" s="10"/>
      <c r="KU26" s="42"/>
      <c r="KV26" s="43"/>
      <c r="KW26" s="67"/>
      <c r="KX26" s="10"/>
      <c r="KY26" s="10"/>
      <c r="KZ26" s="114"/>
      <c r="LA26" s="10"/>
      <c r="LB26" s="42"/>
      <c r="LC26" s="43"/>
      <c r="LD26" s="67"/>
      <c r="LE26" s="10"/>
      <c r="LF26" s="10"/>
      <c r="LG26" s="10"/>
      <c r="LH26" s="53"/>
      <c r="LI26" s="55"/>
      <c r="LJ26" s="56"/>
      <c r="LK26" s="10"/>
      <c r="LL26" s="10"/>
      <c r="LM26" s="10"/>
      <c r="LN26" s="54"/>
      <c r="LO26" s="57"/>
      <c r="LP26" s="58"/>
      <c r="LQ26" s="10"/>
      <c r="LR26" s="10"/>
      <c r="LS26" s="114"/>
      <c r="LT26" s="76"/>
      <c r="LU26" s="27"/>
      <c r="LV26" s="28"/>
      <c r="LW26" s="29"/>
      <c r="LX26" s="10"/>
      <c r="LY26" s="42"/>
      <c r="LZ26" s="43"/>
      <c r="MA26" s="67"/>
      <c r="MB26" s="10"/>
      <c r="MC26" s="10"/>
      <c r="MD26" s="114"/>
      <c r="ME26" s="10"/>
      <c r="MF26" s="42"/>
      <c r="MG26" s="43"/>
      <c r="MH26" s="67"/>
      <c r="MI26" s="10"/>
      <c r="MJ26" s="10"/>
      <c r="MK26" s="10"/>
      <c r="ML26" s="53"/>
      <c r="MM26" s="55"/>
      <c r="MN26" s="56"/>
      <c r="MO26" s="10"/>
      <c r="MP26" s="10"/>
      <c r="MQ26" s="10"/>
      <c r="MR26" s="54"/>
      <c r="MS26" s="57"/>
      <c r="MT26" s="58"/>
      <c r="MU26" s="10"/>
      <c r="MV26" s="10"/>
      <c r="MW26" s="114"/>
      <c r="MX26" s="76"/>
      <c r="MY26" s="27"/>
      <c r="MZ26" s="28"/>
      <c r="NA26" s="29"/>
      <c r="NB26" s="10"/>
      <c r="NC26" s="42"/>
      <c r="ND26" s="43"/>
      <c r="NE26" s="67"/>
      <c r="NF26" s="10"/>
      <c r="NG26" s="10"/>
      <c r="NH26" s="114"/>
      <c r="NI26" s="10"/>
      <c r="NJ26" s="42"/>
      <c r="NK26" s="43"/>
      <c r="NL26" s="67"/>
      <c r="NM26" s="10"/>
      <c r="NN26" s="10"/>
      <c r="NO26" s="10"/>
      <c r="NP26" s="53"/>
      <c r="NQ26" s="55"/>
      <c r="NR26" s="56"/>
      <c r="NS26" s="10"/>
      <c r="NT26" s="10"/>
      <c r="NU26" s="10"/>
      <c r="NV26" s="54"/>
      <c r="NW26" s="57"/>
      <c r="NX26" s="58"/>
      <c r="NY26" s="10"/>
      <c r="NZ26" s="10"/>
      <c r="OA26" s="114"/>
      <c r="OB26" s="58"/>
    </row>
    <row r="27" spans="1:392" x14ac:dyDescent="0.2">
      <c r="A27" s="73"/>
      <c r="B27" s="65" t="s">
        <v>24</v>
      </c>
      <c r="C27" s="27">
        <v>423</v>
      </c>
      <c r="D27" s="28">
        <v>3.9952718676122938</v>
      </c>
      <c r="E27" s="29">
        <v>4.9337340967296639E-2</v>
      </c>
      <c r="F27" s="10"/>
      <c r="G27" s="42">
        <v>128</v>
      </c>
      <c r="H27" s="43">
        <v>3.9609456878269271</v>
      </c>
      <c r="I27" s="67">
        <v>9.5284944137124766E-2</v>
      </c>
      <c r="J27" s="10">
        <f t="shared" si="1"/>
        <v>0.31990703690792061</v>
      </c>
      <c r="K27" s="10" t="str">
        <f t="shared" si="2"/>
        <v xml:space="preserve"> </v>
      </c>
      <c r="L27" s="114">
        <f t="shared" si="3"/>
        <v>3.4326179785366673E-2</v>
      </c>
      <c r="M27" s="10"/>
      <c r="N27" s="42">
        <v>129.96739125000008</v>
      </c>
      <c r="O27" s="43">
        <v>3.7679999999999998</v>
      </c>
      <c r="P27" s="67">
        <v>7.8076427504443921E-2</v>
      </c>
      <c r="Q27" s="10">
        <f t="shared" si="4"/>
        <v>2.4607561268460367</v>
      </c>
      <c r="R27" s="10" t="str">
        <f t="shared" si="5"/>
        <v>*</v>
      </c>
      <c r="S27" s="10"/>
      <c r="T27" s="53">
        <v>136</v>
      </c>
      <c r="U27" s="55">
        <v>3.9852941176470602</v>
      </c>
      <c r="V27" s="56">
        <v>8.7798022833046982E-2</v>
      </c>
      <c r="W27" s="10">
        <f t="shared" si="6"/>
        <v>9.9073282869585458E-2</v>
      </c>
      <c r="X27" s="10" t="str">
        <f t="shared" si="7"/>
        <v xml:space="preserve"> </v>
      </c>
      <c r="Y27" s="10"/>
      <c r="Z27" s="54">
        <v>209</v>
      </c>
      <c r="AA27" s="57">
        <v>3.4832535885167455</v>
      </c>
      <c r="AB27" s="58">
        <v>7.0681437879985404E-2</v>
      </c>
      <c r="AC27" s="10">
        <f t="shared" si="8"/>
        <v>5.9400475646628612</v>
      </c>
      <c r="AD27" s="10" t="str">
        <f t="shared" si="9"/>
        <v>*</v>
      </c>
      <c r="AE27" s="114">
        <f t="shared" si="10"/>
        <v>0.51201827909554831</v>
      </c>
      <c r="AF27" s="76"/>
      <c r="AG27" s="27">
        <v>105</v>
      </c>
      <c r="AH27" s="28">
        <v>4.0393087267798284</v>
      </c>
      <c r="AI27" s="29">
        <v>9.2105600960554784E-2</v>
      </c>
      <c r="AJ27" s="67"/>
      <c r="AK27" s="42">
        <v>57</v>
      </c>
      <c r="AL27" s="43">
        <v>3.6662017779439591</v>
      </c>
      <c r="AM27" s="67">
        <v>0.16611480810897764</v>
      </c>
      <c r="AN27" s="10">
        <f t="shared" si="11"/>
        <v>1.9643310940370937</v>
      </c>
      <c r="AO27" s="10" t="str">
        <f t="shared" si="12"/>
        <v>*</v>
      </c>
      <c r="AP27" s="114">
        <f t="shared" si="13"/>
        <v>0.37310694883586937</v>
      </c>
      <c r="AQ27" s="67"/>
      <c r="AR27" s="42">
        <v>97.785323340000005</v>
      </c>
      <c r="AS27" s="43">
        <v>3.3738516608764519</v>
      </c>
      <c r="AT27" s="67">
        <v>0.1063102091137724</v>
      </c>
      <c r="AU27" s="10">
        <f t="shared" si="14"/>
        <v>4.730953678214985</v>
      </c>
      <c r="AV27" s="10" t="str">
        <f t="shared" si="15"/>
        <v>*</v>
      </c>
      <c r="AW27" s="10"/>
      <c r="AX27" s="53">
        <v>130</v>
      </c>
      <c r="AY27" s="55">
        <v>3.5828758098112665</v>
      </c>
      <c r="AZ27" s="56">
        <v>0.10512508113518054</v>
      </c>
      <c r="BA27" s="10">
        <f t="shared" si="16"/>
        <v>3.2656776418252571</v>
      </c>
      <c r="BB27" s="10" t="str">
        <f t="shared" si="17"/>
        <v>*</v>
      </c>
      <c r="BC27" s="10"/>
      <c r="BD27" s="54">
        <v>85</v>
      </c>
      <c r="BE27" s="57">
        <v>3.0529193397869117</v>
      </c>
      <c r="BF27" s="58">
        <v>0.10335549601749262</v>
      </c>
      <c r="BG27" s="10">
        <f t="shared" si="18"/>
        <v>7.1250007054321802</v>
      </c>
      <c r="BH27" s="10" t="str">
        <f t="shared" si="19"/>
        <v>*</v>
      </c>
      <c r="BI27" s="114">
        <f t="shared" si="20"/>
        <v>0.98638938699291678</v>
      </c>
      <c r="BJ27" s="76"/>
      <c r="BK27" s="27">
        <v>1153</v>
      </c>
      <c r="BL27" s="28">
        <v>4.0257831382170632</v>
      </c>
      <c r="BM27" s="29">
        <v>3.1565831744864457E-2</v>
      </c>
      <c r="BN27" s="10"/>
      <c r="BO27" s="42">
        <v>350</v>
      </c>
      <c r="BP27" s="43">
        <v>4.025061323647285</v>
      </c>
      <c r="BQ27" s="67">
        <v>5.439805222556611E-2</v>
      </c>
      <c r="BR27" s="10">
        <f t="shared" si="21"/>
        <v>1.1476837027013345E-2</v>
      </c>
      <c r="BS27" s="10" t="str">
        <f t="shared" si="22"/>
        <v xml:space="preserve"> </v>
      </c>
      <c r="BT27" s="114">
        <f t="shared" si="23"/>
        <v>7.2181456977826741E-4</v>
      </c>
      <c r="BU27" s="10"/>
      <c r="BV27" s="42">
        <v>347.35003718999923</v>
      </c>
      <c r="BW27" s="43">
        <v>3.7805210295161178</v>
      </c>
      <c r="BX27" s="67">
        <v>3.7246877515914725E-2</v>
      </c>
      <c r="BY27" s="10">
        <f t="shared" si="24"/>
        <v>5.0234464766603688</v>
      </c>
      <c r="BZ27" s="10" t="str">
        <f t="shared" si="25"/>
        <v>*</v>
      </c>
      <c r="CA27" s="10"/>
      <c r="CB27" s="53">
        <v>358</v>
      </c>
      <c r="CC27" s="55">
        <v>3.8081710034437739</v>
      </c>
      <c r="CD27" s="56">
        <v>2.963044431927853E-2</v>
      </c>
      <c r="CE27" s="10">
        <f t="shared" si="26"/>
        <v>5.026388238616911</v>
      </c>
      <c r="CF27" s="10" t="str">
        <f t="shared" si="27"/>
        <v>*</v>
      </c>
      <c r="CG27" s="10"/>
      <c r="CH27" s="54">
        <v>410</v>
      </c>
      <c r="CI27" s="57">
        <v>3.5911195337985404</v>
      </c>
      <c r="CJ27" s="58">
        <v>5.2315128331777559E-2</v>
      </c>
      <c r="CK27" s="10">
        <f t="shared" si="28"/>
        <v>7.1139092664134997</v>
      </c>
      <c r="CL27" s="10" t="str">
        <f t="shared" si="29"/>
        <v>*</v>
      </c>
      <c r="CM27" s="114">
        <f t="shared" si="30"/>
        <v>0.43466360441852281</v>
      </c>
      <c r="CN27" s="76"/>
      <c r="CO27" s="27">
        <v>709</v>
      </c>
      <c r="CP27" s="28">
        <v>4.161478123936484</v>
      </c>
      <c r="CQ27" s="29">
        <v>3.5409452795521434E-2</v>
      </c>
      <c r="CR27" s="67"/>
      <c r="CS27" s="42">
        <v>223</v>
      </c>
      <c r="CT27" s="43">
        <v>4.2243954124362828</v>
      </c>
      <c r="CU27" s="67">
        <v>6.4194883949944409E-2</v>
      </c>
      <c r="CV27" s="10">
        <f t="shared" si="31"/>
        <v>-0.85819966314863483</v>
      </c>
      <c r="CW27" s="10" t="str">
        <f t="shared" si="32"/>
        <v xml:space="preserve"> </v>
      </c>
      <c r="CX27" s="114">
        <f t="shared" si="33"/>
        <v>-6.2917288499798829E-2</v>
      </c>
      <c r="CY27" s="10"/>
      <c r="CZ27" s="42">
        <v>232.32871112999945</v>
      </c>
      <c r="DA27" s="43">
        <v>4.2313699624060765</v>
      </c>
      <c r="DB27" s="67">
        <v>5.9496432975006258E-2</v>
      </c>
      <c r="DC27" s="10">
        <f t="shared" si="34"/>
        <v>-1.0094692227650588</v>
      </c>
      <c r="DD27" s="10" t="str">
        <f t="shared" si="35"/>
        <v xml:space="preserve"> </v>
      </c>
      <c r="DE27" s="10"/>
      <c r="DF27" s="53">
        <v>213</v>
      </c>
      <c r="DG27" s="55">
        <v>4.2687001271462419</v>
      </c>
      <c r="DH27" s="56">
        <v>5.8298585558062443E-2</v>
      </c>
      <c r="DI27" s="10">
        <f t="shared" si="36"/>
        <v>-1.5719480370201446</v>
      </c>
      <c r="DJ27" s="10" t="str">
        <f t="shared" si="0"/>
        <v xml:space="preserve"> </v>
      </c>
      <c r="DK27" s="10"/>
      <c r="DL27" s="54">
        <v>269</v>
      </c>
      <c r="DM27" s="57">
        <v>4.007375934679863</v>
      </c>
      <c r="DN27" s="58">
        <v>6.0225366501404989E-2</v>
      </c>
      <c r="DO27" s="10">
        <f t="shared" si="37"/>
        <v>2.2057575816204573</v>
      </c>
      <c r="DP27" s="10" t="str">
        <f t="shared" si="38"/>
        <v>*</v>
      </c>
      <c r="DQ27" s="114">
        <f t="shared" si="39"/>
        <v>0.154102189256621</v>
      </c>
      <c r="DR27" s="76"/>
      <c r="DS27" s="27">
        <v>211</v>
      </c>
      <c r="DT27" s="28">
        <v>3.9203987783987277</v>
      </c>
      <c r="DU27" s="29">
        <v>7.6297471936837044E-2</v>
      </c>
      <c r="DV27" s="10"/>
      <c r="DW27" s="42">
        <v>78</v>
      </c>
      <c r="DX27" s="43">
        <v>3.6407135457673365</v>
      </c>
      <c r="DY27" s="67">
        <v>0.13667183254438969</v>
      </c>
      <c r="DZ27" s="10">
        <f t="shared" si="40"/>
        <v>1.7868253917450363</v>
      </c>
      <c r="EA27" s="10" t="str">
        <f t="shared" si="41"/>
        <v xml:space="preserve"> </v>
      </c>
      <c r="EB27" s="114">
        <f t="shared" si="42"/>
        <v>0.27968523263139122</v>
      </c>
      <c r="EC27" s="10"/>
      <c r="ED27" s="42">
        <v>93.911593770000039</v>
      </c>
      <c r="EE27" s="43">
        <v>3.6304661931838496</v>
      </c>
      <c r="EF27" s="67">
        <v>0.10028210275470315</v>
      </c>
      <c r="EG27" s="10">
        <f t="shared" si="43"/>
        <v>2.3009215138761001</v>
      </c>
      <c r="EH27" s="10" t="str">
        <f t="shared" si="44"/>
        <v>*</v>
      </c>
      <c r="EI27" s="10"/>
      <c r="EJ27" s="53">
        <v>87</v>
      </c>
      <c r="EK27" s="55">
        <v>3.7895919340798061</v>
      </c>
      <c r="EL27" s="56">
        <v>0.10132330736871177</v>
      </c>
      <c r="EM27" s="10">
        <f t="shared" si="45"/>
        <v>1.0312958300583353</v>
      </c>
      <c r="EN27" s="10" t="str">
        <f t="shared" si="46"/>
        <v xml:space="preserve"> </v>
      </c>
      <c r="EO27" s="10"/>
      <c r="EP27" s="54">
        <v>61</v>
      </c>
      <c r="EQ27" s="57">
        <v>3.9836065573770494</v>
      </c>
      <c r="ER27" s="58">
        <v>0.11032440210201276</v>
      </c>
      <c r="ES27" s="10">
        <f t="shared" si="47"/>
        <v>-0.47121751029980741</v>
      </c>
      <c r="ET27" s="10" t="str">
        <f t="shared" si="48"/>
        <v xml:space="preserve"> </v>
      </c>
      <c r="EU27" s="114">
        <f t="shared" si="49"/>
        <v>-6.3207778978321638E-2</v>
      </c>
      <c r="EV27" s="76"/>
      <c r="EW27" s="27">
        <v>462</v>
      </c>
      <c r="EX27" s="28">
        <v>4.2832919548304522</v>
      </c>
      <c r="EY27" s="29">
        <v>4.3129777206194111E-2</v>
      </c>
      <c r="EZ27" s="10"/>
      <c r="FA27" s="42">
        <v>153</v>
      </c>
      <c r="FB27" s="43">
        <v>4.2477878277680023</v>
      </c>
      <c r="FC27" s="67">
        <v>7.4341924093436137E-2</v>
      </c>
      <c r="FD27" s="10">
        <f t="shared" si="50"/>
        <v>0.41309291657244818</v>
      </c>
      <c r="FE27" s="10" t="str">
        <f t="shared" si="51"/>
        <v xml:space="preserve"> </v>
      </c>
      <c r="FF27" s="114">
        <f t="shared" si="52"/>
        <v>3.5504127062449875E-2</v>
      </c>
      <c r="FG27" s="10"/>
      <c r="FH27" s="42">
        <v>165.79020698999986</v>
      </c>
      <c r="FI27" s="43">
        <v>3.637799081017965</v>
      </c>
      <c r="FJ27" s="67">
        <v>7.4821747148190079E-2</v>
      </c>
      <c r="FK27" s="10">
        <f t="shared" si="53"/>
        <v>7.4742313071237803</v>
      </c>
      <c r="FL27" s="10" t="str">
        <f t="shared" si="54"/>
        <v>*</v>
      </c>
      <c r="FM27" s="10"/>
      <c r="FN27" s="53">
        <v>156</v>
      </c>
      <c r="FO27" s="55">
        <v>4.0091526777463207</v>
      </c>
      <c r="FP27" s="56">
        <v>7.1815573509962469E-2</v>
      </c>
      <c r="FQ27" s="10">
        <f t="shared" si="55"/>
        <v>3.2724670212865377</v>
      </c>
      <c r="FR27" s="10" t="str">
        <f t="shared" si="56"/>
        <v>*</v>
      </c>
      <c r="FS27" s="10"/>
      <c r="FT27" s="54">
        <v>197</v>
      </c>
      <c r="FU27" s="57">
        <v>3.4088078975227809</v>
      </c>
      <c r="FV27" s="58">
        <v>7.0323255313674587E-2</v>
      </c>
      <c r="FW27" s="10">
        <f t="shared" si="57"/>
        <v>10.600361282712528</v>
      </c>
      <c r="FX27" s="10" t="str">
        <f t="shared" si="125"/>
        <v>*</v>
      </c>
      <c r="FY27" s="114">
        <f t="shared" si="58"/>
        <v>0.87448405730767131</v>
      </c>
      <c r="FZ27" s="76"/>
      <c r="GA27" s="27">
        <v>221</v>
      </c>
      <c r="GB27" s="28">
        <v>4.0057693923928452</v>
      </c>
      <c r="GC27" s="29">
        <v>6.646825370314513E-2</v>
      </c>
      <c r="GD27" s="67"/>
      <c r="GE27" s="42">
        <v>168</v>
      </c>
      <c r="GF27" s="43">
        <v>4.0431822497003429</v>
      </c>
      <c r="GG27" s="67">
        <v>7.9882538648452336E-2</v>
      </c>
      <c r="GH27" s="10">
        <f t="shared" si="59"/>
        <v>-0.36001790928016381</v>
      </c>
      <c r="GI27" s="10" t="str">
        <f t="shared" si="60"/>
        <v xml:space="preserve"> </v>
      </c>
      <c r="GJ27" s="114">
        <f t="shared" si="61"/>
        <v>-3.741285730749766E-2</v>
      </c>
      <c r="GK27" s="67"/>
      <c r="GL27" s="42">
        <v>199.2327883500005</v>
      </c>
      <c r="GM27" s="43">
        <v>4.0580167556039708</v>
      </c>
      <c r="GN27" s="67">
        <v>7.2602997936920238E-2</v>
      </c>
      <c r="GO27" s="10">
        <f t="shared" si="62"/>
        <v>-0.53078651179646641</v>
      </c>
      <c r="GP27" s="10" t="str">
        <f t="shared" si="63"/>
        <v xml:space="preserve"> </v>
      </c>
      <c r="GQ27" s="10"/>
      <c r="GR27" s="53">
        <v>216</v>
      </c>
      <c r="GS27" s="55">
        <v>3.8295715661486525</v>
      </c>
      <c r="GT27" s="56">
        <v>7.8068302135386597E-2</v>
      </c>
      <c r="GU27" s="10">
        <f t="shared" si="64"/>
        <v>1.7184766961997178</v>
      </c>
      <c r="GV27" s="10" t="str">
        <f t="shared" si="65"/>
        <v xml:space="preserve"> </v>
      </c>
      <c r="GW27" s="10"/>
      <c r="GX27" s="54">
        <v>192</v>
      </c>
      <c r="GY27" s="57">
        <v>3.927505888569311</v>
      </c>
      <c r="GZ27" s="58">
        <v>7.3888536992156154E-2</v>
      </c>
      <c r="HA27" s="10">
        <f t="shared" si="66"/>
        <v>0.78747139407377809</v>
      </c>
      <c r="HB27" s="10" t="str">
        <f t="shared" si="126"/>
        <v xml:space="preserve"> </v>
      </c>
      <c r="HC27" s="114">
        <f t="shared" si="67"/>
        <v>7.8263503823534197E-2</v>
      </c>
      <c r="HD27" s="76"/>
      <c r="HE27" s="27">
        <v>219</v>
      </c>
      <c r="HF27" s="28">
        <v>3.93490997117748</v>
      </c>
      <c r="HG27" s="29">
        <v>6.9736152870169488E-2</v>
      </c>
      <c r="HH27" s="10"/>
      <c r="HI27" s="42">
        <v>133</v>
      </c>
      <c r="HJ27" s="43">
        <v>4.0553014465351396</v>
      </c>
      <c r="HK27" s="67">
        <v>8.7189320294066966E-2</v>
      </c>
      <c r="HL27" s="10">
        <f t="shared" si="68"/>
        <v>-1.0783201072582413</v>
      </c>
      <c r="HM27" s="10" t="str">
        <f t="shared" si="69"/>
        <v xml:space="preserve"> </v>
      </c>
      <c r="HN27" s="114">
        <f t="shared" si="70"/>
        <v>-0.12039147535765959</v>
      </c>
      <c r="HO27" s="10"/>
      <c r="HP27" s="42">
        <v>125.05553085999989</v>
      </c>
      <c r="HQ27" s="43">
        <v>3.9057341288391552</v>
      </c>
      <c r="HR27" s="67">
        <v>9.9276347701873324E-2</v>
      </c>
      <c r="HS27" s="10">
        <f t="shared" si="71"/>
        <v>0.24048354685232651</v>
      </c>
      <c r="HT27" s="10" t="str">
        <f t="shared" si="72"/>
        <v xml:space="preserve"> </v>
      </c>
      <c r="HU27" s="10"/>
      <c r="HV27" s="53">
        <v>91</v>
      </c>
      <c r="HW27" s="55">
        <v>3.9761340951902424</v>
      </c>
      <c r="HX27" s="56">
        <v>9.7169558909043288E-2</v>
      </c>
      <c r="HY27" s="10">
        <f t="shared" si="73"/>
        <v>-0.3446725380576191</v>
      </c>
      <c r="HZ27" s="10" t="str">
        <f t="shared" si="74"/>
        <v xml:space="preserve"> </v>
      </c>
      <c r="IA27" s="10"/>
      <c r="IB27" s="54">
        <v>151</v>
      </c>
      <c r="IC27" s="57">
        <v>4.0825656776822603</v>
      </c>
      <c r="ID27" s="58">
        <v>8.6858129189193389E-2</v>
      </c>
      <c r="IE27" s="10">
        <f t="shared" si="75"/>
        <v>-1.325588402063854</v>
      </c>
      <c r="IF27" s="10" t="str">
        <f t="shared" si="127"/>
        <v xml:space="preserve"> </v>
      </c>
      <c r="IG27" s="114">
        <f t="shared" si="76"/>
        <v>-0.14765570650478033</v>
      </c>
      <c r="IH27" s="76"/>
      <c r="II27" s="27">
        <v>571</v>
      </c>
      <c r="IJ27" s="28">
        <v>3.8692372850374888</v>
      </c>
      <c r="IK27" s="29">
        <v>4.6687380448393677E-2</v>
      </c>
      <c r="IL27" s="10"/>
      <c r="IM27" s="42">
        <v>404</v>
      </c>
      <c r="IN27" s="43">
        <v>3.9559660815312747</v>
      </c>
      <c r="IO27" s="67">
        <v>5.4125266328127586E-2</v>
      </c>
      <c r="IP27" s="10">
        <f t="shared" si="77"/>
        <v>-1.2133455181155208</v>
      </c>
      <c r="IQ27" s="10" t="str">
        <f t="shared" si="78"/>
        <v xml:space="preserve"> </v>
      </c>
      <c r="IR27" s="114">
        <f t="shared" si="79"/>
        <v>-8.6728796493785953E-2</v>
      </c>
      <c r="IS27" s="10"/>
      <c r="IT27" s="42">
        <v>409.11516378000039</v>
      </c>
      <c r="IU27" s="43">
        <v>3.9358436191475068</v>
      </c>
      <c r="IV27" s="67">
        <v>5.2223112475299358E-2</v>
      </c>
      <c r="IW27" s="10">
        <f t="shared" si="80"/>
        <v>-0.95084352354473423</v>
      </c>
      <c r="IX27" s="10" t="str">
        <f t="shared" si="81"/>
        <v xml:space="preserve"> </v>
      </c>
      <c r="IY27" s="10"/>
      <c r="IZ27" s="53">
        <v>403</v>
      </c>
      <c r="JA27" s="55">
        <v>3.9909728775142264</v>
      </c>
      <c r="JB27" s="56">
        <v>4.9437974266585562E-2</v>
      </c>
      <c r="JC27" s="10">
        <f t="shared" si="82"/>
        <v>-1.7902632187459693</v>
      </c>
      <c r="JD27" s="10" t="str">
        <f t="shared" si="83"/>
        <v xml:space="preserve"> </v>
      </c>
      <c r="JE27" s="10"/>
      <c r="JF27" s="54">
        <v>438</v>
      </c>
      <c r="JG27" s="57">
        <v>3.9917480239782384</v>
      </c>
      <c r="JH27" s="58">
        <v>4.9887232258035957E-2</v>
      </c>
      <c r="JI27" s="10">
        <f t="shared" si="84"/>
        <v>-1.7930315142432831</v>
      </c>
      <c r="JJ27" s="10" t="str">
        <f t="shared" si="85"/>
        <v xml:space="preserve"> </v>
      </c>
      <c r="JK27" s="114">
        <f t="shared" si="86"/>
        <v>-0.1225107389407496</v>
      </c>
      <c r="JL27" s="76"/>
      <c r="JM27" s="27">
        <v>45</v>
      </c>
      <c r="JN27" s="28">
        <v>4.2000000000000011</v>
      </c>
      <c r="JO27" s="29">
        <v>0.18971051633274869</v>
      </c>
      <c r="JP27" s="10"/>
      <c r="JQ27" s="42">
        <v>34</v>
      </c>
      <c r="JR27" s="43">
        <v>4.3227482680701872</v>
      </c>
      <c r="JS27" s="67">
        <v>0.19681307744239543</v>
      </c>
      <c r="JT27" s="10">
        <f t="shared" si="87"/>
        <v>-0.44903588864588539</v>
      </c>
      <c r="JU27" s="10" t="str">
        <f t="shared" si="88"/>
        <v xml:space="preserve"> </v>
      </c>
      <c r="JV27" s="114">
        <f t="shared" si="89"/>
        <v>-0.12274826807018613</v>
      </c>
      <c r="JW27" s="10"/>
      <c r="JX27" s="42">
        <v>32.673939870000005</v>
      </c>
      <c r="JY27" s="43">
        <v>4.454545454545455</v>
      </c>
      <c r="JZ27" s="67">
        <v>0.13188962740511811</v>
      </c>
      <c r="KA27" s="10">
        <f t="shared" si="90"/>
        <v>-1.1016811293331967</v>
      </c>
      <c r="KB27" s="10" t="str">
        <f t="shared" si="91"/>
        <v xml:space="preserve"> </v>
      </c>
      <c r="KC27" s="10"/>
      <c r="KD27" s="53">
        <v>32</v>
      </c>
      <c r="KE27" s="55">
        <v>4.5624999999999982</v>
      </c>
      <c r="KF27" s="56">
        <v>0.16344690706560766</v>
      </c>
      <c r="KG27" s="10">
        <f t="shared" si="92"/>
        <v>-1.4476281636486725</v>
      </c>
      <c r="KH27" s="10" t="str">
        <f t="shared" si="93"/>
        <v xml:space="preserve"> </v>
      </c>
      <c r="KI27" s="10"/>
      <c r="KJ27" s="54">
        <v>54</v>
      </c>
      <c r="KK27" s="57">
        <v>4.2962962962962958</v>
      </c>
      <c r="KL27" s="58">
        <v>0.1437641798827082</v>
      </c>
      <c r="KM27" s="10">
        <f t="shared" si="94"/>
        <v>-0.40455551207024448</v>
      </c>
      <c r="KN27" s="10" t="str">
        <f t="shared" si="95"/>
        <v xml:space="preserve"> </v>
      </c>
      <c r="KO27" s="114">
        <f t="shared" si="96"/>
        <v>-9.629629629629477E-2</v>
      </c>
      <c r="KP27" s="76"/>
      <c r="KQ27" s="27">
        <v>512</v>
      </c>
      <c r="KR27" s="28">
        <v>3.8829006657564737</v>
      </c>
      <c r="KS27" s="29">
        <v>4.9102168517230815E-2</v>
      </c>
      <c r="KT27" s="10"/>
      <c r="KU27" s="42">
        <v>317</v>
      </c>
      <c r="KV27" s="43">
        <v>3.7128160634864895</v>
      </c>
      <c r="KW27" s="67">
        <v>6.6230010062835673E-2</v>
      </c>
      <c r="KX27" s="10">
        <f t="shared" si="97"/>
        <v>2.0629675528193179</v>
      </c>
      <c r="KY27" s="10" t="str">
        <f t="shared" si="98"/>
        <v>*</v>
      </c>
      <c r="KZ27" s="114">
        <f t="shared" si="99"/>
        <v>0.17008460226998423</v>
      </c>
      <c r="LA27" s="10"/>
      <c r="LB27" s="42">
        <v>367.311113570001</v>
      </c>
      <c r="LC27" s="43">
        <v>3.8778330718777774</v>
      </c>
      <c r="LD27" s="67">
        <v>5.6421568222577982E-2</v>
      </c>
      <c r="LE27" s="10">
        <f t="shared" si="100"/>
        <v>6.7752357591883791E-2</v>
      </c>
      <c r="LF27" s="10" t="str">
        <f t="shared" si="101"/>
        <v xml:space="preserve"> </v>
      </c>
      <c r="LG27" s="10"/>
      <c r="LH27" s="53">
        <v>717</v>
      </c>
      <c r="LI27" s="55">
        <v>3.8289842153206441</v>
      </c>
      <c r="LJ27" s="56">
        <v>4.2098024831743866E-2</v>
      </c>
      <c r="LK27" s="10">
        <f t="shared" si="102"/>
        <v>0.83361115757793569</v>
      </c>
      <c r="LL27" s="10" t="str">
        <f t="shared" si="103"/>
        <v xml:space="preserve"> </v>
      </c>
      <c r="LM27" s="10"/>
      <c r="LN27" s="54">
        <v>697</v>
      </c>
      <c r="LO27" s="57">
        <v>3.7865144920715488</v>
      </c>
      <c r="LP27" s="58">
        <v>4.1381686671303021E-2</v>
      </c>
      <c r="LQ27" s="10">
        <f t="shared" si="104"/>
        <v>1.5010096397450756</v>
      </c>
      <c r="LR27" s="10" t="str">
        <f t="shared" si="128"/>
        <v xml:space="preserve"> </v>
      </c>
      <c r="LS27" s="114">
        <f t="shared" si="105"/>
        <v>9.638617368492497E-2</v>
      </c>
      <c r="LT27" s="76"/>
      <c r="LU27" s="27">
        <v>186</v>
      </c>
      <c r="LV27" s="28">
        <v>4.064512406798884</v>
      </c>
      <c r="LW27" s="29">
        <v>7.3789799807967113E-2</v>
      </c>
      <c r="LX27" s="10"/>
      <c r="LY27" s="42">
        <v>196</v>
      </c>
      <c r="LZ27" s="43">
        <v>4.0765612489924692</v>
      </c>
      <c r="MA27" s="67">
        <v>6.9327367705839138E-2</v>
      </c>
      <c r="MB27" s="10">
        <f t="shared" si="106"/>
        <v>-0.11900290737470361</v>
      </c>
      <c r="MC27" s="10" t="str">
        <f t="shared" si="107"/>
        <v xml:space="preserve"> </v>
      </c>
      <c r="MD27" s="114">
        <f t="shared" si="108"/>
        <v>-1.2048842193585152E-2</v>
      </c>
      <c r="ME27" s="10"/>
      <c r="MF27" s="42">
        <v>200.48096356999943</v>
      </c>
      <c r="MG27" s="43">
        <v>4.1604175613350485</v>
      </c>
      <c r="MH27" s="67">
        <v>6.845394873095241E-2</v>
      </c>
      <c r="MI27" s="10">
        <f t="shared" si="109"/>
        <v>-0.95283656367738534</v>
      </c>
      <c r="MJ27" s="10" t="str">
        <f t="shared" si="110"/>
        <v xml:space="preserve"> </v>
      </c>
      <c r="MK27" s="10"/>
      <c r="ML27" s="53">
        <v>505</v>
      </c>
      <c r="MM27" s="55">
        <v>3.833663366336634</v>
      </c>
      <c r="MN27" s="56">
        <v>4.8378141487619424E-2</v>
      </c>
      <c r="MO27" s="10">
        <f t="shared" si="111"/>
        <v>2.6163039112208084</v>
      </c>
      <c r="MP27" s="10" t="str">
        <f t="shared" si="112"/>
        <v>*</v>
      </c>
      <c r="MQ27" s="10"/>
      <c r="MR27" s="54">
        <v>482</v>
      </c>
      <c r="MS27" s="57">
        <v>3.8455033143247999</v>
      </c>
      <c r="MT27" s="58">
        <v>5.1907164722654484E-2</v>
      </c>
      <c r="MU27" s="10">
        <f t="shared" si="113"/>
        <v>2.4275541683849839</v>
      </c>
      <c r="MV27" s="10" t="str">
        <f t="shared" si="114"/>
        <v>*</v>
      </c>
      <c r="MW27" s="114">
        <f t="shared" si="115"/>
        <v>0.21900909247408418</v>
      </c>
      <c r="MX27" s="76"/>
      <c r="MY27" s="27">
        <v>207</v>
      </c>
      <c r="MZ27" s="28">
        <v>4.1356198029430642</v>
      </c>
      <c r="NA27" s="29">
        <v>6.6075631640092128E-2</v>
      </c>
      <c r="NB27" s="10"/>
      <c r="NC27" s="42">
        <v>141</v>
      </c>
      <c r="ND27" s="43">
        <v>4.1203845618348627</v>
      </c>
      <c r="NE27" s="67">
        <v>8.6912965485861526E-2</v>
      </c>
      <c r="NF27" s="10">
        <f t="shared" si="116"/>
        <v>0.13954487401667981</v>
      </c>
      <c r="NG27" s="10" t="str">
        <f t="shared" si="117"/>
        <v xml:space="preserve"> </v>
      </c>
      <c r="NH27" s="114">
        <f t="shared" si="118"/>
        <v>1.5235241108201514E-2</v>
      </c>
      <c r="NI27" s="10"/>
      <c r="NJ27" s="42">
        <v>127.65254969000007</v>
      </c>
      <c r="NK27" s="43">
        <v>4.1060987315403459</v>
      </c>
      <c r="NL27" s="67">
        <v>8.7422395727714278E-2</v>
      </c>
      <c r="NM27" s="10">
        <f t="shared" si="119"/>
        <v>0.26939204166938269</v>
      </c>
      <c r="NN27" s="10" t="str">
        <f t="shared" si="120"/>
        <v xml:space="preserve"> </v>
      </c>
      <c r="NO27" s="10"/>
      <c r="NP27" s="53">
        <v>215</v>
      </c>
      <c r="NQ27" s="55">
        <v>4.0870557330373796</v>
      </c>
      <c r="NR27" s="56">
        <v>6.6165386487444286E-2</v>
      </c>
      <c r="NS27" s="10">
        <f t="shared" si="121"/>
        <v>0.51935436869715357</v>
      </c>
      <c r="NT27" s="10" t="str">
        <f t="shared" si="122"/>
        <v xml:space="preserve"> </v>
      </c>
      <c r="NU27" s="10"/>
      <c r="NV27" s="54">
        <v>231</v>
      </c>
      <c r="NW27" s="57">
        <v>4.091728032933915</v>
      </c>
      <c r="NX27" s="58">
        <v>6.6843645540159397E-2</v>
      </c>
      <c r="NY27" s="10">
        <f t="shared" si="123"/>
        <v>0.46698493700755833</v>
      </c>
      <c r="NZ27" s="10" t="str">
        <f t="shared" si="129"/>
        <v xml:space="preserve"> </v>
      </c>
      <c r="OA27" s="114">
        <f t="shared" si="124"/>
        <v>4.3891770009149234E-2</v>
      </c>
      <c r="OB27" s="58"/>
    </row>
    <row r="28" spans="1:392" x14ac:dyDescent="0.2">
      <c r="B28" s="65" t="s">
        <v>25</v>
      </c>
      <c r="C28" s="27">
        <v>405</v>
      </c>
      <c r="D28" s="28">
        <v>3.8148148148148131</v>
      </c>
      <c r="E28" s="29">
        <v>5.2919309428978954E-2</v>
      </c>
      <c r="F28" s="10"/>
      <c r="G28" s="42">
        <v>126</v>
      </c>
      <c r="H28" s="43">
        <v>3.785737102584025</v>
      </c>
      <c r="I28" s="67">
        <v>0.10394060926105442</v>
      </c>
      <c r="J28" s="10">
        <f t="shared" si="1"/>
        <v>0.24930171694128858</v>
      </c>
      <c r="K28" s="10" t="str">
        <f t="shared" si="2"/>
        <v xml:space="preserve"> </v>
      </c>
      <c r="L28" s="114">
        <f t="shared" si="3"/>
        <v>2.9077712230788144E-2</v>
      </c>
      <c r="M28" s="10"/>
      <c r="N28" s="42">
        <v>127.8879129900001</v>
      </c>
      <c r="O28" s="43">
        <v>3.2520325203252036</v>
      </c>
      <c r="P28" s="67">
        <v>9.5111856706716055E-2</v>
      </c>
      <c r="Q28" s="10">
        <f t="shared" si="4"/>
        <v>5.1706053300935668</v>
      </c>
      <c r="R28" s="10" t="str">
        <f t="shared" si="5"/>
        <v>*</v>
      </c>
      <c r="S28" s="10"/>
      <c r="T28" s="53">
        <v>124</v>
      </c>
      <c r="U28" s="55">
        <v>3.7580645161290334</v>
      </c>
      <c r="V28" s="56">
        <v>8.9790770107237641E-2</v>
      </c>
      <c r="W28" s="10">
        <f t="shared" si="6"/>
        <v>0.54449832241612905</v>
      </c>
      <c r="X28" s="10" t="str">
        <f t="shared" si="7"/>
        <v xml:space="preserve"> </v>
      </c>
      <c r="Y28" s="10"/>
      <c r="Z28" s="54">
        <v>208</v>
      </c>
      <c r="AA28" s="57">
        <v>3.4134615384615365</v>
      </c>
      <c r="AB28" s="58">
        <v>7.1343303299485308E-2</v>
      </c>
      <c r="AC28" s="10">
        <f t="shared" si="8"/>
        <v>4.5183461350919769</v>
      </c>
      <c r="AD28" s="10" t="str">
        <f t="shared" si="9"/>
        <v>*</v>
      </c>
      <c r="AE28" s="114">
        <f t="shared" si="10"/>
        <v>0.40135327635327656</v>
      </c>
      <c r="AF28" s="76"/>
      <c r="AG28" s="27">
        <v>99</v>
      </c>
      <c r="AH28" s="28">
        <v>4.0416993305394495</v>
      </c>
      <c r="AI28" s="29">
        <v>9.3536013196831663E-2</v>
      </c>
      <c r="AJ28" s="67"/>
      <c r="AK28" s="42">
        <v>55</v>
      </c>
      <c r="AL28" s="43">
        <v>3.69172358481448</v>
      </c>
      <c r="AM28" s="67">
        <v>0.17317041311890513</v>
      </c>
      <c r="AN28" s="10">
        <f t="shared" si="11"/>
        <v>1.7781773768181643</v>
      </c>
      <c r="AO28" s="10" t="str">
        <f t="shared" si="12"/>
        <v xml:space="preserve"> </v>
      </c>
      <c r="AP28" s="114">
        <f t="shared" si="13"/>
        <v>0.34997574572496948</v>
      </c>
      <c r="AQ28" s="67"/>
      <c r="AR28" s="42">
        <v>96.829952250000005</v>
      </c>
      <c r="AS28" s="43">
        <v>3.1775966962743176</v>
      </c>
      <c r="AT28" s="67">
        <v>0.11335574010695282</v>
      </c>
      <c r="AU28" s="10">
        <f t="shared" si="14"/>
        <v>5.8796765754707074</v>
      </c>
      <c r="AV28" s="10" t="str">
        <f t="shared" si="15"/>
        <v>*</v>
      </c>
      <c r="AW28" s="10"/>
      <c r="AX28" s="53">
        <v>125</v>
      </c>
      <c r="AY28" s="55">
        <v>3.4255772051569418</v>
      </c>
      <c r="AZ28" s="56">
        <v>0.10869665109818519</v>
      </c>
      <c r="BA28" s="10">
        <f t="shared" si="16"/>
        <v>4.2964875661880422</v>
      </c>
      <c r="BB28" s="10" t="str">
        <f t="shared" si="17"/>
        <v>*</v>
      </c>
      <c r="BC28" s="10"/>
      <c r="BD28" s="54">
        <v>82</v>
      </c>
      <c r="BE28" s="57">
        <v>2.7826906079080276</v>
      </c>
      <c r="BF28" s="58">
        <v>0.10377845878912965</v>
      </c>
      <c r="BG28" s="10">
        <f t="shared" si="18"/>
        <v>9.0115701057337088</v>
      </c>
      <c r="BH28" s="10" t="str">
        <f t="shared" si="19"/>
        <v>*</v>
      </c>
      <c r="BI28" s="114">
        <f t="shared" si="20"/>
        <v>1.2590087226314219</v>
      </c>
      <c r="BJ28" s="76"/>
      <c r="BK28" s="27">
        <v>1091</v>
      </c>
      <c r="BL28" s="28">
        <v>4.0144867300411837</v>
      </c>
      <c r="BM28" s="29">
        <v>3.1129697636926551E-2</v>
      </c>
      <c r="BN28" s="10"/>
      <c r="BO28" s="42">
        <v>337</v>
      </c>
      <c r="BP28" s="43">
        <v>4.0239458455902923</v>
      </c>
      <c r="BQ28" s="67">
        <v>5.7489679154374251E-2</v>
      </c>
      <c r="BR28" s="10">
        <f t="shared" si="21"/>
        <v>-0.14468619974188537</v>
      </c>
      <c r="BS28" s="10" t="str">
        <f t="shared" si="22"/>
        <v xml:space="preserve"> </v>
      </c>
      <c r="BT28" s="114">
        <f t="shared" si="23"/>
        <v>-9.4591155491086099E-3</v>
      </c>
      <c r="BU28" s="10"/>
      <c r="BV28" s="42">
        <v>345.43929500999923</v>
      </c>
      <c r="BW28" s="43">
        <v>3.2148383138862391</v>
      </c>
      <c r="BX28" s="67">
        <v>3.7541812129966781E-2</v>
      </c>
      <c r="BY28" s="10">
        <f t="shared" si="24"/>
        <v>16.396549252912106</v>
      </c>
      <c r="BZ28" s="10" t="str">
        <f t="shared" si="25"/>
        <v>*</v>
      </c>
      <c r="CA28" s="10"/>
      <c r="CB28" s="53">
        <v>355</v>
      </c>
      <c r="CC28" s="55">
        <v>3.3515587681667474</v>
      </c>
      <c r="CD28" s="56">
        <v>3.020601339957632E-2</v>
      </c>
      <c r="CE28" s="10">
        <f t="shared" si="26"/>
        <v>15.283354630020767</v>
      </c>
      <c r="CF28" s="10" t="str">
        <f t="shared" si="27"/>
        <v>*</v>
      </c>
      <c r="CG28" s="10"/>
      <c r="CH28" s="54">
        <v>405</v>
      </c>
      <c r="CI28" s="57">
        <v>3.5832935585167043</v>
      </c>
      <c r="CJ28" s="58">
        <v>5.095255261110343E-2</v>
      </c>
      <c r="CK28" s="10">
        <f t="shared" si="28"/>
        <v>7.221520781987639</v>
      </c>
      <c r="CL28" s="10" t="str">
        <f t="shared" si="29"/>
        <v>*</v>
      </c>
      <c r="CM28" s="114">
        <f t="shared" si="30"/>
        <v>0.43119317152447945</v>
      </c>
      <c r="CN28" s="76"/>
      <c r="CO28" s="27">
        <v>687</v>
      </c>
      <c r="CP28" s="28">
        <v>4.2212408475017407</v>
      </c>
      <c r="CQ28" s="29">
        <v>3.5402482023190227E-2</v>
      </c>
      <c r="CR28" s="67"/>
      <c r="CS28" s="42">
        <v>215</v>
      </c>
      <c r="CT28" s="43">
        <v>4.2890006614417118</v>
      </c>
      <c r="CU28" s="67">
        <v>6.0658350241899778E-2</v>
      </c>
      <c r="CV28" s="10">
        <f t="shared" si="31"/>
        <v>-0.96477650685425564</v>
      </c>
      <c r="CW28" s="10" t="str">
        <f t="shared" si="32"/>
        <v xml:space="preserve"> </v>
      </c>
      <c r="CX28" s="114">
        <f t="shared" si="33"/>
        <v>-6.7759813939971103E-2</v>
      </c>
      <c r="CY28" s="10"/>
      <c r="CZ28" s="42">
        <v>227.55185567999945</v>
      </c>
      <c r="DA28" s="43">
        <v>4.2332608568775774</v>
      </c>
      <c r="DB28" s="67">
        <v>6.1930161529215225E-2</v>
      </c>
      <c r="DC28" s="10">
        <f t="shared" si="34"/>
        <v>-0.16850089363272469</v>
      </c>
      <c r="DD28" s="10" t="str">
        <f t="shared" si="35"/>
        <v xml:space="preserve"> </v>
      </c>
      <c r="DE28" s="10"/>
      <c r="DF28" s="53">
        <v>208</v>
      </c>
      <c r="DG28" s="55">
        <v>4.3838574691368626</v>
      </c>
      <c r="DH28" s="56">
        <v>5.4066856426429048E-2</v>
      </c>
      <c r="DI28" s="10">
        <f t="shared" si="36"/>
        <v>-2.5162601264942794</v>
      </c>
      <c r="DJ28" s="10" t="str">
        <f t="shared" si="0"/>
        <v>*</v>
      </c>
      <c r="DK28" s="10"/>
      <c r="DL28" s="54">
        <v>268</v>
      </c>
      <c r="DM28" s="57">
        <v>4.0074011410009094</v>
      </c>
      <c r="DN28" s="58">
        <v>5.8301817867631014E-2</v>
      </c>
      <c r="DO28" s="10">
        <f t="shared" si="37"/>
        <v>3.1350759504680474</v>
      </c>
      <c r="DP28" s="10" t="str">
        <f t="shared" si="38"/>
        <v>*</v>
      </c>
      <c r="DQ28" s="114">
        <f t="shared" si="39"/>
        <v>0.21383970650083128</v>
      </c>
      <c r="DR28" s="76"/>
      <c r="DS28" s="27">
        <v>205</v>
      </c>
      <c r="DT28" s="28">
        <v>3.8793793140159569</v>
      </c>
      <c r="DU28" s="29">
        <v>7.356944191141547E-2</v>
      </c>
      <c r="DV28" s="10"/>
      <c r="DW28" s="42">
        <v>78</v>
      </c>
      <c r="DX28" s="43">
        <v>3.704818360841247</v>
      </c>
      <c r="DY28" s="67">
        <v>0.11992257123061843</v>
      </c>
      <c r="DZ28" s="10">
        <f t="shared" si="40"/>
        <v>1.2407422573180007</v>
      </c>
      <c r="EA28" s="10" t="str">
        <f t="shared" si="41"/>
        <v xml:space="preserve"> </v>
      </c>
      <c r="EB28" s="114">
        <f t="shared" si="42"/>
        <v>0.17456095317470988</v>
      </c>
      <c r="EC28" s="10"/>
      <c r="ED28" s="42">
        <v>92.871854640000038</v>
      </c>
      <c r="EE28" s="43">
        <v>3.6523536818000171</v>
      </c>
      <c r="EF28" s="67">
        <v>0.10103553817743217</v>
      </c>
      <c r="EG28" s="10">
        <f t="shared" si="43"/>
        <v>1.816458347344627</v>
      </c>
      <c r="EH28" s="10" t="str">
        <f t="shared" si="44"/>
        <v xml:space="preserve"> </v>
      </c>
      <c r="EI28" s="10"/>
      <c r="EJ28" s="53">
        <v>83</v>
      </c>
      <c r="EK28" s="55">
        <v>3.6632665778656643</v>
      </c>
      <c r="EL28" s="56">
        <v>0.10606986979414013</v>
      </c>
      <c r="EM28" s="10">
        <f t="shared" si="45"/>
        <v>1.6741721574804858</v>
      </c>
      <c r="EN28" s="10" t="str">
        <f t="shared" si="46"/>
        <v xml:space="preserve"> </v>
      </c>
      <c r="EO28" s="10"/>
      <c r="EP28" s="54">
        <v>57</v>
      </c>
      <c r="EQ28" s="57">
        <v>3.8596491228070171</v>
      </c>
      <c r="ER28" s="58">
        <v>0.11326979380274732</v>
      </c>
      <c r="ES28" s="10">
        <f t="shared" si="47"/>
        <v>0.14607941125395391</v>
      </c>
      <c r="ET28" s="10" t="str">
        <f t="shared" si="48"/>
        <v xml:space="preserve"> </v>
      </c>
      <c r="EU28" s="114">
        <f t="shared" si="49"/>
        <v>1.9730191208939818E-2</v>
      </c>
      <c r="EV28" s="76"/>
      <c r="EW28" s="27">
        <v>433</v>
      </c>
      <c r="EX28" s="28">
        <v>4.234021712800053</v>
      </c>
      <c r="EY28" s="29">
        <v>4.5824882909684977E-2</v>
      </c>
      <c r="EZ28" s="10"/>
      <c r="FA28" s="42">
        <v>147</v>
      </c>
      <c r="FB28" s="43">
        <v>4.271312852805111</v>
      </c>
      <c r="FC28" s="67">
        <v>7.1328627338943698E-2</v>
      </c>
      <c r="FD28" s="10">
        <f t="shared" si="50"/>
        <v>-0.43985638572148933</v>
      </c>
      <c r="FE28" s="10" t="str">
        <f t="shared" si="51"/>
        <v xml:space="preserve"> </v>
      </c>
      <c r="FF28" s="114">
        <f t="shared" si="52"/>
        <v>-3.7291140005057954E-2</v>
      </c>
      <c r="FG28" s="10"/>
      <c r="FH28" s="42">
        <v>159.72050828999988</v>
      </c>
      <c r="FI28" s="43">
        <v>3.3942669896570976</v>
      </c>
      <c r="FJ28" s="67">
        <v>8.2507538107643524E-2</v>
      </c>
      <c r="FK28" s="10">
        <f t="shared" si="53"/>
        <v>8.8976771323494148</v>
      </c>
      <c r="FL28" s="10" t="str">
        <f t="shared" si="54"/>
        <v>*</v>
      </c>
      <c r="FM28" s="10"/>
      <c r="FN28" s="53">
        <v>148</v>
      </c>
      <c r="FO28" s="55">
        <v>3.9998457403685208</v>
      </c>
      <c r="FP28" s="56">
        <v>7.828924839144813E-2</v>
      </c>
      <c r="FQ28" s="10">
        <f t="shared" si="55"/>
        <v>2.5814604054157884</v>
      </c>
      <c r="FR28" s="10" t="str">
        <f t="shared" si="56"/>
        <v>*</v>
      </c>
      <c r="FS28" s="10"/>
      <c r="FT28" s="54">
        <v>194</v>
      </c>
      <c r="FU28" s="57">
        <v>3.2233920001324003</v>
      </c>
      <c r="FV28" s="58">
        <v>7.6430114950950437E-2</v>
      </c>
      <c r="FW28" s="10">
        <f t="shared" si="57"/>
        <v>11.340736883608718</v>
      </c>
      <c r="FX28" s="10" t="str">
        <f t="shared" si="125"/>
        <v>*</v>
      </c>
      <c r="FY28" s="114">
        <f t="shared" si="58"/>
        <v>1.0106297126676527</v>
      </c>
      <c r="FZ28" s="76"/>
      <c r="GA28" s="27">
        <v>195</v>
      </c>
      <c r="GB28" s="28">
        <v>3.9146220483170584</v>
      </c>
      <c r="GC28" s="29">
        <v>7.0155664033889967E-2</v>
      </c>
      <c r="GD28" s="67"/>
      <c r="GE28" s="42">
        <v>149</v>
      </c>
      <c r="GF28" s="43">
        <v>3.9886186794780443</v>
      </c>
      <c r="GG28" s="67">
        <v>8.8939874399619367E-2</v>
      </c>
      <c r="GH28" s="10">
        <f t="shared" si="59"/>
        <v>-0.6532249557148273</v>
      </c>
      <c r="GI28" s="10" t="str">
        <f t="shared" si="60"/>
        <v xml:space="preserve"> </v>
      </c>
      <c r="GJ28" s="114">
        <f t="shared" si="61"/>
        <v>-7.3996631160985871E-2</v>
      </c>
      <c r="GK28" s="67"/>
      <c r="GL28" s="42">
        <v>182.87727671000027</v>
      </c>
      <c r="GM28" s="43">
        <v>4.0083746307225967</v>
      </c>
      <c r="GN28" s="67">
        <v>7.5305808031378207E-2</v>
      </c>
      <c r="GO28" s="10">
        <f t="shared" si="62"/>
        <v>-0.91091577582487648</v>
      </c>
      <c r="GP28" s="10" t="str">
        <f t="shared" si="63"/>
        <v xml:space="preserve"> </v>
      </c>
      <c r="GQ28" s="10"/>
      <c r="GR28" s="53">
        <v>196</v>
      </c>
      <c r="GS28" s="55">
        <v>3.8454426395641028</v>
      </c>
      <c r="GT28" s="56">
        <v>8.0134860627045834E-2</v>
      </c>
      <c r="GU28" s="10">
        <f t="shared" si="64"/>
        <v>0.6495386107668778</v>
      </c>
      <c r="GV28" s="10" t="str">
        <f t="shared" si="65"/>
        <v xml:space="preserve"> </v>
      </c>
      <c r="GW28" s="10"/>
      <c r="GX28" s="54">
        <v>176</v>
      </c>
      <c r="GY28" s="57">
        <v>3.9677419357373696</v>
      </c>
      <c r="GZ28" s="58">
        <v>8.0057748051793109E-2</v>
      </c>
      <c r="HA28" s="10">
        <f t="shared" si="66"/>
        <v>-0.4990245045415766</v>
      </c>
      <c r="HB28" s="10" t="str">
        <f t="shared" si="126"/>
        <v xml:space="preserve"> </v>
      </c>
      <c r="HC28" s="114">
        <f t="shared" si="67"/>
        <v>-5.3119887420311152E-2</v>
      </c>
      <c r="HD28" s="76"/>
      <c r="HE28" s="27">
        <v>205</v>
      </c>
      <c r="HF28" s="28">
        <v>3.8434904822465734</v>
      </c>
      <c r="HG28" s="29">
        <v>7.8216688126933165E-2</v>
      </c>
      <c r="HH28" s="10"/>
      <c r="HI28" s="42">
        <v>125</v>
      </c>
      <c r="HJ28" s="43">
        <v>4.0830237013339827</v>
      </c>
      <c r="HK28" s="67">
        <v>8.9373864045775908E-2</v>
      </c>
      <c r="HL28" s="10">
        <f t="shared" si="68"/>
        <v>-2.0168375813138728</v>
      </c>
      <c r="HM28" s="10" t="str">
        <f t="shared" si="69"/>
        <v>*</v>
      </c>
      <c r="HN28" s="114">
        <f t="shared" si="70"/>
        <v>-0.23953321908740932</v>
      </c>
      <c r="HO28" s="10"/>
      <c r="HP28" s="42">
        <v>119.7031914199999</v>
      </c>
      <c r="HQ28" s="43">
        <v>3.9198572470274406</v>
      </c>
      <c r="HR28" s="67">
        <v>9.9094850923309788E-2</v>
      </c>
      <c r="HS28" s="10">
        <f t="shared" si="71"/>
        <v>-0.60491226339407889</v>
      </c>
      <c r="HT28" s="10" t="str">
        <f t="shared" si="72"/>
        <v xml:space="preserve"> </v>
      </c>
      <c r="HU28" s="10"/>
      <c r="HV28" s="53">
        <v>85</v>
      </c>
      <c r="HW28" s="55">
        <v>3.9843339432690454</v>
      </c>
      <c r="HX28" s="56">
        <v>0.10019024698772007</v>
      </c>
      <c r="HY28" s="10">
        <f t="shared" si="73"/>
        <v>-1.1080787544149193</v>
      </c>
      <c r="HZ28" s="10" t="str">
        <f t="shared" si="74"/>
        <v xml:space="preserve"> </v>
      </c>
      <c r="IA28" s="10"/>
      <c r="IB28" s="54">
        <v>144</v>
      </c>
      <c r="IC28" s="57">
        <v>4.0057245088619737</v>
      </c>
      <c r="ID28" s="58">
        <v>8.9724124785431555E-2</v>
      </c>
      <c r="IE28" s="10">
        <f t="shared" si="75"/>
        <v>-1.3629613874819932</v>
      </c>
      <c r="IF28" s="10" t="str">
        <f t="shared" si="127"/>
        <v xml:space="preserve"> </v>
      </c>
      <c r="IG28" s="114">
        <f t="shared" si="76"/>
        <v>-0.16223402661540032</v>
      </c>
      <c r="IH28" s="76"/>
      <c r="II28" s="27">
        <v>537</v>
      </c>
      <c r="IJ28" s="28">
        <v>4.0039871986064854</v>
      </c>
      <c r="IK28" s="29">
        <v>4.4524743599725518E-2</v>
      </c>
      <c r="IL28" s="10"/>
      <c r="IM28" s="42">
        <v>378</v>
      </c>
      <c r="IN28" s="43">
        <v>4.0806225592221965</v>
      </c>
      <c r="IO28" s="67">
        <v>4.803896678065904E-2</v>
      </c>
      <c r="IP28" s="10">
        <f t="shared" si="77"/>
        <v>-1.1700129886214128</v>
      </c>
      <c r="IQ28" s="10" t="str">
        <f t="shared" si="78"/>
        <v xml:space="preserve"> </v>
      </c>
      <c r="IR28" s="114">
        <f t="shared" si="79"/>
        <v>-7.6635360615711079E-2</v>
      </c>
      <c r="IS28" s="10"/>
      <c r="IT28" s="42">
        <v>393.85721477000044</v>
      </c>
      <c r="IU28" s="43">
        <v>4.0631671511324914</v>
      </c>
      <c r="IV28" s="67">
        <v>4.9174409151032002E-2</v>
      </c>
      <c r="IW28" s="10">
        <f t="shared" si="80"/>
        <v>-0.8921130321166475</v>
      </c>
      <c r="IX28" s="10" t="str">
        <f t="shared" si="81"/>
        <v xml:space="preserve"> </v>
      </c>
      <c r="IY28" s="10"/>
      <c r="IZ28" s="53">
        <v>385</v>
      </c>
      <c r="JA28" s="55">
        <v>4.1149022639067292</v>
      </c>
      <c r="JB28" s="56">
        <v>4.8696549060071315E-2</v>
      </c>
      <c r="JC28" s="10">
        <f t="shared" si="82"/>
        <v>-1.6809545397208576</v>
      </c>
      <c r="JD28" s="10" t="str">
        <f t="shared" si="83"/>
        <v xml:space="preserve"> </v>
      </c>
      <c r="JE28" s="10"/>
      <c r="JF28" s="54">
        <v>425</v>
      </c>
      <c r="JG28" s="57">
        <v>4.1466570810152881</v>
      </c>
      <c r="JH28" s="58">
        <v>4.5306585331546592E-2</v>
      </c>
      <c r="JI28" s="10">
        <f t="shared" si="84"/>
        <v>-2.2459652285490881</v>
      </c>
      <c r="JJ28" s="10" t="str">
        <f t="shared" si="85"/>
        <v>*</v>
      </c>
      <c r="JK28" s="114">
        <f t="shared" si="86"/>
        <v>-0.14266988240880263</v>
      </c>
      <c r="JL28" s="76"/>
      <c r="JM28" s="27">
        <v>46</v>
      </c>
      <c r="JN28" s="28">
        <v>4.1956521739130421</v>
      </c>
      <c r="JO28" s="29">
        <v>0.17760403266028635</v>
      </c>
      <c r="JP28" s="10"/>
      <c r="JQ28" s="42">
        <v>28</v>
      </c>
      <c r="JR28" s="43">
        <v>4.5711282411311949</v>
      </c>
      <c r="JS28" s="67">
        <v>0.14016593287802526</v>
      </c>
      <c r="JT28" s="10" t="str">
        <f t="shared" si="87"/>
        <v>NV</v>
      </c>
      <c r="JU28" s="10" t="str">
        <f t="shared" si="88"/>
        <v xml:space="preserve"> </v>
      </c>
      <c r="JV28" s="114">
        <f t="shared" si="89"/>
        <v>-0.37547606721815274</v>
      </c>
      <c r="JW28" s="10"/>
      <c r="JX28" s="42">
        <v>31.683820480000005</v>
      </c>
      <c r="JY28" s="43">
        <v>4.1874999999999991</v>
      </c>
      <c r="JZ28" s="67">
        <v>0.18297981113600428</v>
      </c>
      <c r="KA28" s="10">
        <f t="shared" si="90"/>
        <v>3.1969357717982066E-2</v>
      </c>
      <c r="KB28" s="10" t="str">
        <f t="shared" si="91"/>
        <v xml:space="preserve"> </v>
      </c>
      <c r="KC28" s="10"/>
      <c r="KD28" s="53">
        <v>31</v>
      </c>
      <c r="KE28" s="55">
        <v>4.064516129032258</v>
      </c>
      <c r="KF28" s="56">
        <v>0.22961088201149218</v>
      </c>
      <c r="KG28" s="10">
        <f t="shared" si="92"/>
        <v>0.45175206312479749</v>
      </c>
      <c r="KH28" s="10" t="str">
        <f t="shared" si="93"/>
        <v xml:space="preserve"> </v>
      </c>
      <c r="KI28" s="10"/>
      <c r="KJ28" s="54">
        <v>51</v>
      </c>
      <c r="KK28" s="57">
        <v>4.1960784313725501</v>
      </c>
      <c r="KL28" s="58">
        <v>0.13597205846862212</v>
      </c>
      <c r="KM28" s="10">
        <f t="shared" si="94"/>
        <v>-1.9056793426206757E-3</v>
      </c>
      <c r="KN28" s="10" t="str">
        <f t="shared" si="95"/>
        <v xml:space="preserve"> </v>
      </c>
      <c r="KO28" s="114">
        <f t="shared" si="96"/>
        <v>-4.2625745950797267E-4</v>
      </c>
      <c r="KP28" s="76"/>
      <c r="KQ28" s="27">
        <v>465</v>
      </c>
      <c r="KR28" s="28">
        <v>3.8711164682369956</v>
      </c>
      <c r="KS28" s="29">
        <v>5.15833934977677E-2</v>
      </c>
      <c r="KT28" s="10"/>
      <c r="KU28" s="42">
        <v>295</v>
      </c>
      <c r="KV28" s="43">
        <v>3.7691795418907272</v>
      </c>
      <c r="KW28" s="67">
        <v>6.5367222448868598E-2</v>
      </c>
      <c r="KX28" s="10">
        <f t="shared" si="97"/>
        <v>1.2241887284245021</v>
      </c>
      <c r="KY28" s="10" t="str">
        <f t="shared" si="98"/>
        <v xml:space="preserve"> </v>
      </c>
      <c r="KZ28" s="114">
        <f t="shared" si="99"/>
        <v>0.10193692634626839</v>
      </c>
      <c r="LA28" s="10"/>
      <c r="LB28" s="42">
        <v>339.94209432000048</v>
      </c>
      <c r="LC28" s="43">
        <v>3.8922333596159051</v>
      </c>
      <c r="LD28" s="67">
        <v>5.8469126301125211E-2</v>
      </c>
      <c r="LE28" s="10">
        <f t="shared" si="100"/>
        <v>-0.2708298833568365</v>
      </c>
      <c r="LF28" s="10" t="str">
        <f t="shared" si="101"/>
        <v xml:space="preserve"> </v>
      </c>
      <c r="LG28" s="10"/>
      <c r="LH28" s="53">
        <v>631</v>
      </c>
      <c r="LI28" s="55">
        <v>3.7813002663851147</v>
      </c>
      <c r="LJ28" s="56">
        <v>4.577120011921515E-2</v>
      </c>
      <c r="LK28" s="10">
        <f t="shared" si="102"/>
        <v>1.3023887792788371</v>
      </c>
      <c r="LL28" s="10" t="str">
        <f t="shared" si="103"/>
        <v xml:space="preserve"> </v>
      </c>
      <c r="LM28" s="10"/>
      <c r="LN28" s="54">
        <v>633</v>
      </c>
      <c r="LO28" s="57">
        <v>3.6730221881581295</v>
      </c>
      <c r="LP28" s="58">
        <v>4.6181790310432673E-2</v>
      </c>
      <c r="LQ28" s="10">
        <f t="shared" si="104"/>
        <v>2.861151453926611</v>
      </c>
      <c r="LR28" s="10" t="str">
        <f t="shared" si="128"/>
        <v>*</v>
      </c>
      <c r="LS28" s="114">
        <f t="shared" si="105"/>
        <v>0.19809428007886609</v>
      </c>
      <c r="LT28" s="76"/>
      <c r="LU28" s="27">
        <v>179</v>
      </c>
      <c r="LV28" s="28">
        <v>4.1340782122905022</v>
      </c>
      <c r="LW28" s="29">
        <v>7.741288389806493E-2</v>
      </c>
      <c r="LX28" s="10"/>
      <c r="LY28" s="42">
        <v>179</v>
      </c>
      <c r="LZ28" s="43">
        <v>4.0781369863179222</v>
      </c>
      <c r="MA28" s="67">
        <v>7.1031587756945347E-2</v>
      </c>
      <c r="MB28" s="10">
        <f t="shared" si="106"/>
        <v>0.53245393737755409</v>
      </c>
      <c r="MC28" s="10" t="str">
        <f t="shared" si="107"/>
        <v xml:space="preserve"> </v>
      </c>
      <c r="MD28" s="114">
        <f t="shared" si="108"/>
        <v>5.594122597258E-2</v>
      </c>
      <c r="ME28" s="10"/>
      <c r="MF28" s="42">
        <v>193.5501278399995</v>
      </c>
      <c r="MG28" s="43">
        <v>4.2173176615247243</v>
      </c>
      <c r="MH28" s="67">
        <v>6.2969716355823463E-2</v>
      </c>
      <c r="MI28" s="10">
        <f t="shared" si="109"/>
        <v>-0.83415056899568751</v>
      </c>
      <c r="MJ28" s="10" t="str">
        <f t="shared" si="110"/>
        <v xml:space="preserve"> </v>
      </c>
      <c r="MK28" s="10"/>
      <c r="ML28" s="53">
        <v>472</v>
      </c>
      <c r="MM28" s="55">
        <v>3.9364406779661016</v>
      </c>
      <c r="MN28" s="56">
        <v>4.5823089253802352E-2</v>
      </c>
      <c r="MO28" s="10">
        <f t="shared" si="111"/>
        <v>2.196988592850504</v>
      </c>
      <c r="MP28" s="10" t="str">
        <f t="shared" si="112"/>
        <v>*</v>
      </c>
      <c r="MQ28" s="10"/>
      <c r="MR28" s="54">
        <v>455</v>
      </c>
      <c r="MS28" s="57">
        <v>3.9415015155493704</v>
      </c>
      <c r="MT28" s="58">
        <v>5.1434514449189096E-2</v>
      </c>
      <c r="MU28" s="10">
        <f t="shared" si="113"/>
        <v>2.0720035727325996</v>
      </c>
      <c r="MV28" s="10" t="str">
        <f t="shared" si="114"/>
        <v>*</v>
      </c>
      <c r="MW28" s="114">
        <f t="shared" si="115"/>
        <v>0.19257669674113176</v>
      </c>
      <c r="MX28" s="76"/>
      <c r="MY28" s="27">
        <v>196</v>
      </c>
      <c r="MZ28" s="28">
        <v>4.1022250312401107</v>
      </c>
      <c r="NA28" s="29">
        <v>6.628641688989155E-2</v>
      </c>
      <c r="NB28" s="10"/>
      <c r="NC28" s="42">
        <v>132</v>
      </c>
      <c r="ND28" s="43">
        <v>4.1214466437941857</v>
      </c>
      <c r="NE28" s="67">
        <v>8.5418689318520813E-2</v>
      </c>
      <c r="NF28" s="10">
        <f t="shared" si="116"/>
        <v>-0.1777780247727605</v>
      </c>
      <c r="NG28" s="10" t="str">
        <f t="shared" si="117"/>
        <v xml:space="preserve"> </v>
      </c>
      <c r="NH28" s="114">
        <f t="shared" si="118"/>
        <v>-1.9221612554074952E-2</v>
      </c>
      <c r="NI28" s="10"/>
      <c r="NJ28" s="42">
        <v>112.16496312000004</v>
      </c>
      <c r="NK28" s="43">
        <v>4.1751299008495568</v>
      </c>
      <c r="NL28" s="67">
        <v>7.7341035384448767E-2</v>
      </c>
      <c r="NM28" s="10">
        <f t="shared" si="119"/>
        <v>-0.71573375688684227</v>
      </c>
      <c r="NN28" s="10" t="str">
        <f t="shared" si="120"/>
        <v xml:space="preserve"> </v>
      </c>
      <c r="NO28" s="10"/>
      <c r="NP28" s="53">
        <v>200</v>
      </c>
      <c r="NQ28" s="55">
        <v>4.1256908929892884</v>
      </c>
      <c r="NR28" s="56">
        <v>6.4774817976192861E-2</v>
      </c>
      <c r="NS28" s="10">
        <f t="shared" si="121"/>
        <v>-0.25319105965936062</v>
      </c>
      <c r="NT28" s="10" t="str">
        <f t="shared" si="122"/>
        <v xml:space="preserve"> </v>
      </c>
      <c r="NU28" s="10"/>
      <c r="NV28" s="54">
        <v>211</v>
      </c>
      <c r="NW28" s="57">
        <v>4.1514130995302985</v>
      </c>
      <c r="NX28" s="58">
        <v>6.7920018157485537E-2</v>
      </c>
      <c r="NY28" s="10">
        <f t="shared" si="123"/>
        <v>-0.51828573252953825</v>
      </c>
      <c r="NZ28" s="10" t="str">
        <f t="shared" si="129"/>
        <v xml:space="preserve"> </v>
      </c>
      <c r="OA28" s="114">
        <f t="shared" si="124"/>
        <v>-4.9188068290187736E-2</v>
      </c>
      <c r="OB28" s="58"/>
    </row>
    <row r="29" spans="1:392" x14ac:dyDescent="0.2">
      <c r="B29" s="65" t="s">
        <v>26</v>
      </c>
      <c r="C29" s="27">
        <v>422</v>
      </c>
      <c r="D29" s="28">
        <v>3.9432792876719227</v>
      </c>
      <c r="E29" s="29">
        <v>5.0867902654116677E-2</v>
      </c>
      <c r="F29" s="10"/>
      <c r="G29" s="42">
        <v>128</v>
      </c>
      <c r="H29" s="43">
        <v>3.9921891375653851</v>
      </c>
      <c r="I29" s="67">
        <v>9.2045415938084171E-2</v>
      </c>
      <c r="J29" s="10">
        <f t="shared" si="1"/>
        <v>-0.46507253009651045</v>
      </c>
      <c r="K29" s="10" t="str">
        <f t="shared" si="2"/>
        <v xml:space="preserve"> </v>
      </c>
      <c r="L29" s="114">
        <f t="shared" si="3"/>
        <v>-4.8909849893462365E-2</v>
      </c>
      <c r="M29" s="10"/>
      <c r="N29" s="42">
        <v>128.92765212000009</v>
      </c>
      <c r="O29" s="43">
        <v>3.008064516129032</v>
      </c>
      <c r="P29" s="67">
        <v>0.11423091498867988</v>
      </c>
      <c r="Q29" s="10">
        <f t="shared" si="4"/>
        <v>7.4790272932469026</v>
      </c>
      <c r="R29" s="10" t="str">
        <f t="shared" si="5"/>
        <v>*</v>
      </c>
      <c r="S29" s="10"/>
      <c r="T29" s="53">
        <v>135</v>
      </c>
      <c r="U29" s="55">
        <v>3.8222222222222211</v>
      </c>
      <c r="V29" s="56">
        <v>9.3691351468889156E-2</v>
      </c>
      <c r="W29" s="10">
        <f t="shared" si="6"/>
        <v>1.1355171883092556</v>
      </c>
      <c r="X29" s="10" t="str">
        <f t="shared" si="7"/>
        <v xml:space="preserve"> </v>
      </c>
      <c r="Y29" s="10"/>
      <c r="Z29" s="54">
        <v>211</v>
      </c>
      <c r="AA29" s="57">
        <v>3.4502369668246455</v>
      </c>
      <c r="AB29" s="58">
        <v>7.1687556750363493E-2</v>
      </c>
      <c r="AC29" s="10">
        <f t="shared" si="8"/>
        <v>5.6090407898026848</v>
      </c>
      <c r="AD29" s="10" t="str">
        <f t="shared" si="9"/>
        <v>*</v>
      </c>
      <c r="AE29" s="114">
        <f t="shared" si="10"/>
        <v>0.49304232084727717</v>
      </c>
      <c r="AF29" s="76"/>
      <c r="AG29" s="27">
        <v>105</v>
      </c>
      <c r="AH29" s="28">
        <v>4.0292092880081984</v>
      </c>
      <c r="AI29" s="29">
        <v>0.10087975173772007</v>
      </c>
      <c r="AJ29" s="67"/>
      <c r="AK29" s="42">
        <v>58</v>
      </c>
      <c r="AL29" s="43">
        <v>3.7409736431515546</v>
      </c>
      <c r="AM29" s="67">
        <v>0.16177304755203323</v>
      </c>
      <c r="AN29" s="10">
        <f t="shared" si="11"/>
        <v>1.5118612939225895</v>
      </c>
      <c r="AO29" s="10" t="str">
        <f t="shared" si="12"/>
        <v xml:space="preserve"> </v>
      </c>
      <c r="AP29" s="114">
        <f t="shared" si="13"/>
        <v>0.28823564485664388</v>
      </c>
      <c r="AQ29" s="67"/>
      <c r="AR29" s="42">
        <v>98.740694430000005</v>
      </c>
      <c r="AS29" s="43">
        <v>2.9806488885759812</v>
      </c>
      <c r="AT29" s="67">
        <v>0.11770752532565586</v>
      </c>
      <c r="AU29" s="10">
        <f t="shared" si="14"/>
        <v>6.763950635847876</v>
      </c>
      <c r="AV29" s="10" t="str">
        <f t="shared" si="15"/>
        <v>*</v>
      </c>
      <c r="AW29" s="10"/>
      <c r="AX29" s="53">
        <v>132</v>
      </c>
      <c r="AY29" s="55">
        <v>3.1484852407857065</v>
      </c>
      <c r="AZ29" s="56">
        <v>0.11561096902746427</v>
      </c>
      <c r="BA29" s="10">
        <f t="shared" si="16"/>
        <v>5.7400074190928505</v>
      </c>
      <c r="BB29" s="10" t="str">
        <f t="shared" si="17"/>
        <v>*</v>
      </c>
      <c r="BC29" s="10"/>
      <c r="BD29" s="54">
        <v>86</v>
      </c>
      <c r="BE29" s="57">
        <v>2.7553876067238572</v>
      </c>
      <c r="BF29" s="58">
        <v>0.11203805187627043</v>
      </c>
      <c r="BG29" s="10">
        <f t="shared" si="18"/>
        <v>8.4492097160984958</v>
      </c>
      <c r="BH29" s="10" t="str">
        <f t="shared" si="19"/>
        <v>*</v>
      </c>
      <c r="BI29" s="114">
        <f t="shared" si="20"/>
        <v>1.2738216812843413</v>
      </c>
      <c r="BJ29" s="76"/>
      <c r="BK29" s="27">
        <v>1147</v>
      </c>
      <c r="BL29" s="28">
        <v>3.3825952840033424</v>
      </c>
      <c r="BM29" s="29">
        <v>3.7344456851837585E-2</v>
      </c>
      <c r="BN29" s="10"/>
      <c r="BO29" s="42">
        <v>353</v>
      </c>
      <c r="BP29" s="43">
        <v>3.4749346075966181</v>
      </c>
      <c r="BQ29" s="67">
        <v>6.489235958115798E-2</v>
      </c>
      <c r="BR29" s="10">
        <f t="shared" si="21"/>
        <v>-1.2333166622764777</v>
      </c>
      <c r="BS29" s="10" t="str">
        <f t="shared" si="22"/>
        <v xml:space="preserve"> </v>
      </c>
      <c r="BT29" s="114">
        <f t="shared" si="23"/>
        <v>-9.233932359327568E-2</v>
      </c>
      <c r="BU29" s="10"/>
      <c r="BV29" s="42">
        <v>347.35003718999923</v>
      </c>
      <c r="BW29" s="43">
        <v>2.1761216814165376</v>
      </c>
      <c r="BX29" s="67">
        <v>5.1980225692809766E-2</v>
      </c>
      <c r="BY29" s="10">
        <f t="shared" si="24"/>
        <v>18.849879187601417</v>
      </c>
      <c r="BZ29" s="10" t="str">
        <f t="shared" si="25"/>
        <v>*</v>
      </c>
      <c r="CA29" s="10"/>
      <c r="CB29" s="53">
        <v>357</v>
      </c>
      <c r="CC29" s="55">
        <v>2.1402829401245147</v>
      </c>
      <c r="CD29" s="56">
        <v>3.8471469388647483E-2</v>
      </c>
      <c r="CE29" s="10">
        <f t="shared" si="26"/>
        <v>23.170605078394189</v>
      </c>
      <c r="CF29" s="10" t="str">
        <f t="shared" si="27"/>
        <v>*</v>
      </c>
      <c r="CG29" s="10"/>
      <c r="CH29" s="54">
        <v>409</v>
      </c>
      <c r="CI29" s="57">
        <v>2.8928300398556193</v>
      </c>
      <c r="CJ29" s="58">
        <v>5.9309012024088698E-2</v>
      </c>
      <c r="CK29" s="10">
        <f t="shared" si="28"/>
        <v>6.9879756783714253</v>
      </c>
      <c r="CL29" s="10" t="str">
        <f t="shared" si="29"/>
        <v>*</v>
      </c>
      <c r="CM29" s="114">
        <f t="shared" si="30"/>
        <v>0.48976524414772316</v>
      </c>
      <c r="CN29" s="76"/>
      <c r="CO29" s="27">
        <v>697</v>
      </c>
      <c r="CP29" s="28">
        <v>3.9031819041599816</v>
      </c>
      <c r="CQ29" s="29">
        <v>4.0034913841692138E-2</v>
      </c>
      <c r="CR29" s="67"/>
      <c r="CS29" s="42">
        <v>220</v>
      </c>
      <c r="CT29" s="43">
        <v>3.7322269053560113</v>
      </c>
      <c r="CU29" s="67">
        <v>7.8658731978173677E-2</v>
      </c>
      <c r="CV29" s="10">
        <f t="shared" si="31"/>
        <v>1.9369273959277504</v>
      </c>
      <c r="CW29" s="10" t="str">
        <f t="shared" si="32"/>
        <v xml:space="preserve"> </v>
      </c>
      <c r="CX29" s="114">
        <f t="shared" si="33"/>
        <v>0.17095499880397025</v>
      </c>
      <c r="CY29" s="10"/>
      <c r="CZ29" s="42">
        <v>236.48766764999939</v>
      </c>
      <c r="DA29" s="43">
        <v>3.7250398710167172</v>
      </c>
      <c r="DB29" s="67">
        <v>8.242263081955932E-2</v>
      </c>
      <c r="DC29" s="10">
        <f t="shared" si="34"/>
        <v>1.9441189538968182</v>
      </c>
      <c r="DD29" s="10" t="str">
        <f t="shared" si="35"/>
        <v xml:space="preserve"> </v>
      </c>
      <c r="DE29" s="10"/>
      <c r="DF29" s="53">
        <v>211</v>
      </c>
      <c r="DG29" s="55">
        <v>3.9318540263039257</v>
      </c>
      <c r="DH29" s="56">
        <v>7.1849954016016557E-2</v>
      </c>
      <c r="DI29" s="10">
        <f t="shared" si="36"/>
        <v>-0.3485934238812799</v>
      </c>
      <c r="DJ29" s="10" t="str">
        <f t="shared" si="0"/>
        <v xml:space="preserve"> </v>
      </c>
      <c r="DK29" s="10"/>
      <c r="DL29" s="54">
        <v>270</v>
      </c>
      <c r="DM29" s="57">
        <v>3.4436804419021771</v>
      </c>
      <c r="DN29" s="58">
        <v>7.7416523710517618E-2</v>
      </c>
      <c r="DO29" s="10">
        <f t="shared" si="37"/>
        <v>5.2721918396478866</v>
      </c>
      <c r="DP29" s="10" t="str">
        <f t="shared" si="38"/>
        <v>*</v>
      </c>
      <c r="DQ29" s="114">
        <f t="shared" si="39"/>
        <v>0.45950146225780442</v>
      </c>
      <c r="DR29" s="76"/>
      <c r="DS29" s="27">
        <v>208</v>
      </c>
      <c r="DT29" s="28">
        <v>4.0501947862703931</v>
      </c>
      <c r="DU29" s="29">
        <v>6.2304227189651021E-2</v>
      </c>
      <c r="DV29" s="10"/>
      <c r="DW29" s="42">
        <v>79</v>
      </c>
      <c r="DX29" s="43">
        <v>3.7845594781151939</v>
      </c>
      <c r="DY29" s="67">
        <v>0.10773199331877585</v>
      </c>
      <c r="DZ29" s="10">
        <f t="shared" si="40"/>
        <v>2.1344606035804778</v>
      </c>
      <c r="EA29" s="10" t="str">
        <f t="shared" si="41"/>
        <v>*</v>
      </c>
      <c r="EB29" s="114">
        <f t="shared" si="42"/>
        <v>0.2656353081551992</v>
      </c>
      <c r="EC29" s="10"/>
      <c r="ED29" s="42">
        <v>93.911593770000039</v>
      </c>
      <c r="EE29" s="43">
        <v>3.392600675378783</v>
      </c>
      <c r="EF29" s="67">
        <v>0.12374636305509498</v>
      </c>
      <c r="EG29" s="10">
        <f t="shared" si="43"/>
        <v>4.7463973567630013</v>
      </c>
      <c r="EH29" s="10" t="str">
        <f t="shared" si="44"/>
        <v>*</v>
      </c>
      <c r="EI29" s="10"/>
      <c r="EJ29" s="53">
        <v>88</v>
      </c>
      <c r="EK29" s="55">
        <v>3.6642038576634022</v>
      </c>
      <c r="EL29" s="56">
        <v>0.11666663649246894</v>
      </c>
      <c r="EM29" s="10">
        <f t="shared" si="45"/>
        <v>2.9184075038139814</v>
      </c>
      <c r="EN29" s="10" t="str">
        <f t="shared" si="46"/>
        <v>*</v>
      </c>
      <c r="EO29" s="10"/>
      <c r="EP29" s="54">
        <v>61</v>
      </c>
      <c r="EQ29" s="57">
        <v>3.9344262295081962</v>
      </c>
      <c r="ER29" s="58">
        <v>0.11535351866841928</v>
      </c>
      <c r="ES29" s="10">
        <f t="shared" si="47"/>
        <v>0.88302861164489521</v>
      </c>
      <c r="ET29" s="10" t="str">
        <f t="shared" si="48"/>
        <v xml:space="preserve"> </v>
      </c>
      <c r="EU29" s="114">
        <f t="shared" si="49"/>
        <v>0.11576855676219688</v>
      </c>
      <c r="EV29" s="76"/>
      <c r="EW29" s="27">
        <v>459</v>
      </c>
      <c r="EX29" s="28">
        <v>3.8688013419545726</v>
      </c>
      <c r="EY29" s="29">
        <v>5.1427526705495656E-2</v>
      </c>
      <c r="EZ29" s="10"/>
      <c r="FA29" s="42">
        <v>151</v>
      </c>
      <c r="FB29" s="43">
        <v>3.905561846779785</v>
      </c>
      <c r="FC29" s="67">
        <v>8.8878540022153271E-2</v>
      </c>
      <c r="FD29" s="10">
        <f t="shared" si="50"/>
        <v>-0.35799334266738025</v>
      </c>
      <c r="FE29" s="10" t="str">
        <f t="shared" si="51"/>
        <v xml:space="preserve"> </v>
      </c>
      <c r="FF29" s="114">
        <f t="shared" si="52"/>
        <v>-3.6760504825212426E-2</v>
      </c>
      <c r="FG29" s="10"/>
      <c r="FH29" s="42">
        <v>164.75046785999987</v>
      </c>
      <c r="FI29" s="43">
        <v>2.7114255659024873</v>
      </c>
      <c r="FJ29" s="67">
        <v>0.10240356431730049</v>
      </c>
      <c r="FK29" s="10">
        <f t="shared" si="53"/>
        <v>10.099987801843668</v>
      </c>
      <c r="FL29" s="10" t="str">
        <f t="shared" si="54"/>
        <v>*</v>
      </c>
      <c r="FM29" s="10"/>
      <c r="FN29" s="53">
        <v>157</v>
      </c>
      <c r="FO29" s="55">
        <v>3.4776483353604339</v>
      </c>
      <c r="FP29" s="56">
        <v>9.6900478973268922E-2</v>
      </c>
      <c r="FQ29" s="10">
        <f t="shared" si="55"/>
        <v>3.5656012025402655</v>
      </c>
      <c r="FR29" s="10" t="str">
        <f t="shared" si="56"/>
        <v>*</v>
      </c>
      <c r="FS29" s="10"/>
      <c r="FT29" s="54">
        <v>197</v>
      </c>
      <c r="FU29" s="57">
        <v>2.9773197407234835</v>
      </c>
      <c r="FV29" s="58">
        <v>7.197313586990868E-2</v>
      </c>
      <c r="FW29" s="10">
        <f t="shared" si="57"/>
        <v>10.07795358797253</v>
      </c>
      <c r="FX29" s="10" t="str">
        <f t="shared" si="125"/>
        <v>*</v>
      </c>
      <c r="FY29" s="114">
        <f t="shared" si="58"/>
        <v>0.8914816012310891</v>
      </c>
      <c r="FZ29" s="76"/>
      <c r="GA29" s="27">
        <v>217</v>
      </c>
      <c r="GB29" s="28">
        <v>3.9275792713375819</v>
      </c>
      <c r="GC29" s="29">
        <v>6.8700783874466362E-2</v>
      </c>
      <c r="GD29" s="67"/>
      <c r="GE29" s="42">
        <v>163</v>
      </c>
      <c r="GF29" s="43">
        <v>3.9023384640579351</v>
      </c>
      <c r="GG29" s="67">
        <v>8.3310772749272496E-2</v>
      </c>
      <c r="GH29" s="10">
        <f t="shared" si="59"/>
        <v>0.2337464258908683</v>
      </c>
      <c r="GI29" s="10" t="str">
        <f t="shared" si="60"/>
        <v xml:space="preserve"> </v>
      </c>
      <c r="GJ29" s="114">
        <f t="shared" si="61"/>
        <v>2.5240807279646837E-2</v>
      </c>
      <c r="GK29" s="67"/>
      <c r="GL29" s="42">
        <v>200.46582469000049</v>
      </c>
      <c r="GM29" s="43">
        <v>4.0275127147409231</v>
      </c>
      <c r="GN29" s="67">
        <v>7.2763932984425281E-2</v>
      </c>
      <c r="GO29" s="10">
        <f t="shared" si="62"/>
        <v>-0.99861630523446465</v>
      </c>
      <c r="GP29" s="10" t="str">
        <f t="shared" si="63"/>
        <v xml:space="preserve"> </v>
      </c>
      <c r="GQ29" s="10"/>
      <c r="GR29" s="53">
        <v>211</v>
      </c>
      <c r="GS29" s="55">
        <v>3.834367793132035</v>
      </c>
      <c r="GT29" s="56">
        <v>7.7556289604915798E-2</v>
      </c>
      <c r="GU29" s="10">
        <f t="shared" si="64"/>
        <v>0.89964859672051012</v>
      </c>
      <c r="GV29" s="10" t="str">
        <f t="shared" si="65"/>
        <v xml:space="preserve"> </v>
      </c>
      <c r="GW29" s="10"/>
      <c r="GX29" s="54">
        <v>191</v>
      </c>
      <c r="GY29" s="57">
        <v>3.9229352974151888</v>
      </c>
      <c r="GZ29" s="58">
        <v>7.2200170165153385E-2</v>
      </c>
      <c r="HA29" s="10">
        <f t="shared" si="66"/>
        <v>4.6596890652421792E-2</v>
      </c>
      <c r="HB29" s="10" t="str">
        <f t="shared" si="126"/>
        <v xml:space="preserve"> </v>
      </c>
      <c r="HC29" s="114">
        <f t="shared" si="67"/>
        <v>4.6439739223931298E-3</v>
      </c>
      <c r="HD29" s="76"/>
      <c r="HE29" s="27">
        <v>224</v>
      </c>
      <c r="HF29" s="28">
        <v>4.0898787671758656</v>
      </c>
      <c r="HG29" s="29">
        <v>6.339960208261676E-2</v>
      </c>
      <c r="HH29" s="10"/>
      <c r="HI29" s="42">
        <v>135</v>
      </c>
      <c r="HJ29" s="43">
        <v>4.1651685753270966</v>
      </c>
      <c r="HK29" s="67">
        <v>8.3861306872438438E-2</v>
      </c>
      <c r="HL29" s="10">
        <f t="shared" si="68"/>
        <v>-0.71616198813421816</v>
      </c>
      <c r="HM29" s="10" t="str">
        <f t="shared" si="69"/>
        <v xml:space="preserve"> </v>
      </c>
      <c r="HN29" s="114">
        <f t="shared" si="70"/>
        <v>-7.5289808151230986E-2</v>
      </c>
      <c r="HO29" s="10"/>
      <c r="HP29" s="42">
        <v>123.95796822999989</v>
      </c>
      <c r="HQ29" s="43">
        <v>4.0731314133285856</v>
      </c>
      <c r="HR29" s="67">
        <v>8.7865928669412383E-2</v>
      </c>
      <c r="HS29" s="10">
        <f t="shared" si="71"/>
        <v>0.15456580669862818</v>
      </c>
      <c r="HT29" s="10" t="str">
        <f t="shared" si="72"/>
        <v xml:space="preserve"> </v>
      </c>
      <c r="HU29" s="10"/>
      <c r="HV29" s="53">
        <v>90</v>
      </c>
      <c r="HW29" s="55">
        <v>4.0319830964450842</v>
      </c>
      <c r="HX29" s="56">
        <v>9.0548392260527855E-2</v>
      </c>
      <c r="HY29" s="10">
        <f t="shared" si="73"/>
        <v>0.52376535950077241</v>
      </c>
      <c r="HZ29" s="10" t="str">
        <f t="shared" si="74"/>
        <v xml:space="preserve"> </v>
      </c>
      <c r="IA29" s="10"/>
      <c r="IB29" s="54">
        <v>150</v>
      </c>
      <c r="IC29" s="57">
        <v>4.0000000009456578</v>
      </c>
      <c r="ID29" s="58">
        <v>8.6327446934710866E-2</v>
      </c>
      <c r="IE29" s="10">
        <f t="shared" si="75"/>
        <v>0.83914828911765538</v>
      </c>
      <c r="IF29" s="10" t="str">
        <f t="shared" si="127"/>
        <v xml:space="preserve"> </v>
      </c>
      <c r="IG29" s="114">
        <f t="shared" si="76"/>
        <v>8.9878766230207852E-2</v>
      </c>
      <c r="IH29" s="76"/>
      <c r="II29" s="27">
        <v>564</v>
      </c>
      <c r="IJ29" s="28">
        <v>3.5174151569618961</v>
      </c>
      <c r="IK29" s="29">
        <v>4.8187351733428946E-2</v>
      </c>
      <c r="IL29" s="10"/>
      <c r="IM29" s="42">
        <v>402</v>
      </c>
      <c r="IN29" s="43">
        <v>3.573071623786622</v>
      </c>
      <c r="IO29" s="67">
        <v>5.8435778295539823E-2</v>
      </c>
      <c r="IP29" s="10">
        <f t="shared" si="77"/>
        <v>-0.73482217307342934</v>
      </c>
      <c r="IQ29" s="10" t="str">
        <f t="shared" si="78"/>
        <v xml:space="preserve"> </v>
      </c>
      <c r="IR29" s="114">
        <f t="shared" si="79"/>
        <v>-5.5656466824725914E-2</v>
      </c>
      <c r="IS29" s="10"/>
      <c r="IT29" s="42">
        <v>407.59740707000037</v>
      </c>
      <c r="IU29" s="43">
        <v>3.5406251902435577</v>
      </c>
      <c r="IV29" s="67">
        <v>5.6863279854404883E-2</v>
      </c>
      <c r="IW29" s="10">
        <f t="shared" si="80"/>
        <v>-0.31139813431225094</v>
      </c>
      <c r="IX29" s="10" t="str">
        <f t="shared" si="81"/>
        <v xml:space="preserve"> </v>
      </c>
      <c r="IY29" s="10"/>
      <c r="IZ29" s="53">
        <v>397</v>
      </c>
      <c r="JA29" s="55">
        <v>3.6816243936257869</v>
      </c>
      <c r="JB29" s="56">
        <v>5.6511087630347401E-2</v>
      </c>
      <c r="JC29" s="10">
        <f t="shared" si="82"/>
        <v>-2.2110786808588894</v>
      </c>
      <c r="JD29" s="10" t="str">
        <f t="shared" si="83"/>
        <v>*</v>
      </c>
      <c r="JE29" s="10"/>
      <c r="JF29" s="54">
        <v>435</v>
      </c>
      <c r="JG29" s="57">
        <v>3.6925596628418824</v>
      </c>
      <c r="JH29" s="58">
        <v>5.1690385741554698E-2</v>
      </c>
      <c r="JI29" s="10">
        <f t="shared" si="84"/>
        <v>-2.4784254793402414</v>
      </c>
      <c r="JJ29" s="10" t="str">
        <f t="shared" si="85"/>
        <v>*</v>
      </c>
      <c r="JK29" s="114">
        <f t="shared" si="86"/>
        <v>-0.17514450587998631</v>
      </c>
      <c r="JL29" s="76"/>
      <c r="JM29" s="27">
        <v>47</v>
      </c>
      <c r="JN29" s="28">
        <v>4.4893617021276606</v>
      </c>
      <c r="JO29" s="29">
        <v>0.12498521574936773</v>
      </c>
      <c r="JP29" s="10"/>
      <c r="JQ29" s="42">
        <v>35</v>
      </c>
      <c r="JR29" s="43">
        <v>4.5995513181020433</v>
      </c>
      <c r="JS29" s="67">
        <v>0.12437589475323378</v>
      </c>
      <c r="JT29" s="10">
        <f t="shared" si="87"/>
        <v>-0.6249217602911894</v>
      </c>
      <c r="JU29" s="10" t="str">
        <f t="shared" si="88"/>
        <v xml:space="preserve"> </v>
      </c>
      <c r="JV29" s="114">
        <f t="shared" si="89"/>
        <v>-0.1101896159743827</v>
      </c>
      <c r="JW29" s="10"/>
      <c r="JX29" s="42">
        <v>32.673939870000005</v>
      </c>
      <c r="JY29" s="43">
        <v>4.3333333333333339</v>
      </c>
      <c r="JZ29" s="67">
        <v>0.15568191133987966</v>
      </c>
      <c r="KA29" s="10">
        <f t="shared" si="90"/>
        <v>0.78152870854769729</v>
      </c>
      <c r="KB29" s="10" t="str">
        <f t="shared" si="91"/>
        <v xml:space="preserve"> </v>
      </c>
      <c r="KC29" s="10"/>
      <c r="KD29" s="53">
        <v>31</v>
      </c>
      <c r="KE29" s="55">
        <v>4.4838709677419359</v>
      </c>
      <c r="KF29" s="56">
        <v>0.16837474928533774</v>
      </c>
      <c r="KG29" s="10">
        <f t="shared" si="92"/>
        <v>2.6184572291617084E-2</v>
      </c>
      <c r="KH29" s="10" t="str">
        <f t="shared" si="93"/>
        <v xml:space="preserve"> </v>
      </c>
      <c r="KI29" s="10"/>
      <c r="KJ29" s="54">
        <v>52</v>
      </c>
      <c r="KK29" s="57">
        <v>4.5576923076923066</v>
      </c>
      <c r="KL29" s="58">
        <v>0.10406214133903709</v>
      </c>
      <c r="KM29" s="10">
        <f t="shared" si="94"/>
        <v>-0.42014627273610711</v>
      </c>
      <c r="KN29" s="10" t="str">
        <f t="shared" si="95"/>
        <v xml:space="preserve"> </v>
      </c>
      <c r="KO29" s="114">
        <f t="shared" si="96"/>
        <v>-6.8330605564645985E-2</v>
      </c>
      <c r="KP29" s="76"/>
      <c r="KQ29" s="27">
        <v>511</v>
      </c>
      <c r="KR29" s="28">
        <v>3.9727380925456761</v>
      </c>
      <c r="KS29" s="29">
        <v>4.650282552147559E-2</v>
      </c>
      <c r="KT29" s="10"/>
      <c r="KU29" s="42">
        <v>316</v>
      </c>
      <c r="KV29" s="43">
        <v>3.8641591544400127</v>
      </c>
      <c r="KW29" s="67">
        <v>5.8569281850600043E-2</v>
      </c>
      <c r="KX29" s="10">
        <f t="shared" si="97"/>
        <v>1.4518711966241937</v>
      </c>
      <c r="KY29" s="10" t="str">
        <f t="shared" si="98"/>
        <v xml:space="preserve"> </v>
      </c>
      <c r="KZ29" s="114">
        <f t="shared" si="99"/>
        <v>0.10857893810566344</v>
      </c>
      <c r="LA29" s="10"/>
      <c r="LB29" s="42">
        <v>362.36051662000091</v>
      </c>
      <c r="LC29" s="43">
        <v>4.0240525646979872</v>
      </c>
      <c r="LD29" s="67">
        <v>5.3068079126125538E-2</v>
      </c>
      <c r="LE29" s="10">
        <f t="shared" si="100"/>
        <v>-0.72724444494863483</v>
      </c>
      <c r="LF29" s="10" t="str">
        <f t="shared" si="101"/>
        <v xml:space="preserve"> </v>
      </c>
      <c r="LG29" s="10"/>
      <c r="LH29" s="53">
        <v>706</v>
      </c>
      <c r="LI29" s="55">
        <v>3.9742622570438138</v>
      </c>
      <c r="LJ29" s="56">
        <v>3.6601133935849191E-2</v>
      </c>
      <c r="LK29" s="10">
        <f t="shared" si="102"/>
        <v>-2.5755151628610723E-2</v>
      </c>
      <c r="LL29" s="10" t="str">
        <f t="shared" si="103"/>
        <v xml:space="preserve"> </v>
      </c>
      <c r="LM29" s="10"/>
      <c r="LN29" s="54">
        <v>696</v>
      </c>
      <c r="LO29" s="57">
        <v>3.9529137724537762</v>
      </c>
      <c r="LP29" s="58">
        <v>3.6655959883284801E-2</v>
      </c>
      <c r="LQ29" s="10">
        <f t="shared" si="104"/>
        <v>0.33479709566604865</v>
      </c>
      <c r="LR29" s="10" t="str">
        <f t="shared" si="128"/>
        <v xml:space="preserve"> </v>
      </c>
      <c r="LS29" s="114">
        <f t="shared" si="105"/>
        <v>1.9824320091899938E-2</v>
      </c>
      <c r="LT29" s="76"/>
      <c r="LU29" s="27">
        <v>186</v>
      </c>
      <c r="LV29" s="28">
        <v>4.1075783726154329</v>
      </c>
      <c r="LW29" s="29">
        <v>6.6455706183366298E-2</v>
      </c>
      <c r="LX29" s="10"/>
      <c r="LY29" s="42">
        <v>195</v>
      </c>
      <c r="LZ29" s="43">
        <v>3.9950709183749078</v>
      </c>
      <c r="MA29" s="67">
        <v>7.0262573284468846E-2</v>
      </c>
      <c r="MB29" s="10">
        <f t="shared" si="106"/>
        <v>1.1633259540825929</v>
      </c>
      <c r="MC29" s="10" t="str">
        <f t="shared" si="107"/>
        <v xml:space="preserve"> </v>
      </c>
      <c r="MD29" s="114">
        <f t="shared" si="108"/>
        <v>0.11250745424052511</v>
      </c>
      <c r="ME29" s="10"/>
      <c r="MF29" s="42">
        <v>199.49084417999944</v>
      </c>
      <c r="MG29" s="43">
        <v>4.0851717211877103</v>
      </c>
      <c r="MH29" s="67">
        <v>6.7404401920213991E-2</v>
      </c>
      <c r="MI29" s="10">
        <f t="shared" si="109"/>
        <v>0.23671723411694262</v>
      </c>
      <c r="MJ29" s="10" t="str">
        <f t="shared" si="110"/>
        <v xml:space="preserve"> </v>
      </c>
      <c r="MK29" s="10"/>
      <c r="ML29" s="53">
        <v>501</v>
      </c>
      <c r="MM29" s="55">
        <v>3.824351297405193</v>
      </c>
      <c r="MN29" s="56">
        <v>4.6645722352000624E-2</v>
      </c>
      <c r="MO29" s="10">
        <f t="shared" si="111"/>
        <v>3.4883503566419054</v>
      </c>
      <c r="MP29" s="10" t="str">
        <f t="shared" si="112"/>
        <v>*</v>
      </c>
      <c r="MQ29" s="10"/>
      <c r="MR29" s="54">
        <v>480</v>
      </c>
      <c r="MS29" s="57">
        <v>3.8193963957744623</v>
      </c>
      <c r="MT29" s="58">
        <v>5.0186859141868635E-2</v>
      </c>
      <c r="MU29" s="10">
        <f t="shared" si="113"/>
        <v>3.4605173008251313</v>
      </c>
      <c r="MV29" s="10" t="str">
        <f t="shared" si="114"/>
        <v>*</v>
      </c>
      <c r="MW29" s="114">
        <f t="shared" si="115"/>
        <v>0.28818197684097058</v>
      </c>
      <c r="MX29" s="76"/>
      <c r="MY29" s="27">
        <v>204</v>
      </c>
      <c r="MZ29" s="28">
        <v>3.9905196998117787</v>
      </c>
      <c r="NA29" s="29">
        <v>7.5795009493465654E-2</v>
      </c>
      <c r="NB29" s="10"/>
      <c r="NC29" s="42">
        <v>140</v>
      </c>
      <c r="ND29" s="43">
        <v>4.0855900098491578</v>
      </c>
      <c r="NE29" s="67">
        <v>8.8715586415959419E-2</v>
      </c>
      <c r="NF29" s="10">
        <f t="shared" si="116"/>
        <v>-0.81476184860812306</v>
      </c>
      <c r="NG29" s="10" t="str">
        <f t="shared" si="117"/>
        <v xml:space="preserve"> </v>
      </c>
      <c r="NH29" s="114">
        <f t="shared" si="118"/>
        <v>-9.5070310037379091E-2</v>
      </c>
      <c r="NI29" s="10"/>
      <c r="NJ29" s="42">
        <v>128.64266908000008</v>
      </c>
      <c r="NK29" s="43">
        <v>4.0705055601291908</v>
      </c>
      <c r="NL29" s="67">
        <v>7.8990902981658451E-2</v>
      </c>
      <c r="NM29" s="10">
        <f t="shared" si="119"/>
        <v>-0.73064132965526019</v>
      </c>
      <c r="NN29" s="10" t="str">
        <f t="shared" si="120"/>
        <v xml:space="preserve"> </v>
      </c>
      <c r="NO29" s="10"/>
      <c r="NP29" s="53">
        <v>216</v>
      </c>
      <c r="NQ29" s="55">
        <v>4.1221879109082309</v>
      </c>
      <c r="NR29" s="56">
        <v>6.7789421128580177E-2</v>
      </c>
      <c r="NS29" s="10">
        <f t="shared" si="121"/>
        <v>-1.2948354913818865</v>
      </c>
      <c r="NT29" s="10" t="str">
        <f t="shared" si="122"/>
        <v xml:space="preserve"> </v>
      </c>
      <c r="NU29" s="10"/>
      <c r="NV29" s="54">
        <v>230</v>
      </c>
      <c r="NW29" s="57">
        <v>4.1108981582014152</v>
      </c>
      <c r="NX29" s="58">
        <v>6.4362321324846553E-2</v>
      </c>
      <c r="NY29" s="10">
        <f t="shared" si="123"/>
        <v>-1.2106201655523658</v>
      </c>
      <c r="NZ29" s="10" t="str">
        <f t="shared" si="129"/>
        <v xml:space="preserve"> </v>
      </c>
      <c r="OA29" s="114">
        <f t="shared" si="124"/>
        <v>-0.12037845838963657</v>
      </c>
      <c r="OB29" s="58"/>
    </row>
    <row r="30" spans="1:392" x14ac:dyDescent="0.2">
      <c r="B30" s="65" t="s">
        <v>27</v>
      </c>
      <c r="C30" s="27">
        <v>85</v>
      </c>
      <c r="D30" s="28">
        <v>3.3529411764705888</v>
      </c>
      <c r="E30" s="29">
        <v>0.12983208833265181</v>
      </c>
      <c r="F30" s="10"/>
      <c r="G30" s="42">
        <v>20</v>
      </c>
      <c r="H30" s="43">
        <v>2.95</v>
      </c>
      <c r="I30" s="67">
        <v>0.33720816640744167</v>
      </c>
      <c r="J30" s="10" t="str">
        <f t="shared" si="1"/>
        <v>NV</v>
      </c>
      <c r="K30" s="10" t="str">
        <f t="shared" si="2"/>
        <v xml:space="preserve"> </v>
      </c>
      <c r="L30" s="114">
        <f t="shared" si="3"/>
        <v>0.40294117647058858</v>
      </c>
      <c r="M30" s="10"/>
      <c r="N30" s="42">
        <v>65.503565190000046</v>
      </c>
      <c r="O30" s="43">
        <v>1.8571428571428572</v>
      </c>
      <c r="P30" s="67">
        <v>0.15975599187871889</v>
      </c>
      <c r="Q30" s="10">
        <f t="shared" si="4"/>
        <v>7.2660942839003457</v>
      </c>
      <c r="R30" s="10" t="str">
        <f t="shared" si="5"/>
        <v>*</v>
      </c>
      <c r="S30" s="10"/>
      <c r="T30" s="53">
        <v>35</v>
      </c>
      <c r="U30" s="55">
        <v>2.7142857142857149</v>
      </c>
      <c r="V30" s="56">
        <v>0.24073407593593654</v>
      </c>
      <c r="W30" s="10">
        <f t="shared" si="6"/>
        <v>2.335011010009596</v>
      </c>
      <c r="X30" s="10" t="str">
        <f t="shared" si="7"/>
        <v>*</v>
      </c>
      <c r="Y30" s="10"/>
      <c r="Z30" s="54">
        <v>96</v>
      </c>
      <c r="AA30" s="57">
        <v>2.6145833333333344</v>
      </c>
      <c r="AB30" s="58">
        <v>0.118614748645161</v>
      </c>
      <c r="AC30" s="10">
        <f t="shared" si="8"/>
        <v>4.1986165379410849</v>
      </c>
      <c r="AD30" s="10" t="str">
        <f t="shared" si="9"/>
        <v>*</v>
      </c>
      <c r="AE30" s="114">
        <f t="shared" si="10"/>
        <v>0.73835784313725439</v>
      </c>
      <c r="AF30" s="76"/>
      <c r="AG30" s="27">
        <v>18</v>
      </c>
      <c r="AH30" s="28">
        <v>3.7777777777777781</v>
      </c>
      <c r="AI30" s="29">
        <v>0.29231673502421923</v>
      </c>
      <c r="AJ30" s="67"/>
      <c r="AK30" s="42">
        <v>21</v>
      </c>
      <c r="AL30" s="43">
        <v>3.047619047619047</v>
      </c>
      <c r="AM30" s="67">
        <v>0.31851887246792282</v>
      </c>
      <c r="AN30" s="10" t="str">
        <f t="shared" si="11"/>
        <v>NV</v>
      </c>
      <c r="AO30" s="10" t="str">
        <f t="shared" si="12"/>
        <v xml:space="preserve"> </v>
      </c>
      <c r="AP30" s="114">
        <f t="shared" si="13"/>
        <v>0.73015873015873112</v>
      </c>
      <c r="AQ30" s="67"/>
      <c r="AR30" s="42">
        <v>57.575369520000002</v>
      </c>
      <c r="AS30" s="43">
        <v>2.0317214488630522</v>
      </c>
      <c r="AT30" s="67">
        <v>0.15698752237259217</v>
      </c>
      <c r="AU30" s="10" t="str">
        <f t="shared" si="14"/>
        <v>NV</v>
      </c>
      <c r="AV30" s="10" t="str">
        <f t="shared" si="15"/>
        <v xml:space="preserve"> </v>
      </c>
      <c r="AW30" s="10"/>
      <c r="AX30" s="53">
        <v>85</v>
      </c>
      <c r="AY30" s="55">
        <v>2.8345435986871395</v>
      </c>
      <c r="AZ30" s="56">
        <v>0.1414336033173012</v>
      </c>
      <c r="BA30" s="10" t="str">
        <f t="shared" si="16"/>
        <v>NV</v>
      </c>
      <c r="BB30" s="10" t="str">
        <f t="shared" si="17"/>
        <v xml:space="preserve"> </v>
      </c>
      <c r="BC30" s="10"/>
      <c r="BD30" s="54">
        <v>63</v>
      </c>
      <c r="BE30" s="57">
        <v>2.2421993602131502</v>
      </c>
      <c r="BF30" s="58">
        <v>0.11231483753086487</v>
      </c>
      <c r="BG30" s="10" t="str">
        <f t="shared" si="18"/>
        <v>NV</v>
      </c>
      <c r="BH30" s="10" t="str">
        <f t="shared" si="19"/>
        <v xml:space="preserve"> </v>
      </c>
      <c r="BI30" s="114">
        <f t="shared" si="20"/>
        <v>1.5355784175646279</v>
      </c>
      <c r="BJ30" s="76"/>
      <c r="BK30" s="27">
        <v>254</v>
      </c>
      <c r="BL30" s="28">
        <v>3.5175751470187233</v>
      </c>
      <c r="BM30" s="29">
        <v>8.0532073723773148E-2</v>
      </c>
      <c r="BN30" s="10"/>
      <c r="BO30" s="42">
        <v>100</v>
      </c>
      <c r="BP30" s="43">
        <v>3.7503007291511823</v>
      </c>
      <c r="BQ30" s="67">
        <v>0.12511676497276131</v>
      </c>
      <c r="BR30" s="10">
        <f t="shared" si="21"/>
        <v>-1.5640803009744868</v>
      </c>
      <c r="BS30" s="10" t="str">
        <f t="shared" si="22"/>
        <v xml:space="preserve"> </v>
      </c>
      <c r="BT30" s="114">
        <f t="shared" si="23"/>
        <v>-0.23272558213245897</v>
      </c>
      <c r="BU30" s="10"/>
      <c r="BV30" s="42">
        <v>241.49510474999906</v>
      </c>
      <c r="BW30" s="43">
        <v>1.6263629321455224</v>
      </c>
      <c r="BX30" s="67">
        <v>5.2778599745767402E-2</v>
      </c>
      <c r="BY30" s="10">
        <f t="shared" si="24"/>
        <v>19.641609809893435</v>
      </c>
      <c r="BZ30" s="10" t="str">
        <f t="shared" si="25"/>
        <v>*</v>
      </c>
      <c r="CA30" s="10"/>
      <c r="CB30" s="53">
        <v>284</v>
      </c>
      <c r="CC30" s="55">
        <v>1.6188074148372031</v>
      </c>
      <c r="CD30" s="56">
        <v>3.7862282582885702E-2</v>
      </c>
      <c r="CE30" s="10">
        <f t="shared" si="26"/>
        <v>21.337206816331154</v>
      </c>
      <c r="CF30" s="10" t="str">
        <f t="shared" si="27"/>
        <v>*</v>
      </c>
      <c r="CG30" s="10"/>
      <c r="CH30" s="54">
        <v>210</v>
      </c>
      <c r="CI30" s="57">
        <v>2.7261536212489252</v>
      </c>
      <c r="CJ30" s="58">
        <v>8.7943147117070186E-2</v>
      </c>
      <c r="CK30" s="10">
        <f t="shared" si="28"/>
        <v>6.6369269739389587</v>
      </c>
      <c r="CL30" s="10" t="str">
        <f t="shared" si="29"/>
        <v>*</v>
      </c>
      <c r="CM30" s="114">
        <f t="shared" si="30"/>
        <v>0.79142152576979807</v>
      </c>
      <c r="CN30" s="76"/>
      <c r="CO30" s="27">
        <v>138</v>
      </c>
      <c r="CP30" s="28">
        <v>3.7659189431050955</v>
      </c>
      <c r="CQ30" s="29">
        <v>0.10580334196633451</v>
      </c>
      <c r="CR30" s="67"/>
      <c r="CS30" s="42">
        <v>48</v>
      </c>
      <c r="CT30" s="43">
        <v>3.833379445802263</v>
      </c>
      <c r="CU30" s="67">
        <v>0.17658250949783907</v>
      </c>
      <c r="CV30" s="10">
        <f t="shared" si="31"/>
        <v>-0.32771096856883525</v>
      </c>
      <c r="CW30" s="10" t="str">
        <f t="shared" si="32"/>
        <v xml:space="preserve"> </v>
      </c>
      <c r="CX30" s="114">
        <f t="shared" si="33"/>
        <v>-6.7460502697167524E-2</v>
      </c>
      <c r="CY30" s="10"/>
      <c r="CZ30" s="42">
        <v>93.544398870000023</v>
      </c>
      <c r="DA30" s="43">
        <v>3.1934376139948988</v>
      </c>
      <c r="DB30" s="67">
        <v>0.15961984479485727</v>
      </c>
      <c r="DC30" s="10">
        <f t="shared" si="34"/>
        <v>2.989434507572216</v>
      </c>
      <c r="DD30" s="10" t="str">
        <f t="shared" si="35"/>
        <v>*</v>
      </c>
      <c r="DE30" s="10"/>
      <c r="DF30" s="53">
        <v>51</v>
      </c>
      <c r="DG30" s="55">
        <v>4.1489941873041358</v>
      </c>
      <c r="DH30" s="56">
        <v>0.15233615727214059</v>
      </c>
      <c r="DI30" s="10">
        <f t="shared" si="36"/>
        <v>-2.0653837238475918</v>
      </c>
      <c r="DJ30" s="10" t="str">
        <f t="shared" si="0"/>
        <v>*</v>
      </c>
      <c r="DK30" s="10"/>
      <c r="DL30" s="54">
        <v>114</v>
      </c>
      <c r="DM30" s="57">
        <v>2.7003250554554961</v>
      </c>
      <c r="DN30" s="58">
        <v>0.12433270883525656</v>
      </c>
      <c r="DO30" s="10">
        <f t="shared" si="37"/>
        <v>6.527079737304609</v>
      </c>
      <c r="DP30" s="10" t="str">
        <f t="shared" si="38"/>
        <v>*</v>
      </c>
      <c r="DQ30" s="114">
        <f t="shared" si="39"/>
        <v>1.0655938876495994</v>
      </c>
      <c r="DR30" s="76"/>
      <c r="DS30" s="27">
        <v>26</v>
      </c>
      <c r="DT30" s="28">
        <v>3.268435448376076</v>
      </c>
      <c r="DU30" s="29">
        <v>0.26560572502755259</v>
      </c>
      <c r="DV30" s="10"/>
      <c r="DW30" s="42">
        <v>13</v>
      </c>
      <c r="DX30" s="43">
        <v>3.3057135607102581</v>
      </c>
      <c r="DY30" s="67">
        <v>0.263673799819094</v>
      </c>
      <c r="DZ30" s="10" t="str">
        <f t="shared" si="40"/>
        <v>NV</v>
      </c>
      <c r="EA30" s="10" t="str">
        <f t="shared" si="41"/>
        <v xml:space="preserve"> </v>
      </c>
      <c r="EB30" s="114">
        <f t="shared" si="42"/>
        <v>-3.7278112334182101E-2</v>
      </c>
      <c r="EC30" s="10"/>
      <c r="ED30" s="42">
        <v>31.415555280000003</v>
      </c>
      <c r="EE30" s="43">
        <v>2.5322265982879042</v>
      </c>
      <c r="EF30" s="67">
        <v>0.20523837335326228</v>
      </c>
      <c r="EG30" s="10" t="str">
        <f t="shared" si="43"/>
        <v>NV</v>
      </c>
      <c r="EH30" s="10" t="str">
        <f t="shared" si="44"/>
        <v xml:space="preserve"> </v>
      </c>
      <c r="EI30" s="10"/>
      <c r="EJ30" s="53">
        <v>22</v>
      </c>
      <c r="EK30" s="55">
        <v>2.6018546694463507</v>
      </c>
      <c r="EL30" s="56">
        <v>0.29856665084246309</v>
      </c>
      <c r="EM30" s="10" t="str">
        <f t="shared" si="45"/>
        <v>NV</v>
      </c>
      <c r="EN30" s="10" t="str">
        <f t="shared" si="46"/>
        <v xml:space="preserve"> </v>
      </c>
      <c r="EO30" s="10"/>
      <c r="EP30" s="54">
        <v>8</v>
      </c>
      <c r="EQ30" s="57">
        <v>3.1249999999999996</v>
      </c>
      <c r="ER30" s="58">
        <v>0.50915343765312604</v>
      </c>
      <c r="ES30" s="10" t="str">
        <f t="shared" si="47"/>
        <v>NV</v>
      </c>
      <c r="ET30" s="10" t="str">
        <f t="shared" si="48"/>
        <v xml:space="preserve"> </v>
      </c>
      <c r="EU30" s="114">
        <f t="shared" si="49"/>
        <v>0.14343544837607647</v>
      </c>
      <c r="EV30" s="76"/>
      <c r="EW30" s="27">
        <v>132</v>
      </c>
      <c r="EX30" s="28">
        <v>4.1147690759524433</v>
      </c>
      <c r="EY30" s="29">
        <v>9.0302462638827297E-2</v>
      </c>
      <c r="EZ30" s="10"/>
      <c r="FA30" s="42">
        <v>47</v>
      </c>
      <c r="FB30" s="43">
        <v>3.8939070064701329</v>
      </c>
      <c r="FC30" s="67">
        <v>0.17787011375171133</v>
      </c>
      <c r="FD30" s="10">
        <f t="shared" si="50"/>
        <v>1.1071884584347147</v>
      </c>
      <c r="FE30" s="10" t="str">
        <f t="shared" si="51"/>
        <v xml:space="preserve"> </v>
      </c>
      <c r="FF30" s="114">
        <f t="shared" si="52"/>
        <v>0.22086206948231046</v>
      </c>
      <c r="FG30" s="10"/>
      <c r="FH30" s="42">
        <v>98.125195590000018</v>
      </c>
      <c r="FI30" s="43">
        <v>2.0624380318751121</v>
      </c>
      <c r="FJ30" s="67">
        <v>0.12166554775954291</v>
      </c>
      <c r="FK30" s="10">
        <f t="shared" si="53"/>
        <v>13.545326143787946</v>
      </c>
      <c r="FL30" s="10" t="str">
        <f t="shared" si="54"/>
        <v>*</v>
      </c>
      <c r="FM30" s="10"/>
      <c r="FN30" s="53">
        <v>55</v>
      </c>
      <c r="FO30" s="55">
        <v>2.9454355895880306</v>
      </c>
      <c r="FP30" s="56">
        <v>0.19339443323853384</v>
      </c>
      <c r="FQ30" s="10">
        <f t="shared" si="55"/>
        <v>5.4785530730813763</v>
      </c>
      <c r="FR30" s="10" t="str">
        <f t="shared" si="56"/>
        <v>*</v>
      </c>
      <c r="FS30" s="10"/>
      <c r="FT30" s="54">
        <v>113</v>
      </c>
      <c r="FU30" s="57">
        <v>2.1640690179689219</v>
      </c>
      <c r="FV30" s="58">
        <v>8.7289854388567054E-2</v>
      </c>
      <c r="FW30" s="10">
        <f t="shared" si="57"/>
        <v>15.531694620932193</v>
      </c>
      <c r="FX30" s="10" t="str">
        <f t="shared" si="125"/>
        <v>*</v>
      </c>
      <c r="FY30" s="114">
        <f t="shared" si="58"/>
        <v>1.9507000579835214</v>
      </c>
      <c r="FZ30" s="76"/>
      <c r="GA30" s="27">
        <v>20</v>
      </c>
      <c r="GB30" s="28">
        <v>3.1613409920750906</v>
      </c>
      <c r="GC30" s="29">
        <v>0.25341153436792752</v>
      </c>
      <c r="GD30" s="67"/>
      <c r="GE30" s="42">
        <v>27</v>
      </c>
      <c r="GF30" s="43">
        <v>3.0752459602397213</v>
      </c>
      <c r="GG30" s="67">
        <v>0.28604465337321655</v>
      </c>
      <c r="GH30" s="10" t="str">
        <f t="shared" si="59"/>
        <v>NV</v>
      </c>
      <c r="GI30" s="10" t="str">
        <f t="shared" si="60"/>
        <v xml:space="preserve"> </v>
      </c>
      <c r="GJ30" s="114">
        <f t="shared" si="61"/>
        <v>8.6095031835369262E-2</v>
      </c>
      <c r="GK30" s="67"/>
      <c r="GL30" s="42">
        <v>28.713420939999985</v>
      </c>
      <c r="GM30" s="43">
        <v>3.516753296690255</v>
      </c>
      <c r="GN30" s="67">
        <v>0.25555338566719971</v>
      </c>
      <c r="GO30" s="10" t="str">
        <f t="shared" si="62"/>
        <v>NV</v>
      </c>
      <c r="GP30" s="10" t="str">
        <f t="shared" si="63"/>
        <v xml:space="preserve"> </v>
      </c>
      <c r="GQ30" s="10"/>
      <c r="GR30" s="53">
        <v>44</v>
      </c>
      <c r="GS30" s="55">
        <v>3.2065150230479467</v>
      </c>
      <c r="GT30" s="56">
        <v>0.21684397787402609</v>
      </c>
      <c r="GU30" s="10" t="str">
        <f t="shared" si="64"/>
        <v>NV</v>
      </c>
      <c r="GV30" s="10" t="str">
        <f t="shared" si="65"/>
        <v xml:space="preserve"> </v>
      </c>
      <c r="GW30" s="10"/>
      <c r="GX30" s="54">
        <v>31</v>
      </c>
      <c r="GY30" s="57">
        <v>3.4237012993034321</v>
      </c>
      <c r="GZ30" s="58">
        <v>0.2295496526363163</v>
      </c>
      <c r="HA30" s="10" t="str">
        <f t="shared" si="66"/>
        <v>NV</v>
      </c>
      <c r="HB30" s="10" t="str">
        <f t="shared" si="126"/>
        <v xml:space="preserve"> </v>
      </c>
      <c r="HC30" s="114">
        <f t="shared" si="67"/>
        <v>-0.26236030722834158</v>
      </c>
      <c r="HD30" s="76"/>
      <c r="HE30" s="27">
        <v>21</v>
      </c>
      <c r="HF30" s="28">
        <v>3.4897708658923161</v>
      </c>
      <c r="HG30" s="29">
        <v>0.27839262306778512</v>
      </c>
      <c r="HH30" s="10"/>
      <c r="HI30" s="42">
        <v>12</v>
      </c>
      <c r="HJ30" s="43">
        <v>3.5054363424677026</v>
      </c>
      <c r="HK30" s="67">
        <v>0.41800524544492573</v>
      </c>
      <c r="HL30" s="10" t="str">
        <f t="shared" si="68"/>
        <v>NV</v>
      </c>
      <c r="HM30" s="10" t="str">
        <f t="shared" si="69"/>
        <v xml:space="preserve"> </v>
      </c>
      <c r="HN30" s="114">
        <f t="shared" si="70"/>
        <v>-1.5665476575386528E-2</v>
      </c>
      <c r="HO30" s="10"/>
      <c r="HP30" s="42">
        <v>10.569205170000002</v>
      </c>
      <c r="HQ30" s="43">
        <v>4.2859004458137511</v>
      </c>
      <c r="HR30" s="67">
        <v>0.29401947093285624</v>
      </c>
      <c r="HS30" s="10" t="str">
        <f t="shared" si="71"/>
        <v>NV</v>
      </c>
      <c r="HT30" s="10" t="str">
        <f t="shared" si="72"/>
        <v xml:space="preserve"> </v>
      </c>
      <c r="HU30" s="10"/>
      <c r="HV30" s="53">
        <v>21</v>
      </c>
      <c r="HW30" s="55">
        <v>3.6212791878667128</v>
      </c>
      <c r="HX30" s="56">
        <v>0.21698060793999802</v>
      </c>
      <c r="HY30" s="10" t="str">
        <f t="shared" si="73"/>
        <v>NV</v>
      </c>
      <c r="HZ30" s="10" t="str">
        <f t="shared" si="74"/>
        <v xml:space="preserve"> </v>
      </c>
      <c r="IA30" s="10"/>
      <c r="IB30" s="54">
        <v>23</v>
      </c>
      <c r="IC30" s="57">
        <v>3.3917995444905533</v>
      </c>
      <c r="ID30" s="58">
        <v>0.26922811456393858</v>
      </c>
      <c r="IE30" s="10" t="str">
        <f t="shared" si="75"/>
        <v>NV</v>
      </c>
      <c r="IF30" s="10" t="str">
        <f t="shared" si="127"/>
        <v xml:space="preserve"> </v>
      </c>
      <c r="IG30" s="114">
        <f t="shared" si="76"/>
        <v>9.797132140176279E-2</v>
      </c>
      <c r="IH30" s="76"/>
      <c r="II30" s="27">
        <v>166</v>
      </c>
      <c r="IJ30" s="28">
        <v>3.5796025997040122</v>
      </c>
      <c r="IK30" s="29">
        <v>9.6275700699869307E-2</v>
      </c>
      <c r="IL30" s="10"/>
      <c r="IM30" s="42">
        <v>136</v>
      </c>
      <c r="IN30" s="43">
        <v>3.6887327734326942</v>
      </c>
      <c r="IO30" s="67">
        <v>0.10488417984168411</v>
      </c>
      <c r="IP30" s="10">
        <f t="shared" si="77"/>
        <v>-0.76651589935498221</v>
      </c>
      <c r="IQ30" s="10" t="str">
        <f t="shared" si="78"/>
        <v xml:space="preserve"> </v>
      </c>
      <c r="IR30" s="114">
        <f t="shared" si="79"/>
        <v>-0.10913017372868206</v>
      </c>
      <c r="IS30" s="10"/>
      <c r="IT30" s="42">
        <v>132.5501595499999</v>
      </c>
      <c r="IU30" s="43">
        <v>3.6113257439681443</v>
      </c>
      <c r="IV30" s="67">
        <v>0.10385787106333946</v>
      </c>
      <c r="IW30" s="10">
        <f t="shared" si="80"/>
        <v>-0.22400609053607679</v>
      </c>
      <c r="IX30" s="10" t="str">
        <f t="shared" si="81"/>
        <v xml:space="preserve"> </v>
      </c>
      <c r="IY30" s="10"/>
      <c r="IZ30" s="53">
        <v>119</v>
      </c>
      <c r="JA30" s="55">
        <v>3.829823644864133</v>
      </c>
      <c r="JB30" s="56">
        <v>0.10462258866078637</v>
      </c>
      <c r="JC30" s="10">
        <f t="shared" si="82"/>
        <v>-1.7599003255545629</v>
      </c>
      <c r="JD30" s="10" t="str">
        <f t="shared" si="83"/>
        <v xml:space="preserve"> </v>
      </c>
      <c r="JE30" s="10"/>
      <c r="JF30" s="54">
        <v>147</v>
      </c>
      <c r="JG30" s="57">
        <v>3.7999306514808646</v>
      </c>
      <c r="JH30" s="58">
        <v>9.6046504133924834E-2</v>
      </c>
      <c r="JI30" s="10">
        <f t="shared" si="84"/>
        <v>-1.6201493634022726</v>
      </c>
      <c r="JJ30" s="10" t="str">
        <f t="shared" si="85"/>
        <v xml:space="preserve"> </v>
      </c>
      <c r="JK30" s="114">
        <f t="shared" si="86"/>
        <v>-0.22032805177685244</v>
      </c>
      <c r="JL30" s="76"/>
      <c r="JM30" s="27">
        <v>1</v>
      </c>
      <c r="JN30" s="28">
        <v>3.9999999999999996</v>
      </c>
      <c r="JO30" s="97"/>
      <c r="JP30" s="10"/>
      <c r="JQ30" s="42">
        <v>1</v>
      </c>
      <c r="JR30" s="43">
        <v>3</v>
      </c>
      <c r="JS30" s="68">
        <v>0</v>
      </c>
      <c r="JT30" s="10" t="str">
        <f t="shared" si="87"/>
        <v>NV</v>
      </c>
      <c r="JU30" s="10" t="str">
        <f t="shared" si="88"/>
        <v xml:space="preserve"> </v>
      </c>
      <c r="JV30" s="114">
        <f t="shared" si="89"/>
        <v>0.99999999999999956</v>
      </c>
      <c r="JW30" s="10"/>
      <c r="JX30" s="42">
        <v>1.9802387800000001</v>
      </c>
      <c r="JY30" s="43">
        <v>4</v>
      </c>
      <c r="JZ30" s="68">
        <v>0</v>
      </c>
      <c r="KA30" s="10" t="str">
        <f t="shared" si="90"/>
        <v>NV</v>
      </c>
      <c r="KB30" s="10" t="str">
        <f t="shared" si="91"/>
        <v xml:space="preserve"> </v>
      </c>
      <c r="KC30" s="10"/>
      <c r="KD30" s="53">
        <v>1</v>
      </c>
      <c r="KE30" s="55">
        <v>5</v>
      </c>
      <c r="KG30" s="10" t="str">
        <f t="shared" si="92"/>
        <v>NV</v>
      </c>
      <c r="KH30" s="10" t="str">
        <f t="shared" si="93"/>
        <v xml:space="preserve"> </v>
      </c>
      <c r="KI30" s="10"/>
      <c r="KJ30" s="54">
        <v>0</v>
      </c>
      <c r="KK30" s="62" t="s">
        <v>81</v>
      </c>
      <c r="KL30" s="62" t="s">
        <v>81</v>
      </c>
      <c r="KM30" s="10" t="str">
        <f t="shared" si="94"/>
        <v>NV</v>
      </c>
      <c r="KN30" s="10" t="str">
        <f t="shared" si="95"/>
        <v xml:space="preserve"> </v>
      </c>
      <c r="KO30" s="114"/>
      <c r="KP30" s="76"/>
      <c r="KQ30" s="27">
        <v>29</v>
      </c>
      <c r="KR30" s="28">
        <v>3.1398925655225267</v>
      </c>
      <c r="KS30" s="29">
        <v>0.29230656518159759</v>
      </c>
      <c r="KT30" s="10"/>
      <c r="KU30" s="42">
        <v>19</v>
      </c>
      <c r="KV30" s="43">
        <v>3.1088082893733953</v>
      </c>
      <c r="KW30" s="67">
        <v>0.35031544929274988</v>
      </c>
      <c r="KX30" s="10" t="str">
        <f t="shared" si="97"/>
        <v>NV</v>
      </c>
      <c r="KY30" s="10" t="str">
        <f t="shared" si="98"/>
        <v xml:space="preserve"> </v>
      </c>
      <c r="KZ30" s="114">
        <f t="shared" si="99"/>
        <v>3.1084276149131451E-2</v>
      </c>
      <c r="LA30" s="10"/>
      <c r="LB30" s="42">
        <v>16.000859170000002</v>
      </c>
      <c r="LC30" s="43">
        <v>3.4850993379501141</v>
      </c>
      <c r="LD30" s="67">
        <v>0.28978608148467699</v>
      </c>
      <c r="LE30" s="10" t="str">
        <f t="shared" si="100"/>
        <v>NV</v>
      </c>
      <c r="LF30" s="10" t="str">
        <f t="shared" si="101"/>
        <v xml:space="preserve"> </v>
      </c>
      <c r="LG30" s="10"/>
      <c r="LH30" s="53">
        <v>35</v>
      </c>
      <c r="LI30" s="55">
        <v>3.6845457347785762</v>
      </c>
      <c r="LJ30" s="56">
        <v>0.15556870417807903</v>
      </c>
      <c r="LK30" s="10" t="str">
        <f t="shared" si="102"/>
        <v>NV</v>
      </c>
      <c r="LL30" s="10" t="str">
        <f t="shared" si="103"/>
        <v xml:space="preserve"> </v>
      </c>
      <c r="LM30" s="10"/>
      <c r="LN30" s="54">
        <v>43</v>
      </c>
      <c r="LO30" s="57">
        <v>3.2095640347510517</v>
      </c>
      <c r="LP30" s="58">
        <v>0.19598865378795705</v>
      </c>
      <c r="LQ30" s="10" t="str">
        <f t="shared" si="104"/>
        <v>NV</v>
      </c>
      <c r="LR30" s="10" t="str">
        <f t="shared" si="128"/>
        <v xml:space="preserve"> </v>
      </c>
      <c r="LS30" s="114">
        <f t="shared" si="105"/>
        <v>-6.9671469228524963E-2</v>
      </c>
      <c r="LT30" s="76"/>
      <c r="LU30" s="27">
        <v>41</v>
      </c>
      <c r="LV30" s="28">
        <v>4.2682224752491784</v>
      </c>
      <c r="LW30" s="29">
        <v>0.1601504250879088</v>
      </c>
      <c r="LX30" s="10"/>
      <c r="LY30" s="42">
        <v>38</v>
      </c>
      <c r="LZ30" s="43">
        <v>4.3684754521844127</v>
      </c>
      <c r="MA30" s="67">
        <v>0.13299954029405403</v>
      </c>
      <c r="MB30" s="10">
        <f t="shared" si="106"/>
        <v>-0.48157914712003225</v>
      </c>
      <c r="MC30" s="10" t="str">
        <f t="shared" si="107"/>
        <v xml:space="preserve"> </v>
      </c>
      <c r="MD30" s="114">
        <f t="shared" si="108"/>
        <v>-0.10025297693523427</v>
      </c>
      <c r="ME30" s="10"/>
      <c r="MF30" s="42">
        <v>30.852650020000006</v>
      </c>
      <c r="MG30" s="43">
        <v>4.4223462487518272</v>
      </c>
      <c r="MH30" s="67">
        <v>0.12950885806791293</v>
      </c>
      <c r="MI30" s="10">
        <f t="shared" si="109"/>
        <v>-0.74830854239514066</v>
      </c>
      <c r="MJ30" s="10" t="str">
        <f t="shared" si="110"/>
        <v xml:space="preserve"> </v>
      </c>
      <c r="MK30" s="10"/>
      <c r="ML30" s="53">
        <v>103</v>
      </c>
      <c r="MM30" s="55">
        <v>3.9805825242718438</v>
      </c>
      <c r="MN30" s="56">
        <v>0.10350922428078094</v>
      </c>
      <c r="MO30" s="10">
        <f t="shared" si="111"/>
        <v>1.5084239690998753</v>
      </c>
      <c r="MP30" s="10" t="str">
        <f t="shared" si="112"/>
        <v xml:space="preserve"> </v>
      </c>
      <c r="MQ30" s="10"/>
      <c r="MR30" s="54">
        <v>88</v>
      </c>
      <c r="MS30" s="57">
        <v>3.5954914356344885</v>
      </c>
      <c r="MT30" s="58">
        <v>0.13620021955028916</v>
      </c>
      <c r="MU30" s="10">
        <f t="shared" si="113"/>
        <v>3.1999038029607569</v>
      </c>
      <c r="MV30" s="10" t="str">
        <f t="shared" si="114"/>
        <v>*</v>
      </c>
      <c r="MW30" s="114">
        <f t="shared" si="115"/>
        <v>0.67273103961468994</v>
      </c>
      <c r="MX30" s="76"/>
      <c r="MY30" s="27">
        <v>23</v>
      </c>
      <c r="MZ30" s="28">
        <v>4.0880277336102431</v>
      </c>
      <c r="NA30" s="29">
        <v>0.20732070956614052</v>
      </c>
      <c r="NB30" s="10"/>
      <c r="NC30" s="42">
        <v>11</v>
      </c>
      <c r="ND30" s="43">
        <v>4.2727272727272725</v>
      </c>
      <c r="NE30" s="67">
        <v>0.38324487225683834</v>
      </c>
      <c r="NF30" s="10" t="str">
        <f t="shared" si="116"/>
        <v>NV</v>
      </c>
      <c r="NG30" s="10" t="str">
        <f t="shared" si="117"/>
        <v xml:space="preserve"> </v>
      </c>
      <c r="NH30" s="114">
        <f t="shared" si="118"/>
        <v>-0.18469953911702941</v>
      </c>
      <c r="NI30" s="10"/>
      <c r="NJ30" s="42">
        <v>16.990978560000002</v>
      </c>
      <c r="NK30" s="43">
        <v>4.1165464821821303</v>
      </c>
      <c r="NL30" s="67">
        <v>0.16823684677021586</v>
      </c>
      <c r="NM30" s="10" t="str">
        <f t="shared" si="119"/>
        <v>NV</v>
      </c>
      <c r="NN30" s="10" t="str">
        <f t="shared" si="120"/>
        <v xml:space="preserve"> </v>
      </c>
      <c r="NO30" s="10"/>
      <c r="NP30" s="53">
        <v>28</v>
      </c>
      <c r="NQ30" s="55">
        <v>3.9917092066326054</v>
      </c>
      <c r="NR30" s="56">
        <v>0.19243564540826011</v>
      </c>
      <c r="NS30" s="10" t="str">
        <f t="shared" si="121"/>
        <v>NV</v>
      </c>
      <c r="NT30" s="10" t="str">
        <f t="shared" si="122"/>
        <v xml:space="preserve"> </v>
      </c>
      <c r="NU30" s="10"/>
      <c r="NV30" s="54">
        <v>31</v>
      </c>
      <c r="NW30" s="57">
        <v>4.0503319991760529</v>
      </c>
      <c r="NX30" s="58">
        <v>0.2153191190716483</v>
      </c>
      <c r="NY30" s="10" t="str">
        <f t="shared" si="123"/>
        <v>NV</v>
      </c>
      <c r="NZ30" s="10" t="str">
        <f t="shared" si="129"/>
        <v xml:space="preserve"> </v>
      </c>
      <c r="OA30" s="114">
        <f t="shared" si="124"/>
        <v>3.7695734434190165E-2</v>
      </c>
      <c r="OB30" s="58"/>
    </row>
    <row r="31" spans="1:392" x14ac:dyDescent="0.2">
      <c r="B31" s="65"/>
      <c r="C31" s="27"/>
      <c r="D31" s="28"/>
      <c r="E31" s="29"/>
      <c r="F31" s="10"/>
      <c r="G31" s="42"/>
      <c r="H31" s="43"/>
      <c r="I31" s="67"/>
      <c r="J31" s="10"/>
      <c r="K31" s="10"/>
      <c r="L31" s="114"/>
      <c r="M31" s="10"/>
      <c r="N31" s="42"/>
      <c r="O31" s="43"/>
      <c r="P31" s="67"/>
      <c r="Q31" s="10"/>
      <c r="R31" s="10"/>
      <c r="S31" s="10"/>
      <c r="T31" s="53"/>
      <c r="U31" s="55"/>
      <c r="V31" s="56"/>
      <c r="W31" s="10"/>
      <c r="X31" s="10"/>
      <c r="Y31" s="10"/>
      <c r="Z31" s="54"/>
      <c r="AA31" s="57"/>
      <c r="AB31" s="58"/>
      <c r="AC31" s="10"/>
      <c r="AD31" s="10"/>
      <c r="AE31" s="114"/>
      <c r="AF31" s="76"/>
      <c r="AG31" s="27"/>
      <c r="AH31" s="28"/>
      <c r="AI31" s="29"/>
      <c r="AJ31" s="67"/>
      <c r="AK31" s="42"/>
      <c r="AL31" s="43"/>
      <c r="AM31" s="67"/>
      <c r="AN31" s="10"/>
      <c r="AO31" s="10"/>
      <c r="AP31" s="114"/>
      <c r="AQ31" s="67"/>
      <c r="AR31" s="42"/>
      <c r="AS31" s="43"/>
      <c r="AT31" s="67"/>
      <c r="AU31" s="10"/>
      <c r="AV31" s="10"/>
      <c r="AW31" s="10"/>
      <c r="AX31" s="53"/>
      <c r="AY31" s="55"/>
      <c r="AZ31" s="56"/>
      <c r="BA31" s="10"/>
      <c r="BB31" s="10"/>
      <c r="BC31" s="10"/>
      <c r="BD31" s="54"/>
      <c r="BE31" s="57"/>
      <c r="BF31" s="58"/>
      <c r="BG31" s="10"/>
      <c r="BH31" s="10"/>
      <c r="BI31" s="114"/>
      <c r="BJ31" s="76"/>
      <c r="BK31" s="27"/>
      <c r="BL31" s="28"/>
      <c r="BM31" s="29"/>
      <c r="BN31" s="10"/>
      <c r="BO31" s="42"/>
      <c r="BP31" s="43"/>
      <c r="BQ31" s="67"/>
      <c r="BR31" s="10"/>
      <c r="BS31" s="10"/>
      <c r="BT31" s="114"/>
      <c r="BU31" s="10"/>
      <c r="BV31" s="42"/>
      <c r="BW31" s="43"/>
      <c r="BX31" s="67"/>
      <c r="BY31" s="10"/>
      <c r="BZ31" s="10"/>
      <c r="CA31" s="10"/>
      <c r="CB31" s="53"/>
      <c r="CC31" s="55"/>
      <c r="CD31" s="56"/>
      <c r="CE31" s="10"/>
      <c r="CF31" s="10"/>
      <c r="CG31" s="10"/>
      <c r="CH31" s="54"/>
      <c r="CI31" s="57"/>
      <c r="CJ31" s="58"/>
      <c r="CK31" s="10"/>
      <c r="CL31" s="10"/>
      <c r="CM31" s="114"/>
      <c r="CN31" s="76"/>
      <c r="CO31" s="27"/>
      <c r="CP31" s="28"/>
      <c r="CQ31" s="29"/>
      <c r="CR31" s="67"/>
      <c r="CS31" s="42"/>
      <c r="CT31" s="43"/>
      <c r="CU31" s="67"/>
      <c r="CV31" s="10"/>
      <c r="CW31" s="10"/>
      <c r="CX31" s="114"/>
      <c r="CY31" s="10"/>
      <c r="CZ31" s="42"/>
      <c r="DA31" s="43"/>
      <c r="DB31" s="67"/>
      <c r="DC31" s="10"/>
      <c r="DD31" s="10"/>
      <c r="DE31" s="10"/>
      <c r="DF31" s="53"/>
      <c r="DG31" s="55"/>
      <c r="DH31" s="56"/>
      <c r="DI31" s="10"/>
      <c r="DJ31" s="10"/>
      <c r="DK31" s="10"/>
      <c r="DL31" s="54"/>
      <c r="DM31" s="57"/>
      <c r="DN31" s="58"/>
      <c r="DO31" s="10"/>
      <c r="DP31" s="10"/>
      <c r="DQ31" s="114"/>
      <c r="DR31" s="76"/>
      <c r="DS31" s="27"/>
      <c r="DT31" s="28"/>
      <c r="DU31" s="29"/>
      <c r="DV31" s="10"/>
      <c r="DW31" s="42"/>
      <c r="DX31" s="43"/>
      <c r="DY31" s="67"/>
      <c r="DZ31" s="10"/>
      <c r="EA31" s="10"/>
      <c r="EB31" s="114"/>
      <c r="EC31" s="10"/>
      <c r="ED31" s="42"/>
      <c r="EE31" s="43"/>
      <c r="EF31" s="67"/>
      <c r="EG31" s="10"/>
      <c r="EH31" s="10"/>
      <c r="EI31" s="10"/>
      <c r="EJ31" s="53"/>
      <c r="EK31" s="55"/>
      <c r="EL31" s="56"/>
      <c r="EM31" s="10"/>
      <c r="EN31" s="10"/>
      <c r="EO31" s="10"/>
      <c r="EP31" s="54"/>
      <c r="EQ31" s="57"/>
      <c r="ER31" s="58"/>
      <c r="ES31" s="10"/>
      <c r="ET31" s="10"/>
      <c r="EU31" s="114"/>
      <c r="EV31" s="76"/>
      <c r="EW31" s="27"/>
      <c r="EX31" s="28"/>
      <c r="EY31" s="29"/>
      <c r="EZ31" s="10"/>
      <c r="FA31" s="42"/>
      <c r="FB31" s="43"/>
      <c r="FC31" s="67"/>
      <c r="FD31" s="10"/>
      <c r="FE31" s="10"/>
      <c r="FF31" s="114"/>
      <c r="FG31" s="10"/>
      <c r="FH31" s="42"/>
      <c r="FI31" s="43"/>
      <c r="FJ31" s="67"/>
      <c r="FK31" s="10"/>
      <c r="FL31" s="10"/>
      <c r="FM31" s="10"/>
      <c r="FN31" s="53"/>
      <c r="FO31" s="55"/>
      <c r="FP31" s="56"/>
      <c r="FQ31" s="10"/>
      <c r="FR31" s="10"/>
      <c r="FS31" s="10"/>
      <c r="FT31" s="54"/>
      <c r="FU31" s="57"/>
      <c r="FV31" s="58"/>
      <c r="FW31" s="10"/>
      <c r="FX31" s="10"/>
      <c r="FY31" s="114"/>
      <c r="FZ31" s="76"/>
      <c r="GA31" s="27"/>
      <c r="GB31" s="28"/>
      <c r="GC31" s="29"/>
      <c r="GD31" s="67"/>
      <c r="GE31" s="42"/>
      <c r="GF31" s="43"/>
      <c r="GG31" s="67"/>
      <c r="GH31" s="10"/>
      <c r="GI31" s="10"/>
      <c r="GJ31" s="114"/>
      <c r="GK31" s="67"/>
      <c r="GL31" s="42"/>
      <c r="GM31" s="43"/>
      <c r="GN31" s="67"/>
      <c r="GO31" s="10"/>
      <c r="GP31" s="10"/>
      <c r="GQ31" s="10"/>
      <c r="GR31" s="53"/>
      <c r="GS31" s="55"/>
      <c r="GT31" s="56"/>
      <c r="GU31" s="10"/>
      <c r="GV31" s="10"/>
      <c r="GW31" s="10"/>
      <c r="GX31" s="54"/>
      <c r="GY31" s="57"/>
      <c r="GZ31" s="58"/>
      <c r="HA31" s="10"/>
      <c r="HB31" s="10"/>
      <c r="HC31" s="114"/>
      <c r="HD31" s="76"/>
      <c r="HE31" s="27"/>
      <c r="HF31" s="28"/>
      <c r="HG31" s="29"/>
      <c r="HH31" s="10"/>
      <c r="HI31" s="42"/>
      <c r="HJ31" s="43"/>
      <c r="HK31" s="67"/>
      <c r="HL31" s="10"/>
      <c r="HM31" s="10"/>
      <c r="HN31" s="114"/>
      <c r="HO31" s="10"/>
      <c r="HP31" s="42"/>
      <c r="HQ31" s="43"/>
      <c r="HR31" s="67"/>
      <c r="HS31" s="10"/>
      <c r="HT31" s="10"/>
      <c r="HU31" s="10"/>
      <c r="HV31" s="53"/>
      <c r="HW31" s="55"/>
      <c r="HX31" s="56"/>
      <c r="HY31" s="10"/>
      <c r="HZ31" s="10"/>
      <c r="IA31" s="10"/>
      <c r="IB31" s="54"/>
      <c r="IC31" s="57"/>
      <c r="ID31" s="58"/>
      <c r="IE31" s="10"/>
      <c r="IF31" s="10"/>
      <c r="IG31" s="114"/>
      <c r="IH31" s="76"/>
      <c r="II31" s="27"/>
      <c r="IJ31" s="28"/>
      <c r="IK31" s="29"/>
      <c r="IL31" s="10"/>
      <c r="IM31" s="42"/>
      <c r="IN31" s="43"/>
      <c r="IO31" s="67"/>
      <c r="IP31" s="10"/>
      <c r="IQ31" s="10"/>
      <c r="IR31" s="114"/>
      <c r="IS31" s="10"/>
      <c r="IT31" s="42"/>
      <c r="IU31" s="43"/>
      <c r="IV31" s="67"/>
      <c r="IW31" s="10"/>
      <c r="IX31" s="10"/>
      <c r="IY31" s="10"/>
      <c r="IZ31" s="53"/>
      <c r="JA31" s="55"/>
      <c r="JB31" s="56"/>
      <c r="JC31" s="10"/>
      <c r="JD31" s="10"/>
      <c r="JE31" s="10"/>
      <c r="JF31" s="54"/>
      <c r="JG31" s="57"/>
      <c r="JH31" s="58"/>
      <c r="JI31" s="10"/>
      <c r="JJ31" s="10"/>
      <c r="JK31" s="114"/>
      <c r="JL31" s="76"/>
      <c r="JM31" s="27"/>
      <c r="JN31" s="28"/>
      <c r="JO31" s="97"/>
      <c r="JP31" s="10"/>
      <c r="JQ31" s="42"/>
      <c r="JR31" s="43"/>
      <c r="JS31" s="68"/>
      <c r="JT31" s="10"/>
      <c r="JU31" s="10"/>
      <c r="JV31" s="114"/>
      <c r="JW31" s="10"/>
      <c r="JX31" s="42"/>
      <c r="JY31" s="43"/>
      <c r="JZ31" s="68"/>
      <c r="KA31" s="10"/>
      <c r="KB31" s="10"/>
      <c r="KC31" s="10"/>
      <c r="KD31" s="53"/>
      <c r="KE31" s="55"/>
      <c r="KG31" s="10"/>
      <c r="KH31" s="10"/>
      <c r="KI31" s="10"/>
      <c r="KJ31" s="54"/>
      <c r="KK31" s="62"/>
      <c r="KL31" s="62"/>
      <c r="KM31" s="10"/>
      <c r="KN31" s="10"/>
      <c r="KO31" s="114"/>
      <c r="KP31" s="76"/>
      <c r="KQ31" s="27"/>
      <c r="KR31" s="28"/>
      <c r="KS31" s="29"/>
      <c r="KT31" s="10"/>
      <c r="KU31" s="42"/>
      <c r="KV31" s="43"/>
      <c r="KW31" s="67"/>
      <c r="KX31" s="10"/>
      <c r="KY31" s="10"/>
      <c r="KZ31" s="114"/>
      <c r="LA31" s="10"/>
      <c r="LB31" s="42"/>
      <c r="LC31" s="43"/>
      <c r="LD31" s="67"/>
      <c r="LE31" s="10"/>
      <c r="LF31" s="10"/>
      <c r="LG31" s="10"/>
      <c r="LH31" s="53"/>
      <c r="LI31" s="55"/>
      <c r="LJ31" s="56"/>
      <c r="LK31" s="10"/>
      <c r="LL31" s="10"/>
      <c r="LM31" s="10"/>
      <c r="LN31" s="54"/>
      <c r="LO31" s="57"/>
      <c r="LP31" s="58"/>
      <c r="LQ31" s="10"/>
      <c r="LR31" s="10"/>
      <c r="LS31" s="114"/>
      <c r="LT31" s="76"/>
      <c r="LU31" s="27"/>
      <c r="LV31" s="28"/>
      <c r="LW31" s="29"/>
      <c r="LX31" s="10"/>
      <c r="LY31" s="42"/>
      <c r="LZ31" s="43"/>
      <c r="MA31" s="67"/>
      <c r="MB31" s="10"/>
      <c r="MC31" s="10"/>
      <c r="MD31" s="114"/>
      <c r="ME31" s="10"/>
      <c r="MF31" s="42"/>
      <c r="MG31" s="43"/>
      <c r="MH31" s="67"/>
      <c r="MI31" s="10"/>
      <c r="MJ31" s="10"/>
      <c r="MK31" s="10"/>
      <c r="ML31" s="53"/>
      <c r="MM31" s="55"/>
      <c r="MN31" s="56"/>
      <c r="MO31" s="10"/>
      <c r="MP31" s="10"/>
      <c r="MQ31" s="10"/>
      <c r="MR31" s="54"/>
      <c r="MS31" s="57"/>
      <c r="MT31" s="58"/>
      <c r="MU31" s="10"/>
      <c r="MV31" s="10"/>
      <c r="MW31" s="114"/>
      <c r="MX31" s="76"/>
      <c r="MY31" s="27"/>
      <c r="MZ31" s="28"/>
      <c r="NA31" s="29"/>
      <c r="NB31" s="10"/>
      <c r="NC31" s="42"/>
      <c r="ND31" s="43"/>
      <c r="NE31" s="67"/>
      <c r="NF31" s="10"/>
      <c r="NG31" s="10"/>
      <c r="NH31" s="114"/>
      <c r="NI31" s="10"/>
      <c r="NJ31" s="42"/>
      <c r="NK31" s="43"/>
      <c r="NL31" s="67"/>
      <c r="NM31" s="10"/>
      <c r="NN31" s="10"/>
      <c r="NO31" s="10"/>
      <c r="NP31" s="53"/>
      <c r="NQ31" s="55"/>
      <c r="NR31" s="56"/>
      <c r="NS31" s="10"/>
      <c r="NT31" s="10"/>
      <c r="NU31" s="10"/>
      <c r="NV31" s="54"/>
      <c r="NW31" s="57"/>
      <c r="NX31" s="58"/>
      <c r="NY31" s="10"/>
      <c r="NZ31" s="10"/>
      <c r="OA31" s="114"/>
      <c r="OB31" s="58"/>
    </row>
    <row r="32" spans="1:392" x14ac:dyDescent="0.2">
      <c r="A32" s="73"/>
      <c r="B32" s="65" t="s">
        <v>28</v>
      </c>
      <c r="C32" s="27">
        <v>378</v>
      </c>
      <c r="D32" s="28">
        <v>3.8439153439153451</v>
      </c>
      <c r="E32" s="29">
        <v>5.3619840618022212E-2</v>
      </c>
      <c r="F32" s="10"/>
      <c r="G32" s="42">
        <v>105</v>
      </c>
      <c r="H32" s="43">
        <v>3.6190962939998252</v>
      </c>
      <c r="I32" s="67">
        <v>0.1162511206119142</v>
      </c>
      <c r="J32" s="10">
        <f t="shared" si="1"/>
        <v>1.7561088988137208</v>
      </c>
      <c r="K32" s="10" t="str">
        <f t="shared" si="2"/>
        <v xml:space="preserve"> </v>
      </c>
      <c r="L32" s="114">
        <f t="shared" si="3"/>
        <v>0.22481904991551982</v>
      </c>
      <c r="M32" s="10"/>
      <c r="N32" s="42">
        <v>65.503565190000046</v>
      </c>
      <c r="O32" s="43">
        <v>3.8095238095238098</v>
      </c>
      <c r="P32" s="67">
        <v>0.13284362077984543</v>
      </c>
      <c r="Q32" s="10">
        <f t="shared" si="4"/>
        <v>0.24006909912586805</v>
      </c>
      <c r="R32" s="10" t="str">
        <f t="shared" si="5"/>
        <v xml:space="preserve"> </v>
      </c>
      <c r="S32" s="10"/>
      <c r="T32" s="53">
        <v>107</v>
      </c>
      <c r="U32" s="55">
        <v>3.7757009345794401</v>
      </c>
      <c r="V32" s="56">
        <v>8.9764333368843832E-2</v>
      </c>
      <c r="W32" s="10">
        <f t="shared" si="6"/>
        <v>0.65239699739202894</v>
      </c>
      <c r="X32" s="10" t="str">
        <f t="shared" si="7"/>
        <v xml:space="preserve"> </v>
      </c>
      <c r="Y32" s="10"/>
      <c r="Z32" s="54">
        <v>192</v>
      </c>
      <c r="AA32" s="57">
        <v>3.541666666666667</v>
      </c>
      <c r="AB32" s="58">
        <v>6.5837844578640448E-2</v>
      </c>
      <c r="AC32" s="10">
        <f t="shared" si="8"/>
        <v>3.5596355737487335</v>
      </c>
      <c r="AD32" s="10" t="str">
        <f t="shared" si="9"/>
        <v>*</v>
      </c>
      <c r="AE32" s="114">
        <f t="shared" si="10"/>
        <v>0.3022486772486781</v>
      </c>
      <c r="AF32" s="76"/>
      <c r="AG32" s="27">
        <v>86</v>
      </c>
      <c r="AH32" s="28">
        <v>4.036994238465585</v>
      </c>
      <c r="AI32" s="29">
        <v>0.10340019044403888</v>
      </c>
      <c r="AJ32" s="67"/>
      <c r="AK32" s="42">
        <v>50</v>
      </c>
      <c r="AL32" s="43">
        <v>3.7999999999999994</v>
      </c>
      <c r="AM32" s="67">
        <v>0.15846292579479862</v>
      </c>
      <c r="AN32" s="10">
        <f t="shared" si="11"/>
        <v>1.252516766444028</v>
      </c>
      <c r="AO32" s="10" t="str">
        <f t="shared" si="12"/>
        <v xml:space="preserve"> </v>
      </c>
      <c r="AP32" s="114">
        <f t="shared" si="13"/>
        <v>0.23699423846558565</v>
      </c>
      <c r="AQ32" s="67"/>
      <c r="AR32" s="42">
        <v>54.45615213</v>
      </c>
      <c r="AS32" s="43">
        <v>3.6842105263157889</v>
      </c>
      <c r="AT32" s="67">
        <v>0.16634822856161632</v>
      </c>
      <c r="AU32" s="10">
        <f t="shared" si="14"/>
        <v>1.8011519915914582</v>
      </c>
      <c r="AV32" s="10" t="str">
        <f t="shared" si="15"/>
        <v xml:space="preserve"> </v>
      </c>
      <c r="AW32" s="10"/>
      <c r="AX32" s="53">
        <v>95</v>
      </c>
      <c r="AY32" s="55">
        <v>3.5529330956394944</v>
      </c>
      <c r="AZ32" s="56">
        <v>0.12250404622429653</v>
      </c>
      <c r="BA32" s="10">
        <f t="shared" si="16"/>
        <v>3.0195585522262638</v>
      </c>
      <c r="BB32" s="10" t="str">
        <f t="shared" si="17"/>
        <v>*</v>
      </c>
      <c r="BC32" s="10"/>
      <c r="BD32" s="54">
        <v>83</v>
      </c>
      <c r="BE32" s="57">
        <v>3.5143161980775615</v>
      </c>
      <c r="BF32" s="58">
        <v>0.11744872532250328</v>
      </c>
      <c r="BG32" s="10">
        <f t="shared" si="18"/>
        <v>3.3402354693479661</v>
      </c>
      <c r="BH32" s="10" t="str">
        <f t="shared" si="19"/>
        <v>*</v>
      </c>
      <c r="BI32" s="114">
        <f t="shared" si="20"/>
        <v>0.52267804038802357</v>
      </c>
      <c r="BJ32" s="76"/>
      <c r="BK32" s="27">
        <v>1003</v>
      </c>
      <c r="BL32" s="28">
        <v>4.0013626100969812</v>
      </c>
      <c r="BM32" s="29">
        <v>3.1738176015308921E-2</v>
      </c>
      <c r="BN32" s="10"/>
      <c r="BO32" s="42">
        <v>316</v>
      </c>
      <c r="BP32" s="43">
        <v>3.9456027626206263</v>
      </c>
      <c r="BQ32" s="67">
        <v>5.6201196473134478E-2</v>
      </c>
      <c r="BR32" s="10">
        <f t="shared" si="21"/>
        <v>0.86390874612517821</v>
      </c>
      <c r="BS32" s="10" t="str">
        <f t="shared" si="22"/>
        <v xml:space="preserve"> </v>
      </c>
      <c r="BT32" s="114">
        <f t="shared" si="23"/>
        <v>5.5759847476354985E-2</v>
      </c>
      <c r="BU32" s="10"/>
      <c r="BV32" s="42">
        <v>87.139628100000053</v>
      </c>
      <c r="BW32" s="43">
        <v>3.9122905515361066</v>
      </c>
      <c r="BX32" s="67">
        <v>0.10198219618371854</v>
      </c>
      <c r="BY32" s="10">
        <f t="shared" si="24"/>
        <v>0.83395539289404563</v>
      </c>
      <c r="BZ32" s="10" t="str">
        <f t="shared" si="25"/>
        <v xml:space="preserve"> </v>
      </c>
      <c r="CA32" s="10"/>
      <c r="CB32" s="53">
        <v>98</v>
      </c>
      <c r="CC32" s="55">
        <v>3.9248763561298636</v>
      </c>
      <c r="CD32" s="56">
        <v>8.2000620494474555E-2</v>
      </c>
      <c r="CE32" s="10">
        <f t="shared" si="26"/>
        <v>0.8698691690828313</v>
      </c>
      <c r="CF32" s="10" t="str">
        <f t="shared" si="27"/>
        <v xml:space="preserve"> </v>
      </c>
      <c r="CG32" s="10"/>
      <c r="CH32" s="54">
        <v>382</v>
      </c>
      <c r="CI32" s="57">
        <v>3.8604513389748347</v>
      </c>
      <c r="CJ32" s="58">
        <v>4.8933258705089182E-2</v>
      </c>
      <c r="CK32" s="10">
        <f t="shared" si="28"/>
        <v>2.4159775821450991</v>
      </c>
      <c r="CL32" s="10" t="str">
        <f t="shared" si="29"/>
        <v>*</v>
      </c>
      <c r="CM32" s="114">
        <f t="shared" si="30"/>
        <v>0.14091127112214652</v>
      </c>
      <c r="CN32" s="76"/>
      <c r="CO32" s="27">
        <v>622</v>
      </c>
      <c r="CP32" s="28">
        <v>4.0360510583823936</v>
      </c>
      <c r="CQ32" s="29">
        <v>3.8409340503759236E-2</v>
      </c>
      <c r="CR32" s="67"/>
      <c r="CS32" s="42">
        <v>195</v>
      </c>
      <c r="CT32" s="43">
        <v>4.0418695057538612</v>
      </c>
      <c r="CU32" s="67">
        <v>7.136221427028798E-2</v>
      </c>
      <c r="CV32" s="10">
        <f t="shared" si="31"/>
        <v>-7.1795252457338421E-2</v>
      </c>
      <c r="CW32" s="10" t="str">
        <f t="shared" si="32"/>
        <v xml:space="preserve"> </v>
      </c>
      <c r="CX32" s="114">
        <f t="shared" si="33"/>
        <v>-5.8184473714675278E-3</v>
      </c>
      <c r="CY32" s="10"/>
      <c r="CZ32" s="42">
        <v>170.11549949999977</v>
      </c>
      <c r="DA32" s="43">
        <v>4.2649445667353802</v>
      </c>
      <c r="DB32" s="67">
        <v>6.72553088927067E-2</v>
      </c>
      <c r="DC32" s="10">
        <f t="shared" si="34"/>
        <v>-2.955358625525117</v>
      </c>
      <c r="DD32" s="10" t="str">
        <f t="shared" si="35"/>
        <v>*</v>
      </c>
      <c r="DE32" s="10"/>
      <c r="DF32" s="53">
        <v>183</v>
      </c>
      <c r="DG32" s="55">
        <v>4.0864509144417376</v>
      </c>
      <c r="DH32" s="56">
        <v>7.3928535791658007E-2</v>
      </c>
      <c r="DI32" s="10">
        <f t="shared" si="36"/>
        <v>-0.60496113768645665</v>
      </c>
      <c r="DJ32" s="10" t="str">
        <f t="shared" si="0"/>
        <v xml:space="preserve"> </v>
      </c>
      <c r="DK32" s="10"/>
      <c r="DL32" s="54">
        <v>239</v>
      </c>
      <c r="DM32" s="57">
        <v>3.9741551202004999</v>
      </c>
      <c r="DN32" s="58">
        <v>6.2360632148312174E-2</v>
      </c>
      <c r="DO32" s="10">
        <f t="shared" si="37"/>
        <v>0.84510888889727576</v>
      </c>
      <c r="DP32" s="10" t="str">
        <f t="shared" si="38"/>
        <v xml:space="preserve"> </v>
      </c>
      <c r="DQ32" s="114">
        <f t="shared" si="39"/>
        <v>6.1895938181893762E-2</v>
      </c>
      <c r="DR32" s="76"/>
      <c r="DS32" s="27">
        <v>175</v>
      </c>
      <c r="DT32" s="28">
        <v>3.8418757438045801</v>
      </c>
      <c r="DU32" s="29">
        <v>8.2025300742741669E-2</v>
      </c>
      <c r="DV32" s="10"/>
      <c r="DW32" s="42">
        <v>68</v>
      </c>
      <c r="DX32" s="43">
        <v>3.7056278015219788</v>
      </c>
      <c r="DY32" s="67">
        <v>0.13930761850484072</v>
      </c>
      <c r="DZ32" s="10">
        <f t="shared" si="40"/>
        <v>0.84279252056503473</v>
      </c>
      <c r="EA32" s="10" t="str">
        <f t="shared" si="41"/>
        <v xml:space="preserve"> </v>
      </c>
      <c r="EB32" s="114">
        <f t="shared" si="42"/>
        <v>0.13624794228260129</v>
      </c>
      <c r="EC32" s="10"/>
      <c r="ED32" s="42">
        <v>58.67455413000004</v>
      </c>
      <c r="EE32" s="43">
        <v>3.7681963343110279</v>
      </c>
      <c r="EF32" s="67">
        <v>0.13956898059583223</v>
      </c>
      <c r="EG32" s="10">
        <f t="shared" si="43"/>
        <v>0.45512646921349054</v>
      </c>
      <c r="EH32" s="10" t="str">
        <f t="shared" si="44"/>
        <v xml:space="preserve"> </v>
      </c>
      <c r="EI32" s="10"/>
      <c r="EJ32" s="53">
        <v>65</v>
      </c>
      <c r="EK32" s="55">
        <v>3.7587302372050249</v>
      </c>
      <c r="EL32" s="56">
        <v>0.13088230378921833</v>
      </c>
      <c r="EM32" s="10">
        <f t="shared" si="45"/>
        <v>0.53829306752025752</v>
      </c>
      <c r="EN32" s="10" t="str">
        <f t="shared" si="46"/>
        <v xml:space="preserve"> </v>
      </c>
      <c r="EO32" s="10"/>
      <c r="EP32" s="54">
        <v>53</v>
      </c>
      <c r="EQ32" s="57">
        <v>3.716981132075472</v>
      </c>
      <c r="ER32" s="58">
        <v>0.12173090026265809</v>
      </c>
      <c r="ES32" s="10">
        <f t="shared" si="47"/>
        <v>0.85085334411995706</v>
      </c>
      <c r="ET32" s="10" t="str">
        <f t="shared" si="48"/>
        <v xml:space="preserve"> </v>
      </c>
      <c r="EU32" s="114">
        <f t="shared" si="49"/>
        <v>0.1248946117291081</v>
      </c>
      <c r="EV32" s="76"/>
      <c r="EW32" s="27">
        <v>416</v>
      </c>
      <c r="EX32" s="28">
        <v>4.1587690930487664</v>
      </c>
      <c r="EY32" s="29">
        <v>4.8426083467060323E-2</v>
      </c>
      <c r="EZ32" s="10"/>
      <c r="FA32" s="42">
        <v>127</v>
      </c>
      <c r="FB32" s="43">
        <v>4.0473614681355743</v>
      </c>
      <c r="FC32" s="67">
        <v>8.9954221735244408E-2</v>
      </c>
      <c r="FD32" s="10">
        <f t="shared" si="50"/>
        <v>1.0905114888890315</v>
      </c>
      <c r="FE32" s="10" t="str">
        <f t="shared" si="51"/>
        <v xml:space="preserve"> </v>
      </c>
      <c r="FF32" s="114">
        <f t="shared" si="52"/>
        <v>0.11140762491319212</v>
      </c>
      <c r="FG32" s="10"/>
      <c r="FH32" s="42">
        <v>77.275767690000038</v>
      </c>
      <c r="FI32" s="43">
        <v>3.8036351212857156</v>
      </c>
      <c r="FJ32" s="67">
        <v>0.12010844309179984</v>
      </c>
      <c r="FK32" s="10">
        <f t="shared" si="53"/>
        <v>2.7422758425164746</v>
      </c>
      <c r="FL32" s="10" t="str">
        <f t="shared" si="54"/>
        <v>*</v>
      </c>
      <c r="FM32" s="10"/>
      <c r="FN32" s="53">
        <v>125</v>
      </c>
      <c r="FO32" s="55">
        <v>4.0733411050246122</v>
      </c>
      <c r="FP32" s="56">
        <v>8.5652251025863685E-2</v>
      </c>
      <c r="FQ32" s="10">
        <f t="shared" si="55"/>
        <v>0.86822290343430608</v>
      </c>
      <c r="FR32" s="10" t="str">
        <f t="shared" si="56"/>
        <v xml:space="preserve"> </v>
      </c>
      <c r="FS32" s="10"/>
      <c r="FT32" s="54">
        <v>178</v>
      </c>
      <c r="FU32" s="57">
        <v>3.7663700424993469</v>
      </c>
      <c r="FV32" s="58">
        <v>6.439278878544813E-2</v>
      </c>
      <c r="FW32" s="10">
        <f t="shared" si="57"/>
        <v>4.8702903703137457</v>
      </c>
      <c r="FX32" s="10" t="str">
        <f t="shared" si="125"/>
        <v>*</v>
      </c>
      <c r="FY32" s="114">
        <f t="shared" si="58"/>
        <v>0.39239905054941948</v>
      </c>
      <c r="FZ32" s="76"/>
      <c r="GA32" s="27">
        <v>163</v>
      </c>
      <c r="GB32" s="28">
        <v>3.8635469178024664</v>
      </c>
      <c r="GC32" s="29">
        <v>8.3973093076080904E-2</v>
      </c>
      <c r="GD32" s="67"/>
      <c r="GE32" s="42">
        <v>137</v>
      </c>
      <c r="GF32" s="43">
        <v>3.8702702314022304</v>
      </c>
      <c r="GG32" s="67">
        <v>9.6153224944031099E-2</v>
      </c>
      <c r="GH32" s="10">
        <f t="shared" si="59"/>
        <v>-5.2666027507317796E-2</v>
      </c>
      <c r="GI32" s="10" t="str">
        <f t="shared" si="60"/>
        <v xml:space="preserve"> </v>
      </c>
      <c r="GJ32" s="114">
        <f t="shared" si="61"/>
        <v>-6.7233135997639693E-3</v>
      </c>
      <c r="GK32" s="67"/>
      <c r="GL32" s="42">
        <v>160.20733671000008</v>
      </c>
      <c r="GM32" s="43">
        <v>4.0309579533737461</v>
      </c>
      <c r="GN32" s="67">
        <v>7.6863400270044721E-2</v>
      </c>
      <c r="GO32" s="10">
        <f t="shared" si="62"/>
        <v>-1.470586536105462</v>
      </c>
      <c r="GP32" s="10" t="str">
        <f t="shared" si="63"/>
        <v xml:space="preserve"> </v>
      </c>
      <c r="GQ32" s="10"/>
      <c r="GR32" s="53">
        <v>175</v>
      </c>
      <c r="GS32" s="55">
        <v>3.9174249621430572</v>
      </c>
      <c r="GT32" s="56">
        <v>8.1462920203924732E-2</v>
      </c>
      <c r="GU32" s="10">
        <f t="shared" si="64"/>
        <v>-0.46051817937296047</v>
      </c>
      <c r="GV32" s="10" t="str">
        <f t="shared" si="65"/>
        <v xml:space="preserve"> </v>
      </c>
      <c r="GW32" s="10"/>
      <c r="GX32" s="54">
        <v>167</v>
      </c>
      <c r="GY32" s="57">
        <v>3.8458759785428294</v>
      </c>
      <c r="GZ32" s="58">
        <v>8.2779096502928876E-2</v>
      </c>
      <c r="HA32" s="10">
        <f t="shared" si="66"/>
        <v>0.14986214824484623</v>
      </c>
      <c r="HB32" s="10" t="str">
        <f t="shared" si="126"/>
        <v xml:space="preserve"> </v>
      </c>
      <c r="HC32" s="114">
        <f t="shared" si="67"/>
        <v>1.7670939259637031E-2</v>
      </c>
      <c r="HD32" s="76"/>
      <c r="HE32" s="27">
        <v>191</v>
      </c>
      <c r="HF32" s="28">
        <v>3.8708780693207263</v>
      </c>
      <c r="HG32" s="29">
        <v>7.6263820525878365E-2</v>
      </c>
      <c r="HH32" s="10"/>
      <c r="HI32" s="42">
        <v>117</v>
      </c>
      <c r="HJ32" s="43">
        <v>4.1049393030144259</v>
      </c>
      <c r="HK32" s="67">
        <v>8.6411914293029496E-2</v>
      </c>
      <c r="HL32" s="10">
        <f t="shared" si="68"/>
        <v>-2.0308521619510271</v>
      </c>
      <c r="HM32" s="10" t="str">
        <f t="shared" si="69"/>
        <v>*</v>
      </c>
      <c r="HN32" s="114">
        <f t="shared" si="70"/>
        <v>-0.23406123369369958</v>
      </c>
      <c r="HO32" s="10"/>
      <c r="HP32" s="42">
        <v>107.07433469999991</v>
      </c>
      <c r="HQ32" s="43">
        <v>4.1002315336356681</v>
      </c>
      <c r="HR32" s="67">
        <v>9.8706815203367354E-2</v>
      </c>
      <c r="HS32" s="10">
        <f t="shared" si="71"/>
        <v>-1.8387030368039234</v>
      </c>
      <c r="HT32" s="10" t="str">
        <f t="shared" si="72"/>
        <v xml:space="preserve"> </v>
      </c>
      <c r="HU32" s="10"/>
      <c r="HV32" s="53">
        <v>80</v>
      </c>
      <c r="HW32" s="55">
        <v>4.041759889356757</v>
      </c>
      <c r="HX32" s="56">
        <v>9.3841276526169526E-2</v>
      </c>
      <c r="HY32" s="10">
        <f t="shared" si="73"/>
        <v>-1.4131465149397278</v>
      </c>
      <c r="HZ32" s="10" t="str">
        <f t="shared" si="74"/>
        <v xml:space="preserve"> </v>
      </c>
      <c r="IA32" s="10"/>
      <c r="IB32" s="54">
        <v>128</v>
      </c>
      <c r="IC32" s="57">
        <v>4.0544354838351637</v>
      </c>
      <c r="ID32" s="58">
        <v>8.5484820321712313E-2</v>
      </c>
      <c r="IE32" s="10">
        <f t="shared" si="75"/>
        <v>-1.6022922031392191</v>
      </c>
      <c r="IF32" s="10" t="str">
        <f t="shared" si="127"/>
        <v xml:space="preserve"> </v>
      </c>
      <c r="IG32" s="114">
        <f t="shared" si="76"/>
        <v>-0.18355741451443741</v>
      </c>
      <c r="IH32" s="76"/>
      <c r="II32" s="27">
        <v>473</v>
      </c>
      <c r="IJ32" s="28">
        <v>3.9227428423694866</v>
      </c>
      <c r="IK32" s="29">
        <v>4.7729796590103402E-2</v>
      </c>
      <c r="IL32" s="10"/>
      <c r="IM32" s="42">
        <v>330</v>
      </c>
      <c r="IN32" s="43">
        <v>3.9075201560641744</v>
      </c>
      <c r="IO32" s="67">
        <v>5.5937256268279389E-2</v>
      </c>
      <c r="IP32" s="10">
        <f t="shared" si="77"/>
        <v>0.2070182774880098</v>
      </c>
      <c r="IQ32" s="10" t="str">
        <f t="shared" si="78"/>
        <v xml:space="preserve"> </v>
      </c>
      <c r="IR32" s="114">
        <f t="shared" si="79"/>
        <v>1.5222686305312205E-2</v>
      </c>
      <c r="IS32" s="10"/>
      <c r="IT32" s="42">
        <v>343.16499533000086</v>
      </c>
      <c r="IU32" s="43">
        <v>3.9071675065827574</v>
      </c>
      <c r="IV32" s="67">
        <v>5.7521003662968667E-2</v>
      </c>
      <c r="IW32" s="10">
        <f t="shared" si="80"/>
        <v>0.20837992700256988</v>
      </c>
      <c r="IX32" s="10" t="str">
        <f t="shared" si="81"/>
        <v xml:space="preserve"> </v>
      </c>
      <c r="IY32" s="10"/>
      <c r="IZ32" s="53">
        <v>333</v>
      </c>
      <c r="JA32" s="55">
        <v>4.057285172144609</v>
      </c>
      <c r="JB32" s="56">
        <v>5.3303167764547764E-2</v>
      </c>
      <c r="JC32" s="10">
        <f t="shared" si="82"/>
        <v>-1.8804035330556808</v>
      </c>
      <c r="JD32" s="10" t="str">
        <f t="shared" si="83"/>
        <v xml:space="preserve"> </v>
      </c>
      <c r="JE32" s="10"/>
      <c r="JF32" s="54">
        <v>369</v>
      </c>
      <c r="JG32" s="57">
        <v>4.0027609052041484</v>
      </c>
      <c r="JH32" s="58">
        <v>5.4100713044345931E-2</v>
      </c>
      <c r="JI32" s="10">
        <f t="shared" si="84"/>
        <v>-1.1091155788580027</v>
      </c>
      <c r="JJ32" s="10" t="str">
        <f t="shared" si="85"/>
        <v xml:space="preserve"> </v>
      </c>
      <c r="JK32" s="114">
        <f t="shared" si="86"/>
        <v>-8.0018062834661841E-2</v>
      </c>
      <c r="JL32" s="76"/>
      <c r="JM32" s="27">
        <v>41</v>
      </c>
      <c r="JN32" s="28">
        <v>4.3414634146341466</v>
      </c>
      <c r="JO32" s="29">
        <v>0.13353618665434905</v>
      </c>
      <c r="JP32" s="10"/>
      <c r="JQ32" s="42">
        <v>27</v>
      </c>
      <c r="JR32" s="43">
        <v>4.5922965116929992</v>
      </c>
      <c r="JS32" s="67">
        <v>0.1533818026098831</v>
      </c>
      <c r="JT32" s="10" t="str">
        <f t="shared" si="87"/>
        <v>NV</v>
      </c>
      <c r="JU32" s="10" t="str">
        <f t="shared" si="88"/>
        <v xml:space="preserve"> </v>
      </c>
      <c r="JV32" s="114">
        <f t="shared" si="89"/>
        <v>-0.25083309705885259</v>
      </c>
      <c r="JW32" s="10"/>
      <c r="JX32" s="42">
        <v>28.713462310000004</v>
      </c>
      <c r="JY32" s="43">
        <v>4.3448275862068959</v>
      </c>
      <c r="JZ32" s="67">
        <v>0.16751182992228508</v>
      </c>
      <c r="KA32" s="10" t="str">
        <f t="shared" si="90"/>
        <v>NV</v>
      </c>
      <c r="KB32" s="10" t="str">
        <f t="shared" si="91"/>
        <v xml:space="preserve"> </v>
      </c>
      <c r="KC32" s="10"/>
      <c r="KD32" s="53">
        <v>26</v>
      </c>
      <c r="KE32" s="55">
        <v>4.1923076923076934</v>
      </c>
      <c r="KF32" s="56">
        <v>0.2316114696298153</v>
      </c>
      <c r="KG32" s="10" t="str">
        <f t="shared" si="92"/>
        <v>NV</v>
      </c>
      <c r="KH32" s="10" t="str">
        <f t="shared" si="93"/>
        <v xml:space="preserve"> </v>
      </c>
      <c r="KI32" s="10"/>
      <c r="KJ32" s="54">
        <v>45</v>
      </c>
      <c r="KK32" s="57">
        <v>4.1555555555555559</v>
      </c>
      <c r="KL32" s="58">
        <v>0.1431830442243584</v>
      </c>
      <c r="KM32" s="10">
        <f t="shared" si="94"/>
        <v>0.94953212124606745</v>
      </c>
      <c r="KN32" s="10" t="str">
        <f t="shared" si="95"/>
        <v xml:space="preserve"> </v>
      </c>
      <c r="KO32" s="114">
        <f t="shared" si="96"/>
        <v>0.18590785907859075</v>
      </c>
      <c r="KP32" s="76"/>
      <c r="KQ32" s="27">
        <v>433</v>
      </c>
      <c r="KR32" s="28">
        <v>3.826883778425326</v>
      </c>
      <c r="KS32" s="29">
        <v>5.4215486530933145E-2</v>
      </c>
      <c r="KT32" s="10"/>
      <c r="KU32" s="42">
        <v>267</v>
      </c>
      <c r="KV32" s="43">
        <v>3.8165367073582894</v>
      </c>
      <c r="KW32" s="67">
        <v>6.6939041697938462E-2</v>
      </c>
      <c r="KX32" s="10">
        <f t="shared" si="97"/>
        <v>0.12011879429207481</v>
      </c>
      <c r="KY32" s="10" t="str">
        <f t="shared" si="98"/>
        <v xml:space="preserve"> </v>
      </c>
      <c r="KZ32" s="114">
        <f t="shared" si="99"/>
        <v>1.0347071067036584E-2</v>
      </c>
      <c r="LA32" s="10"/>
      <c r="LB32" s="42">
        <v>314.35793911000002</v>
      </c>
      <c r="LC32" s="43">
        <v>4.0759815023206452</v>
      </c>
      <c r="LD32" s="67">
        <v>5.7142455684390456E-2</v>
      </c>
      <c r="LE32" s="10">
        <f t="shared" si="100"/>
        <v>-3.162376632022478</v>
      </c>
      <c r="LF32" s="10" t="str">
        <f t="shared" si="101"/>
        <v>*</v>
      </c>
      <c r="LG32" s="10"/>
      <c r="LH32" s="53">
        <v>577</v>
      </c>
      <c r="LI32" s="55">
        <v>3.8596918808503347</v>
      </c>
      <c r="LJ32" s="56">
        <v>4.4365371083337317E-2</v>
      </c>
      <c r="LK32" s="10">
        <f t="shared" si="102"/>
        <v>-0.46832388325142116</v>
      </c>
      <c r="LL32" s="10" t="str">
        <f t="shared" si="103"/>
        <v xml:space="preserve"> </v>
      </c>
      <c r="LM32" s="10"/>
      <c r="LN32" s="54">
        <v>572</v>
      </c>
      <c r="LO32" s="57">
        <v>3.7953110409377646</v>
      </c>
      <c r="LP32" s="58">
        <v>4.4543468279511667E-2</v>
      </c>
      <c r="LQ32" s="10">
        <f t="shared" si="104"/>
        <v>0.44996417094718594</v>
      </c>
      <c r="LR32" s="10" t="str">
        <f t="shared" si="128"/>
        <v xml:space="preserve"> </v>
      </c>
      <c r="LS32" s="114">
        <f t="shared" si="105"/>
        <v>3.1572737487561398E-2</v>
      </c>
      <c r="LT32" s="76"/>
      <c r="LU32" s="27">
        <v>159</v>
      </c>
      <c r="LV32" s="28">
        <v>4.0314465408805038</v>
      </c>
      <c r="LW32" s="29">
        <v>7.8032656729289454E-2</v>
      </c>
      <c r="LX32" s="10"/>
      <c r="LY32" s="42">
        <v>148</v>
      </c>
      <c r="LZ32" s="43">
        <v>4.0811133200724363</v>
      </c>
      <c r="MA32" s="67">
        <v>7.7580292961086747E-2</v>
      </c>
      <c r="MB32" s="10">
        <f t="shared" si="106"/>
        <v>-0.45137076376932472</v>
      </c>
      <c r="MC32" s="10" t="str">
        <f t="shared" si="107"/>
        <v xml:space="preserve"> </v>
      </c>
      <c r="MD32" s="114">
        <f t="shared" si="108"/>
        <v>-4.966677919193252E-2</v>
      </c>
      <c r="ME32" s="10"/>
      <c r="MF32" s="42">
        <v>176.55914927999967</v>
      </c>
      <c r="MG32" s="43">
        <v>4.1476049363982286</v>
      </c>
      <c r="MH32" s="67">
        <v>6.4548415889992078E-2</v>
      </c>
      <c r="MI32" s="10">
        <f t="shared" si="109"/>
        <v>-1.1470179256029251</v>
      </c>
      <c r="MJ32" s="10" t="str">
        <f t="shared" si="110"/>
        <v xml:space="preserve"> </v>
      </c>
      <c r="MK32" s="10"/>
      <c r="ML32" s="53">
        <v>421</v>
      </c>
      <c r="MM32" s="55">
        <v>3.9952494061757728</v>
      </c>
      <c r="MN32" s="56">
        <v>4.7996655922939883E-2</v>
      </c>
      <c r="MO32" s="10">
        <f t="shared" si="111"/>
        <v>0.39511308895175956</v>
      </c>
      <c r="MP32" s="10" t="str">
        <f t="shared" si="112"/>
        <v xml:space="preserve"> </v>
      </c>
      <c r="MQ32" s="10"/>
      <c r="MR32" s="54">
        <v>391</v>
      </c>
      <c r="MS32" s="57">
        <v>3.9999999999999991</v>
      </c>
      <c r="MT32" s="58">
        <v>4.9966892497761643E-2</v>
      </c>
      <c r="MU32" s="10">
        <f t="shared" si="113"/>
        <v>0.33937734964740368</v>
      </c>
      <c r="MV32" s="10" t="str">
        <f t="shared" si="114"/>
        <v xml:space="preserve"> </v>
      </c>
      <c r="MW32" s="114">
        <f t="shared" si="115"/>
        <v>3.1446540880504692E-2</v>
      </c>
      <c r="MX32" s="76"/>
      <c r="MY32" s="27">
        <v>174</v>
      </c>
      <c r="MZ32" s="28">
        <v>4.1262044524084063</v>
      </c>
      <c r="NA32" s="29">
        <v>7.1348804672770813E-2</v>
      </c>
      <c r="NB32" s="10"/>
      <c r="NC32" s="42">
        <v>121</v>
      </c>
      <c r="ND32" s="43">
        <v>4.273347409316111</v>
      </c>
      <c r="NE32" s="67">
        <v>8.1363339084973452E-2</v>
      </c>
      <c r="NF32" s="10">
        <f t="shared" si="116"/>
        <v>-1.3597187099077135</v>
      </c>
      <c r="NG32" s="10" t="str">
        <f t="shared" si="117"/>
        <v xml:space="preserve"> </v>
      </c>
      <c r="NH32" s="114">
        <f t="shared" si="118"/>
        <v>-0.14714295690770474</v>
      </c>
      <c r="NI32" s="10"/>
      <c r="NJ32" s="42">
        <v>112.64180991000002</v>
      </c>
      <c r="NK32" s="43">
        <v>4.2123706491320876</v>
      </c>
      <c r="NL32" s="67">
        <v>8.6172406909306484E-2</v>
      </c>
      <c r="NM32" s="10">
        <f t="shared" si="119"/>
        <v>-0.77019079485585296</v>
      </c>
      <c r="NN32" s="10" t="str">
        <f t="shared" si="120"/>
        <v xml:space="preserve"> </v>
      </c>
      <c r="NO32" s="10"/>
      <c r="NP32" s="53">
        <v>175</v>
      </c>
      <c r="NQ32" s="55">
        <v>4.0480652214442525</v>
      </c>
      <c r="NR32" s="56">
        <v>7.3575476194206485E-2</v>
      </c>
      <c r="NS32" s="10">
        <f t="shared" si="121"/>
        <v>0.76241550850734818</v>
      </c>
      <c r="NT32" s="10" t="str">
        <f t="shared" si="122"/>
        <v xml:space="preserve"> </v>
      </c>
      <c r="NU32" s="10"/>
      <c r="NV32" s="54">
        <v>190</v>
      </c>
      <c r="NW32" s="57">
        <v>4.0225051009222765</v>
      </c>
      <c r="NX32" s="58">
        <v>7.0584991675958692E-2</v>
      </c>
      <c r="NY32" s="10">
        <f t="shared" si="123"/>
        <v>1.0332345751669183</v>
      </c>
      <c r="NZ32" s="10" t="str">
        <f t="shared" si="129"/>
        <v xml:space="preserve"> </v>
      </c>
      <c r="OA32" s="114">
        <f t="shared" si="124"/>
        <v>0.10369935148612974</v>
      </c>
      <c r="OB32" s="58"/>
    </row>
    <row r="33" spans="1:392" x14ac:dyDescent="0.2">
      <c r="B33" s="65" t="s">
        <v>29</v>
      </c>
      <c r="C33" s="27">
        <v>349</v>
      </c>
      <c r="D33" s="28">
        <v>3.289521304911653</v>
      </c>
      <c r="E33" s="29">
        <v>6.710253683802693E-2</v>
      </c>
      <c r="F33" s="10"/>
      <c r="G33" s="42">
        <v>95</v>
      </c>
      <c r="H33" s="43">
        <v>2.8206795674574363</v>
      </c>
      <c r="I33" s="67">
        <v>0.13833942240137279</v>
      </c>
      <c r="J33" s="10">
        <f t="shared" si="1"/>
        <v>3.049281459362795</v>
      </c>
      <c r="K33" s="10" t="str">
        <f t="shared" si="2"/>
        <v>*</v>
      </c>
      <c r="L33" s="114">
        <f t="shared" si="3"/>
        <v>0.46884173745421664</v>
      </c>
      <c r="M33" s="10"/>
      <c r="N33" s="42">
        <v>112.29182604000009</v>
      </c>
      <c r="O33" s="43">
        <v>3.268518518518519</v>
      </c>
      <c r="P33" s="67">
        <v>9.959057257277662E-2</v>
      </c>
      <c r="Q33" s="10">
        <f t="shared" si="4"/>
        <v>0.17489554060488521</v>
      </c>
      <c r="R33" s="10" t="str">
        <f t="shared" si="5"/>
        <v xml:space="preserve"> </v>
      </c>
      <c r="S33" s="10"/>
      <c r="T33" s="53">
        <v>105</v>
      </c>
      <c r="U33" s="55">
        <v>3.2571428571428571</v>
      </c>
      <c r="V33" s="56">
        <v>0.11101266666791901</v>
      </c>
      <c r="W33" s="10">
        <f t="shared" si="6"/>
        <v>0.24960789730763172</v>
      </c>
      <c r="X33" s="10" t="str">
        <f t="shared" si="7"/>
        <v xml:space="preserve"> </v>
      </c>
      <c r="Y33" s="10"/>
      <c r="Z33" s="54">
        <v>151</v>
      </c>
      <c r="AA33" s="57">
        <v>2.9602649006622515</v>
      </c>
      <c r="AB33" s="58">
        <v>8.2861253920630415E-2</v>
      </c>
      <c r="AC33" s="10">
        <f t="shared" si="8"/>
        <v>3.0880057821620679</v>
      </c>
      <c r="AD33" s="10" t="str">
        <f t="shared" si="9"/>
        <v>*</v>
      </c>
      <c r="AE33" s="114">
        <f t="shared" si="10"/>
        <v>0.3292564042494015</v>
      </c>
      <c r="AF33" s="76"/>
      <c r="AG33" s="27">
        <v>78</v>
      </c>
      <c r="AH33" s="28">
        <v>3.4886074186093383</v>
      </c>
      <c r="AI33" s="29">
        <v>0.1186992940513656</v>
      </c>
      <c r="AJ33" s="67"/>
      <c r="AK33" s="42">
        <v>41</v>
      </c>
      <c r="AL33" s="43">
        <v>3.3660901008791133</v>
      </c>
      <c r="AM33" s="67">
        <v>0.18665345589141688</v>
      </c>
      <c r="AN33" s="10">
        <f t="shared" si="11"/>
        <v>0.55387805054005135</v>
      </c>
      <c r="AO33" s="10" t="str">
        <f t="shared" si="12"/>
        <v xml:space="preserve"> </v>
      </c>
      <c r="AP33" s="114">
        <f t="shared" si="13"/>
        <v>0.12251731773022501</v>
      </c>
      <c r="AQ33" s="67"/>
      <c r="AR33" s="42">
        <v>84.410128080000007</v>
      </c>
      <c r="AS33" s="43">
        <v>3.6111830420527897</v>
      </c>
      <c r="AT33" s="67">
        <v>8.9472811293270491E-2</v>
      </c>
      <c r="AU33" s="10">
        <f t="shared" si="14"/>
        <v>-0.82462790700063093</v>
      </c>
      <c r="AV33" s="10" t="str">
        <f t="shared" si="15"/>
        <v xml:space="preserve"> </v>
      </c>
      <c r="AW33" s="10"/>
      <c r="AX33" s="53">
        <v>105</v>
      </c>
      <c r="AY33" s="55">
        <v>3.4876271180943572</v>
      </c>
      <c r="AZ33" s="56">
        <v>0.11293240609406731</v>
      </c>
      <c r="BA33" s="10">
        <f t="shared" si="16"/>
        <v>5.9833123703794937E-3</v>
      </c>
      <c r="BB33" s="10" t="str">
        <f t="shared" si="17"/>
        <v xml:space="preserve"> </v>
      </c>
      <c r="BC33" s="10"/>
      <c r="BD33" s="54">
        <v>72</v>
      </c>
      <c r="BE33" s="57">
        <v>3.0720555252795587</v>
      </c>
      <c r="BF33" s="58">
        <v>0.11913835132554802</v>
      </c>
      <c r="BG33" s="10">
        <f t="shared" si="18"/>
        <v>2.4768674962103119</v>
      </c>
      <c r="BH33" s="10" t="str">
        <f t="shared" si="19"/>
        <v>*</v>
      </c>
      <c r="BI33" s="114">
        <f t="shared" si="20"/>
        <v>0.4165518933297796</v>
      </c>
      <c r="BJ33" s="76"/>
      <c r="BK33" s="27">
        <v>931</v>
      </c>
      <c r="BL33" s="28">
        <v>3.6193053957558834</v>
      </c>
      <c r="BM33" s="29">
        <v>3.6859986252267794E-2</v>
      </c>
      <c r="BN33" s="10"/>
      <c r="BO33" s="42">
        <v>291</v>
      </c>
      <c r="BP33" s="43">
        <v>3.5811346190965434</v>
      </c>
      <c r="BQ33" s="67">
        <v>6.6837814687841335E-2</v>
      </c>
      <c r="BR33" s="10">
        <f t="shared" si="21"/>
        <v>0.50008927805188041</v>
      </c>
      <c r="BS33" s="10" t="str">
        <f t="shared" si="22"/>
        <v xml:space="preserve"> </v>
      </c>
      <c r="BT33" s="114">
        <f t="shared" si="23"/>
        <v>3.8170776659339989E-2</v>
      </c>
      <c r="BU33" s="10"/>
      <c r="BV33" s="42">
        <v>334.50837281999924</v>
      </c>
      <c r="BW33" s="43">
        <v>3.9167519341736035</v>
      </c>
      <c r="BX33" s="67">
        <v>3.5111906192857319E-2</v>
      </c>
      <c r="BY33" s="10">
        <f t="shared" si="24"/>
        <v>-5.8429602509730261</v>
      </c>
      <c r="BZ33" s="10" t="str">
        <f t="shared" si="25"/>
        <v>*</v>
      </c>
      <c r="CA33" s="10"/>
      <c r="CB33" s="53">
        <v>332</v>
      </c>
      <c r="CC33" s="55">
        <v>4.0110244818248093</v>
      </c>
      <c r="CD33" s="56">
        <v>2.4044347628357433E-2</v>
      </c>
      <c r="CE33" s="10">
        <f t="shared" si="26"/>
        <v>-8.9008923953987633</v>
      </c>
      <c r="CF33" s="10" t="str">
        <f t="shared" si="27"/>
        <v>*</v>
      </c>
      <c r="CG33" s="10"/>
      <c r="CH33" s="54">
        <v>335</v>
      </c>
      <c r="CI33" s="57">
        <v>3.7207056438321446</v>
      </c>
      <c r="CJ33" s="58">
        <v>5.3164807768217789E-2</v>
      </c>
      <c r="CK33" s="10">
        <f t="shared" si="28"/>
        <v>-1.5674122069628555</v>
      </c>
      <c r="CL33" s="10" t="str">
        <f t="shared" si="29"/>
        <v xml:space="preserve"> </v>
      </c>
      <c r="CM33" s="114">
        <f t="shared" si="30"/>
        <v>-0.10140024807626125</v>
      </c>
      <c r="CN33" s="76"/>
      <c r="CO33" s="27">
        <v>532</v>
      </c>
      <c r="CP33" s="28">
        <v>3.7580222826199035</v>
      </c>
      <c r="CQ33" s="29">
        <v>4.7703711753063302E-2</v>
      </c>
      <c r="CR33" s="67"/>
      <c r="CS33" s="42">
        <v>179</v>
      </c>
      <c r="CT33" s="43">
        <v>3.771864328795806</v>
      </c>
      <c r="CU33" s="67">
        <v>8.6520242444047657E-2</v>
      </c>
      <c r="CV33" s="10">
        <f t="shared" si="31"/>
        <v>-0.14010199434416168</v>
      </c>
      <c r="CW33" s="10" t="str">
        <f t="shared" si="32"/>
        <v xml:space="preserve"> </v>
      </c>
      <c r="CX33" s="114">
        <f t="shared" si="33"/>
        <v>-1.3842046175902567E-2</v>
      </c>
      <c r="CY33" s="10"/>
      <c r="CZ33" s="42">
        <v>179.81062382999963</v>
      </c>
      <c r="DA33" s="43">
        <v>4.0203144185932729</v>
      </c>
      <c r="DB33" s="67">
        <v>6.9653934925978947E-2</v>
      </c>
      <c r="DC33" s="10">
        <f t="shared" si="34"/>
        <v>-3.1068644106448557</v>
      </c>
      <c r="DD33" s="10" t="str">
        <f t="shared" si="35"/>
        <v>*</v>
      </c>
      <c r="DE33" s="10"/>
      <c r="DF33" s="53">
        <v>153</v>
      </c>
      <c r="DG33" s="55">
        <v>3.921921435181583</v>
      </c>
      <c r="DH33" s="56">
        <v>8.2870236252920254E-2</v>
      </c>
      <c r="DI33" s="10">
        <f t="shared" si="36"/>
        <v>-1.7140737109186108</v>
      </c>
      <c r="DJ33" s="10" t="str">
        <f t="shared" si="0"/>
        <v xml:space="preserve"> </v>
      </c>
      <c r="DK33" s="10"/>
      <c r="DL33" s="54">
        <v>213</v>
      </c>
      <c r="DM33" s="57">
        <v>3.7490472350714321</v>
      </c>
      <c r="DN33" s="58">
        <v>6.4659968425539449E-2</v>
      </c>
      <c r="DO33" s="10">
        <f t="shared" si="37"/>
        <v>0.11169566275314895</v>
      </c>
      <c r="DP33" s="10" t="str">
        <f t="shared" si="38"/>
        <v xml:space="preserve"> </v>
      </c>
      <c r="DQ33" s="114">
        <f t="shared" si="39"/>
        <v>8.9750475484713377E-3</v>
      </c>
      <c r="DR33" s="76"/>
      <c r="DS33" s="27">
        <v>166</v>
      </c>
      <c r="DT33" s="28">
        <v>3.202832285992725</v>
      </c>
      <c r="DU33" s="29">
        <v>9.5316430153405587E-2</v>
      </c>
      <c r="DV33" s="10"/>
      <c r="DW33" s="42">
        <v>68</v>
      </c>
      <c r="DX33" s="43">
        <v>2.8388078095846012</v>
      </c>
      <c r="DY33" s="67">
        <v>0.15365474926214071</v>
      </c>
      <c r="DZ33" s="10">
        <f t="shared" si="40"/>
        <v>2.0132137578464868</v>
      </c>
      <c r="EA33" s="10" t="str">
        <f t="shared" si="41"/>
        <v>*</v>
      </c>
      <c r="EB33" s="114">
        <f t="shared" si="42"/>
        <v>0.36402447640812374</v>
      </c>
      <c r="EC33" s="10"/>
      <c r="ED33" s="42">
        <v>81.519092250000028</v>
      </c>
      <c r="EE33" s="43">
        <v>3.2361267121445416</v>
      </c>
      <c r="EF33" s="67">
        <v>0.12753470129694477</v>
      </c>
      <c r="EG33" s="10">
        <f t="shared" si="43"/>
        <v>-0.20911240402720715</v>
      </c>
      <c r="EH33" s="10" t="str">
        <f t="shared" si="44"/>
        <v xml:space="preserve"> </v>
      </c>
      <c r="EI33" s="10"/>
      <c r="EJ33" s="53">
        <v>70</v>
      </c>
      <c r="EK33" s="55">
        <v>2.8041306926679681</v>
      </c>
      <c r="EL33" s="56">
        <v>0.13833924310926388</v>
      </c>
      <c r="EM33" s="10">
        <f t="shared" si="45"/>
        <v>2.373267157266064</v>
      </c>
      <c r="EN33" s="10" t="str">
        <f t="shared" si="46"/>
        <v>*</v>
      </c>
      <c r="EO33" s="10"/>
      <c r="EP33" s="54">
        <v>53</v>
      </c>
      <c r="EQ33" s="57">
        <v>3.0754716981132084</v>
      </c>
      <c r="ER33" s="58">
        <v>0.15074467547121076</v>
      </c>
      <c r="ES33" s="10">
        <f t="shared" si="47"/>
        <v>0.71409965745492276</v>
      </c>
      <c r="ET33" s="10" t="str">
        <f t="shared" si="48"/>
        <v xml:space="preserve"> </v>
      </c>
      <c r="EU33" s="114">
        <f t="shared" si="49"/>
        <v>0.12736058787951654</v>
      </c>
      <c r="EV33" s="76"/>
      <c r="EW33" s="27">
        <v>373</v>
      </c>
      <c r="EX33" s="28">
        <v>3.7221463255736356</v>
      </c>
      <c r="EY33" s="29">
        <v>5.7927436460235113E-2</v>
      </c>
      <c r="EZ33" s="10"/>
      <c r="FA33" s="42">
        <v>117</v>
      </c>
      <c r="FB33" s="43">
        <v>3.7177792348268879</v>
      </c>
      <c r="FC33" s="67">
        <v>9.6180398596741379E-2</v>
      </c>
      <c r="FD33" s="10">
        <f t="shared" si="50"/>
        <v>3.8895480296224659E-2</v>
      </c>
      <c r="FE33" s="10" t="str">
        <f t="shared" si="51"/>
        <v xml:space="preserve"> </v>
      </c>
      <c r="FF33" s="114">
        <f t="shared" si="52"/>
        <v>4.3670907467476816E-3</v>
      </c>
      <c r="FG33" s="10"/>
      <c r="FH33" s="42">
        <v>144.9681017399999</v>
      </c>
      <c r="FI33" s="43">
        <v>3.4973811053918542</v>
      </c>
      <c r="FJ33" s="67">
        <v>7.2923743711675218E-2</v>
      </c>
      <c r="FK33" s="10">
        <f t="shared" si="53"/>
        <v>2.4134200297519772</v>
      </c>
      <c r="FL33" s="10" t="str">
        <f t="shared" si="54"/>
        <v>*</v>
      </c>
      <c r="FM33" s="10"/>
      <c r="FN33" s="53">
        <v>123</v>
      </c>
      <c r="FO33" s="55">
        <v>3.586442430086191</v>
      </c>
      <c r="FP33" s="56">
        <v>8.8788421373866611E-2</v>
      </c>
      <c r="FQ33" s="10">
        <f t="shared" si="55"/>
        <v>1.2800561675333761</v>
      </c>
      <c r="FR33" s="10" t="str">
        <f t="shared" si="56"/>
        <v xml:space="preserve"> </v>
      </c>
      <c r="FS33" s="10"/>
      <c r="FT33" s="54">
        <v>156</v>
      </c>
      <c r="FU33" s="57">
        <v>3.229449287915386</v>
      </c>
      <c r="FV33" s="58">
        <v>6.844858238057476E-2</v>
      </c>
      <c r="FW33" s="10">
        <f t="shared" si="57"/>
        <v>5.4945283728083298</v>
      </c>
      <c r="FX33" s="10" t="str">
        <f t="shared" si="125"/>
        <v>*</v>
      </c>
      <c r="FY33" s="114">
        <f t="shared" si="58"/>
        <v>0.49269703765824957</v>
      </c>
      <c r="FZ33" s="76"/>
      <c r="GA33" s="27">
        <v>155</v>
      </c>
      <c r="GB33" s="28">
        <v>3.0966653815061425</v>
      </c>
      <c r="GC33" s="29">
        <v>9.9115532285024011E-2</v>
      </c>
      <c r="GD33" s="67"/>
      <c r="GE33" s="42">
        <v>123</v>
      </c>
      <c r="GF33" s="43">
        <v>3.3015323483774401</v>
      </c>
      <c r="GG33" s="67">
        <v>0.11448145527106611</v>
      </c>
      <c r="GH33" s="10">
        <f t="shared" si="59"/>
        <v>-1.3529163017322055</v>
      </c>
      <c r="GI33" s="10" t="str">
        <f t="shared" si="60"/>
        <v xml:space="preserve"> </v>
      </c>
      <c r="GJ33" s="114">
        <f t="shared" si="61"/>
        <v>-0.20486696687129768</v>
      </c>
      <c r="GK33" s="67"/>
      <c r="GL33" s="42">
        <v>136.43983407999991</v>
      </c>
      <c r="GM33" s="43">
        <v>3.379781522891748</v>
      </c>
      <c r="GN33" s="67">
        <v>0.10432900707911996</v>
      </c>
      <c r="GO33" s="10">
        <f t="shared" si="62"/>
        <v>-1.9673926232838912</v>
      </c>
      <c r="GP33" s="10" t="str">
        <f t="shared" si="63"/>
        <v>*</v>
      </c>
      <c r="GQ33" s="10"/>
      <c r="GR33" s="53">
        <v>171</v>
      </c>
      <c r="GS33" s="55">
        <v>3.0855460522723011</v>
      </c>
      <c r="GT33" s="56">
        <v>0.10082609305432343</v>
      </c>
      <c r="GU33" s="10">
        <f t="shared" si="64"/>
        <v>7.8645608320310728E-2</v>
      </c>
      <c r="GV33" s="10" t="str">
        <f t="shared" si="65"/>
        <v xml:space="preserve"> </v>
      </c>
      <c r="GW33" s="10"/>
      <c r="GX33" s="54">
        <v>137</v>
      </c>
      <c r="GY33" s="57">
        <v>3.2625411936698296</v>
      </c>
      <c r="GZ33" s="58">
        <v>0.10511329263127164</v>
      </c>
      <c r="HA33" s="10">
        <f t="shared" si="66"/>
        <v>-1.1481372814467874</v>
      </c>
      <c r="HB33" s="10" t="str">
        <f t="shared" si="126"/>
        <v xml:space="preserve"> </v>
      </c>
      <c r="HC33" s="114">
        <f t="shared" si="67"/>
        <v>-0.16587581216368719</v>
      </c>
      <c r="HD33" s="76"/>
      <c r="HE33" s="27">
        <v>153</v>
      </c>
      <c r="HF33" s="28">
        <v>3.1390256826249261</v>
      </c>
      <c r="HG33" s="29">
        <v>0.10041207206803085</v>
      </c>
      <c r="HH33" s="10"/>
      <c r="HI33" s="42">
        <v>95</v>
      </c>
      <c r="HJ33" s="43">
        <v>3.1531678916988266</v>
      </c>
      <c r="HK33" s="67">
        <v>0.13444176002356306</v>
      </c>
      <c r="HL33" s="10">
        <f t="shared" si="68"/>
        <v>-8.4279653967968382E-2</v>
      </c>
      <c r="HM33" s="10" t="str">
        <f t="shared" si="69"/>
        <v xml:space="preserve"> </v>
      </c>
      <c r="HN33" s="114">
        <f t="shared" si="70"/>
        <v>-1.4142209073900514E-2</v>
      </c>
      <c r="HO33" s="10"/>
      <c r="HP33" s="42">
        <v>91.545438269999934</v>
      </c>
      <c r="HQ33" s="43">
        <v>3.0600967803963521</v>
      </c>
      <c r="HR33" s="67">
        <v>0.13809431488584042</v>
      </c>
      <c r="HS33" s="10">
        <f t="shared" si="71"/>
        <v>0.46227162519756587</v>
      </c>
      <c r="HT33" s="10" t="str">
        <f t="shared" si="72"/>
        <v xml:space="preserve"> </v>
      </c>
      <c r="HU33" s="10"/>
      <c r="HV33" s="53">
        <v>65</v>
      </c>
      <c r="HW33" s="55">
        <v>3.5033915987875646</v>
      </c>
      <c r="HX33" s="56">
        <v>0.12055292678638091</v>
      </c>
      <c r="HY33" s="10">
        <f t="shared" si="73"/>
        <v>-2.3223763451306993</v>
      </c>
      <c r="HZ33" s="10" t="str">
        <f t="shared" si="74"/>
        <v>*</v>
      </c>
      <c r="IA33" s="10"/>
      <c r="IB33" s="54">
        <v>107</v>
      </c>
      <c r="IC33" s="57">
        <v>3.309283309406867</v>
      </c>
      <c r="ID33" s="58">
        <v>0.11608411496278864</v>
      </c>
      <c r="IE33" s="10">
        <f t="shared" si="75"/>
        <v>-1.1092677581737853</v>
      </c>
      <c r="IF33" s="10" t="str">
        <f t="shared" si="127"/>
        <v xml:space="preserve"> </v>
      </c>
      <c r="IG33" s="114">
        <f t="shared" si="76"/>
        <v>-0.1702576267819409</v>
      </c>
      <c r="IH33" s="76"/>
      <c r="II33" s="27">
        <v>458</v>
      </c>
      <c r="IJ33" s="28">
        <v>3.8161596147432841</v>
      </c>
      <c r="IK33" s="29">
        <v>5.2044751650581741E-2</v>
      </c>
      <c r="IL33" s="10"/>
      <c r="IM33" s="42">
        <v>333</v>
      </c>
      <c r="IN33" s="43">
        <v>3.6454958838353444</v>
      </c>
      <c r="IO33" s="67">
        <v>6.5458193586432595E-2</v>
      </c>
      <c r="IP33" s="10">
        <f t="shared" si="77"/>
        <v>2.0407794840916531</v>
      </c>
      <c r="IQ33" s="10" t="str">
        <f t="shared" si="78"/>
        <v>*</v>
      </c>
      <c r="IR33" s="114">
        <f t="shared" si="79"/>
        <v>0.17066373090793974</v>
      </c>
      <c r="IS33" s="10"/>
      <c r="IT33" s="42">
        <v>310.33227129000085</v>
      </c>
      <c r="IU33" s="43">
        <v>3.7867009779716283</v>
      </c>
      <c r="IV33" s="67">
        <v>6.2169173162205098E-2</v>
      </c>
      <c r="IW33" s="10">
        <f t="shared" si="80"/>
        <v>0.36333643590860037</v>
      </c>
      <c r="IX33" s="10" t="str">
        <f t="shared" si="81"/>
        <v xml:space="preserve"> </v>
      </c>
      <c r="IY33" s="10"/>
      <c r="IZ33" s="53">
        <v>309</v>
      </c>
      <c r="JA33" s="55">
        <v>3.9336875368398907</v>
      </c>
      <c r="JB33" s="56">
        <v>6.1390387623338261E-2</v>
      </c>
      <c r="JC33" s="10">
        <f t="shared" si="82"/>
        <v>-1.460291297237811</v>
      </c>
      <c r="JD33" s="10" t="str">
        <f t="shared" si="83"/>
        <v xml:space="preserve"> </v>
      </c>
      <c r="JE33" s="10"/>
      <c r="JF33" s="54">
        <v>330</v>
      </c>
      <c r="JG33" s="57">
        <v>3.8361642989220064</v>
      </c>
      <c r="JH33" s="58">
        <v>6.1211011134756667E-2</v>
      </c>
      <c r="JI33" s="10">
        <f t="shared" si="84"/>
        <v>-0.24898239399461472</v>
      </c>
      <c r="JJ33" s="10" t="str">
        <f t="shared" si="85"/>
        <v xml:space="preserve"> </v>
      </c>
      <c r="JK33" s="114">
        <f t="shared" si="86"/>
        <v>-2.0004684178722254E-2</v>
      </c>
      <c r="JL33" s="76"/>
      <c r="JM33" s="27">
        <v>33</v>
      </c>
      <c r="JN33" s="28">
        <v>3.6363636363636371</v>
      </c>
      <c r="JO33" s="29">
        <v>0.21689700645826218</v>
      </c>
      <c r="JP33" s="10"/>
      <c r="JQ33" s="42">
        <v>24</v>
      </c>
      <c r="JR33" s="43">
        <v>3.1685761043261542</v>
      </c>
      <c r="JS33" s="67">
        <v>0.29293467233427772</v>
      </c>
      <c r="JT33" s="10" t="str">
        <f t="shared" si="87"/>
        <v>NV</v>
      </c>
      <c r="JU33" s="10" t="str">
        <f t="shared" si="88"/>
        <v xml:space="preserve"> </v>
      </c>
      <c r="JV33" s="114">
        <f t="shared" si="89"/>
        <v>0.46778753203748291</v>
      </c>
      <c r="JW33" s="10"/>
      <c r="JX33" s="42">
        <v>26.733223530000004</v>
      </c>
      <c r="JY33" s="43">
        <v>3.7037037037037037</v>
      </c>
      <c r="JZ33" s="67">
        <v>0.2725966575855609</v>
      </c>
      <c r="KA33" s="10" t="str">
        <f t="shared" si="90"/>
        <v>NV</v>
      </c>
      <c r="KB33" s="10" t="str">
        <f t="shared" si="91"/>
        <v xml:space="preserve"> </v>
      </c>
      <c r="KC33" s="10"/>
      <c r="KD33" s="53">
        <v>25</v>
      </c>
      <c r="KE33" s="55">
        <v>2.92</v>
      </c>
      <c r="KF33" s="56">
        <v>0.25417931452859988</v>
      </c>
      <c r="KG33" s="10" t="str">
        <f t="shared" si="92"/>
        <v>NV</v>
      </c>
      <c r="KH33" s="10" t="str">
        <f t="shared" si="93"/>
        <v xml:space="preserve"> </v>
      </c>
      <c r="KI33" s="10"/>
      <c r="KJ33" s="54">
        <v>43</v>
      </c>
      <c r="KK33" s="57">
        <v>2.8837209302325579</v>
      </c>
      <c r="KL33" s="58">
        <v>0.21005792597765358</v>
      </c>
      <c r="KM33" s="10">
        <f t="shared" si="94"/>
        <v>2.4926775961658802</v>
      </c>
      <c r="KN33" s="10" t="str">
        <f t="shared" si="95"/>
        <v>*</v>
      </c>
      <c r="KO33" s="114">
        <f t="shared" si="96"/>
        <v>0.7526427061310792</v>
      </c>
      <c r="KP33" s="76"/>
      <c r="KQ33" s="27">
        <v>390</v>
      </c>
      <c r="KR33" s="28">
        <v>2.9585499046657731</v>
      </c>
      <c r="KS33" s="29">
        <v>6.6412675339074412E-2</v>
      </c>
      <c r="KT33" s="10"/>
      <c r="KU33" s="42">
        <v>242</v>
      </c>
      <c r="KV33" s="43">
        <v>2.7320399381669258</v>
      </c>
      <c r="KW33" s="67">
        <v>8.5438403713718372E-2</v>
      </c>
      <c r="KX33" s="10">
        <f t="shared" si="97"/>
        <v>2.0931584892846469</v>
      </c>
      <c r="KY33" s="10" t="str">
        <f t="shared" si="98"/>
        <v>*</v>
      </c>
      <c r="KZ33" s="114">
        <f t="shared" si="99"/>
        <v>0.22650996649884725</v>
      </c>
      <c r="LA33" s="10"/>
      <c r="LB33" s="42">
        <v>264.72944648999913</v>
      </c>
      <c r="LC33" s="43">
        <v>3.1286900829571564</v>
      </c>
      <c r="LD33" s="67">
        <v>7.6429788098215018E-2</v>
      </c>
      <c r="LE33" s="10">
        <f t="shared" si="100"/>
        <v>-1.6803481863549692</v>
      </c>
      <c r="LF33" s="10" t="str">
        <f t="shared" si="101"/>
        <v xml:space="preserve"> </v>
      </c>
      <c r="LG33" s="10"/>
      <c r="LH33" s="53">
        <v>531</v>
      </c>
      <c r="LI33" s="55">
        <v>2.8655823724858198</v>
      </c>
      <c r="LJ33" s="56">
        <v>5.7084406861109147E-2</v>
      </c>
      <c r="LK33" s="10">
        <f t="shared" si="102"/>
        <v>1.0615836115977741</v>
      </c>
      <c r="LL33" s="10" t="str">
        <f t="shared" si="103"/>
        <v xml:space="preserve"> </v>
      </c>
      <c r="LM33" s="10"/>
      <c r="LN33" s="54">
        <v>541</v>
      </c>
      <c r="LO33" s="57">
        <v>2.881435503520676</v>
      </c>
      <c r="LP33" s="58">
        <v>5.5411601623006498E-2</v>
      </c>
      <c r="LQ33" s="10">
        <f t="shared" si="104"/>
        <v>0.89156513813435234</v>
      </c>
      <c r="LR33" s="10" t="str">
        <f t="shared" si="128"/>
        <v xml:space="preserve"> </v>
      </c>
      <c r="LS33" s="114">
        <f t="shared" si="105"/>
        <v>7.7114401145097045E-2</v>
      </c>
      <c r="LT33" s="76"/>
      <c r="LU33" s="27">
        <v>145</v>
      </c>
      <c r="LV33" s="28">
        <v>3.5518313205701944</v>
      </c>
      <c r="LW33" s="29">
        <v>0.10899546191105482</v>
      </c>
      <c r="LX33" s="10"/>
      <c r="LY33" s="42">
        <v>159</v>
      </c>
      <c r="LZ33" s="43">
        <v>3.5661238588510455</v>
      </c>
      <c r="MA33" s="67">
        <v>9.5442315346271206E-2</v>
      </c>
      <c r="MB33" s="10">
        <f t="shared" si="106"/>
        <v>-9.8653146721870699E-2</v>
      </c>
      <c r="MC33" s="10" t="str">
        <f t="shared" si="107"/>
        <v xml:space="preserve"> </v>
      </c>
      <c r="MD33" s="114">
        <f t="shared" si="108"/>
        <v>-1.4292538280851197E-2</v>
      </c>
      <c r="ME33" s="10"/>
      <c r="MF33" s="42">
        <v>157.74688086999987</v>
      </c>
      <c r="MG33" s="43">
        <v>3.768772172870666</v>
      </c>
      <c r="MH33" s="67">
        <v>8.7372243716608539E-2</v>
      </c>
      <c r="MI33" s="10">
        <f t="shared" si="109"/>
        <v>-1.5529915239327137</v>
      </c>
      <c r="MJ33" s="10" t="str">
        <f t="shared" si="110"/>
        <v xml:space="preserve"> </v>
      </c>
      <c r="MK33" s="10"/>
      <c r="ML33" s="53">
        <v>395</v>
      </c>
      <c r="MM33" s="55">
        <v>3.6303797468354428</v>
      </c>
      <c r="MN33" s="56">
        <v>5.6768603084260003E-2</v>
      </c>
      <c r="MO33" s="10">
        <f t="shared" si="111"/>
        <v>-0.63916120364936424</v>
      </c>
      <c r="MP33" s="10" t="str">
        <f t="shared" si="112"/>
        <v xml:space="preserve"> </v>
      </c>
      <c r="MQ33" s="10"/>
      <c r="MR33" s="54">
        <v>391</v>
      </c>
      <c r="MS33" s="57">
        <v>3.6569667574695375</v>
      </c>
      <c r="MT33" s="58">
        <v>5.9995384752119178E-2</v>
      </c>
      <c r="MU33" s="10">
        <f t="shared" si="113"/>
        <v>-0.84502832004330897</v>
      </c>
      <c r="MV33" s="10" t="str">
        <f t="shared" si="114"/>
        <v xml:space="preserve"> </v>
      </c>
      <c r="MW33" s="114">
        <f t="shared" si="115"/>
        <v>-0.10513543689934313</v>
      </c>
      <c r="MX33" s="76"/>
      <c r="MY33" s="27">
        <v>169</v>
      </c>
      <c r="MZ33" s="28">
        <v>3.6031028271566004</v>
      </c>
      <c r="NA33" s="29">
        <v>8.4446042662630061E-2</v>
      </c>
      <c r="NB33" s="10"/>
      <c r="NC33" s="42">
        <v>113</v>
      </c>
      <c r="ND33" s="43">
        <v>3.7162232656491225</v>
      </c>
      <c r="NE33" s="67">
        <v>0.11898465487595407</v>
      </c>
      <c r="NF33" s="10">
        <f t="shared" si="116"/>
        <v>-0.77529811913172475</v>
      </c>
      <c r="NG33" s="10" t="str">
        <f t="shared" si="117"/>
        <v xml:space="preserve"> </v>
      </c>
      <c r="NH33" s="114">
        <f t="shared" si="118"/>
        <v>-0.11312043849252218</v>
      </c>
      <c r="NI33" s="10"/>
      <c r="NJ33" s="42">
        <v>100.95575197000001</v>
      </c>
      <c r="NK33" s="43">
        <v>3.7520254536122004</v>
      </c>
      <c r="NL33" s="67">
        <v>0.10893334793291756</v>
      </c>
      <c r="NM33" s="10">
        <f t="shared" si="119"/>
        <v>-1.0804662888748284</v>
      </c>
      <c r="NN33" s="10" t="str">
        <f t="shared" si="120"/>
        <v xml:space="preserve"> </v>
      </c>
      <c r="NO33" s="10"/>
      <c r="NP33" s="53">
        <v>160</v>
      </c>
      <c r="NQ33" s="55">
        <v>3.6014841969678821</v>
      </c>
      <c r="NR33" s="56">
        <v>9.1870074293392792E-2</v>
      </c>
      <c r="NS33" s="10">
        <f t="shared" si="121"/>
        <v>1.2971373708212596E-2</v>
      </c>
      <c r="NT33" s="10" t="str">
        <f t="shared" si="122"/>
        <v xml:space="preserve"> </v>
      </c>
      <c r="NU33" s="10"/>
      <c r="NV33" s="54">
        <v>172</v>
      </c>
      <c r="NW33" s="57">
        <v>3.5204458356877493</v>
      </c>
      <c r="NX33" s="58">
        <v>8.141730402413079E-2</v>
      </c>
      <c r="NY33" s="10">
        <f t="shared" si="123"/>
        <v>0.70464726937329092</v>
      </c>
      <c r="NZ33" s="10" t="str">
        <f t="shared" si="129"/>
        <v xml:space="preserve"> </v>
      </c>
      <c r="OA33" s="114">
        <f t="shared" si="124"/>
        <v>8.2656991468851082E-2</v>
      </c>
      <c r="OB33" s="58"/>
    </row>
    <row r="34" spans="1:392" x14ac:dyDescent="0.2">
      <c r="B34" s="65" t="s">
        <v>30</v>
      </c>
      <c r="C34" s="27">
        <v>338</v>
      </c>
      <c r="D34" s="28">
        <v>2.7162058633841242</v>
      </c>
      <c r="E34" s="29">
        <v>7.4724623333032064E-2</v>
      </c>
      <c r="F34" s="10"/>
      <c r="G34" s="42">
        <v>98</v>
      </c>
      <c r="H34" s="43">
        <v>2.4593317255248697</v>
      </c>
      <c r="I34" s="67">
        <v>0.12858151317533292</v>
      </c>
      <c r="J34" s="10">
        <f t="shared" si="1"/>
        <v>1.7272592193733882</v>
      </c>
      <c r="K34" s="10" t="str">
        <f t="shared" si="2"/>
        <v xml:space="preserve"> </v>
      </c>
      <c r="L34" s="114">
        <f t="shared" si="3"/>
        <v>0.2568741378592545</v>
      </c>
      <c r="M34" s="10"/>
      <c r="N34" s="42">
        <v>111.25208691000009</v>
      </c>
      <c r="O34" s="43">
        <v>2.3177570093457942</v>
      </c>
      <c r="P34" s="67">
        <v>9.8817507331068227E-2</v>
      </c>
      <c r="Q34" s="10">
        <f t="shared" si="4"/>
        <v>3.2161568482997045</v>
      </c>
      <c r="R34" s="10" t="str">
        <f t="shared" si="5"/>
        <v>*</v>
      </c>
      <c r="S34" s="10"/>
      <c r="T34" s="53">
        <v>103</v>
      </c>
      <c r="U34" s="55">
        <v>2.5242718446601939</v>
      </c>
      <c r="V34" s="56">
        <v>0.11156154422018771</v>
      </c>
      <c r="W34" s="10">
        <f t="shared" si="6"/>
        <v>1.4294110484137283</v>
      </c>
      <c r="X34" s="10" t="str">
        <f t="shared" si="7"/>
        <v xml:space="preserve"> </v>
      </c>
      <c r="Y34" s="10"/>
      <c r="Z34" s="54">
        <v>143</v>
      </c>
      <c r="AA34" s="57">
        <v>2.5664335664335653</v>
      </c>
      <c r="AB34" s="58">
        <v>8.7352782191307238E-2</v>
      </c>
      <c r="AC34" s="10">
        <f t="shared" si="8"/>
        <v>1.3028960653204553</v>
      </c>
      <c r="AD34" s="10" t="str">
        <f t="shared" si="9"/>
        <v xml:space="preserve"> </v>
      </c>
      <c r="AE34" s="114">
        <f t="shared" si="10"/>
        <v>0.14977229695055883</v>
      </c>
      <c r="AF34" s="76"/>
      <c r="AG34" s="27">
        <v>81</v>
      </c>
      <c r="AH34" s="28">
        <v>2.988325018221071</v>
      </c>
      <c r="AI34" s="29">
        <v>0.13005041982013832</v>
      </c>
      <c r="AJ34" s="67"/>
      <c r="AK34" s="42">
        <v>41</v>
      </c>
      <c r="AL34" s="43">
        <v>2.5857441614065815</v>
      </c>
      <c r="AM34" s="67">
        <v>0.2028403807891796</v>
      </c>
      <c r="AN34" s="10">
        <f t="shared" si="11"/>
        <v>1.6708004502038274</v>
      </c>
      <c r="AO34" s="10" t="str">
        <f t="shared" si="12"/>
        <v xml:space="preserve"> </v>
      </c>
      <c r="AP34" s="114">
        <f t="shared" si="13"/>
        <v>0.40258085681448952</v>
      </c>
      <c r="AQ34" s="67"/>
      <c r="AR34" s="42">
        <v>85.365499170000007</v>
      </c>
      <c r="AS34" s="43">
        <v>2.6125695548955115</v>
      </c>
      <c r="AT34" s="67">
        <v>0.12065262012227175</v>
      </c>
      <c r="AU34" s="10">
        <f t="shared" si="14"/>
        <v>2.118145472892949</v>
      </c>
      <c r="AV34" s="10" t="str">
        <f t="shared" si="15"/>
        <v>*</v>
      </c>
      <c r="AW34" s="10"/>
      <c r="AX34" s="53">
        <v>101</v>
      </c>
      <c r="AY34" s="55">
        <v>2.590282800766063</v>
      </c>
      <c r="AZ34" s="56">
        <v>0.10963824584331487</v>
      </c>
      <c r="BA34" s="10">
        <f t="shared" si="16"/>
        <v>2.3400625984589256</v>
      </c>
      <c r="BB34" s="10" t="str">
        <f t="shared" si="17"/>
        <v>*</v>
      </c>
      <c r="BC34" s="10"/>
      <c r="BD34" s="54">
        <v>70</v>
      </c>
      <c r="BE34" s="57">
        <v>2.1544463753559504</v>
      </c>
      <c r="BF34" s="58">
        <v>0.10802472641950198</v>
      </c>
      <c r="BG34" s="10">
        <f t="shared" si="18"/>
        <v>4.9323410697403425</v>
      </c>
      <c r="BH34" s="10" t="str">
        <f t="shared" si="19"/>
        <v>*</v>
      </c>
      <c r="BI34" s="114">
        <f t="shared" si="20"/>
        <v>0.83387864286512059</v>
      </c>
      <c r="BJ34" s="76"/>
      <c r="BK34" s="27">
        <v>905</v>
      </c>
      <c r="BL34" s="28">
        <v>2.8356179096788345</v>
      </c>
      <c r="BM34" s="29">
        <v>4.2362147508870678E-2</v>
      </c>
      <c r="BN34" s="10"/>
      <c r="BO34" s="42">
        <v>283</v>
      </c>
      <c r="BP34" s="43">
        <v>2.8367214793795386</v>
      </c>
      <c r="BQ34" s="67">
        <v>7.0697045257907487E-2</v>
      </c>
      <c r="BR34" s="10">
        <f t="shared" si="21"/>
        <v>-1.3390012686224155E-2</v>
      </c>
      <c r="BS34" s="10" t="str">
        <f t="shared" si="22"/>
        <v xml:space="preserve"> </v>
      </c>
      <c r="BT34" s="114">
        <f t="shared" si="23"/>
        <v>-1.1035697007040213E-3</v>
      </c>
      <c r="BU34" s="10"/>
      <c r="BV34" s="42">
        <v>328.35430607999928</v>
      </c>
      <c r="BW34" s="43">
        <v>2.446040758711161</v>
      </c>
      <c r="BX34" s="67">
        <v>4.2880002603001455E-2</v>
      </c>
      <c r="BY34" s="10">
        <f t="shared" si="24"/>
        <v>6.4631772333607884</v>
      </c>
      <c r="BZ34" s="10" t="str">
        <f t="shared" si="25"/>
        <v>*</v>
      </c>
      <c r="CA34" s="10"/>
      <c r="CB34" s="53">
        <v>330</v>
      </c>
      <c r="CC34" s="55">
        <v>2.3554088991534345</v>
      </c>
      <c r="CD34" s="56">
        <v>4.0281208535855012E-2</v>
      </c>
      <c r="CE34" s="10">
        <f t="shared" si="26"/>
        <v>8.2148516604451487</v>
      </c>
      <c r="CF34" s="10" t="str">
        <f t="shared" si="27"/>
        <v>*</v>
      </c>
      <c r="CG34" s="10"/>
      <c r="CH34" s="54">
        <v>329</v>
      </c>
      <c r="CI34" s="57">
        <v>2.6852787293412117</v>
      </c>
      <c r="CJ34" s="58">
        <v>6.2423716659708292E-2</v>
      </c>
      <c r="CK34" s="10">
        <f t="shared" si="28"/>
        <v>1.9928174123469298</v>
      </c>
      <c r="CL34" s="10" t="str">
        <f t="shared" si="29"/>
        <v>*</v>
      </c>
      <c r="CM34" s="114">
        <f t="shared" si="30"/>
        <v>0.15033918033762284</v>
      </c>
      <c r="CN34" s="76"/>
      <c r="CO34" s="27">
        <v>520</v>
      </c>
      <c r="CP34" s="28">
        <v>3.028651139440806</v>
      </c>
      <c r="CQ34" s="29">
        <v>5.373733855806774E-2</v>
      </c>
      <c r="CR34" s="67"/>
      <c r="CS34" s="42">
        <v>186</v>
      </c>
      <c r="CT34" s="43">
        <v>3.0269873782316359</v>
      </c>
      <c r="CU34" s="67">
        <v>9.5190197824942369E-2</v>
      </c>
      <c r="CV34" s="10">
        <f t="shared" si="31"/>
        <v>1.5220449543578068E-2</v>
      </c>
      <c r="CW34" s="10" t="str">
        <f t="shared" si="32"/>
        <v xml:space="preserve"> </v>
      </c>
      <c r="CX34" s="114">
        <f t="shared" si="33"/>
        <v>1.6637612091701115E-3</v>
      </c>
      <c r="CY34" s="10"/>
      <c r="CZ34" s="42">
        <v>182.67673709999963</v>
      </c>
      <c r="DA34" s="43">
        <v>3.1645839920139451</v>
      </c>
      <c r="DB34" s="67">
        <v>7.8875351541709715E-2</v>
      </c>
      <c r="DC34" s="10">
        <f t="shared" si="34"/>
        <v>-1.4242575819679804</v>
      </c>
      <c r="DD34" s="10" t="str">
        <f t="shared" si="35"/>
        <v xml:space="preserve"> </v>
      </c>
      <c r="DE34" s="10"/>
      <c r="DF34" s="53">
        <v>158</v>
      </c>
      <c r="DG34" s="55">
        <v>3.2479393687603868</v>
      </c>
      <c r="DH34" s="56">
        <v>9.9697643530139921E-2</v>
      </c>
      <c r="DI34" s="10">
        <f t="shared" si="36"/>
        <v>-1.9361871245227196</v>
      </c>
      <c r="DJ34" s="10" t="str">
        <f t="shared" si="0"/>
        <v xml:space="preserve"> </v>
      </c>
      <c r="DK34" s="10"/>
      <c r="DL34" s="54">
        <v>211</v>
      </c>
      <c r="DM34" s="57">
        <v>2.7667339736768137</v>
      </c>
      <c r="DN34" s="58">
        <v>7.5420895358213155E-2</v>
      </c>
      <c r="DO34" s="10">
        <f t="shared" si="37"/>
        <v>2.8282724746680254</v>
      </c>
      <c r="DP34" s="10" t="str">
        <f t="shared" si="38"/>
        <v>*</v>
      </c>
      <c r="DQ34" s="114">
        <f t="shared" si="39"/>
        <v>0.26191716576399227</v>
      </c>
      <c r="DR34" s="76"/>
      <c r="DS34" s="27">
        <v>167</v>
      </c>
      <c r="DT34" s="28">
        <v>2.8101825531367766</v>
      </c>
      <c r="DU34" s="29">
        <v>0.10138100960851559</v>
      </c>
      <c r="DV34" s="10"/>
      <c r="DW34" s="42">
        <v>66</v>
      </c>
      <c r="DX34" s="43">
        <v>2.3937981885659569</v>
      </c>
      <c r="DY34" s="67">
        <v>0.12945005472750873</v>
      </c>
      <c r="DZ34" s="10">
        <f t="shared" si="40"/>
        <v>2.5323737691995261</v>
      </c>
      <c r="EA34" s="10" t="str">
        <f t="shared" si="41"/>
        <v>*</v>
      </c>
      <c r="EB34" s="114">
        <f t="shared" si="42"/>
        <v>0.41638436457081962</v>
      </c>
      <c r="EC34" s="10"/>
      <c r="ED34" s="42">
        <v>77.444503770000026</v>
      </c>
      <c r="EE34" s="43">
        <v>2.4085678803491422</v>
      </c>
      <c r="EF34" s="67">
        <v>0.10888873629515643</v>
      </c>
      <c r="EG34" s="10">
        <f t="shared" si="43"/>
        <v>2.6994241103989198</v>
      </c>
      <c r="EH34" s="10" t="str">
        <f t="shared" si="44"/>
        <v>*</v>
      </c>
      <c r="EI34" s="10"/>
      <c r="EJ34" s="53">
        <v>72</v>
      </c>
      <c r="EK34" s="55">
        <v>2.2536374724307993</v>
      </c>
      <c r="EL34" s="56">
        <v>0.11934152156547986</v>
      </c>
      <c r="EM34" s="10">
        <f t="shared" si="45"/>
        <v>3.5541488941209414</v>
      </c>
      <c r="EN34" s="10" t="str">
        <f t="shared" si="46"/>
        <v>*</v>
      </c>
      <c r="EO34" s="10"/>
      <c r="EP34" s="54">
        <v>50</v>
      </c>
      <c r="EQ34" s="57">
        <v>2.6199999999999992</v>
      </c>
      <c r="ER34" s="58">
        <v>0.15544033770303692</v>
      </c>
      <c r="ES34" s="10">
        <f t="shared" si="47"/>
        <v>1.0248028262931719</v>
      </c>
      <c r="ET34" s="10" t="str">
        <f t="shared" si="48"/>
        <v xml:space="preserve"> </v>
      </c>
      <c r="EU34" s="114">
        <f t="shared" si="49"/>
        <v>0.19018255313677734</v>
      </c>
      <c r="EV34" s="76"/>
      <c r="EW34" s="27">
        <v>360</v>
      </c>
      <c r="EX34" s="28">
        <v>3.1161758325840161</v>
      </c>
      <c r="EY34" s="29">
        <v>6.2779327619649578E-2</v>
      </c>
      <c r="EZ34" s="10"/>
      <c r="FA34" s="42">
        <v>113</v>
      </c>
      <c r="FB34" s="43">
        <v>3.0805829174480288</v>
      </c>
      <c r="FC34" s="67">
        <v>0.11392504190329382</v>
      </c>
      <c r="FD34" s="10">
        <f t="shared" si="50"/>
        <v>0.27362850477929485</v>
      </c>
      <c r="FE34" s="10" t="str">
        <f t="shared" si="51"/>
        <v xml:space="preserve"> </v>
      </c>
      <c r="FF34" s="114">
        <f t="shared" si="52"/>
        <v>3.559291513598728E-2</v>
      </c>
      <c r="FG34" s="10"/>
      <c r="FH34" s="42">
        <v>143.84399456999992</v>
      </c>
      <c r="FI34" s="43">
        <v>2.6747458182049293</v>
      </c>
      <c r="FJ34" s="67">
        <v>7.8286444480829553E-2</v>
      </c>
      <c r="FK34" s="10">
        <f t="shared" si="53"/>
        <v>4.398928253280558</v>
      </c>
      <c r="FL34" s="10" t="str">
        <f t="shared" si="54"/>
        <v>*</v>
      </c>
      <c r="FM34" s="10"/>
      <c r="FN34" s="53">
        <v>124</v>
      </c>
      <c r="FO34" s="55">
        <v>2.8277843343016533</v>
      </c>
      <c r="FP34" s="56">
        <v>0.10740839929812734</v>
      </c>
      <c r="FQ34" s="10">
        <f t="shared" si="55"/>
        <v>2.3180762788484</v>
      </c>
      <c r="FR34" s="10" t="str">
        <f t="shared" si="56"/>
        <v>*</v>
      </c>
      <c r="FS34" s="10"/>
      <c r="FT34" s="54">
        <v>155</v>
      </c>
      <c r="FU34" s="57">
        <v>2.5382994157326348</v>
      </c>
      <c r="FV34" s="58">
        <v>8.7988568248562465E-2</v>
      </c>
      <c r="FW34" s="10">
        <f t="shared" si="57"/>
        <v>5.3463017694622694</v>
      </c>
      <c r="FX34" s="10" t="str">
        <f t="shared" si="125"/>
        <v>*</v>
      </c>
      <c r="FY34" s="114">
        <f t="shared" si="58"/>
        <v>0.57787641685138125</v>
      </c>
      <c r="FZ34" s="76"/>
      <c r="GA34" s="27">
        <v>158</v>
      </c>
      <c r="GB34" s="28">
        <v>2.7025142169946172</v>
      </c>
      <c r="GC34" s="29">
        <v>9.2543201623609905E-2</v>
      </c>
      <c r="GD34" s="67"/>
      <c r="GE34" s="42">
        <v>121</v>
      </c>
      <c r="GF34" s="43">
        <v>2.8760631270433032</v>
      </c>
      <c r="GG34" s="67">
        <v>0.1162103692829788</v>
      </c>
      <c r="GH34" s="10">
        <f t="shared" si="59"/>
        <v>-1.1682334502075857</v>
      </c>
      <c r="GI34" s="10" t="str">
        <f t="shared" si="60"/>
        <v xml:space="preserve"> </v>
      </c>
      <c r="GJ34" s="114">
        <f t="shared" si="61"/>
        <v>-0.173548910048686</v>
      </c>
      <c r="GK34" s="67"/>
      <c r="GL34" s="42">
        <v>141.65669980999991</v>
      </c>
      <c r="GM34" s="43">
        <v>2.7216377847084621</v>
      </c>
      <c r="GN34" s="67">
        <v>0.1115709896169893</v>
      </c>
      <c r="GO34" s="10">
        <f t="shared" si="62"/>
        <v>-0.13192643070605795</v>
      </c>
      <c r="GP34" s="10" t="str">
        <f t="shared" si="63"/>
        <v xml:space="preserve"> </v>
      </c>
      <c r="GQ34" s="10"/>
      <c r="GR34" s="53">
        <v>165</v>
      </c>
      <c r="GS34" s="55">
        <v>2.6205787031814656</v>
      </c>
      <c r="GT34" s="56">
        <v>9.624755445297245E-2</v>
      </c>
      <c r="GU34" s="10">
        <f t="shared" si="64"/>
        <v>0.6136530081582513</v>
      </c>
      <c r="GV34" s="10" t="str">
        <f t="shared" si="65"/>
        <v xml:space="preserve"> </v>
      </c>
      <c r="GW34" s="10"/>
      <c r="GX34" s="54">
        <v>138</v>
      </c>
      <c r="GY34" s="57">
        <v>2.7465454545687504</v>
      </c>
      <c r="GZ34" s="58">
        <v>9.9655964904350358E-2</v>
      </c>
      <c r="HA34" s="10">
        <f t="shared" si="66"/>
        <v>-0.32376299013743148</v>
      </c>
      <c r="HB34" s="10" t="str">
        <f t="shared" si="126"/>
        <v xml:space="preserve"> </v>
      </c>
      <c r="HC34" s="114">
        <f t="shared" si="67"/>
        <v>-4.4031237574133186E-2</v>
      </c>
      <c r="HD34" s="76"/>
      <c r="HE34" s="27">
        <v>156</v>
      </c>
      <c r="HF34" s="28">
        <v>2.76251889954866</v>
      </c>
      <c r="HG34" s="29">
        <v>0.1001491918267418</v>
      </c>
      <c r="HH34" s="10"/>
      <c r="HI34" s="42">
        <v>93</v>
      </c>
      <c r="HJ34" s="43">
        <v>2.7668392626461706</v>
      </c>
      <c r="HK34" s="67">
        <v>0.13343626608639039</v>
      </c>
      <c r="HL34" s="10">
        <f t="shared" si="68"/>
        <v>-2.5895474461323557E-2</v>
      </c>
      <c r="HM34" s="10" t="str">
        <f t="shared" si="69"/>
        <v xml:space="preserve"> </v>
      </c>
      <c r="HN34" s="114">
        <f t="shared" si="70"/>
        <v>-4.3203630975106044E-3</v>
      </c>
      <c r="HO34" s="10"/>
      <c r="HP34" s="42">
        <v>90.176928219999922</v>
      </c>
      <c r="HQ34" s="43">
        <v>2.7139001206931996</v>
      </c>
      <c r="HR34" s="67">
        <v>0.13078551000984898</v>
      </c>
      <c r="HS34" s="10">
        <f t="shared" si="71"/>
        <v>0.29514909258037531</v>
      </c>
      <c r="HT34" s="10" t="str">
        <f t="shared" si="72"/>
        <v xml:space="preserve"> </v>
      </c>
      <c r="HU34" s="10"/>
      <c r="HV34" s="53">
        <v>63</v>
      </c>
      <c r="HW34" s="55">
        <v>3.108318009140234</v>
      </c>
      <c r="HX34" s="56">
        <v>0.12177095052073034</v>
      </c>
      <c r="HY34" s="10">
        <f t="shared" si="73"/>
        <v>-2.1932622328873141</v>
      </c>
      <c r="HZ34" s="10" t="str">
        <f t="shared" si="74"/>
        <v>*</v>
      </c>
      <c r="IA34" s="10"/>
      <c r="IB34" s="54">
        <v>108</v>
      </c>
      <c r="IC34" s="57">
        <v>2.7963757749278151</v>
      </c>
      <c r="ID34" s="58">
        <v>0.11836841863148671</v>
      </c>
      <c r="IE34" s="10">
        <f t="shared" si="75"/>
        <v>-0.21835901381410636</v>
      </c>
      <c r="IF34" s="10" t="str">
        <f t="shared" si="127"/>
        <v xml:space="preserve"> </v>
      </c>
      <c r="IG34" s="114">
        <f t="shared" si="76"/>
        <v>-3.3856875379155049E-2</v>
      </c>
      <c r="IH34" s="76"/>
      <c r="II34" s="27">
        <v>466</v>
      </c>
      <c r="IJ34" s="28">
        <v>2.9566406916891821</v>
      </c>
      <c r="IK34" s="29">
        <v>5.696843511065227E-2</v>
      </c>
      <c r="IL34" s="10"/>
      <c r="IM34" s="42">
        <v>318</v>
      </c>
      <c r="IN34" s="43">
        <v>2.8760179564594313</v>
      </c>
      <c r="IO34" s="67">
        <v>6.7566697275128512E-2</v>
      </c>
      <c r="IP34" s="10">
        <f t="shared" si="77"/>
        <v>0.91224948872671652</v>
      </c>
      <c r="IQ34" s="10" t="str">
        <f t="shared" si="78"/>
        <v xml:space="preserve"> </v>
      </c>
      <c r="IR34" s="114">
        <f t="shared" si="79"/>
        <v>8.062273522975083E-2</v>
      </c>
      <c r="IS34" s="10"/>
      <c r="IT34" s="42">
        <v>312.39192284000086</v>
      </c>
      <c r="IU34" s="43">
        <v>2.9295994235380269</v>
      </c>
      <c r="IV34" s="67">
        <v>7.3707182312188674E-2</v>
      </c>
      <c r="IW34" s="10">
        <f t="shared" si="80"/>
        <v>0.29027754767644393</v>
      </c>
      <c r="IX34" s="10" t="str">
        <f t="shared" si="81"/>
        <v xml:space="preserve"> </v>
      </c>
      <c r="IY34" s="10"/>
      <c r="IZ34" s="53">
        <v>301</v>
      </c>
      <c r="JA34" s="55">
        <v>3.0299863854910747</v>
      </c>
      <c r="JB34" s="56">
        <v>7.1270234158762755E-2</v>
      </c>
      <c r="JC34" s="10">
        <f t="shared" si="82"/>
        <v>-0.80387114866546416</v>
      </c>
      <c r="JD34" s="10" t="str">
        <f t="shared" si="83"/>
        <v xml:space="preserve"> </v>
      </c>
      <c r="JE34" s="10"/>
      <c r="JF34" s="54">
        <v>325</v>
      </c>
      <c r="JG34" s="57">
        <v>2.9075090139263224</v>
      </c>
      <c r="JH34" s="58">
        <v>6.6127102948268374E-2</v>
      </c>
      <c r="JI34" s="10">
        <f t="shared" si="84"/>
        <v>0.56290552850109365</v>
      </c>
      <c r="JJ34" s="10" t="str">
        <f t="shared" si="85"/>
        <v xml:space="preserve"> </v>
      </c>
      <c r="JK34" s="114">
        <f t="shared" si="86"/>
        <v>4.9131677762859649E-2</v>
      </c>
      <c r="JL34" s="76"/>
      <c r="JM34" s="27">
        <v>34</v>
      </c>
      <c r="JN34" s="28">
        <v>2.9117647058823528</v>
      </c>
      <c r="JO34" s="29">
        <v>0.21689004843637164</v>
      </c>
      <c r="JP34" s="10"/>
      <c r="JQ34" s="42">
        <v>21</v>
      </c>
      <c r="JR34" s="43">
        <v>2.8570093458237507</v>
      </c>
      <c r="JS34" s="67">
        <v>0.34706961547476345</v>
      </c>
      <c r="JT34" s="10" t="str">
        <f t="shared" si="87"/>
        <v>NV</v>
      </c>
      <c r="JU34" s="10" t="str">
        <f t="shared" si="88"/>
        <v xml:space="preserve"> </v>
      </c>
      <c r="JV34" s="114">
        <f t="shared" si="89"/>
        <v>5.4755360058602154E-2</v>
      </c>
      <c r="JW34" s="10"/>
      <c r="JX34" s="42">
        <v>25.743104140000003</v>
      </c>
      <c r="JY34" s="43">
        <v>3.384615384615385</v>
      </c>
      <c r="JZ34" s="67">
        <v>0.27359094843543746</v>
      </c>
      <c r="KA34" s="10" t="str">
        <f t="shared" si="90"/>
        <v>NV</v>
      </c>
      <c r="KB34" s="10" t="str">
        <f t="shared" si="91"/>
        <v xml:space="preserve"> </v>
      </c>
      <c r="KC34" s="10"/>
      <c r="KD34" s="53">
        <v>24</v>
      </c>
      <c r="KE34" s="55">
        <v>2.8749999999999996</v>
      </c>
      <c r="KF34" s="56">
        <v>0.25349817799571206</v>
      </c>
      <c r="KG34" s="10" t="str">
        <f t="shared" si="92"/>
        <v>NV</v>
      </c>
      <c r="KH34" s="10" t="str">
        <f t="shared" si="93"/>
        <v xml:space="preserve"> </v>
      </c>
      <c r="KI34" s="10"/>
      <c r="KJ34" s="54">
        <v>42</v>
      </c>
      <c r="KK34" s="57">
        <v>2.5952380952380945</v>
      </c>
      <c r="KL34" s="58">
        <v>0.18681187509710659</v>
      </c>
      <c r="KM34" s="10">
        <f t="shared" si="94"/>
        <v>1.1057636969574212</v>
      </c>
      <c r="KN34" s="10" t="str">
        <f t="shared" si="95"/>
        <v xml:space="preserve"> </v>
      </c>
      <c r="KO34" s="114">
        <f t="shared" si="96"/>
        <v>0.31652661064425835</v>
      </c>
      <c r="KP34" s="76"/>
      <c r="KQ34" s="27">
        <v>392</v>
      </c>
      <c r="KR34" s="28">
        <v>2.6043463966879812</v>
      </c>
      <c r="KS34" s="29">
        <v>5.9547730171282474E-2</v>
      </c>
      <c r="KT34" s="10"/>
      <c r="KU34" s="42">
        <v>240</v>
      </c>
      <c r="KV34" s="43">
        <v>2.496111975055312</v>
      </c>
      <c r="KW34" s="67">
        <v>7.9908820396441316E-2</v>
      </c>
      <c r="KX34" s="10">
        <f t="shared" si="97"/>
        <v>1.0860785058476858</v>
      </c>
      <c r="KY34" s="10" t="str">
        <f t="shared" si="98"/>
        <v xml:space="preserve"> </v>
      </c>
      <c r="KZ34" s="114">
        <f t="shared" si="99"/>
        <v>0.10823442163266916</v>
      </c>
      <c r="LA34" s="10"/>
      <c r="LB34" s="42">
        <v>262.7492077099991</v>
      </c>
      <c r="LC34" s="43">
        <v>2.8019559901111752</v>
      </c>
      <c r="LD34" s="67">
        <v>7.3503911616735862E-2</v>
      </c>
      <c r="LE34" s="10">
        <f t="shared" si="100"/>
        <v>-2.088943349389635</v>
      </c>
      <c r="LF34" s="10" t="str">
        <f t="shared" si="101"/>
        <v>*</v>
      </c>
      <c r="LG34" s="10"/>
      <c r="LH34" s="53">
        <v>517</v>
      </c>
      <c r="LI34" s="55">
        <v>2.6480183143401397</v>
      </c>
      <c r="LJ34" s="56">
        <v>5.1330638620546043E-2</v>
      </c>
      <c r="LK34" s="10">
        <f t="shared" si="102"/>
        <v>-0.55549619613936696</v>
      </c>
      <c r="LL34" s="10" t="str">
        <f t="shared" si="103"/>
        <v xml:space="preserve"> </v>
      </c>
      <c r="LM34" s="10"/>
      <c r="LN34" s="54">
        <v>520</v>
      </c>
      <c r="LO34" s="57">
        <v>2.6498578161298907</v>
      </c>
      <c r="LP34" s="58">
        <v>5.1365051123098381E-2</v>
      </c>
      <c r="LQ34" s="10">
        <f t="shared" si="104"/>
        <v>-0.57872878452582266</v>
      </c>
      <c r="LR34" s="10" t="str">
        <f t="shared" si="128"/>
        <v xml:space="preserve"> </v>
      </c>
      <c r="LS34" s="114">
        <f t="shared" si="105"/>
        <v>-4.5511419441909506E-2</v>
      </c>
      <c r="LT34" s="76"/>
      <c r="LU34" s="27">
        <v>146</v>
      </c>
      <c r="LV34" s="28">
        <v>2.8630972673506361</v>
      </c>
      <c r="LW34" s="29">
        <v>0.10180811780142789</v>
      </c>
      <c r="LX34" s="10"/>
      <c r="LY34" s="42">
        <v>162</v>
      </c>
      <c r="LZ34" s="43">
        <v>2.7839932195087385</v>
      </c>
      <c r="MA34" s="67">
        <v>0.10008037123006232</v>
      </c>
      <c r="MB34" s="10">
        <f t="shared" si="106"/>
        <v>0.55409756883865613</v>
      </c>
      <c r="MC34" s="10" t="str">
        <f t="shared" si="107"/>
        <v xml:space="preserve"> </v>
      </c>
      <c r="MD34" s="114">
        <f t="shared" si="108"/>
        <v>7.9104047841897618E-2</v>
      </c>
      <c r="ME34" s="10"/>
      <c r="MF34" s="42">
        <v>147.84568696999997</v>
      </c>
      <c r="MG34" s="43">
        <v>3.0401818711235413</v>
      </c>
      <c r="MH34" s="67">
        <v>9.5999837829510673E-2</v>
      </c>
      <c r="MI34" s="10">
        <f t="shared" si="109"/>
        <v>-1.2655080261907181</v>
      </c>
      <c r="MJ34" s="10" t="str">
        <f t="shared" si="110"/>
        <v xml:space="preserve"> </v>
      </c>
      <c r="MK34" s="10"/>
      <c r="ML34" s="53">
        <v>389</v>
      </c>
      <c r="MM34" s="55">
        <v>2.9537275064267328</v>
      </c>
      <c r="MN34" s="56">
        <v>5.9902792942813247E-2</v>
      </c>
      <c r="MO34" s="10">
        <f t="shared" si="111"/>
        <v>-0.76724776699168729</v>
      </c>
      <c r="MP34" s="10" t="str">
        <f t="shared" si="112"/>
        <v xml:space="preserve"> </v>
      </c>
      <c r="MQ34" s="10"/>
      <c r="MR34" s="54">
        <v>383</v>
      </c>
      <c r="MS34" s="57">
        <v>2.879818358963965</v>
      </c>
      <c r="MT34" s="58">
        <v>6.3669425721740044E-2</v>
      </c>
      <c r="MU34" s="10">
        <f t="shared" si="113"/>
        <v>-0.13925209726438184</v>
      </c>
      <c r="MV34" s="10" t="str">
        <f t="shared" si="114"/>
        <v xml:space="preserve"> </v>
      </c>
      <c r="MW34" s="114">
        <f t="shared" si="115"/>
        <v>-1.6721091613328909E-2</v>
      </c>
      <c r="MX34" s="76"/>
      <c r="MY34" s="27">
        <v>167</v>
      </c>
      <c r="MZ34" s="28">
        <v>2.7126590413716074</v>
      </c>
      <c r="NA34" s="29">
        <v>9.1132507658321552E-2</v>
      </c>
      <c r="NB34" s="10"/>
      <c r="NC34" s="42">
        <v>107</v>
      </c>
      <c r="ND34" s="43">
        <v>2.8591368229220797</v>
      </c>
      <c r="NE34" s="67">
        <v>0.13114471141206538</v>
      </c>
      <c r="NF34" s="10">
        <f t="shared" si="116"/>
        <v>-0.91720626826081841</v>
      </c>
      <c r="NG34" s="10" t="str">
        <f t="shared" si="117"/>
        <v xml:space="preserve"> </v>
      </c>
      <c r="NH34" s="114">
        <f t="shared" si="118"/>
        <v>-0.14647778155047231</v>
      </c>
      <c r="NI34" s="10"/>
      <c r="NJ34" s="42">
        <v>101.94587136000001</v>
      </c>
      <c r="NK34" s="43">
        <v>2.8255375821234239</v>
      </c>
      <c r="NL34" s="67">
        <v>0.12214848714552791</v>
      </c>
      <c r="NM34" s="10">
        <f t="shared" si="119"/>
        <v>-0.74067878933043174</v>
      </c>
      <c r="NN34" s="10" t="str">
        <f t="shared" si="120"/>
        <v xml:space="preserve"> </v>
      </c>
      <c r="NO34" s="10"/>
      <c r="NP34" s="53">
        <v>156</v>
      </c>
      <c r="NQ34" s="55">
        <v>2.8636971655563204</v>
      </c>
      <c r="NR34" s="56">
        <v>0.10163521672121374</v>
      </c>
      <c r="NS34" s="10">
        <f t="shared" si="121"/>
        <v>-1.1064291732357596</v>
      </c>
      <c r="NT34" s="10" t="str">
        <f t="shared" si="122"/>
        <v xml:space="preserve"> </v>
      </c>
      <c r="NU34" s="10"/>
      <c r="NV34" s="54">
        <v>166</v>
      </c>
      <c r="NW34" s="57">
        <v>2.6718776688503305</v>
      </c>
      <c r="NX34" s="58">
        <v>9.2575565239061547E-2</v>
      </c>
      <c r="NY34" s="10">
        <f t="shared" si="123"/>
        <v>0.31393171758711408</v>
      </c>
      <c r="NZ34" s="10" t="str">
        <f t="shared" si="129"/>
        <v xml:space="preserve"> </v>
      </c>
      <c r="OA34" s="114">
        <f t="shared" si="124"/>
        <v>4.0781372521276893E-2</v>
      </c>
      <c r="OB34" s="58"/>
    </row>
    <row r="35" spans="1:392" x14ac:dyDescent="0.2">
      <c r="B35" s="65" t="s">
        <v>31</v>
      </c>
      <c r="C35" s="27">
        <v>143</v>
      </c>
      <c r="D35" s="28">
        <v>3.2307692307692313</v>
      </c>
      <c r="E35" s="29">
        <v>9.9814503043521033E-2</v>
      </c>
      <c r="F35" s="10"/>
      <c r="G35" s="42">
        <v>33</v>
      </c>
      <c r="H35" s="43">
        <v>3.3939393939393936</v>
      </c>
      <c r="I35" s="67">
        <v>0.23071358830738847</v>
      </c>
      <c r="J35" s="10">
        <f t="shared" si="1"/>
        <v>-0.64909870999079633</v>
      </c>
      <c r="K35" s="10" t="str">
        <f t="shared" si="2"/>
        <v xml:space="preserve"> </v>
      </c>
      <c r="L35" s="114">
        <f t="shared" si="3"/>
        <v>-0.16317016317016231</v>
      </c>
      <c r="M35" s="10"/>
      <c r="N35" s="42">
        <v>18.71530434000001</v>
      </c>
      <c r="O35" s="43">
        <v>3.7777777777777777</v>
      </c>
      <c r="P35" s="67">
        <v>0.18666727339375477</v>
      </c>
      <c r="Q35" s="10" t="str">
        <f t="shared" si="4"/>
        <v>NV</v>
      </c>
      <c r="R35" s="10" t="str">
        <f t="shared" si="5"/>
        <v xml:space="preserve"> </v>
      </c>
      <c r="S35" s="10"/>
      <c r="T35" s="53">
        <v>40</v>
      </c>
      <c r="U35" s="55">
        <v>3.4750000000000001</v>
      </c>
      <c r="V35" s="56">
        <v>0.16028987219174692</v>
      </c>
      <c r="W35" s="10">
        <f t="shared" si="6"/>
        <v>-1.2934076279493683</v>
      </c>
      <c r="X35" s="10" t="str">
        <f t="shared" si="7"/>
        <v xml:space="preserve"> </v>
      </c>
      <c r="Y35" s="10"/>
      <c r="Z35" s="54">
        <v>53</v>
      </c>
      <c r="AA35" s="57">
        <v>3.358490566037736</v>
      </c>
      <c r="AB35" s="58">
        <v>0.13105162203995091</v>
      </c>
      <c r="AC35" s="10">
        <f t="shared" si="8"/>
        <v>-0.77531615055255187</v>
      </c>
      <c r="AD35" s="10" t="str">
        <f t="shared" si="9"/>
        <v xml:space="preserve"> </v>
      </c>
      <c r="AE35" s="114">
        <f t="shared" si="10"/>
        <v>-0.12772133526850471</v>
      </c>
      <c r="AF35" s="76"/>
      <c r="AG35" s="27">
        <v>25</v>
      </c>
      <c r="AH35" s="28">
        <v>3.2422084685238501</v>
      </c>
      <c r="AI35" s="29">
        <v>0.17271970241597923</v>
      </c>
      <c r="AJ35" s="67"/>
      <c r="AK35" s="42">
        <v>15</v>
      </c>
      <c r="AL35" s="43">
        <v>3.1333333333333333</v>
      </c>
      <c r="AM35" s="67">
        <v>0.32039407530810959</v>
      </c>
      <c r="AN35" s="10" t="str">
        <f t="shared" si="11"/>
        <v>NV</v>
      </c>
      <c r="AO35" s="10" t="str">
        <f t="shared" si="12"/>
        <v xml:space="preserve"> </v>
      </c>
      <c r="AP35" s="114">
        <f t="shared" si="13"/>
        <v>0.10887513519051684</v>
      </c>
      <c r="AQ35" s="67"/>
      <c r="AR35" s="42">
        <v>17.196679620000001</v>
      </c>
      <c r="AS35" s="43">
        <v>4.0555555555555554</v>
      </c>
      <c r="AT35" s="67">
        <v>0.25491282653242964</v>
      </c>
      <c r="AU35" s="10" t="str">
        <f t="shared" si="14"/>
        <v>NV</v>
      </c>
      <c r="AV35" s="10" t="str">
        <f t="shared" si="15"/>
        <v xml:space="preserve"> </v>
      </c>
      <c r="AW35" s="10"/>
      <c r="AX35" s="53">
        <v>20</v>
      </c>
      <c r="AY35" s="55">
        <v>3.4752448247144549</v>
      </c>
      <c r="AZ35" s="56">
        <v>0.27726818748368032</v>
      </c>
      <c r="BA35" s="10" t="str">
        <f t="shared" si="16"/>
        <v>NV</v>
      </c>
      <c r="BB35" s="10" t="str">
        <f t="shared" si="17"/>
        <v xml:space="preserve"> </v>
      </c>
      <c r="BC35" s="10"/>
      <c r="BD35" s="54">
        <v>11</v>
      </c>
      <c r="BE35" s="57">
        <v>3.4005482878493121</v>
      </c>
      <c r="BF35" s="58">
        <v>0.34054016056685932</v>
      </c>
      <c r="BG35" s="10" t="str">
        <f t="shared" si="18"/>
        <v>NV</v>
      </c>
      <c r="BH35" s="10" t="str">
        <f t="shared" si="19"/>
        <v xml:space="preserve"> </v>
      </c>
      <c r="BI35" s="114">
        <f t="shared" si="20"/>
        <v>-0.15833981932546193</v>
      </c>
      <c r="BJ35" s="76"/>
      <c r="BK35" s="27">
        <v>375</v>
      </c>
      <c r="BL35" s="28">
        <v>3.7363333592057559</v>
      </c>
      <c r="BM35" s="29">
        <v>5.4335118637248887E-2</v>
      </c>
      <c r="BN35" s="10"/>
      <c r="BO35" s="42">
        <v>110</v>
      </c>
      <c r="BP35" s="43">
        <v>3.7086577506656488</v>
      </c>
      <c r="BQ35" s="67">
        <v>0.10044948556012993</v>
      </c>
      <c r="BR35" s="10">
        <f t="shared" si="21"/>
        <v>0.24233623163120069</v>
      </c>
      <c r="BS35" s="10" t="str">
        <f t="shared" si="22"/>
        <v xml:space="preserve"> </v>
      </c>
      <c r="BT35" s="114">
        <f t="shared" si="23"/>
        <v>2.7675608540107088E-2</v>
      </c>
      <c r="BU35" s="10"/>
      <c r="BV35" s="42">
        <v>21.328313490000006</v>
      </c>
      <c r="BW35" s="43">
        <v>3.540197352003569</v>
      </c>
      <c r="BX35" s="67">
        <v>0.22054991689267731</v>
      </c>
      <c r="BY35" s="10" t="str">
        <f t="shared" si="24"/>
        <v>NV</v>
      </c>
      <c r="BZ35" s="10" t="str">
        <f t="shared" si="25"/>
        <v xml:space="preserve"> </v>
      </c>
      <c r="CA35" s="10"/>
      <c r="CB35" s="53">
        <v>16</v>
      </c>
      <c r="CC35" s="55">
        <v>3.6126452379348399</v>
      </c>
      <c r="CD35" s="56">
        <v>0.26843969251288052</v>
      </c>
      <c r="CE35" s="10" t="str">
        <f t="shared" si="26"/>
        <v>NV</v>
      </c>
      <c r="CF35" s="10" t="str">
        <f t="shared" si="27"/>
        <v xml:space="preserve"> </v>
      </c>
      <c r="CG35" s="10"/>
      <c r="CH35" s="54">
        <v>104</v>
      </c>
      <c r="CI35" s="57">
        <v>3.558450042004031</v>
      </c>
      <c r="CJ35" s="58">
        <v>0.10647439813371443</v>
      </c>
      <c r="CK35" s="10">
        <f t="shared" si="28"/>
        <v>1.4881021451294774</v>
      </c>
      <c r="CL35" s="10" t="str">
        <f t="shared" si="29"/>
        <v xml:space="preserve"> </v>
      </c>
      <c r="CM35" s="114">
        <f t="shared" si="30"/>
        <v>0.1778833172017249</v>
      </c>
      <c r="CN35" s="76"/>
      <c r="CO35" s="27">
        <v>216</v>
      </c>
      <c r="CP35" s="28">
        <v>3.6511073183602516</v>
      </c>
      <c r="CQ35" s="29">
        <v>6.9114033748126427E-2</v>
      </c>
      <c r="CR35" s="67"/>
      <c r="CS35" s="42">
        <v>77</v>
      </c>
      <c r="CT35" s="43">
        <v>3.6491486624395817</v>
      </c>
      <c r="CU35" s="67">
        <v>0.13279011800742285</v>
      </c>
      <c r="CV35" s="10">
        <f t="shared" si="31"/>
        <v>1.3083910346041061E-2</v>
      </c>
      <c r="CW35" s="10" t="str">
        <f t="shared" si="32"/>
        <v xml:space="preserve"> </v>
      </c>
      <c r="CX35" s="114">
        <f t="shared" si="33"/>
        <v>1.958655920669905E-3</v>
      </c>
      <c r="CY35" s="10"/>
      <c r="CZ35" s="42">
        <v>47.376437040000013</v>
      </c>
      <c r="DA35" s="43">
        <v>3.5219463344008366</v>
      </c>
      <c r="DB35" s="67">
        <v>0.14137111528124771</v>
      </c>
      <c r="DC35" s="10">
        <f t="shared" si="34"/>
        <v>0.82079316858779461</v>
      </c>
      <c r="DD35" s="10" t="str">
        <f t="shared" si="35"/>
        <v xml:space="preserve"> </v>
      </c>
      <c r="DE35" s="10"/>
      <c r="DF35" s="53">
        <v>57</v>
      </c>
      <c r="DG35" s="55">
        <v>3.9636529541633663</v>
      </c>
      <c r="DH35" s="56">
        <v>0.11741400053630824</v>
      </c>
      <c r="DI35" s="10">
        <f t="shared" si="36"/>
        <v>-2.2939911032952249</v>
      </c>
      <c r="DJ35" s="10" t="str">
        <f t="shared" si="0"/>
        <v>*</v>
      </c>
      <c r="DK35" s="10"/>
      <c r="DL35" s="54">
        <v>58</v>
      </c>
      <c r="DM35" s="57">
        <v>3.3603254689757378</v>
      </c>
      <c r="DN35" s="58">
        <v>0.13664575103364543</v>
      </c>
      <c r="DO35" s="10">
        <f t="shared" si="37"/>
        <v>1.8989209322361389</v>
      </c>
      <c r="DP35" s="10" t="str">
        <f t="shared" si="38"/>
        <v xml:space="preserve"> </v>
      </c>
      <c r="DQ35" s="114">
        <f t="shared" si="39"/>
        <v>0.29078184938451379</v>
      </c>
      <c r="DR35" s="76"/>
      <c r="DS35" s="27">
        <v>65</v>
      </c>
      <c r="DT35" s="28">
        <v>3.522342030827994</v>
      </c>
      <c r="DU35" s="29">
        <v>0.14361145574809131</v>
      </c>
      <c r="DV35" s="10"/>
      <c r="DW35" s="42">
        <v>26</v>
      </c>
      <c r="DX35" s="43">
        <v>2.96116269293513</v>
      </c>
      <c r="DY35" s="67">
        <v>0.21842437715117166</v>
      </c>
      <c r="DZ35" s="10" t="str">
        <f t="shared" si="40"/>
        <v>NV</v>
      </c>
      <c r="EA35" s="10" t="str">
        <f t="shared" si="41"/>
        <v xml:space="preserve"> </v>
      </c>
      <c r="EB35" s="114">
        <f t="shared" si="42"/>
        <v>0.56117933789286401</v>
      </c>
      <c r="EC35" s="10"/>
      <c r="ED35" s="42">
        <v>18.377832180000009</v>
      </c>
      <c r="EE35" s="43">
        <v>3.3302728330823181</v>
      </c>
      <c r="EF35" s="67">
        <v>0.2660852535378273</v>
      </c>
      <c r="EG35" s="10" t="str">
        <f t="shared" si="43"/>
        <v>NV</v>
      </c>
      <c r="EH35" s="10" t="str">
        <f t="shared" si="44"/>
        <v xml:space="preserve"> </v>
      </c>
      <c r="EI35" s="10"/>
      <c r="EJ35" s="53">
        <v>14</v>
      </c>
      <c r="EK35" s="55">
        <v>3.3571428571428572</v>
      </c>
      <c r="EL35" s="56">
        <v>0.28623900315189332</v>
      </c>
      <c r="EM35" s="10" t="str">
        <f t="shared" si="45"/>
        <v>NV</v>
      </c>
      <c r="EN35" s="10" t="str">
        <f t="shared" si="46"/>
        <v xml:space="preserve"> </v>
      </c>
      <c r="EO35" s="10"/>
      <c r="EP35" s="54">
        <v>21</v>
      </c>
      <c r="EQ35" s="57">
        <v>3.6190476190476191</v>
      </c>
      <c r="ER35" s="58">
        <v>0.1361897996815459</v>
      </c>
      <c r="ES35" s="10" t="str">
        <f t="shared" si="47"/>
        <v>NV</v>
      </c>
      <c r="ET35" s="10" t="str">
        <f t="shared" si="48"/>
        <v xml:space="preserve"> </v>
      </c>
      <c r="EU35" s="114">
        <f t="shared" si="49"/>
        <v>-9.6705588219625049E-2</v>
      </c>
      <c r="EV35" s="76"/>
      <c r="EW35" s="27">
        <v>164</v>
      </c>
      <c r="EX35" s="28">
        <v>3.7781848794643662</v>
      </c>
      <c r="EY35" s="29">
        <v>8.2529747973604808E-2</v>
      </c>
      <c r="EZ35" s="10"/>
      <c r="FA35" s="42">
        <v>54</v>
      </c>
      <c r="FB35" s="43">
        <v>3.7764333112715174</v>
      </c>
      <c r="FC35" s="67">
        <v>0.15562667237754332</v>
      </c>
      <c r="FD35" s="10">
        <f t="shared" si="50"/>
        <v>9.9432972100563129E-3</v>
      </c>
      <c r="FE35" s="10" t="str">
        <f t="shared" si="51"/>
        <v xml:space="preserve"> </v>
      </c>
      <c r="FF35" s="114">
        <f t="shared" si="52"/>
        <v>1.7515681928488291E-3</v>
      </c>
      <c r="FG35" s="10"/>
      <c r="FH35" s="42">
        <v>24.025690680000004</v>
      </c>
      <c r="FI35" s="43">
        <v>3.7906424569851325</v>
      </c>
      <c r="FJ35" s="67">
        <v>0.20797395101854649</v>
      </c>
      <c r="FK35" s="10" t="str">
        <f t="shared" si="53"/>
        <v>NV</v>
      </c>
      <c r="FL35" s="10" t="str">
        <f t="shared" si="54"/>
        <v xml:space="preserve"> </v>
      </c>
      <c r="FM35" s="10"/>
      <c r="FN35" s="53">
        <v>41</v>
      </c>
      <c r="FO35" s="55">
        <v>3.8483060347553733</v>
      </c>
      <c r="FP35" s="56">
        <v>0.16339169755236202</v>
      </c>
      <c r="FQ35" s="10">
        <f t="shared" si="55"/>
        <v>-0.38306702570496987</v>
      </c>
      <c r="FR35" s="10" t="str">
        <f t="shared" si="56"/>
        <v xml:space="preserve"> </v>
      </c>
      <c r="FS35" s="10"/>
      <c r="FT35" s="54">
        <v>34</v>
      </c>
      <c r="FU35" s="57">
        <v>3.3917402562987018</v>
      </c>
      <c r="FV35" s="58">
        <v>0.22211356129703722</v>
      </c>
      <c r="FW35" s="10">
        <f t="shared" si="57"/>
        <v>1.6309078793110705</v>
      </c>
      <c r="FX35" s="10" t="str">
        <f t="shared" si="125"/>
        <v xml:space="preserve"> </v>
      </c>
      <c r="FY35" s="114">
        <f t="shared" si="58"/>
        <v>0.38644462316566441</v>
      </c>
      <c r="FZ35" s="76"/>
      <c r="GA35" s="27">
        <v>41</v>
      </c>
      <c r="GB35" s="28">
        <v>3.1543987065229264</v>
      </c>
      <c r="GC35" s="29">
        <v>0.17255057600565812</v>
      </c>
      <c r="GD35" s="67"/>
      <c r="GE35" s="42">
        <v>31</v>
      </c>
      <c r="GF35" s="43">
        <v>3.2300952663400935</v>
      </c>
      <c r="GG35" s="67">
        <v>0.199850321875613</v>
      </c>
      <c r="GH35" s="10">
        <f t="shared" si="59"/>
        <v>-0.28669267783773822</v>
      </c>
      <c r="GI35" s="10" t="str">
        <f t="shared" si="60"/>
        <v xml:space="preserve"> </v>
      </c>
      <c r="GJ35" s="114">
        <f t="shared" si="61"/>
        <v>-7.5696559817167053E-2</v>
      </c>
      <c r="GK35" s="67"/>
      <c r="GL35" s="42">
        <v>47.128584129999972</v>
      </c>
      <c r="GM35" s="43">
        <v>3.4956881674094116</v>
      </c>
      <c r="GN35" s="67">
        <v>0.1784231660142413</v>
      </c>
      <c r="GO35" s="10">
        <f t="shared" si="62"/>
        <v>-1.3749992557180537</v>
      </c>
      <c r="GP35" s="10" t="str">
        <f t="shared" si="63"/>
        <v xml:space="preserve"> </v>
      </c>
      <c r="GQ35" s="10"/>
      <c r="GR35" s="53">
        <v>50</v>
      </c>
      <c r="GS35" s="55">
        <v>3.1866274420781413</v>
      </c>
      <c r="GT35" s="56">
        <v>0.15888439694215883</v>
      </c>
      <c r="GU35" s="10">
        <f t="shared" si="64"/>
        <v>-0.13740136699005781</v>
      </c>
      <c r="GV35" s="10" t="str">
        <f t="shared" si="65"/>
        <v xml:space="preserve"> </v>
      </c>
      <c r="GW35" s="10"/>
      <c r="GX35" s="54">
        <v>47</v>
      </c>
      <c r="GY35" s="57">
        <v>3.3833865815258455</v>
      </c>
      <c r="GZ35" s="58">
        <v>0.16128101318676791</v>
      </c>
      <c r="HA35" s="10">
        <f t="shared" si="66"/>
        <v>-0.96951097749095849</v>
      </c>
      <c r="HB35" s="10" t="str">
        <f t="shared" si="126"/>
        <v xml:space="preserve"> </v>
      </c>
      <c r="HC35" s="114">
        <f t="shared" si="67"/>
        <v>-0.22898787500291906</v>
      </c>
      <c r="HD35" s="76"/>
      <c r="HE35" s="27">
        <v>69</v>
      </c>
      <c r="HF35" s="28">
        <v>3.5812473320485227</v>
      </c>
      <c r="HG35" s="29">
        <v>0.13622674294197262</v>
      </c>
      <c r="HH35" s="10"/>
      <c r="HI35" s="42">
        <v>34</v>
      </c>
      <c r="HJ35" s="43">
        <v>3.6812924648054643</v>
      </c>
      <c r="HK35" s="67">
        <v>0.21925291569455377</v>
      </c>
      <c r="HL35" s="10">
        <f t="shared" si="68"/>
        <v>-0.38758099284428082</v>
      </c>
      <c r="HM35" s="10" t="str">
        <f t="shared" si="69"/>
        <v xml:space="preserve"> </v>
      </c>
      <c r="HN35" s="114">
        <f t="shared" si="70"/>
        <v>-0.1000451327569416</v>
      </c>
      <c r="HO35" s="10"/>
      <c r="HP35" s="42">
        <v>42.683241809999977</v>
      </c>
      <c r="HQ35" s="43">
        <v>3.588573844550726</v>
      </c>
      <c r="HR35" s="67">
        <v>0.13811766409715145</v>
      </c>
      <c r="HS35" s="10">
        <f t="shared" si="71"/>
        <v>-3.7766424151902546E-2</v>
      </c>
      <c r="HT35" s="10" t="str">
        <f t="shared" si="72"/>
        <v xml:space="preserve"> </v>
      </c>
      <c r="HU35" s="10"/>
      <c r="HV35" s="53">
        <v>19</v>
      </c>
      <c r="HW35" s="55">
        <v>3.4060756362851663</v>
      </c>
      <c r="HX35" s="56">
        <v>0.18850415430747014</v>
      </c>
      <c r="HY35" s="10" t="str">
        <f t="shared" si="73"/>
        <v>NV</v>
      </c>
      <c r="HZ35" s="10" t="str">
        <f t="shared" si="74"/>
        <v xml:space="preserve"> </v>
      </c>
      <c r="IA35" s="10"/>
      <c r="IB35" s="54">
        <v>40</v>
      </c>
      <c r="IC35" s="57">
        <v>3.4054404152837523</v>
      </c>
      <c r="ID35" s="58">
        <v>0.18674467674265549</v>
      </c>
      <c r="IE35" s="10">
        <f t="shared" si="75"/>
        <v>0.76056806818377543</v>
      </c>
      <c r="IF35" s="10" t="str">
        <f t="shared" si="127"/>
        <v xml:space="preserve"> </v>
      </c>
      <c r="IG35" s="114">
        <f t="shared" si="76"/>
        <v>0.17580691676477045</v>
      </c>
      <c r="IH35" s="76"/>
      <c r="II35" s="27">
        <v>169</v>
      </c>
      <c r="IJ35" s="28">
        <v>3.5120135941280872</v>
      </c>
      <c r="IK35" s="29">
        <v>8.5520757253216104E-2</v>
      </c>
      <c r="IL35" s="10"/>
      <c r="IM35" s="42">
        <v>93</v>
      </c>
      <c r="IN35" s="43">
        <v>3.6646100501193604</v>
      </c>
      <c r="IO35" s="67">
        <v>0.11586554154973325</v>
      </c>
      <c r="IP35" s="10">
        <f t="shared" si="77"/>
        <v>-1.05963057784739</v>
      </c>
      <c r="IQ35" s="10" t="str">
        <f t="shared" si="78"/>
        <v xml:space="preserve"> </v>
      </c>
      <c r="IR35" s="114">
        <f t="shared" si="79"/>
        <v>-0.15259645599127314</v>
      </c>
      <c r="IS35" s="10"/>
      <c r="IT35" s="42">
        <v>122.52284921999993</v>
      </c>
      <c r="IU35" s="43">
        <v>3.6008620790217689</v>
      </c>
      <c r="IV35" s="67">
        <v>9.2425367275101297E-2</v>
      </c>
      <c r="IW35" s="10">
        <f t="shared" si="80"/>
        <v>-0.70558575686539315</v>
      </c>
      <c r="IX35" s="10" t="str">
        <f t="shared" si="81"/>
        <v xml:space="preserve"> </v>
      </c>
      <c r="IY35" s="10"/>
      <c r="IZ35" s="53">
        <v>107</v>
      </c>
      <c r="JA35" s="55">
        <v>3.7080310596296835</v>
      </c>
      <c r="JB35" s="56">
        <v>9.9045191062792359E-2</v>
      </c>
      <c r="JC35" s="10">
        <f t="shared" si="82"/>
        <v>-1.4979431549816571</v>
      </c>
      <c r="JD35" s="10" t="str">
        <f t="shared" si="83"/>
        <v xml:space="preserve"> </v>
      </c>
      <c r="JE35" s="10"/>
      <c r="JF35" s="54">
        <v>137</v>
      </c>
      <c r="JG35" s="57">
        <v>3.6530993273165393</v>
      </c>
      <c r="JH35" s="58">
        <v>9.0154802261457778E-2</v>
      </c>
      <c r="JI35" s="10">
        <f t="shared" si="84"/>
        <v>-1.1353655401950367</v>
      </c>
      <c r="JJ35" s="10" t="str">
        <f t="shared" si="85"/>
        <v xml:space="preserve"> </v>
      </c>
      <c r="JK35" s="114">
        <f t="shared" si="86"/>
        <v>-0.14108573318845208</v>
      </c>
      <c r="JL35" s="76"/>
      <c r="JM35" s="27">
        <v>8</v>
      </c>
      <c r="JN35" s="28">
        <v>3.25</v>
      </c>
      <c r="JO35" s="29">
        <v>0.49122277994821373</v>
      </c>
      <c r="JP35" s="10"/>
      <c r="JQ35" s="42">
        <v>9</v>
      </c>
      <c r="JR35" s="43">
        <v>3.7777777777777777</v>
      </c>
      <c r="JS35" s="67">
        <v>0.40029527199971493</v>
      </c>
      <c r="JT35" s="10" t="str">
        <f t="shared" si="87"/>
        <v>NV</v>
      </c>
      <c r="JU35" s="10" t="str">
        <f t="shared" si="88"/>
        <v xml:space="preserve"> </v>
      </c>
      <c r="JV35" s="114">
        <f t="shared" si="89"/>
        <v>-0.52777777777777768</v>
      </c>
      <c r="JW35" s="10"/>
      <c r="JX35" s="42">
        <v>12.871552070000002</v>
      </c>
      <c r="JY35" s="43">
        <v>3.9230769230769225</v>
      </c>
      <c r="JZ35" s="67">
        <v>0.21179912010800389</v>
      </c>
      <c r="KA35" s="10" t="str">
        <f t="shared" si="90"/>
        <v>NV</v>
      </c>
      <c r="KB35" s="10" t="str">
        <f t="shared" si="91"/>
        <v xml:space="preserve"> </v>
      </c>
      <c r="KC35" s="10"/>
      <c r="KD35" s="53">
        <v>9</v>
      </c>
      <c r="KE35" s="55">
        <v>3.6666666666666665</v>
      </c>
      <c r="KF35" s="56">
        <v>0.53396617992955542</v>
      </c>
      <c r="KG35" s="10" t="str">
        <f t="shared" si="92"/>
        <v>NV</v>
      </c>
      <c r="KH35" s="10" t="str">
        <f t="shared" si="93"/>
        <v xml:space="preserve"> </v>
      </c>
      <c r="KI35" s="10"/>
      <c r="KJ35" s="54">
        <v>12</v>
      </c>
      <c r="KK35" s="57">
        <v>2.8333333333333339</v>
      </c>
      <c r="KL35" s="58">
        <v>0.37945273132532009</v>
      </c>
      <c r="KM35" s="10" t="str">
        <f t="shared" si="94"/>
        <v>NV</v>
      </c>
      <c r="KN35" s="10" t="str">
        <f t="shared" si="95"/>
        <v xml:space="preserve"> </v>
      </c>
      <c r="KO35" s="114">
        <f t="shared" si="96"/>
        <v>0.41666666666666607</v>
      </c>
      <c r="KP35" s="76"/>
      <c r="KQ35" s="27">
        <v>138</v>
      </c>
      <c r="KR35" s="28">
        <v>3.3329709851871487</v>
      </c>
      <c r="KS35" s="29">
        <v>0.10606372595419622</v>
      </c>
      <c r="KT35" s="10"/>
      <c r="KU35" s="42">
        <v>84</v>
      </c>
      <c r="KV35" s="43">
        <v>3.3215622076413087</v>
      </c>
      <c r="KW35" s="67">
        <v>0.13774447075766713</v>
      </c>
      <c r="KX35" s="10">
        <f t="shared" si="97"/>
        <v>6.5625094893429159E-2</v>
      </c>
      <c r="KY35" s="10" t="str">
        <f t="shared" si="98"/>
        <v xml:space="preserve"> </v>
      </c>
      <c r="KZ35" s="114">
        <f t="shared" si="99"/>
        <v>1.1408777545840021E-2</v>
      </c>
      <c r="LA35" s="10"/>
      <c r="LB35" s="42">
        <v>110.66157113000001</v>
      </c>
      <c r="LC35" s="43">
        <v>3.4634927284716222</v>
      </c>
      <c r="LD35" s="67">
        <v>0.10652351016472242</v>
      </c>
      <c r="LE35" s="10">
        <f t="shared" si="100"/>
        <v>-0.86827972925102614</v>
      </c>
      <c r="LF35" s="10" t="str">
        <f t="shared" si="101"/>
        <v xml:space="preserve"> </v>
      </c>
      <c r="LG35" s="10"/>
      <c r="LH35" s="53">
        <v>188</v>
      </c>
      <c r="LI35" s="55">
        <v>3.2404694401619101</v>
      </c>
      <c r="LJ35" s="56">
        <v>8.3165368542258034E-2</v>
      </c>
      <c r="LK35" s="10">
        <f t="shared" si="102"/>
        <v>0.68630856929774853</v>
      </c>
      <c r="LL35" s="10" t="str">
        <f t="shared" si="103"/>
        <v xml:space="preserve"> </v>
      </c>
      <c r="LM35" s="10"/>
      <c r="LN35" s="54">
        <v>186</v>
      </c>
      <c r="LO35" s="57">
        <v>3.2364407568910569</v>
      </c>
      <c r="LP35" s="58">
        <v>8.7907867287839586E-2</v>
      </c>
      <c r="LQ35" s="10">
        <f t="shared" si="104"/>
        <v>0.7007224641388341</v>
      </c>
      <c r="LR35" s="10" t="str">
        <f t="shared" si="128"/>
        <v xml:space="preserve"> </v>
      </c>
      <c r="LS35" s="114">
        <f t="shared" si="105"/>
        <v>9.6530228296091813E-2</v>
      </c>
      <c r="LT35" s="76"/>
      <c r="LU35" s="27">
        <v>31</v>
      </c>
      <c r="LV35" s="28">
        <v>3.870967741935484</v>
      </c>
      <c r="LW35" s="29">
        <v>0.18982887281072972</v>
      </c>
      <c r="LX35" s="10"/>
      <c r="LY35" s="42">
        <v>32</v>
      </c>
      <c r="LZ35" s="43">
        <v>3.4377682402843832</v>
      </c>
      <c r="MA35" s="67">
        <v>0.20542467099760894</v>
      </c>
      <c r="MB35" s="10">
        <f t="shared" si="106"/>
        <v>1.5487786662194745</v>
      </c>
      <c r="MC35" s="10" t="str">
        <f t="shared" si="107"/>
        <v xml:space="preserve"> </v>
      </c>
      <c r="MD35" s="114">
        <f t="shared" si="108"/>
        <v>0.43319950165110077</v>
      </c>
      <c r="ME35" s="10"/>
      <c r="MF35" s="42">
        <v>51.486208279999943</v>
      </c>
      <c r="MG35" s="43">
        <v>3.7499999999999996</v>
      </c>
      <c r="MH35" s="67">
        <v>0.1582558706123442</v>
      </c>
      <c r="MI35" s="10">
        <f t="shared" si="109"/>
        <v>0.48946353073587939</v>
      </c>
      <c r="MJ35" s="10" t="str">
        <f t="shared" si="110"/>
        <v xml:space="preserve"> </v>
      </c>
      <c r="MK35" s="10"/>
      <c r="ML35" s="53">
        <v>99</v>
      </c>
      <c r="MM35" s="55">
        <v>3.2929292929292924</v>
      </c>
      <c r="MN35" s="56">
        <v>0.10399731305569591</v>
      </c>
      <c r="MO35" s="10">
        <f t="shared" si="111"/>
        <v>2.6705448771576612</v>
      </c>
      <c r="MP35" s="10" t="str">
        <f t="shared" si="112"/>
        <v>*</v>
      </c>
      <c r="MQ35" s="10"/>
      <c r="MR35" s="54">
        <v>97</v>
      </c>
      <c r="MS35" s="57">
        <v>3.3598463169307275</v>
      </c>
      <c r="MT35" s="58">
        <v>0.11601300713064826</v>
      </c>
      <c r="MU35" s="10">
        <f t="shared" si="113"/>
        <v>2.2974587713234502</v>
      </c>
      <c r="MV35" s="10" t="str">
        <f t="shared" si="114"/>
        <v>*</v>
      </c>
      <c r="MW35" s="114">
        <f t="shared" si="115"/>
        <v>0.51112142500475644</v>
      </c>
      <c r="MX35" s="76"/>
      <c r="MY35" s="27">
        <v>46</v>
      </c>
      <c r="MZ35" s="28">
        <v>3.7180193219533857</v>
      </c>
      <c r="NA35" s="29">
        <v>0.15431499128998619</v>
      </c>
      <c r="NB35" s="10"/>
      <c r="NC35" s="42">
        <v>37</v>
      </c>
      <c r="ND35" s="43">
        <v>3.5135278514557324</v>
      </c>
      <c r="NE35" s="67">
        <v>0.18434272429847814</v>
      </c>
      <c r="NF35" s="10">
        <f t="shared" si="116"/>
        <v>0.85060655334716484</v>
      </c>
      <c r="NG35" s="10" t="str">
        <f t="shared" si="117"/>
        <v xml:space="preserve"> </v>
      </c>
      <c r="NH35" s="114">
        <f t="shared" si="118"/>
        <v>0.20449147049765326</v>
      </c>
      <c r="NI35" s="10"/>
      <c r="NJ35" s="42">
        <v>26.219950930000007</v>
      </c>
      <c r="NK35" s="43">
        <v>3.7990654206765901</v>
      </c>
      <c r="NL35" s="67">
        <v>0.1982603911782112</v>
      </c>
      <c r="NM35" s="10" t="str">
        <f t="shared" si="119"/>
        <v>NV</v>
      </c>
      <c r="NN35" s="10" t="str">
        <f t="shared" si="120"/>
        <v xml:space="preserve"> </v>
      </c>
      <c r="NO35" s="10"/>
      <c r="NP35" s="53">
        <v>49</v>
      </c>
      <c r="NQ35" s="55">
        <v>3.3216709693030646</v>
      </c>
      <c r="NR35" s="56">
        <v>0.16936669418832939</v>
      </c>
      <c r="NS35" s="10">
        <f t="shared" si="121"/>
        <v>1.7298357856872326</v>
      </c>
      <c r="NT35" s="10" t="str">
        <f t="shared" si="122"/>
        <v xml:space="preserve"> </v>
      </c>
      <c r="NU35" s="10"/>
      <c r="NV35" s="54">
        <v>37</v>
      </c>
      <c r="NW35" s="57">
        <v>3.7445247661584049</v>
      </c>
      <c r="NX35" s="58">
        <v>0.17398529478547076</v>
      </c>
      <c r="NY35" s="10">
        <f t="shared" si="123"/>
        <v>-0.11397266084103334</v>
      </c>
      <c r="NZ35" s="10" t="str">
        <f t="shared" si="129"/>
        <v xml:space="preserve"> </v>
      </c>
      <c r="OA35" s="114">
        <f t="shared" si="124"/>
        <v>-2.6505444205019213E-2</v>
      </c>
      <c r="OB35" s="58"/>
    </row>
    <row r="36" spans="1:392" x14ac:dyDescent="0.2">
      <c r="B36" s="65" t="s">
        <v>32</v>
      </c>
      <c r="C36" s="27">
        <v>264</v>
      </c>
      <c r="D36" s="28">
        <v>3.4053030303030303</v>
      </c>
      <c r="E36" s="29">
        <v>7.0595025614418619E-2</v>
      </c>
      <c r="F36" s="10"/>
      <c r="G36" s="42">
        <v>85</v>
      </c>
      <c r="H36" s="43">
        <v>3.2937555643012875</v>
      </c>
      <c r="I36" s="67">
        <v>0.12316375775009873</v>
      </c>
      <c r="J36" s="10">
        <f t="shared" si="1"/>
        <v>0.78576049793501435</v>
      </c>
      <c r="K36" s="10" t="str">
        <f t="shared" si="2"/>
        <v xml:space="preserve"> </v>
      </c>
      <c r="L36" s="114">
        <f t="shared" si="3"/>
        <v>0.11154746600174281</v>
      </c>
      <c r="M36" s="10"/>
      <c r="N36" s="42">
        <v>91.49704344000007</v>
      </c>
      <c r="O36" s="43">
        <v>3.329545454545455</v>
      </c>
      <c r="P36" s="67">
        <v>9.202598911396502E-2</v>
      </c>
      <c r="Q36" s="10">
        <f t="shared" si="4"/>
        <v>0.65316895087622739</v>
      </c>
      <c r="R36" s="10" t="str">
        <f t="shared" si="5"/>
        <v xml:space="preserve"> </v>
      </c>
      <c r="S36" s="10"/>
      <c r="T36" s="53">
        <v>92</v>
      </c>
      <c r="U36" s="55">
        <v>3.3913043478260869</v>
      </c>
      <c r="V36" s="56">
        <v>0.10708178093210231</v>
      </c>
      <c r="W36" s="10">
        <f t="shared" si="6"/>
        <v>0.10914454323279521</v>
      </c>
      <c r="X36" s="10" t="str">
        <f t="shared" si="7"/>
        <v xml:space="preserve"> </v>
      </c>
      <c r="Y36" s="10"/>
      <c r="Z36" s="54">
        <v>107</v>
      </c>
      <c r="AA36" s="57">
        <v>3.4392523364485985</v>
      </c>
      <c r="AB36" s="58">
        <v>9.7921711976334119E-2</v>
      </c>
      <c r="AC36" s="10">
        <f t="shared" si="8"/>
        <v>-0.28123318350225285</v>
      </c>
      <c r="AD36" s="10" t="str">
        <f t="shared" si="9"/>
        <v xml:space="preserve"> </v>
      </c>
      <c r="AE36" s="114">
        <f t="shared" si="10"/>
        <v>-3.3949306145568237E-2</v>
      </c>
      <c r="AF36" s="76"/>
      <c r="AG36" s="27">
        <v>51</v>
      </c>
      <c r="AH36" s="28">
        <v>3.2157744067421419</v>
      </c>
      <c r="AI36" s="29">
        <v>0.13871865303361236</v>
      </c>
      <c r="AJ36" s="67"/>
      <c r="AK36" s="42">
        <v>20</v>
      </c>
      <c r="AL36" s="43">
        <v>3.2007949319992099</v>
      </c>
      <c r="AM36" s="67">
        <v>0.23530849424187258</v>
      </c>
      <c r="AN36" s="10" t="str">
        <f t="shared" si="11"/>
        <v>NV</v>
      </c>
      <c r="AO36" s="10" t="str">
        <f t="shared" si="12"/>
        <v xml:space="preserve"> </v>
      </c>
      <c r="AP36" s="114">
        <f t="shared" si="13"/>
        <v>1.4979474742931931E-2</v>
      </c>
      <c r="AQ36" s="67"/>
      <c r="AR36" s="42">
        <v>50.803403850000002</v>
      </c>
      <c r="AS36" s="43">
        <v>3.0907049335435421</v>
      </c>
      <c r="AT36" s="67">
        <v>0.15144130898453192</v>
      </c>
      <c r="AU36" s="10">
        <f t="shared" si="14"/>
        <v>0.60899223366975164</v>
      </c>
      <c r="AV36" s="10" t="str">
        <f t="shared" si="15"/>
        <v xml:space="preserve"> </v>
      </c>
      <c r="AW36" s="10"/>
      <c r="AX36" s="53">
        <v>59</v>
      </c>
      <c r="AY36" s="55">
        <v>3.3444089879689196</v>
      </c>
      <c r="AZ36" s="56">
        <v>0.14553337181014572</v>
      </c>
      <c r="BA36" s="10">
        <f t="shared" si="16"/>
        <v>-0.63980023530063179</v>
      </c>
      <c r="BB36" s="10" t="str">
        <f t="shared" si="17"/>
        <v xml:space="preserve"> </v>
      </c>
      <c r="BC36" s="10"/>
      <c r="BD36" s="54">
        <v>41</v>
      </c>
      <c r="BE36" s="57">
        <v>3.0540685365880842</v>
      </c>
      <c r="BF36" s="58">
        <v>0.1365405696217882</v>
      </c>
      <c r="BG36" s="10">
        <f t="shared" si="18"/>
        <v>0.83077861452544144</v>
      </c>
      <c r="BH36" s="10" t="str">
        <f t="shared" si="19"/>
        <v xml:space="preserve"> </v>
      </c>
      <c r="BI36" s="114">
        <f t="shared" si="20"/>
        <v>0.16170587015405768</v>
      </c>
      <c r="BJ36" s="76"/>
      <c r="BK36" s="27">
        <v>696</v>
      </c>
      <c r="BL36" s="28">
        <v>3.8100872110102362</v>
      </c>
      <c r="BM36" s="29">
        <v>3.6376930187584443E-2</v>
      </c>
      <c r="BN36" s="10"/>
      <c r="BO36" s="42">
        <v>217</v>
      </c>
      <c r="BP36" s="43">
        <v>3.8617457548160412</v>
      </c>
      <c r="BQ36" s="67">
        <v>6.729141314649896E-2</v>
      </c>
      <c r="BR36" s="10">
        <f t="shared" si="21"/>
        <v>-0.67532324254159004</v>
      </c>
      <c r="BS36" s="10" t="str">
        <f t="shared" si="22"/>
        <v xml:space="preserve"> </v>
      </c>
      <c r="BT36" s="114">
        <f t="shared" si="23"/>
        <v>-5.1658543805805035E-2</v>
      </c>
      <c r="BU36" s="10"/>
      <c r="BV36" s="42">
        <v>237.36587096999895</v>
      </c>
      <c r="BW36" s="43">
        <v>3.6256651759290621</v>
      </c>
      <c r="BX36" s="67">
        <v>4.1954636998015944E-2</v>
      </c>
      <c r="BY36" s="10">
        <f t="shared" si="24"/>
        <v>3.3211826632878507</v>
      </c>
      <c r="BZ36" s="10" t="str">
        <f t="shared" si="25"/>
        <v>*</v>
      </c>
      <c r="CA36" s="10"/>
      <c r="CB36" s="53">
        <v>268</v>
      </c>
      <c r="CC36" s="55">
        <v>3.7022184245953484</v>
      </c>
      <c r="CD36" s="56">
        <v>3.6389480534822785E-2</v>
      </c>
      <c r="CE36" s="10">
        <f t="shared" si="26"/>
        <v>2.0964274164577881</v>
      </c>
      <c r="CF36" s="10" t="str">
        <f t="shared" si="27"/>
        <v>*</v>
      </c>
      <c r="CG36" s="10"/>
      <c r="CH36" s="54">
        <v>219</v>
      </c>
      <c r="CI36" s="57">
        <v>3.6275917956986188</v>
      </c>
      <c r="CJ36" s="58">
        <v>6.5316339132155052E-2</v>
      </c>
      <c r="CK36" s="10">
        <f t="shared" si="28"/>
        <v>2.4409859289749369</v>
      </c>
      <c r="CL36" s="10" t="str">
        <f t="shared" si="29"/>
        <v>*</v>
      </c>
      <c r="CM36" s="114">
        <f t="shared" si="30"/>
        <v>0.18249541531161739</v>
      </c>
      <c r="CN36" s="76"/>
      <c r="CO36" s="27">
        <v>379</v>
      </c>
      <c r="CP36" s="28">
        <v>3.6816438009894066</v>
      </c>
      <c r="CQ36" s="29">
        <v>5.1779157852817059E-2</v>
      </c>
      <c r="CR36" s="67"/>
      <c r="CS36" s="42">
        <v>127</v>
      </c>
      <c r="CT36" s="43">
        <v>3.6211973649067284</v>
      </c>
      <c r="CU36" s="67">
        <v>9.5257858288854774E-2</v>
      </c>
      <c r="CV36" s="10">
        <f t="shared" si="31"/>
        <v>0.55751529081689821</v>
      </c>
      <c r="CW36" s="10" t="str">
        <f t="shared" si="32"/>
        <v xml:space="preserve"> </v>
      </c>
      <c r="CX36" s="114">
        <f t="shared" si="33"/>
        <v>6.044643608267819E-2</v>
      </c>
      <c r="CY36" s="10"/>
      <c r="CZ36" s="42">
        <v>145.16416046999984</v>
      </c>
      <c r="DA36" s="43">
        <v>3.786098990484521</v>
      </c>
      <c r="DB36" s="67">
        <v>7.4021498049563053E-2</v>
      </c>
      <c r="DC36" s="10">
        <f t="shared" si="34"/>
        <v>-1.1563197238316119</v>
      </c>
      <c r="DD36" s="10" t="str">
        <f t="shared" si="35"/>
        <v xml:space="preserve"> </v>
      </c>
      <c r="DE36" s="10"/>
      <c r="DF36" s="53">
        <v>108</v>
      </c>
      <c r="DG36" s="55">
        <v>3.7955228718862029</v>
      </c>
      <c r="DH36" s="56">
        <v>0.10312246880770745</v>
      </c>
      <c r="DI36" s="10">
        <f t="shared" si="36"/>
        <v>-0.98688837565501331</v>
      </c>
      <c r="DJ36" s="10" t="str">
        <f t="shared" si="0"/>
        <v xml:space="preserve"> </v>
      </c>
      <c r="DK36" s="10"/>
      <c r="DL36" s="54">
        <v>153</v>
      </c>
      <c r="DM36" s="57">
        <v>3.5771816160274703</v>
      </c>
      <c r="DN36" s="58">
        <v>7.4612593592398316E-2</v>
      </c>
      <c r="DO36" s="10">
        <f t="shared" si="37"/>
        <v>1.1502218460875473</v>
      </c>
      <c r="DP36" s="10" t="str">
        <f t="shared" si="38"/>
        <v xml:space="preserve"> </v>
      </c>
      <c r="DQ36" s="114">
        <f t="shared" si="39"/>
        <v>0.10446218496193627</v>
      </c>
      <c r="DR36" s="76"/>
      <c r="DS36" s="27">
        <v>130</v>
      </c>
      <c r="DT36" s="28">
        <v>3.1064673264660199</v>
      </c>
      <c r="DU36" s="29">
        <v>0.1082166083171595</v>
      </c>
      <c r="DV36" s="10"/>
      <c r="DW36" s="42">
        <v>62</v>
      </c>
      <c r="DX36" s="43">
        <v>2.7579844928108415</v>
      </c>
      <c r="DY36" s="67">
        <v>0.15737229770042552</v>
      </c>
      <c r="DZ36" s="10">
        <f t="shared" si="40"/>
        <v>1.8246206288955236</v>
      </c>
      <c r="EA36" s="10" t="str">
        <f t="shared" si="41"/>
        <v xml:space="preserve"> </v>
      </c>
      <c r="EB36" s="114">
        <f t="shared" si="42"/>
        <v>0.3484828336551784</v>
      </c>
      <c r="EC36" s="10"/>
      <c r="ED36" s="42">
        <v>60.443882880000025</v>
      </c>
      <c r="EE36" s="43">
        <v>3.018597534050413</v>
      </c>
      <c r="EF36" s="67">
        <v>0.14410595969508094</v>
      </c>
      <c r="EG36" s="10">
        <f t="shared" si="43"/>
        <v>0.48758375518898306</v>
      </c>
      <c r="EH36" s="10" t="str">
        <f t="shared" si="44"/>
        <v xml:space="preserve"> </v>
      </c>
      <c r="EI36" s="10"/>
      <c r="EJ36" s="53">
        <v>70</v>
      </c>
      <c r="EK36" s="55">
        <v>2.8352457748926008</v>
      </c>
      <c r="EL36" s="56">
        <v>0.13464180563118508</v>
      </c>
      <c r="EM36" s="10">
        <f t="shared" si="45"/>
        <v>1.5701105926404217</v>
      </c>
      <c r="EN36" s="10" t="str">
        <f t="shared" si="46"/>
        <v xml:space="preserve"> </v>
      </c>
      <c r="EO36" s="10"/>
      <c r="EP36" s="54">
        <v>43</v>
      </c>
      <c r="EQ36" s="57">
        <v>3.3255813953488365</v>
      </c>
      <c r="ER36" s="58">
        <v>0.13453156074930622</v>
      </c>
      <c r="ES36" s="10">
        <f t="shared" si="47"/>
        <v>-1.2690898491225922</v>
      </c>
      <c r="ET36" s="10" t="str">
        <f t="shared" si="48"/>
        <v xml:space="preserve"> </v>
      </c>
      <c r="EU36" s="114">
        <f t="shared" si="49"/>
        <v>-0.21911406888281659</v>
      </c>
      <c r="EV36" s="76"/>
      <c r="EW36" s="27">
        <v>281</v>
      </c>
      <c r="EX36" s="28">
        <v>3.7635469211617929</v>
      </c>
      <c r="EY36" s="29">
        <v>6.115300237179077E-2</v>
      </c>
      <c r="EZ36" s="10"/>
      <c r="FA36" s="42">
        <v>90</v>
      </c>
      <c r="FB36" s="43">
        <v>3.7556379512195219</v>
      </c>
      <c r="FC36" s="67">
        <v>0.10981816376990691</v>
      </c>
      <c r="FD36" s="10">
        <f t="shared" si="50"/>
        <v>6.2920946412453896E-2</v>
      </c>
      <c r="FE36" s="10" t="str">
        <f t="shared" si="51"/>
        <v xml:space="preserve"> </v>
      </c>
      <c r="FF36" s="114">
        <f t="shared" si="52"/>
        <v>7.9089699422709714E-3</v>
      </c>
      <c r="FG36" s="10"/>
      <c r="FH36" s="42">
        <v>93.517076220000021</v>
      </c>
      <c r="FI36" s="43">
        <v>3.2596188394821475</v>
      </c>
      <c r="FJ36" s="67">
        <v>8.7914655397111685E-2</v>
      </c>
      <c r="FK36" s="10">
        <f t="shared" si="53"/>
        <v>4.705566465840004</v>
      </c>
      <c r="FL36" s="10" t="str">
        <f t="shared" si="54"/>
        <v>*</v>
      </c>
      <c r="FM36" s="10"/>
      <c r="FN36" s="53">
        <v>104</v>
      </c>
      <c r="FO36" s="55">
        <v>3.6944746884781665</v>
      </c>
      <c r="FP36" s="56">
        <v>8.9470364539923408E-2</v>
      </c>
      <c r="FQ36" s="10">
        <f t="shared" si="55"/>
        <v>0.6373584042538637</v>
      </c>
      <c r="FR36" s="10" t="str">
        <f t="shared" si="56"/>
        <v xml:space="preserve"> </v>
      </c>
      <c r="FS36" s="10"/>
      <c r="FT36" s="54">
        <v>93</v>
      </c>
      <c r="FU36" s="57">
        <v>3.3151323123420053</v>
      </c>
      <c r="FV36" s="58">
        <v>9.8622021948907193E-2</v>
      </c>
      <c r="FW36" s="10">
        <f t="shared" si="57"/>
        <v>3.8642085952291549</v>
      </c>
      <c r="FX36" s="10" t="str">
        <f t="shared" si="125"/>
        <v>*</v>
      </c>
      <c r="FY36" s="114">
        <f t="shared" si="58"/>
        <v>0.44841460881978756</v>
      </c>
      <c r="FZ36" s="76"/>
      <c r="GA36" s="27">
        <v>89</v>
      </c>
      <c r="GB36" s="28">
        <v>3.0203175865317133</v>
      </c>
      <c r="GC36" s="29">
        <v>0.1382436073893949</v>
      </c>
      <c r="GD36" s="67"/>
      <c r="GE36" s="42">
        <v>68</v>
      </c>
      <c r="GF36" s="43">
        <v>3.0897489070444171</v>
      </c>
      <c r="GG36" s="67">
        <v>0.15600383649734748</v>
      </c>
      <c r="GH36" s="10">
        <f t="shared" si="59"/>
        <v>-0.3330949675971121</v>
      </c>
      <c r="GI36" s="10" t="str">
        <f t="shared" si="60"/>
        <v xml:space="preserve"> </v>
      </c>
      <c r="GJ36" s="114">
        <f t="shared" si="61"/>
        <v>-6.9431320512703731E-2</v>
      </c>
      <c r="GK36" s="67"/>
      <c r="GL36" s="42">
        <v>86.695930609999948</v>
      </c>
      <c r="GM36" s="43">
        <v>3.3360436275960521</v>
      </c>
      <c r="GN36" s="67">
        <v>0.12661362486305994</v>
      </c>
      <c r="GO36" s="10">
        <f t="shared" si="62"/>
        <v>-1.6842062792594257</v>
      </c>
      <c r="GP36" s="10" t="str">
        <f t="shared" si="63"/>
        <v xml:space="preserve"> </v>
      </c>
      <c r="GQ36" s="10"/>
      <c r="GR36" s="53">
        <v>91</v>
      </c>
      <c r="GS36" s="55">
        <v>3.0465434623978016</v>
      </c>
      <c r="GT36" s="56">
        <v>0.12758851326874482</v>
      </c>
      <c r="GU36" s="10">
        <f t="shared" si="64"/>
        <v>-0.13940840581542524</v>
      </c>
      <c r="GV36" s="10" t="str">
        <f t="shared" si="65"/>
        <v xml:space="preserve"> </v>
      </c>
      <c r="GW36" s="10"/>
      <c r="GX36" s="54">
        <v>82</v>
      </c>
      <c r="GY36" s="57">
        <v>3.293937538446543</v>
      </c>
      <c r="GZ36" s="58">
        <v>0.13732931571128509</v>
      </c>
      <c r="HA36" s="10">
        <f t="shared" si="66"/>
        <v>-1.4041833749289143</v>
      </c>
      <c r="HB36" s="10" t="str">
        <f t="shared" si="126"/>
        <v xml:space="preserve"> </v>
      </c>
      <c r="HC36" s="114">
        <f t="shared" si="67"/>
        <v>-0.27361995191482968</v>
      </c>
      <c r="HD36" s="76"/>
      <c r="HE36" s="27">
        <v>112</v>
      </c>
      <c r="HF36" s="28">
        <v>2.8841510019017469</v>
      </c>
      <c r="HG36" s="29">
        <v>0.12062604246801958</v>
      </c>
      <c r="HH36" s="10"/>
      <c r="HI36" s="42">
        <v>71</v>
      </c>
      <c r="HJ36" s="43">
        <v>2.889970201555494</v>
      </c>
      <c r="HK36" s="67">
        <v>0.1583783522500147</v>
      </c>
      <c r="HL36" s="10">
        <f t="shared" si="68"/>
        <v>-2.9229905914653333E-2</v>
      </c>
      <c r="HM36" s="10" t="str">
        <f t="shared" si="69"/>
        <v xml:space="preserve"> </v>
      </c>
      <c r="HN36" s="114">
        <f t="shared" si="70"/>
        <v>-5.8191996537471091E-3</v>
      </c>
      <c r="HO36" s="10"/>
      <c r="HP36" s="42">
        <v>64.783741069999948</v>
      </c>
      <c r="HQ36" s="43">
        <v>2.9811794846999877</v>
      </c>
      <c r="HR36" s="67">
        <v>0.16830609365871885</v>
      </c>
      <c r="HS36" s="10">
        <f t="shared" si="71"/>
        <v>-0.46858036996750135</v>
      </c>
      <c r="HT36" s="10" t="str">
        <f t="shared" si="72"/>
        <v xml:space="preserve"> </v>
      </c>
      <c r="HU36" s="10"/>
      <c r="HV36" s="53">
        <v>47</v>
      </c>
      <c r="HW36" s="55">
        <v>2.9469601439332487</v>
      </c>
      <c r="HX36" s="56">
        <v>0.1469413434502348</v>
      </c>
      <c r="HY36" s="10">
        <f t="shared" si="73"/>
        <v>-0.3303804677809335</v>
      </c>
      <c r="HZ36" s="10" t="str">
        <f t="shared" si="74"/>
        <v xml:space="preserve"> </v>
      </c>
      <c r="IA36" s="10"/>
      <c r="IB36" s="54">
        <v>69</v>
      </c>
      <c r="IC36" s="57">
        <v>3.2349849854271779</v>
      </c>
      <c r="ID36" s="58">
        <v>0.15190765014857749</v>
      </c>
      <c r="IE36" s="10">
        <f t="shared" si="75"/>
        <v>-1.8086490441290159</v>
      </c>
      <c r="IF36" s="10" t="str">
        <f t="shared" si="127"/>
        <v xml:space="preserve"> </v>
      </c>
      <c r="IG36" s="114">
        <f t="shared" si="76"/>
        <v>-0.35083398352543105</v>
      </c>
      <c r="IH36" s="76"/>
      <c r="II36" s="27">
        <v>291</v>
      </c>
      <c r="IJ36" s="28">
        <v>3.6971086015043348</v>
      </c>
      <c r="IK36" s="29">
        <v>5.5913493228317998E-2</v>
      </c>
      <c r="IL36" s="10"/>
      <c r="IM36" s="42">
        <v>221</v>
      </c>
      <c r="IN36" s="43">
        <v>3.6786503372903891</v>
      </c>
      <c r="IO36" s="67">
        <v>6.8221247525229123E-2</v>
      </c>
      <c r="IP36" s="10">
        <f t="shared" si="77"/>
        <v>0.20926099951613847</v>
      </c>
      <c r="IQ36" s="10" t="str">
        <f t="shared" si="78"/>
        <v xml:space="preserve"> </v>
      </c>
      <c r="IR36" s="114">
        <f t="shared" si="79"/>
        <v>1.8458264213945696E-2</v>
      </c>
      <c r="IS36" s="10"/>
      <c r="IT36" s="42">
        <v>223.48709402000088</v>
      </c>
      <c r="IU36" s="43">
        <v>3.4856622968585675</v>
      </c>
      <c r="IV36" s="67">
        <v>6.9180398648154312E-2</v>
      </c>
      <c r="IW36" s="10">
        <f t="shared" si="80"/>
        <v>2.3771150469433318</v>
      </c>
      <c r="IX36" s="10" t="str">
        <f t="shared" si="81"/>
        <v>*</v>
      </c>
      <c r="IY36" s="10"/>
      <c r="IZ36" s="53">
        <v>204</v>
      </c>
      <c r="JA36" s="55">
        <v>3.7801606137193691</v>
      </c>
      <c r="JB36" s="56">
        <v>7.2013526263677685E-2</v>
      </c>
      <c r="JC36" s="10">
        <f t="shared" si="82"/>
        <v>-0.91094136796875769</v>
      </c>
      <c r="JD36" s="10" t="str">
        <f t="shared" si="83"/>
        <v xml:space="preserve"> </v>
      </c>
      <c r="JE36" s="10"/>
      <c r="JF36" s="54">
        <v>220</v>
      </c>
      <c r="JG36" s="57">
        <v>3.6249419417884927</v>
      </c>
      <c r="JH36" s="58">
        <v>6.9417767604289846E-2</v>
      </c>
      <c r="JI36" s="10">
        <f t="shared" si="84"/>
        <v>0.80962830951884013</v>
      </c>
      <c r="JJ36" s="10" t="str">
        <f t="shared" si="85"/>
        <v xml:space="preserve"> </v>
      </c>
      <c r="JK36" s="114">
        <f t="shared" si="86"/>
        <v>7.216665971584213E-2</v>
      </c>
      <c r="JL36" s="76"/>
      <c r="JM36" s="27">
        <v>15</v>
      </c>
      <c r="JN36" s="28">
        <v>2.0666666666666673</v>
      </c>
      <c r="JO36" s="29">
        <v>0.24827806869579727</v>
      </c>
      <c r="JP36" s="10"/>
      <c r="JQ36" s="42">
        <v>17</v>
      </c>
      <c r="JR36" s="43">
        <v>2.64971098207497</v>
      </c>
      <c r="JS36" s="67">
        <v>0.38324428592385495</v>
      </c>
      <c r="JT36" s="10" t="str">
        <f t="shared" si="87"/>
        <v>NV</v>
      </c>
      <c r="JU36" s="10" t="str">
        <f t="shared" si="88"/>
        <v xml:space="preserve"> </v>
      </c>
      <c r="JV36" s="114">
        <f t="shared" si="89"/>
        <v>-0.5830443154083027</v>
      </c>
      <c r="JW36" s="10"/>
      <c r="JX36" s="42">
        <v>19.802387800000002</v>
      </c>
      <c r="JY36" s="43">
        <v>3.6500000000000004</v>
      </c>
      <c r="JZ36" s="67">
        <v>0.20978648112287893</v>
      </c>
      <c r="KA36" s="10" t="str">
        <f t="shared" si="90"/>
        <v>NV</v>
      </c>
      <c r="KB36" s="10" t="str">
        <f t="shared" si="91"/>
        <v xml:space="preserve"> </v>
      </c>
      <c r="KC36" s="10"/>
      <c r="KD36" s="53">
        <v>19</v>
      </c>
      <c r="KE36" s="55">
        <v>2.1052631578947363</v>
      </c>
      <c r="KF36" s="56">
        <v>0.23087637436506903</v>
      </c>
      <c r="KG36" s="10" t="str">
        <f t="shared" si="92"/>
        <v>NV</v>
      </c>
      <c r="KH36" s="10" t="str">
        <f t="shared" si="93"/>
        <v xml:space="preserve"> </v>
      </c>
      <c r="KI36" s="10"/>
      <c r="KJ36" s="54">
        <v>25</v>
      </c>
      <c r="KK36" s="57">
        <v>1.8399999999999996</v>
      </c>
      <c r="KL36" s="58">
        <v>0.22110979378641227</v>
      </c>
      <c r="KM36" s="10" t="str">
        <f t="shared" si="94"/>
        <v>NV</v>
      </c>
      <c r="KN36" s="10" t="str">
        <f t="shared" si="95"/>
        <v xml:space="preserve"> </v>
      </c>
      <c r="KO36" s="114">
        <f t="shared" si="96"/>
        <v>0.22666666666666768</v>
      </c>
      <c r="KP36" s="76"/>
      <c r="KQ36" s="27">
        <v>237</v>
      </c>
      <c r="KR36" s="28">
        <v>2.7927700492478906</v>
      </c>
      <c r="KS36" s="29">
        <v>8.0729801285099059E-2</v>
      </c>
      <c r="KT36" s="10"/>
      <c r="KU36" s="42">
        <v>133</v>
      </c>
      <c r="KV36" s="43">
        <v>2.6936604103919666</v>
      </c>
      <c r="KW36" s="67">
        <v>0.11411926513736199</v>
      </c>
      <c r="KX36" s="10">
        <f t="shared" si="97"/>
        <v>0.70900283913133566</v>
      </c>
      <c r="KY36" s="10" t="str">
        <f t="shared" si="98"/>
        <v xml:space="preserve"> </v>
      </c>
      <c r="KZ36" s="114">
        <f t="shared" si="99"/>
        <v>9.9109638855924054E-2</v>
      </c>
      <c r="LA36" s="10"/>
      <c r="LB36" s="42">
        <v>174.02921208999979</v>
      </c>
      <c r="LC36" s="43">
        <v>3.0484644366236542</v>
      </c>
      <c r="LD36" s="67">
        <v>9.0729690947281297E-2</v>
      </c>
      <c r="LE36" s="10">
        <f t="shared" si="100"/>
        <v>-2.1054129605886596</v>
      </c>
      <c r="LF36" s="10" t="str">
        <f t="shared" si="101"/>
        <v>*</v>
      </c>
      <c r="LG36" s="10"/>
      <c r="LH36" s="53">
        <v>314</v>
      </c>
      <c r="LI36" s="55">
        <v>2.71684107490722</v>
      </c>
      <c r="LJ36" s="56">
        <v>7.0500305940613892E-2</v>
      </c>
      <c r="LK36" s="10">
        <f t="shared" si="102"/>
        <v>0.70842355863335593</v>
      </c>
      <c r="LL36" s="10" t="str">
        <f t="shared" si="103"/>
        <v xml:space="preserve"> </v>
      </c>
      <c r="LM36" s="10"/>
      <c r="LN36" s="54">
        <v>302</v>
      </c>
      <c r="LO36" s="57">
        <v>2.7908379746368706</v>
      </c>
      <c r="LP36" s="58">
        <v>6.8520149230802976E-2</v>
      </c>
      <c r="LQ36" s="10">
        <f t="shared" si="104"/>
        <v>1.8246363097538347E-2</v>
      </c>
      <c r="LR36" s="10" t="str">
        <f t="shared" si="128"/>
        <v xml:space="preserve"> </v>
      </c>
      <c r="LS36" s="114">
        <f t="shared" si="105"/>
        <v>1.9320746110200737E-3</v>
      </c>
      <c r="LT36" s="76"/>
      <c r="LU36" s="27">
        <v>65</v>
      </c>
      <c r="LV36" s="28">
        <v>3.3999999999999995</v>
      </c>
      <c r="LW36" s="29">
        <v>0.15006312460997331</v>
      </c>
      <c r="LX36" s="10"/>
      <c r="LY36" s="42">
        <v>74</v>
      </c>
      <c r="LZ36" s="43">
        <v>3.2296473084243802</v>
      </c>
      <c r="MA36" s="67">
        <v>0.13948197152435093</v>
      </c>
      <c r="MB36" s="10">
        <f t="shared" si="106"/>
        <v>0.83149182544694855</v>
      </c>
      <c r="MC36" s="10" t="str">
        <f t="shared" si="107"/>
        <v xml:space="preserve"> </v>
      </c>
      <c r="MD36" s="114">
        <f t="shared" si="108"/>
        <v>0.17035269157561927</v>
      </c>
      <c r="ME36" s="10"/>
      <c r="MF36" s="42">
        <v>100.00205839000004</v>
      </c>
      <c r="MG36" s="43">
        <v>3.5445544554455455</v>
      </c>
      <c r="MH36" s="67">
        <v>0.11792392461692267</v>
      </c>
      <c r="MI36" s="10">
        <f t="shared" si="109"/>
        <v>-0.75741123226370599</v>
      </c>
      <c r="MJ36" s="10" t="str">
        <f t="shared" si="110"/>
        <v xml:space="preserve"> </v>
      </c>
      <c r="MK36" s="10"/>
      <c r="ML36" s="53">
        <v>203</v>
      </c>
      <c r="MM36" s="55">
        <v>3.3103448275862073</v>
      </c>
      <c r="MN36" s="56">
        <v>6.8036362922288277E-2</v>
      </c>
      <c r="MO36" s="10">
        <f t="shared" si="111"/>
        <v>0.54413583152492817</v>
      </c>
      <c r="MP36" s="10" t="str">
        <f t="shared" si="112"/>
        <v xml:space="preserve"> </v>
      </c>
      <c r="MQ36" s="10"/>
      <c r="MR36" s="54">
        <v>198</v>
      </c>
      <c r="MS36" s="57">
        <v>3.1369868471017077</v>
      </c>
      <c r="MT36" s="58">
        <v>8.5938695518949129E-2</v>
      </c>
      <c r="MU36" s="10">
        <f t="shared" si="113"/>
        <v>1.5209324130859478</v>
      </c>
      <c r="MV36" s="10" t="str">
        <f t="shared" si="114"/>
        <v xml:space="preserve"> </v>
      </c>
      <c r="MW36" s="114">
        <f t="shared" si="115"/>
        <v>0.26301315289829175</v>
      </c>
      <c r="MX36" s="76"/>
      <c r="MY36" s="27">
        <v>82</v>
      </c>
      <c r="MZ36" s="28">
        <v>3.2925235516016778</v>
      </c>
      <c r="NA36" s="29">
        <v>0.12805770727292606</v>
      </c>
      <c r="NB36" s="10"/>
      <c r="NC36" s="42">
        <v>63</v>
      </c>
      <c r="ND36" s="43">
        <v>3.2236431687451725</v>
      </c>
      <c r="NE36" s="67">
        <v>0.15423160325592583</v>
      </c>
      <c r="NF36" s="10">
        <f t="shared" si="116"/>
        <v>0.3436032611960167</v>
      </c>
      <c r="NG36" s="10" t="str">
        <f t="shared" si="117"/>
        <v xml:space="preserve"> </v>
      </c>
      <c r="NH36" s="114">
        <f t="shared" si="118"/>
        <v>6.8880382856505218E-2</v>
      </c>
      <c r="NI36" s="10"/>
      <c r="NJ36" s="42">
        <v>64.993556069999912</v>
      </c>
      <c r="NK36" s="43">
        <v>3.5002802263193664</v>
      </c>
      <c r="NL36" s="67">
        <v>0.13918186481592806</v>
      </c>
      <c r="NM36" s="10">
        <f t="shared" si="119"/>
        <v>-1.09848285310358</v>
      </c>
      <c r="NN36" s="10" t="str">
        <f t="shared" si="120"/>
        <v xml:space="preserve"> </v>
      </c>
      <c r="NO36" s="10"/>
      <c r="NP36" s="53">
        <v>98</v>
      </c>
      <c r="NQ36" s="55">
        <v>3.0735155146745781</v>
      </c>
      <c r="NR36" s="56">
        <v>0.11423300036975235</v>
      </c>
      <c r="NS36" s="10">
        <f t="shared" si="121"/>
        <v>1.2762403866263246</v>
      </c>
      <c r="NT36" s="10" t="str">
        <f t="shared" si="122"/>
        <v xml:space="preserve"> </v>
      </c>
      <c r="NU36" s="10"/>
      <c r="NV36" s="54">
        <v>87</v>
      </c>
      <c r="NW36" s="57">
        <v>3.395143699556491</v>
      </c>
      <c r="NX36" s="58">
        <v>0.11994946624106317</v>
      </c>
      <c r="NY36" s="10">
        <f t="shared" si="123"/>
        <v>-0.58485931775959765</v>
      </c>
      <c r="NZ36" s="10" t="str">
        <f t="shared" si="129"/>
        <v xml:space="preserve"> </v>
      </c>
      <c r="OA36" s="114">
        <f t="shared" si="124"/>
        <v>-0.10262014795481322</v>
      </c>
      <c r="OB36" s="58"/>
    </row>
    <row r="37" spans="1:392" x14ac:dyDescent="0.2">
      <c r="B37" s="65" t="s">
        <v>33</v>
      </c>
      <c r="C37" s="27">
        <v>252</v>
      </c>
      <c r="D37" s="28">
        <v>2.8531746031746024</v>
      </c>
      <c r="E37" s="29">
        <v>7.439330592399275E-2</v>
      </c>
      <c r="F37" s="10"/>
      <c r="G37" s="42">
        <v>75</v>
      </c>
      <c r="H37" s="43">
        <v>2.7866666666666666</v>
      </c>
      <c r="I37" s="67">
        <v>0.13230359191403634</v>
      </c>
      <c r="J37" s="10">
        <f t="shared" si="1"/>
        <v>0.43817277474518046</v>
      </c>
      <c r="K37" s="10" t="str">
        <f t="shared" si="2"/>
        <v xml:space="preserve"> </v>
      </c>
      <c r="L37" s="114">
        <f t="shared" si="3"/>
        <v>6.6507936507935739E-2</v>
      </c>
      <c r="M37" s="10"/>
      <c r="N37" s="42">
        <v>61.344608670000049</v>
      </c>
      <c r="O37" s="43">
        <v>2.7966101694915255</v>
      </c>
      <c r="P37" s="67">
        <v>0.11798245664657253</v>
      </c>
      <c r="Q37" s="10">
        <f t="shared" si="4"/>
        <v>0.40554260529100267</v>
      </c>
      <c r="R37" s="10" t="str">
        <f t="shared" si="5"/>
        <v xml:space="preserve"> </v>
      </c>
      <c r="S37" s="10"/>
      <c r="T37" s="53">
        <v>83</v>
      </c>
      <c r="U37" s="55">
        <v>2.9156626506024095</v>
      </c>
      <c r="V37" s="56">
        <v>0.10888936039421468</v>
      </c>
      <c r="W37" s="10">
        <f t="shared" si="6"/>
        <v>-0.47383972848928668</v>
      </c>
      <c r="X37" s="10" t="str">
        <f t="shared" si="7"/>
        <v xml:space="preserve"> </v>
      </c>
      <c r="Y37" s="10"/>
      <c r="Z37" s="54">
        <v>96</v>
      </c>
      <c r="AA37" s="57">
        <v>2.895833333333333</v>
      </c>
      <c r="AB37" s="58">
        <v>0.11290751091600544</v>
      </c>
      <c r="AC37" s="10">
        <f t="shared" si="8"/>
        <v>-0.31549355290875769</v>
      </c>
      <c r="AD37" s="10" t="str">
        <f t="shared" si="9"/>
        <v xml:space="preserve"> </v>
      </c>
      <c r="AE37" s="114">
        <f t="shared" si="10"/>
        <v>-4.2658730158730673E-2</v>
      </c>
      <c r="AF37" s="76"/>
      <c r="AG37" s="27">
        <v>45</v>
      </c>
      <c r="AH37" s="28">
        <v>2.9119313879012818</v>
      </c>
      <c r="AI37" s="29">
        <v>0.16233201432436076</v>
      </c>
      <c r="AJ37" s="67"/>
      <c r="AK37" s="42">
        <v>19</v>
      </c>
      <c r="AL37" s="43">
        <v>2.7380532627249474</v>
      </c>
      <c r="AM37" s="67">
        <v>0.33934788938143606</v>
      </c>
      <c r="AN37" s="10" t="str">
        <f t="shared" si="11"/>
        <v>NV</v>
      </c>
      <c r="AO37" s="10" t="str">
        <f t="shared" si="12"/>
        <v xml:space="preserve"> </v>
      </c>
      <c r="AP37" s="114">
        <f t="shared" si="13"/>
        <v>0.17387812517633439</v>
      </c>
      <c r="AQ37" s="67"/>
      <c r="AR37" s="42">
        <v>33.437988150000002</v>
      </c>
      <c r="AS37" s="43">
        <v>2.8571428571428577</v>
      </c>
      <c r="AT37" s="67">
        <v>0.2019121752218829</v>
      </c>
      <c r="AU37" s="10">
        <f t="shared" si="14"/>
        <v>0.21147693285205663</v>
      </c>
      <c r="AV37" s="10" t="str">
        <f t="shared" si="15"/>
        <v xml:space="preserve"> </v>
      </c>
      <c r="AW37" s="10"/>
      <c r="AX37" s="53">
        <v>44</v>
      </c>
      <c r="AY37" s="55">
        <v>2.866647103755724</v>
      </c>
      <c r="AZ37" s="56">
        <v>0.17040523569805113</v>
      </c>
      <c r="BA37" s="10">
        <f t="shared" si="16"/>
        <v>0.19241250143566666</v>
      </c>
      <c r="BB37" s="10" t="str">
        <f t="shared" si="17"/>
        <v xml:space="preserve"> </v>
      </c>
      <c r="BC37" s="10"/>
      <c r="BD37" s="54">
        <v>29</v>
      </c>
      <c r="BE37" s="57">
        <v>2.2483609055377234</v>
      </c>
      <c r="BF37" s="58">
        <v>0.2015212432821305</v>
      </c>
      <c r="BG37" s="10" t="str">
        <f t="shared" si="18"/>
        <v>NV</v>
      </c>
      <c r="BH37" s="10" t="str">
        <f t="shared" si="19"/>
        <v xml:space="preserve"> </v>
      </c>
      <c r="BI37" s="114">
        <f t="shared" si="20"/>
        <v>0.66357048236355842</v>
      </c>
      <c r="BJ37" s="76"/>
      <c r="BK37" s="27">
        <v>638</v>
      </c>
      <c r="BL37" s="28">
        <v>3.0828974476940463</v>
      </c>
      <c r="BM37" s="29">
        <v>4.708285106398119E-2</v>
      </c>
      <c r="BN37" s="10"/>
      <c r="BO37" s="42">
        <v>196</v>
      </c>
      <c r="BP37" s="43">
        <v>3.0707852252645322</v>
      </c>
      <c r="BQ37" s="67">
        <v>8.5834338082430059E-2</v>
      </c>
      <c r="BR37" s="10">
        <f t="shared" si="21"/>
        <v>0.12372087797388462</v>
      </c>
      <c r="BS37" s="10" t="str">
        <f t="shared" si="22"/>
        <v xml:space="preserve"> </v>
      </c>
      <c r="BT37" s="114">
        <f t="shared" si="23"/>
        <v>1.2112222429514041E-2</v>
      </c>
      <c r="BU37" s="10"/>
      <c r="BV37" s="42">
        <v>163.93891028999977</v>
      </c>
      <c r="BW37" s="43">
        <v>2.6741541529371844</v>
      </c>
      <c r="BX37" s="67">
        <v>6.2232969119844911E-2</v>
      </c>
      <c r="BY37" s="10">
        <f t="shared" si="24"/>
        <v>5.2378295539643211</v>
      </c>
      <c r="BZ37" s="10" t="str">
        <f t="shared" si="25"/>
        <v>*</v>
      </c>
      <c r="CA37" s="10"/>
      <c r="CB37" s="53">
        <v>175</v>
      </c>
      <c r="CC37" s="55">
        <v>2.5367117697105939</v>
      </c>
      <c r="CD37" s="56">
        <v>5.2361309539777315E-2</v>
      </c>
      <c r="CE37" s="10">
        <f t="shared" si="26"/>
        <v>7.7564871802418018</v>
      </c>
      <c r="CF37" s="10" t="str">
        <f t="shared" si="27"/>
        <v>*</v>
      </c>
      <c r="CG37" s="10"/>
      <c r="CH37" s="54">
        <v>182</v>
      </c>
      <c r="CI37" s="57">
        <v>2.7269467665446414</v>
      </c>
      <c r="CJ37" s="58">
        <v>8.4361248989362453E-2</v>
      </c>
      <c r="CK37" s="10">
        <f t="shared" si="28"/>
        <v>3.6843839554233115</v>
      </c>
      <c r="CL37" s="10" t="str">
        <f t="shared" si="29"/>
        <v>*</v>
      </c>
      <c r="CM37" s="114">
        <f t="shared" si="30"/>
        <v>0.35595068114940487</v>
      </c>
      <c r="CN37" s="76"/>
      <c r="CO37" s="27">
        <v>362</v>
      </c>
      <c r="CP37" s="28">
        <v>3.0570323361356797</v>
      </c>
      <c r="CQ37" s="29">
        <v>5.912925430384796E-2</v>
      </c>
      <c r="CR37" s="67"/>
      <c r="CS37" s="42">
        <v>124</v>
      </c>
      <c r="CT37" s="43">
        <v>2.9026275698139385</v>
      </c>
      <c r="CU37" s="67">
        <v>0.11106513434436627</v>
      </c>
      <c r="CV37" s="10">
        <f t="shared" si="31"/>
        <v>1.2271466806236877</v>
      </c>
      <c r="CW37" s="10" t="str">
        <f t="shared" si="32"/>
        <v xml:space="preserve"> </v>
      </c>
      <c r="CX37" s="114">
        <f t="shared" si="33"/>
        <v>0.15440476632174116</v>
      </c>
      <c r="CY37" s="10"/>
      <c r="CZ37" s="42">
        <v>124.00458306000003</v>
      </c>
      <c r="DA37" s="43">
        <v>3.1778797409393116</v>
      </c>
      <c r="DB37" s="67">
        <v>8.6092837650793147E-2</v>
      </c>
      <c r="DC37" s="10">
        <f t="shared" si="34"/>
        <v>-1.1570706523663625</v>
      </c>
      <c r="DD37" s="10" t="str">
        <f t="shared" si="35"/>
        <v xml:space="preserve"> </v>
      </c>
      <c r="DE37" s="10"/>
      <c r="DF37" s="53">
        <v>101</v>
      </c>
      <c r="DG37" s="55">
        <v>3.1880008993212861</v>
      </c>
      <c r="DH37" s="56">
        <v>0.11674222636534541</v>
      </c>
      <c r="DI37" s="10">
        <f t="shared" si="36"/>
        <v>-1.0008098439157531</v>
      </c>
      <c r="DJ37" s="10" t="str">
        <f t="shared" si="0"/>
        <v xml:space="preserve"> </v>
      </c>
      <c r="DK37" s="10"/>
      <c r="DL37" s="54">
        <v>139</v>
      </c>
      <c r="DM37" s="57">
        <v>2.8236543723657417</v>
      </c>
      <c r="DN37" s="58">
        <v>9.496809541275722E-2</v>
      </c>
      <c r="DO37" s="10">
        <f t="shared" si="37"/>
        <v>2.0861273301410845</v>
      </c>
      <c r="DP37" s="10" t="str">
        <f t="shared" si="38"/>
        <v>*</v>
      </c>
      <c r="DQ37" s="114">
        <f t="shared" si="39"/>
        <v>0.23337796376993802</v>
      </c>
      <c r="DR37" s="76"/>
      <c r="DS37" s="27">
        <v>122</v>
      </c>
      <c r="DT37" s="28">
        <v>2.8367627207201482</v>
      </c>
      <c r="DU37" s="29">
        <v>0.10495546712827007</v>
      </c>
      <c r="DV37" s="10"/>
      <c r="DW37" s="42">
        <v>57</v>
      </c>
      <c r="DX37" s="43">
        <v>2.6309735755532757</v>
      </c>
      <c r="DY37" s="67">
        <v>0.1579043691253755</v>
      </c>
      <c r="DZ37" s="10">
        <f t="shared" si="40"/>
        <v>1.0853664656654642</v>
      </c>
      <c r="EA37" s="10" t="str">
        <f t="shared" si="41"/>
        <v xml:space="preserve"> </v>
      </c>
      <c r="EB37" s="114">
        <f t="shared" si="42"/>
        <v>0.20578914516687252</v>
      </c>
      <c r="EC37" s="10"/>
      <c r="ED37" s="42">
        <v>54.880392420000028</v>
      </c>
      <c r="EE37" s="43">
        <v>2.4736387096337027</v>
      </c>
      <c r="EF37" s="67">
        <v>0.13609081867380315</v>
      </c>
      <c r="EG37" s="10">
        <f t="shared" si="43"/>
        <v>2.112887983754804</v>
      </c>
      <c r="EH37" s="10" t="str">
        <f t="shared" si="44"/>
        <v>*</v>
      </c>
      <c r="EI37" s="10"/>
      <c r="EJ37" s="53">
        <v>62</v>
      </c>
      <c r="EK37" s="55">
        <v>2.4350651939404275</v>
      </c>
      <c r="EL37" s="56">
        <v>0.14073360840195095</v>
      </c>
      <c r="EM37" s="10">
        <f t="shared" si="45"/>
        <v>2.2880819633387004</v>
      </c>
      <c r="EN37" s="10" t="str">
        <f t="shared" si="46"/>
        <v>*</v>
      </c>
      <c r="EO37" s="10"/>
      <c r="EP37" s="54">
        <v>35</v>
      </c>
      <c r="EQ37" s="57">
        <v>2.7714285714285718</v>
      </c>
      <c r="ER37" s="58">
        <v>0.14872293064770406</v>
      </c>
      <c r="ES37" s="10">
        <f t="shared" si="47"/>
        <v>0.35892379982974709</v>
      </c>
      <c r="ET37" s="10" t="str">
        <f t="shared" si="48"/>
        <v xml:space="preserve"> </v>
      </c>
      <c r="EU37" s="114">
        <f t="shared" si="49"/>
        <v>6.5334149291576438E-2</v>
      </c>
      <c r="EV37" s="76"/>
      <c r="EW37" s="27">
        <v>259</v>
      </c>
      <c r="EX37" s="28">
        <v>3.1540550617961278</v>
      </c>
      <c r="EY37" s="29">
        <v>6.8868708392330363E-2</v>
      </c>
      <c r="EZ37" s="10"/>
      <c r="FA37" s="42">
        <v>84</v>
      </c>
      <c r="FB37" s="43">
        <v>3.215159372928639</v>
      </c>
      <c r="FC37" s="67">
        <v>0.13456548694038467</v>
      </c>
      <c r="FD37" s="10">
        <f t="shared" si="50"/>
        <v>-0.40422338986754386</v>
      </c>
      <c r="FE37" s="10" t="str">
        <f t="shared" si="51"/>
        <v xml:space="preserve"> </v>
      </c>
      <c r="FF37" s="114">
        <f t="shared" si="52"/>
        <v>-6.1104311132511135E-2</v>
      </c>
      <c r="FG37" s="10"/>
      <c r="FH37" s="42">
        <v>67.833747480000028</v>
      </c>
      <c r="FI37" s="43">
        <v>2.6570088018967279</v>
      </c>
      <c r="FJ37" s="67">
        <v>0.13150360014385881</v>
      </c>
      <c r="FK37" s="10">
        <f t="shared" si="53"/>
        <v>3.3483394821314723</v>
      </c>
      <c r="FL37" s="10" t="str">
        <f t="shared" si="54"/>
        <v>*</v>
      </c>
      <c r="FM37" s="10"/>
      <c r="FN37" s="53">
        <v>89</v>
      </c>
      <c r="FO37" s="55">
        <v>3.1503837158723962</v>
      </c>
      <c r="FP37" s="56">
        <v>0.12232659389459137</v>
      </c>
      <c r="FQ37" s="10">
        <f t="shared" si="55"/>
        <v>2.6152813331392473E-2</v>
      </c>
      <c r="FR37" s="10" t="str">
        <f t="shared" si="56"/>
        <v xml:space="preserve"> </v>
      </c>
      <c r="FS37" s="10"/>
      <c r="FT37" s="54">
        <v>77</v>
      </c>
      <c r="FU37" s="57">
        <v>2.7702372400721775</v>
      </c>
      <c r="FV37" s="58">
        <v>0.13582348857785825</v>
      </c>
      <c r="FW37" s="10">
        <f t="shared" si="57"/>
        <v>2.5203807645181073</v>
      </c>
      <c r="FX37" s="10" t="str">
        <f t="shared" si="125"/>
        <v>*</v>
      </c>
      <c r="FY37" s="114">
        <f t="shared" si="58"/>
        <v>0.38381782172395029</v>
      </c>
      <c r="FZ37" s="76"/>
      <c r="GA37" s="27">
        <v>82</v>
      </c>
      <c r="GB37" s="28">
        <v>2.6906986194161422</v>
      </c>
      <c r="GC37" s="29">
        <v>0.13481293617495368</v>
      </c>
      <c r="GD37" s="67"/>
      <c r="GE37" s="42">
        <v>56</v>
      </c>
      <c r="GF37" s="43">
        <v>2.8400048324564935</v>
      </c>
      <c r="GG37" s="67">
        <v>0.16041744862406898</v>
      </c>
      <c r="GH37" s="10">
        <f t="shared" si="59"/>
        <v>-0.71253243768021368</v>
      </c>
      <c r="GI37" s="10" t="str">
        <f t="shared" si="60"/>
        <v xml:space="preserve"> </v>
      </c>
      <c r="GJ37" s="114">
        <f t="shared" si="61"/>
        <v>-0.1493062130403513</v>
      </c>
      <c r="GK37" s="67"/>
      <c r="GL37" s="42">
        <v>77.901656619999955</v>
      </c>
      <c r="GM37" s="43">
        <v>2.947121752235724</v>
      </c>
      <c r="GN37" s="67">
        <v>0.12546955431297466</v>
      </c>
      <c r="GO37" s="10">
        <f t="shared" si="62"/>
        <v>-1.3923474063623369</v>
      </c>
      <c r="GP37" s="10" t="str">
        <f t="shared" si="63"/>
        <v xml:space="preserve"> </v>
      </c>
      <c r="GQ37" s="10"/>
      <c r="GR37" s="53">
        <v>85</v>
      </c>
      <c r="GS37" s="55">
        <v>2.5076753577374093</v>
      </c>
      <c r="GT37" s="56">
        <v>0.11999215713617913</v>
      </c>
      <c r="GU37" s="10">
        <f t="shared" si="64"/>
        <v>1.0140976448433627</v>
      </c>
      <c r="GV37" s="10" t="str">
        <f t="shared" si="65"/>
        <v xml:space="preserve"> </v>
      </c>
      <c r="GW37" s="10"/>
      <c r="GX37" s="54">
        <v>79</v>
      </c>
      <c r="GY37" s="57">
        <v>2.8367217282579911</v>
      </c>
      <c r="GZ37" s="58">
        <v>0.13687485797520882</v>
      </c>
      <c r="HA37" s="10">
        <f t="shared" si="66"/>
        <v>-0.76007063428028276</v>
      </c>
      <c r="HB37" s="10" t="str">
        <f t="shared" si="126"/>
        <v xml:space="preserve"> </v>
      </c>
      <c r="HC37" s="114">
        <f t="shared" si="67"/>
        <v>-0.14602310884184888</v>
      </c>
      <c r="HD37" s="76"/>
      <c r="HE37" s="27">
        <v>108</v>
      </c>
      <c r="HF37" s="28">
        <v>2.7971786913949384</v>
      </c>
      <c r="HG37" s="29">
        <v>0.11473860381510606</v>
      </c>
      <c r="HH37" s="10"/>
      <c r="HI37" s="42">
        <v>60</v>
      </c>
      <c r="HJ37" s="43">
        <v>2.7034205424650501</v>
      </c>
      <c r="HK37" s="67">
        <v>0.16300654342469587</v>
      </c>
      <c r="HL37" s="10">
        <f t="shared" si="68"/>
        <v>0.47034497830076499</v>
      </c>
      <c r="HM37" s="10" t="str">
        <f t="shared" si="69"/>
        <v xml:space="preserve"> </v>
      </c>
      <c r="HN37" s="114">
        <f t="shared" si="70"/>
        <v>9.3758148929888208E-2</v>
      </c>
      <c r="HO37" s="10"/>
      <c r="HP37" s="42">
        <v>53.94358847999996</v>
      </c>
      <c r="HQ37" s="43">
        <v>3.1198228594376229</v>
      </c>
      <c r="HR37" s="67">
        <v>0.16801574983239542</v>
      </c>
      <c r="HS37" s="10">
        <f t="shared" si="71"/>
        <v>-1.5858199092297904</v>
      </c>
      <c r="HT37" s="10" t="str">
        <f t="shared" si="72"/>
        <v xml:space="preserve"> </v>
      </c>
      <c r="HU37" s="10"/>
      <c r="HV37" s="53">
        <v>30</v>
      </c>
      <c r="HW37" s="55">
        <v>2.6172084704269478</v>
      </c>
      <c r="HX37" s="56">
        <v>0.1545532458118361</v>
      </c>
      <c r="HY37" s="10">
        <f t="shared" si="73"/>
        <v>0.93496823421566977</v>
      </c>
      <c r="HZ37" s="10" t="str">
        <f t="shared" si="74"/>
        <v xml:space="preserve"> </v>
      </c>
      <c r="IA37" s="10"/>
      <c r="IB37" s="54">
        <v>69</v>
      </c>
      <c r="IC37" s="57">
        <v>2.8404494381837115</v>
      </c>
      <c r="ID37" s="58">
        <v>0.14810980795003328</v>
      </c>
      <c r="IE37" s="10">
        <f t="shared" si="75"/>
        <v>-0.23095734861539918</v>
      </c>
      <c r="IF37" s="10" t="str">
        <f t="shared" si="127"/>
        <v xml:space="preserve"> </v>
      </c>
      <c r="IG37" s="114">
        <f t="shared" si="76"/>
        <v>-4.3270746788773184E-2</v>
      </c>
      <c r="IH37" s="76"/>
      <c r="II37" s="27">
        <v>273</v>
      </c>
      <c r="IJ37" s="28">
        <v>3.119410159787444</v>
      </c>
      <c r="IK37" s="29">
        <v>6.9510313133438445E-2</v>
      </c>
      <c r="IL37" s="10"/>
      <c r="IM37" s="42">
        <v>208</v>
      </c>
      <c r="IN37" s="43">
        <v>3.0095840551646726</v>
      </c>
      <c r="IO37" s="67">
        <v>7.2170759282297089E-2</v>
      </c>
      <c r="IP37" s="10">
        <f t="shared" si="77"/>
        <v>1.0960546005023069</v>
      </c>
      <c r="IQ37" s="10" t="str">
        <f t="shared" si="78"/>
        <v xml:space="preserve"> </v>
      </c>
      <c r="IR37" s="114">
        <f t="shared" si="79"/>
        <v>0.10982610462277131</v>
      </c>
      <c r="IS37" s="10"/>
      <c r="IT37" s="42">
        <v>202.33491073000062</v>
      </c>
      <c r="IU37" s="43">
        <v>2.9409321499345795</v>
      </c>
      <c r="IV37" s="67">
        <v>8.3665171910723007E-2</v>
      </c>
      <c r="IW37" s="10">
        <f t="shared" si="80"/>
        <v>1.6408315256301742</v>
      </c>
      <c r="IX37" s="10" t="str">
        <f t="shared" si="81"/>
        <v xml:space="preserve"> </v>
      </c>
      <c r="IY37" s="10"/>
      <c r="IZ37" s="53">
        <v>193</v>
      </c>
      <c r="JA37" s="55">
        <v>3.0800086295901976</v>
      </c>
      <c r="JB37" s="56">
        <v>8.3111155723425659E-2</v>
      </c>
      <c r="JC37" s="10">
        <f t="shared" si="82"/>
        <v>0.36365938708005141</v>
      </c>
      <c r="JD37" s="10" t="str">
        <f t="shared" si="83"/>
        <v xml:space="preserve"> </v>
      </c>
      <c r="JE37" s="10"/>
      <c r="JF37" s="54">
        <v>210</v>
      </c>
      <c r="JG37" s="57">
        <v>3.1059683314731839</v>
      </c>
      <c r="JH37" s="58">
        <v>7.9915007395703688E-2</v>
      </c>
      <c r="JI37" s="10">
        <f t="shared" si="84"/>
        <v>0.12691087682214358</v>
      </c>
      <c r="JJ37" s="10" t="str">
        <f t="shared" si="85"/>
        <v xml:space="preserve"> </v>
      </c>
      <c r="JK37" s="114">
        <f t="shared" si="86"/>
        <v>1.3441828314260107E-2</v>
      </c>
      <c r="JL37" s="76"/>
      <c r="JM37" s="27">
        <v>13</v>
      </c>
      <c r="JN37" s="28">
        <v>2</v>
      </c>
      <c r="JO37" s="29">
        <v>0.32040007227095452</v>
      </c>
      <c r="JP37" s="10"/>
      <c r="JQ37" s="42">
        <v>11</v>
      </c>
      <c r="JR37" s="43">
        <v>3.0017857138927173</v>
      </c>
      <c r="JS37" s="67">
        <v>0.44750059755499705</v>
      </c>
      <c r="JT37" s="10" t="str">
        <f t="shared" si="87"/>
        <v>NV</v>
      </c>
      <c r="JU37" s="10" t="str">
        <f t="shared" si="88"/>
        <v xml:space="preserve"> </v>
      </c>
      <c r="JV37" s="114">
        <f t="shared" si="89"/>
        <v>-1.0017857138927173</v>
      </c>
      <c r="JW37" s="10"/>
      <c r="JX37" s="42">
        <v>19.802387800000002</v>
      </c>
      <c r="JY37" s="43">
        <v>3.4499999999999997</v>
      </c>
      <c r="JZ37" s="67">
        <v>0.28688565036067165</v>
      </c>
      <c r="KA37" s="10" t="str">
        <f t="shared" si="90"/>
        <v>NV</v>
      </c>
      <c r="KB37" s="10" t="str">
        <f t="shared" si="91"/>
        <v xml:space="preserve"> </v>
      </c>
      <c r="KC37" s="10"/>
      <c r="KD37" s="53">
        <v>14</v>
      </c>
      <c r="KE37" s="55">
        <v>2.2142857142857144</v>
      </c>
      <c r="KF37" s="56">
        <v>0.26384155609346704</v>
      </c>
      <c r="KG37" s="10" t="str">
        <f t="shared" si="92"/>
        <v>NV</v>
      </c>
      <c r="KH37" s="10" t="str">
        <f t="shared" si="93"/>
        <v xml:space="preserve"> </v>
      </c>
      <c r="KI37" s="10"/>
      <c r="KJ37" s="54">
        <v>18</v>
      </c>
      <c r="KK37" s="57">
        <v>2.3888888888888888</v>
      </c>
      <c r="KL37" s="58">
        <v>0.33649205964133988</v>
      </c>
      <c r="KM37" s="10" t="str">
        <f t="shared" si="94"/>
        <v>NV</v>
      </c>
      <c r="KN37" s="10" t="str">
        <f t="shared" si="95"/>
        <v xml:space="preserve"> </v>
      </c>
      <c r="KO37" s="114">
        <f t="shared" si="96"/>
        <v>-0.38888888888888884</v>
      </c>
      <c r="KP37" s="76"/>
      <c r="KQ37" s="27">
        <v>214</v>
      </c>
      <c r="KR37" s="28">
        <v>2.7194543955139752</v>
      </c>
      <c r="KS37" s="29">
        <v>8.365849264452678E-2</v>
      </c>
      <c r="KT37" s="10"/>
      <c r="KU37" s="42">
        <v>116</v>
      </c>
      <c r="KV37" s="43">
        <v>2.5788582074109483</v>
      </c>
      <c r="KW37" s="67">
        <v>0.11695947440460257</v>
      </c>
      <c r="KX37" s="10">
        <f t="shared" si="97"/>
        <v>0.97772456941180008</v>
      </c>
      <c r="KY37" s="10" t="str">
        <f t="shared" si="98"/>
        <v xml:space="preserve"> </v>
      </c>
      <c r="KZ37" s="114">
        <f t="shared" si="99"/>
        <v>0.14059618810302688</v>
      </c>
      <c r="LA37" s="10"/>
      <c r="LB37" s="42">
        <v>160.32648955999994</v>
      </c>
      <c r="LC37" s="43">
        <v>2.7932295109125183</v>
      </c>
      <c r="LD37" s="67">
        <v>9.451886510295536E-2</v>
      </c>
      <c r="LE37" s="10">
        <f t="shared" si="100"/>
        <v>-0.58447659710965372</v>
      </c>
      <c r="LF37" s="10" t="str">
        <f t="shared" si="101"/>
        <v xml:space="preserve"> </v>
      </c>
      <c r="LG37" s="10"/>
      <c r="LH37" s="53">
        <v>276</v>
      </c>
      <c r="LI37" s="55">
        <v>2.6430796978740907</v>
      </c>
      <c r="LJ37" s="56">
        <v>7.2764601938434245E-2</v>
      </c>
      <c r="LK37" s="10">
        <f t="shared" si="102"/>
        <v>0.68883143091854859</v>
      </c>
      <c r="LL37" s="10" t="str">
        <f t="shared" si="103"/>
        <v xml:space="preserve"> </v>
      </c>
      <c r="LM37" s="10"/>
      <c r="LN37" s="54">
        <v>288</v>
      </c>
      <c r="LO37" s="57">
        <v>2.6386475442453592</v>
      </c>
      <c r="LP37" s="58">
        <v>6.5736880228623548E-2</v>
      </c>
      <c r="LQ37" s="10">
        <f t="shared" si="104"/>
        <v>0.75949237954138249</v>
      </c>
      <c r="LR37" s="10" t="str">
        <f t="shared" si="128"/>
        <v xml:space="preserve"> </v>
      </c>
      <c r="LS37" s="114">
        <f t="shared" si="105"/>
        <v>8.0806851268615976E-2</v>
      </c>
      <c r="LT37" s="76"/>
      <c r="LU37" s="27">
        <v>63</v>
      </c>
      <c r="LV37" s="28">
        <v>3.1587301587301586</v>
      </c>
      <c r="LW37" s="29">
        <v>0.1362147265870812</v>
      </c>
      <c r="LX37" s="10"/>
      <c r="LY37" s="42">
        <v>71</v>
      </c>
      <c r="LZ37" s="43">
        <v>2.732522796324353</v>
      </c>
      <c r="MA37" s="67">
        <v>0.15136229820844621</v>
      </c>
      <c r="MB37" s="10">
        <f t="shared" si="106"/>
        <v>2.0930525299684084</v>
      </c>
      <c r="MC37" s="10" t="str">
        <f t="shared" si="107"/>
        <v>*</v>
      </c>
      <c r="MD37" s="114">
        <f t="shared" si="108"/>
        <v>0.42620736240580559</v>
      </c>
      <c r="ME37" s="10"/>
      <c r="MF37" s="42">
        <v>83.328977689999974</v>
      </c>
      <c r="MG37" s="43">
        <v>3.1307025910064303</v>
      </c>
      <c r="MH37" s="67">
        <v>0.13245513448110383</v>
      </c>
      <c r="MI37" s="10">
        <f t="shared" si="109"/>
        <v>0.14751593674351046</v>
      </c>
      <c r="MJ37" s="10" t="str">
        <f t="shared" si="110"/>
        <v xml:space="preserve"> </v>
      </c>
      <c r="MK37" s="10"/>
      <c r="ML37" s="53">
        <v>174</v>
      </c>
      <c r="MM37" s="55">
        <v>2.8793103448275859</v>
      </c>
      <c r="MN37" s="56">
        <v>8.1734066523106816E-2</v>
      </c>
      <c r="MO37" s="10">
        <f t="shared" si="111"/>
        <v>1.7589614621353045</v>
      </c>
      <c r="MP37" s="10" t="str">
        <f t="shared" si="112"/>
        <v xml:space="preserve"> </v>
      </c>
      <c r="MQ37" s="10"/>
      <c r="MR37" s="54">
        <v>181</v>
      </c>
      <c r="MS37" s="57">
        <v>2.9064883389658269</v>
      </c>
      <c r="MT37" s="58">
        <v>8.7091016477760699E-2</v>
      </c>
      <c r="MU37" s="10">
        <f t="shared" si="113"/>
        <v>1.5601635962302134</v>
      </c>
      <c r="MV37" s="10" t="str">
        <f t="shared" si="114"/>
        <v xml:space="preserve"> </v>
      </c>
      <c r="MW37" s="114">
        <f t="shared" si="115"/>
        <v>0.25224181976433169</v>
      </c>
      <c r="MX37" s="76"/>
      <c r="MY37" s="27">
        <v>80</v>
      </c>
      <c r="MZ37" s="28">
        <v>2.8880526180402897</v>
      </c>
      <c r="NA37" s="29">
        <v>0.13775659496788731</v>
      </c>
      <c r="NB37" s="10"/>
      <c r="NC37" s="42">
        <v>62</v>
      </c>
      <c r="ND37" s="43">
        <v>2.8396704687365619</v>
      </c>
      <c r="NE37" s="67">
        <v>0.16133950982342968</v>
      </c>
      <c r="NF37" s="10">
        <f t="shared" si="116"/>
        <v>0.22805709907089705</v>
      </c>
      <c r="NG37" s="10" t="str">
        <f t="shared" si="117"/>
        <v xml:space="preserve"> </v>
      </c>
      <c r="NH37" s="114">
        <f t="shared" si="118"/>
        <v>4.8382149303727751E-2</v>
      </c>
      <c r="NI37" s="10"/>
      <c r="NJ37" s="42">
        <v>57.903771409999926</v>
      </c>
      <c r="NK37" s="43">
        <v>3.0512981814080424</v>
      </c>
      <c r="NL37" s="67">
        <v>0.15227763888525647</v>
      </c>
      <c r="NM37" s="10">
        <f t="shared" si="119"/>
        <v>-0.79499333391317617</v>
      </c>
      <c r="NN37" s="10" t="str">
        <f t="shared" si="120"/>
        <v xml:space="preserve"> </v>
      </c>
      <c r="NO37" s="10"/>
      <c r="NP37" s="53">
        <v>89</v>
      </c>
      <c r="NQ37" s="55">
        <v>2.673929005673588</v>
      </c>
      <c r="NR37" s="56">
        <v>0.10965638903415292</v>
      </c>
      <c r="NS37" s="10">
        <f t="shared" si="121"/>
        <v>1.2161128749884038</v>
      </c>
      <c r="NT37" s="10" t="str">
        <f t="shared" si="122"/>
        <v xml:space="preserve"> </v>
      </c>
      <c r="NU37" s="10"/>
      <c r="NV37" s="54">
        <v>85</v>
      </c>
      <c r="NW37" s="57">
        <v>2.8010080411812623</v>
      </c>
      <c r="NX37" s="58">
        <v>0.124969487084319</v>
      </c>
      <c r="NY37" s="10">
        <f t="shared" si="123"/>
        <v>0.46799341802303501</v>
      </c>
      <c r="NZ37" s="10" t="str">
        <f t="shared" si="129"/>
        <v xml:space="preserve"> </v>
      </c>
      <c r="OA37" s="114">
        <f t="shared" si="124"/>
        <v>8.7044576859027334E-2</v>
      </c>
      <c r="OB37" s="58"/>
    </row>
    <row r="38" spans="1:392" x14ac:dyDescent="0.2">
      <c r="B38" s="65" t="s">
        <v>34</v>
      </c>
      <c r="C38" s="27">
        <v>314</v>
      </c>
      <c r="D38" s="28">
        <v>3.0545145507483924</v>
      </c>
      <c r="E38" s="29">
        <v>8.1568612046323846E-2</v>
      </c>
      <c r="F38" s="10"/>
      <c r="G38" s="42">
        <v>88</v>
      </c>
      <c r="H38" s="43">
        <v>2.7273558697787119</v>
      </c>
      <c r="I38" s="67">
        <v>0.15605416780752823</v>
      </c>
      <c r="J38" s="10">
        <f t="shared" si="1"/>
        <v>1.8579464122686371</v>
      </c>
      <c r="K38" s="10" t="str">
        <f t="shared" si="2"/>
        <v xml:space="preserve"> </v>
      </c>
      <c r="L38" s="114">
        <f t="shared" si="3"/>
        <v>0.32715868096968048</v>
      </c>
      <c r="M38" s="10"/>
      <c r="N38" s="42">
        <v>99.814956480000077</v>
      </c>
      <c r="O38" s="43">
        <v>2.4270833333333321</v>
      </c>
      <c r="P38" s="67">
        <v>0.10444829639971742</v>
      </c>
      <c r="Q38" s="10">
        <f t="shared" si="4"/>
        <v>4.7344353768127512</v>
      </c>
      <c r="R38" s="10" t="str">
        <f t="shared" si="5"/>
        <v>*</v>
      </c>
      <c r="S38" s="10"/>
      <c r="T38" s="53">
        <v>98</v>
      </c>
      <c r="U38" s="55">
        <v>2.0204081632653064</v>
      </c>
      <c r="V38" s="56">
        <v>0.11177107616361243</v>
      </c>
      <c r="W38" s="10">
        <f t="shared" si="6"/>
        <v>7.4734957122627179</v>
      </c>
      <c r="X38" s="10" t="str">
        <f t="shared" si="7"/>
        <v>*</v>
      </c>
      <c r="Y38" s="10"/>
      <c r="Z38" s="54">
        <v>165</v>
      </c>
      <c r="AA38" s="57">
        <v>1.9878787878787867</v>
      </c>
      <c r="AB38" s="58">
        <v>8.954116133804059E-2</v>
      </c>
      <c r="AC38" s="10">
        <f t="shared" si="8"/>
        <v>8.806136707790456</v>
      </c>
      <c r="AD38" s="10" t="str">
        <f t="shared" si="9"/>
        <v>*</v>
      </c>
      <c r="AE38" s="114">
        <f t="shared" si="10"/>
        <v>1.0666357628696057</v>
      </c>
      <c r="AF38" s="76"/>
      <c r="AG38" s="27">
        <v>75</v>
      </c>
      <c r="AH38" s="28">
        <v>3.4665650461582316</v>
      </c>
      <c r="AI38" s="29">
        <v>0.14744666268042092</v>
      </c>
      <c r="AJ38" s="67"/>
      <c r="AK38" s="42">
        <v>35</v>
      </c>
      <c r="AL38" s="43">
        <v>3.6000000000000005</v>
      </c>
      <c r="AM38" s="67">
        <v>0.24227740081400745</v>
      </c>
      <c r="AN38" s="10">
        <f t="shared" si="11"/>
        <v>-0.47047512200772018</v>
      </c>
      <c r="AO38" s="10" t="str">
        <f t="shared" si="12"/>
        <v xml:space="preserve"> </v>
      </c>
      <c r="AP38" s="114">
        <f t="shared" si="13"/>
        <v>-0.13343495384176896</v>
      </c>
      <c r="AQ38" s="67"/>
      <c r="AR38" s="42">
        <v>66.089341290000007</v>
      </c>
      <c r="AS38" s="43">
        <v>2.8252544072224333</v>
      </c>
      <c r="AT38" s="67">
        <v>0.15628389274728297</v>
      </c>
      <c r="AU38" s="10">
        <f t="shared" si="14"/>
        <v>2.9847723216337085</v>
      </c>
      <c r="AV38" s="10" t="str">
        <f t="shared" si="15"/>
        <v>*</v>
      </c>
      <c r="AW38" s="10"/>
      <c r="AX38" s="53">
        <v>83</v>
      </c>
      <c r="AY38" s="55">
        <v>2.5782035844490916</v>
      </c>
      <c r="AZ38" s="56">
        <v>0.13721771198899563</v>
      </c>
      <c r="BA38" s="10">
        <f t="shared" si="16"/>
        <v>4.4105361639889793</v>
      </c>
      <c r="BB38" s="10" t="str">
        <f t="shared" si="17"/>
        <v>*</v>
      </c>
      <c r="BC38" s="10"/>
      <c r="BD38" s="54">
        <v>78</v>
      </c>
      <c r="BE38" s="57">
        <v>2.4393245891369553</v>
      </c>
      <c r="BF38" s="58">
        <v>0.10769435763236763</v>
      </c>
      <c r="BG38" s="10">
        <f t="shared" si="18"/>
        <v>5.6259838583143633</v>
      </c>
      <c r="BH38" s="10" t="str">
        <f t="shared" si="19"/>
        <v>*</v>
      </c>
      <c r="BI38" s="114">
        <f t="shared" si="20"/>
        <v>1.0272404570212763</v>
      </c>
      <c r="BJ38" s="76"/>
      <c r="BK38" s="27">
        <v>813</v>
      </c>
      <c r="BL38" s="28">
        <v>3.3996020234934829</v>
      </c>
      <c r="BM38" s="29">
        <v>4.818014901282152E-2</v>
      </c>
      <c r="BN38" s="10"/>
      <c r="BO38" s="42">
        <v>238</v>
      </c>
      <c r="BP38" s="43">
        <v>3.0076977597494792</v>
      </c>
      <c r="BQ38" s="67">
        <v>9.2320469200231306E-2</v>
      </c>
      <c r="BR38" s="10">
        <f t="shared" si="21"/>
        <v>3.763373379116743</v>
      </c>
      <c r="BS38" s="10" t="str">
        <f t="shared" si="22"/>
        <v>*</v>
      </c>
      <c r="BT38" s="114">
        <f t="shared" si="23"/>
        <v>0.39190426374400378</v>
      </c>
      <c r="BU38" s="10"/>
      <c r="BV38" s="42">
        <v>240.68114708999903</v>
      </c>
      <c r="BW38" s="43">
        <v>2.4751884623818623</v>
      </c>
      <c r="BX38" s="67">
        <v>5.58352652588699E-2</v>
      </c>
      <c r="BY38" s="10">
        <f t="shared" si="24"/>
        <v>12.534604259384198</v>
      </c>
      <c r="BZ38" s="10" t="str">
        <f t="shared" si="25"/>
        <v>*</v>
      </c>
      <c r="CA38" s="10"/>
      <c r="CB38" s="53">
        <v>276</v>
      </c>
      <c r="CC38" s="55">
        <v>2.9382927552973492</v>
      </c>
      <c r="CD38" s="56">
        <v>3.437546813735079E-2</v>
      </c>
      <c r="CE38" s="10">
        <f t="shared" si="26"/>
        <v>7.794210634920268</v>
      </c>
      <c r="CF38" s="10" t="str">
        <f t="shared" si="27"/>
        <v>*</v>
      </c>
      <c r="CG38" s="10"/>
      <c r="CH38" s="54">
        <v>310</v>
      </c>
      <c r="CI38" s="57">
        <v>2.4134538582162772</v>
      </c>
      <c r="CJ38" s="58">
        <v>6.5104101899184849E-2</v>
      </c>
      <c r="CK38" s="10">
        <f t="shared" si="28"/>
        <v>12.175716480872781</v>
      </c>
      <c r="CL38" s="10" t="str">
        <f t="shared" si="29"/>
        <v>*</v>
      </c>
      <c r="CM38" s="114">
        <f t="shared" si="30"/>
        <v>0.98614816527720572</v>
      </c>
      <c r="CN38" s="76"/>
      <c r="CO38" s="27">
        <v>475</v>
      </c>
      <c r="CP38" s="28">
        <v>3.7691683424511568</v>
      </c>
      <c r="CQ38" s="29">
        <v>5.4218735618097161E-2</v>
      </c>
      <c r="CR38" s="67"/>
      <c r="CS38" s="42">
        <v>146</v>
      </c>
      <c r="CT38" s="43">
        <v>3.6988971933165189</v>
      </c>
      <c r="CU38" s="67">
        <v>0.10374020189796787</v>
      </c>
      <c r="CV38" s="10">
        <f t="shared" si="31"/>
        <v>0.60032968109141449</v>
      </c>
      <c r="CW38" s="10" t="str">
        <f t="shared" si="32"/>
        <v xml:space="preserve"> </v>
      </c>
      <c r="CX38" s="114">
        <f t="shared" si="33"/>
        <v>7.0271149134637945E-2</v>
      </c>
      <c r="CY38" s="10"/>
      <c r="CZ38" s="42">
        <v>148.47943658999986</v>
      </c>
      <c r="DA38" s="43">
        <v>3.5777725275647878</v>
      </c>
      <c r="DB38" s="67">
        <v>0.10502129246541105</v>
      </c>
      <c r="DC38" s="10">
        <f t="shared" si="34"/>
        <v>1.6193754574653219</v>
      </c>
      <c r="DD38" s="10" t="str">
        <f t="shared" si="35"/>
        <v xml:space="preserve"> </v>
      </c>
      <c r="DE38" s="10"/>
      <c r="DF38" s="53">
        <v>152</v>
      </c>
      <c r="DG38" s="55">
        <v>3.7016777545594866</v>
      </c>
      <c r="DH38" s="56">
        <v>0.11102315100264823</v>
      </c>
      <c r="DI38" s="10">
        <f t="shared" si="36"/>
        <v>0.54623970584619375</v>
      </c>
      <c r="DJ38" s="10" t="str">
        <f t="shared" si="0"/>
        <v xml:space="preserve"> </v>
      </c>
      <c r="DK38" s="10"/>
      <c r="DL38" s="54">
        <v>196</v>
      </c>
      <c r="DM38" s="57">
        <v>3.2614266346452783</v>
      </c>
      <c r="DN38" s="58">
        <v>8.7888999420235203E-2</v>
      </c>
      <c r="DO38" s="10">
        <f t="shared" si="37"/>
        <v>4.9167685792172495</v>
      </c>
      <c r="DP38" s="10" t="str">
        <f t="shared" si="38"/>
        <v>*</v>
      </c>
      <c r="DQ38" s="114">
        <f t="shared" si="39"/>
        <v>0.50774170780587857</v>
      </c>
      <c r="DR38" s="76"/>
      <c r="DS38" s="27">
        <v>162</v>
      </c>
      <c r="DT38" s="28">
        <v>3.2897582879150113</v>
      </c>
      <c r="DU38" s="29">
        <v>0.10581928425787587</v>
      </c>
      <c r="DV38" s="10"/>
      <c r="DW38" s="42">
        <v>57</v>
      </c>
      <c r="DX38" s="43">
        <v>3.1590931259455552</v>
      </c>
      <c r="DY38" s="67">
        <v>0.1921911935180794</v>
      </c>
      <c r="DZ38" s="10">
        <f t="shared" si="40"/>
        <v>0.59556412607291653</v>
      </c>
      <c r="EA38" s="10" t="str">
        <f t="shared" si="41"/>
        <v xml:space="preserve"> </v>
      </c>
      <c r="EB38" s="114">
        <f t="shared" si="42"/>
        <v>0.1306651619694561</v>
      </c>
      <c r="EC38" s="10"/>
      <c r="ED38" s="42">
        <v>73.454283330000038</v>
      </c>
      <c r="EE38" s="43">
        <v>2.689368482876735</v>
      </c>
      <c r="EF38" s="67">
        <v>0.13976705854237537</v>
      </c>
      <c r="EG38" s="10">
        <f t="shared" si="43"/>
        <v>3.4247904161474549</v>
      </c>
      <c r="EH38" s="10" t="str">
        <f t="shared" si="44"/>
        <v>*</v>
      </c>
      <c r="EI38" s="10"/>
      <c r="EJ38" s="53">
        <v>68</v>
      </c>
      <c r="EK38" s="55">
        <v>2.1700735507777802</v>
      </c>
      <c r="EL38" s="56">
        <v>0.14804465105780676</v>
      </c>
      <c r="EM38" s="10">
        <f t="shared" si="45"/>
        <v>6.1529555035382266</v>
      </c>
      <c r="EN38" s="10" t="str">
        <f t="shared" si="46"/>
        <v>*</v>
      </c>
      <c r="EO38" s="10"/>
      <c r="EP38" s="54">
        <v>43</v>
      </c>
      <c r="EQ38" s="57">
        <v>2.581395348837209</v>
      </c>
      <c r="ER38" s="58">
        <v>0.19721924505491481</v>
      </c>
      <c r="ES38" s="10">
        <f t="shared" si="47"/>
        <v>3.1649485425720316</v>
      </c>
      <c r="ET38" s="10" t="str">
        <f t="shared" si="48"/>
        <v>*</v>
      </c>
      <c r="EU38" s="114">
        <f t="shared" si="49"/>
        <v>0.70836293907780234</v>
      </c>
      <c r="EV38" s="76"/>
      <c r="EW38" s="27">
        <v>344</v>
      </c>
      <c r="EX38" s="28">
        <v>3.4545576210827988</v>
      </c>
      <c r="EY38" s="29">
        <v>7.2444230818719174E-2</v>
      </c>
      <c r="EZ38" s="10"/>
      <c r="FA38" s="42">
        <v>119</v>
      </c>
      <c r="FB38" s="43">
        <v>3.3699758099018782</v>
      </c>
      <c r="FC38" s="67">
        <v>0.13111518191985697</v>
      </c>
      <c r="FD38" s="10">
        <f t="shared" si="50"/>
        <v>0.56464016986344501</v>
      </c>
      <c r="FE38" s="10" t="str">
        <f t="shared" si="51"/>
        <v xml:space="preserve"> </v>
      </c>
      <c r="FF38" s="114">
        <f t="shared" si="52"/>
        <v>8.4581811180920674E-2</v>
      </c>
      <c r="FG38" s="10"/>
      <c r="FH38" s="42">
        <v>109.47795798000003</v>
      </c>
      <c r="FI38" s="43">
        <v>2.5105174579545069</v>
      </c>
      <c r="FJ38" s="67">
        <v>0.10692150329648649</v>
      </c>
      <c r="FK38" s="10">
        <f t="shared" si="53"/>
        <v>7.3094983679636849</v>
      </c>
      <c r="FL38" s="10" t="str">
        <f t="shared" si="54"/>
        <v>*</v>
      </c>
      <c r="FM38" s="10"/>
      <c r="FN38" s="53">
        <v>130</v>
      </c>
      <c r="FO38" s="55">
        <v>2.3497340611561164</v>
      </c>
      <c r="FP38" s="56">
        <v>0.11971314461235118</v>
      </c>
      <c r="FQ38" s="10">
        <f t="shared" si="55"/>
        <v>7.8957465229709953</v>
      </c>
      <c r="FR38" s="10" t="str">
        <f t="shared" si="56"/>
        <v>*</v>
      </c>
      <c r="FS38" s="10"/>
      <c r="FT38" s="54">
        <v>151</v>
      </c>
      <c r="FU38" s="57">
        <v>2.2349073515572493</v>
      </c>
      <c r="FV38" s="58">
        <v>8.1066495013960821E-2</v>
      </c>
      <c r="FW38" s="10">
        <f t="shared" si="57"/>
        <v>11.218314767595146</v>
      </c>
      <c r="FX38" s="10" t="str">
        <f t="shared" si="125"/>
        <v>*</v>
      </c>
      <c r="FY38" s="114">
        <f t="shared" si="58"/>
        <v>1.2196502695255496</v>
      </c>
      <c r="FZ38" s="76"/>
      <c r="GA38" s="27">
        <v>116</v>
      </c>
      <c r="GB38" s="28">
        <v>3.3704756512163971</v>
      </c>
      <c r="GC38" s="29">
        <v>0.12150522782462189</v>
      </c>
      <c r="GD38" s="67"/>
      <c r="GE38" s="42">
        <v>88</v>
      </c>
      <c r="GF38" s="43">
        <v>3.1494706174305911</v>
      </c>
      <c r="GG38" s="67">
        <v>0.15253825109932254</v>
      </c>
      <c r="GH38" s="10">
        <f t="shared" si="59"/>
        <v>1.1332632089592352</v>
      </c>
      <c r="GI38" s="10" t="str">
        <f t="shared" si="60"/>
        <v xml:space="preserve"> </v>
      </c>
      <c r="GJ38" s="114">
        <f t="shared" si="61"/>
        <v>0.22100503378580605</v>
      </c>
      <c r="GK38" s="67"/>
      <c r="GL38" s="42">
        <v>117.33352938999992</v>
      </c>
      <c r="GM38" s="43">
        <v>3.145283732864963</v>
      </c>
      <c r="GN38" s="67">
        <v>0.13489921149811637</v>
      </c>
      <c r="GO38" s="10">
        <f t="shared" si="62"/>
        <v>1.240367899583565</v>
      </c>
      <c r="GP38" s="10" t="str">
        <f t="shared" si="63"/>
        <v xml:space="preserve"> </v>
      </c>
      <c r="GQ38" s="10"/>
      <c r="GR38" s="53">
        <v>124</v>
      </c>
      <c r="GS38" s="55">
        <v>2.6747532838868335</v>
      </c>
      <c r="GT38" s="56">
        <v>0.13041737023873973</v>
      </c>
      <c r="GU38" s="10">
        <f t="shared" si="64"/>
        <v>3.9031230948404092</v>
      </c>
      <c r="GV38" s="10" t="str">
        <f t="shared" si="65"/>
        <v>*</v>
      </c>
      <c r="GW38" s="10"/>
      <c r="GX38" s="54">
        <v>116</v>
      </c>
      <c r="GY38" s="57">
        <v>2.8871037775665811</v>
      </c>
      <c r="GZ38" s="58">
        <v>0.12946706610234798</v>
      </c>
      <c r="HA38" s="10">
        <f t="shared" si="66"/>
        <v>2.7224014313425293</v>
      </c>
      <c r="HB38" s="10" t="str">
        <f t="shared" si="126"/>
        <v>*</v>
      </c>
      <c r="HC38" s="114">
        <f t="shared" si="67"/>
        <v>0.48337187364981604</v>
      </c>
      <c r="HD38" s="76"/>
      <c r="HE38" s="27">
        <v>140</v>
      </c>
      <c r="HF38" s="28">
        <v>3.3014156597600492</v>
      </c>
      <c r="HG38" s="29">
        <v>0.11627900794865459</v>
      </c>
      <c r="HH38" s="10"/>
      <c r="HI38" s="42">
        <v>84</v>
      </c>
      <c r="HJ38" s="43">
        <v>2.9910080360314426</v>
      </c>
      <c r="HK38" s="67">
        <v>0.16627648408521731</v>
      </c>
      <c r="HL38" s="10">
        <f t="shared" si="68"/>
        <v>1.5298502598268069</v>
      </c>
      <c r="HM38" s="10" t="str">
        <f t="shared" si="69"/>
        <v xml:space="preserve"> </v>
      </c>
      <c r="HN38" s="114">
        <f t="shared" si="70"/>
        <v>0.31040762372860664</v>
      </c>
      <c r="HO38" s="10"/>
      <c r="HP38" s="42">
        <v>90.868069719999923</v>
      </c>
      <c r="HQ38" s="43">
        <v>2.9470612216720031</v>
      </c>
      <c r="HR38" s="67">
        <v>0.15607441670974459</v>
      </c>
      <c r="HS38" s="10">
        <f t="shared" si="71"/>
        <v>1.8206761876273951</v>
      </c>
      <c r="HT38" s="10" t="str">
        <f t="shared" si="72"/>
        <v xml:space="preserve"> </v>
      </c>
      <c r="HU38" s="10"/>
      <c r="HV38" s="53">
        <v>51</v>
      </c>
      <c r="HW38" s="55">
        <v>2.6125010725860434</v>
      </c>
      <c r="HX38" s="56">
        <v>0.16125910449125527</v>
      </c>
      <c r="HY38" s="10">
        <f t="shared" si="73"/>
        <v>3.4651956268571782</v>
      </c>
      <c r="HZ38" s="10" t="str">
        <f t="shared" si="74"/>
        <v>*</v>
      </c>
      <c r="IA38" s="10"/>
      <c r="IB38" s="54">
        <v>104</v>
      </c>
      <c r="IC38" s="57">
        <v>2.6756085448210545</v>
      </c>
      <c r="ID38" s="58">
        <v>0.15673575507518495</v>
      </c>
      <c r="IE38" s="10">
        <f t="shared" si="75"/>
        <v>3.2066581017525988</v>
      </c>
      <c r="IF38" s="10" t="str">
        <f t="shared" si="127"/>
        <v>*</v>
      </c>
      <c r="IG38" s="114">
        <f t="shared" si="76"/>
        <v>0.62580711493899477</v>
      </c>
      <c r="IH38" s="76"/>
      <c r="II38" s="27">
        <v>370</v>
      </c>
      <c r="IJ38" s="28">
        <v>3.2771108778059648</v>
      </c>
      <c r="IK38" s="29">
        <v>7.1407802719963359E-2</v>
      </c>
      <c r="IL38" s="10"/>
      <c r="IM38" s="42">
        <v>268</v>
      </c>
      <c r="IN38" s="43">
        <v>3.4171443037810181</v>
      </c>
      <c r="IO38" s="67">
        <v>8.6841509263071409E-2</v>
      </c>
      <c r="IP38" s="10">
        <f t="shared" si="77"/>
        <v>-1.2455157088327153</v>
      </c>
      <c r="IQ38" s="10" t="str">
        <f t="shared" si="78"/>
        <v xml:space="preserve"> </v>
      </c>
      <c r="IR38" s="114">
        <f t="shared" si="79"/>
        <v>-0.14003342597505331</v>
      </c>
      <c r="IS38" s="10"/>
      <c r="IT38" s="42">
        <v>260.03270003000131</v>
      </c>
      <c r="IU38" s="43">
        <v>3.144189257642116</v>
      </c>
      <c r="IV38" s="67">
        <v>8.6789011735426205E-2</v>
      </c>
      <c r="IW38" s="10">
        <f t="shared" si="80"/>
        <v>1.1826868400682733</v>
      </c>
      <c r="IX38" s="10" t="str">
        <f t="shared" si="81"/>
        <v xml:space="preserve"> </v>
      </c>
      <c r="IY38" s="10"/>
      <c r="IZ38" s="53">
        <v>260</v>
      </c>
      <c r="JA38" s="55">
        <v>3.065907514400831</v>
      </c>
      <c r="JB38" s="56">
        <v>9.4488900696425529E-2</v>
      </c>
      <c r="JC38" s="10">
        <f t="shared" si="82"/>
        <v>1.7832610465484047</v>
      </c>
      <c r="JD38" s="10" t="str">
        <f t="shared" si="83"/>
        <v xml:space="preserve"> </v>
      </c>
      <c r="JE38" s="10"/>
      <c r="JF38" s="54">
        <v>273</v>
      </c>
      <c r="JG38" s="57">
        <v>2.8204218784178607</v>
      </c>
      <c r="JH38" s="58">
        <v>9.0491240611612817E-2</v>
      </c>
      <c r="JI38" s="10">
        <f t="shared" si="84"/>
        <v>3.9618224387320384</v>
      </c>
      <c r="JJ38" s="10" t="str">
        <f t="shared" si="85"/>
        <v>*</v>
      </c>
      <c r="JK38" s="114">
        <f t="shared" si="86"/>
        <v>0.45668899938810403</v>
      </c>
      <c r="JL38" s="76"/>
      <c r="JM38" s="27">
        <v>25</v>
      </c>
      <c r="JN38" s="28">
        <v>3.6400000000000006</v>
      </c>
      <c r="JO38" s="29">
        <v>0.25753423877873471</v>
      </c>
      <c r="JP38" s="10"/>
      <c r="JQ38" s="42">
        <v>16</v>
      </c>
      <c r="JR38" s="43">
        <v>3.6233128838066739</v>
      </c>
      <c r="JS38" s="67">
        <v>0.35203547183059747</v>
      </c>
      <c r="JT38" s="10" t="str">
        <f t="shared" si="87"/>
        <v>NV</v>
      </c>
      <c r="JU38" s="10" t="str">
        <f t="shared" si="88"/>
        <v xml:space="preserve"> </v>
      </c>
      <c r="JV38" s="114">
        <f t="shared" si="89"/>
        <v>1.6687116193326634E-2</v>
      </c>
      <c r="JW38" s="10"/>
      <c r="JX38" s="42">
        <v>20.792507190000002</v>
      </c>
      <c r="JY38" s="43">
        <v>3.5238095238095242</v>
      </c>
      <c r="JZ38" s="67">
        <v>0.29931857992544303</v>
      </c>
      <c r="KA38" s="10" t="str">
        <f t="shared" si="90"/>
        <v>NV</v>
      </c>
      <c r="KB38" s="10" t="str">
        <f t="shared" si="91"/>
        <v xml:space="preserve"> </v>
      </c>
      <c r="KC38" s="10"/>
      <c r="KD38" s="53">
        <v>18</v>
      </c>
      <c r="KE38" s="55">
        <v>2.2222222222222214</v>
      </c>
      <c r="KF38" s="56">
        <v>0.33300734085769418</v>
      </c>
      <c r="KG38" s="10" t="str">
        <f t="shared" si="92"/>
        <v>NV</v>
      </c>
      <c r="KH38" s="10" t="str">
        <f t="shared" si="93"/>
        <v xml:space="preserve"> </v>
      </c>
      <c r="KI38" s="10"/>
      <c r="KJ38" s="54">
        <v>36</v>
      </c>
      <c r="KK38" s="57">
        <v>2.5277777777777772</v>
      </c>
      <c r="KL38" s="58">
        <v>0.22767191364620817</v>
      </c>
      <c r="KM38" s="10" t="str">
        <f t="shared" si="94"/>
        <v>NV</v>
      </c>
      <c r="KN38" s="10" t="str">
        <f t="shared" si="95"/>
        <v xml:space="preserve"> </v>
      </c>
      <c r="KO38" s="114">
        <f t="shared" si="96"/>
        <v>1.1122222222222233</v>
      </c>
      <c r="KP38" s="76"/>
      <c r="KQ38" s="27">
        <v>308</v>
      </c>
      <c r="KR38" s="28">
        <v>3.2362554373480554</v>
      </c>
      <c r="KS38" s="29">
        <v>7.7481882234310864E-2</v>
      </c>
      <c r="KT38" s="10"/>
      <c r="KU38" s="42">
        <v>161</v>
      </c>
      <c r="KV38" s="43">
        <v>3.1925048828216802</v>
      </c>
      <c r="KW38" s="67">
        <v>0.10704426007918698</v>
      </c>
      <c r="KX38" s="10">
        <f t="shared" si="97"/>
        <v>0.33108356160660618</v>
      </c>
      <c r="KY38" s="10" t="str">
        <f t="shared" si="98"/>
        <v xml:space="preserve"> </v>
      </c>
      <c r="KZ38" s="114">
        <f t="shared" si="99"/>
        <v>4.3750554526375218E-2</v>
      </c>
      <c r="LA38" s="10"/>
      <c r="LB38" s="42">
        <v>211.93522095999947</v>
      </c>
      <c r="LC38" s="43">
        <v>3.0545616475054058</v>
      </c>
      <c r="LD38" s="67">
        <v>9.7264380096297787E-2</v>
      </c>
      <c r="LE38" s="10">
        <f t="shared" si="100"/>
        <v>1.4611067517259519</v>
      </c>
      <c r="LF38" s="10" t="str">
        <f t="shared" si="101"/>
        <v xml:space="preserve"> </v>
      </c>
      <c r="LG38" s="10"/>
      <c r="LH38" s="53">
        <v>399</v>
      </c>
      <c r="LI38" s="55">
        <v>2.6510605609968834</v>
      </c>
      <c r="LJ38" s="56">
        <v>6.8461911559425936E-2</v>
      </c>
      <c r="LK38" s="10">
        <f t="shared" si="102"/>
        <v>5.659811999679822</v>
      </c>
      <c r="LL38" s="10" t="str">
        <f t="shared" si="103"/>
        <v>*</v>
      </c>
      <c r="LM38" s="10"/>
      <c r="LN38" s="54">
        <v>408</v>
      </c>
      <c r="LO38" s="57">
        <v>2.5094404790746676</v>
      </c>
      <c r="LP38" s="58">
        <v>6.6634252310169714E-2</v>
      </c>
      <c r="LQ38" s="10">
        <f t="shared" si="104"/>
        <v>7.1121262291446214</v>
      </c>
      <c r="LR38" s="10" t="str">
        <f t="shared" si="128"/>
        <v>*</v>
      </c>
      <c r="LS38" s="114">
        <f t="shared" si="105"/>
        <v>0.72681495827338782</v>
      </c>
      <c r="LT38" s="76"/>
      <c r="LU38" s="27">
        <v>97</v>
      </c>
      <c r="LV38" s="28">
        <v>3.5568606959622371</v>
      </c>
      <c r="LW38" s="29">
        <v>0.12945514450013273</v>
      </c>
      <c r="LX38" s="10"/>
      <c r="LY38" s="42">
        <v>109</v>
      </c>
      <c r="LZ38" s="43">
        <v>3.5226781858017611</v>
      </c>
      <c r="MA38" s="67">
        <v>0.13453338482734251</v>
      </c>
      <c r="MB38" s="10">
        <f t="shared" si="106"/>
        <v>0.18308533249743278</v>
      </c>
      <c r="MC38" s="10" t="str">
        <f t="shared" si="107"/>
        <v xml:space="preserve"> </v>
      </c>
      <c r="MD38" s="114">
        <f t="shared" si="108"/>
        <v>3.4182510160476021E-2</v>
      </c>
      <c r="ME38" s="10"/>
      <c r="MF38" s="42">
        <v>112.87361046000009</v>
      </c>
      <c r="MG38" s="43">
        <v>3.5964912280701746</v>
      </c>
      <c r="MH38" s="67">
        <v>0.11993035154553247</v>
      </c>
      <c r="MI38" s="10">
        <f t="shared" si="109"/>
        <v>-0.22457281643710847</v>
      </c>
      <c r="MJ38" s="10" t="str">
        <f t="shared" si="110"/>
        <v xml:space="preserve"> </v>
      </c>
      <c r="MK38" s="10"/>
      <c r="ML38" s="53">
        <v>274</v>
      </c>
      <c r="MM38" s="55">
        <v>2.9379562043795606</v>
      </c>
      <c r="MN38" s="56">
        <v>8.8154294847154785E-2</v>
      </c>
      <c r="MO38" s="10">
        <f t="shared" si="111"/>
        <v>3.9516321098652329</v>
      </c>
      <c r="MP38" s="10" t="str">
        <f t="shared" si="112"/>
        <v>*</v>
      </c>
      <c r="MQ38" s="10"/>
      <c r="MR38" s="54">
        <v>293</v>
      </c>
      <c r="MS38" s="57">
        <v>2.9095863372522128</v>
      </c>
      <c r="MT38" s="58">
        <v>8.4713313802228268E-2</v>
      </c>
      <c r="MU38" s="10">
        <f t="shared" si="113"/>
        <v>4.1838091837089966</v>
      </c>
      <c r="MV38" s="10" t="str">
        <f t="shared" si="114"/>
        <v>*</v>
      </c>
      <c r="MW38" s="114">
        <f t="shared" si="115"/>
        <v>0.64727435871002426</v>
      </c>
      <c r="MX38" s="76"/>
      <c r="MY38" s="27">
        <v>136</v>
      </c>
      <c r="MZ38" s="28">
        <v>3.6764079882904372</v>
      </c>
      <c r="NA38" s="29">
        <v>0.10375365958439881</v>
      </c>
      <c r="NB38" s="10"/>
      <c r="NC38" s="42">
        <v>88</v>
      </c>
      <c r="ND38" s="43">
        <v>3.7175078156372798</v>
      </c>
      <c r="NE38" s="67">
        <v>0.1271325952334296</v>
      </c>
      <c r="NF38" s="10">
        <f t="shared" si="116"/>
        <v>-0.25046199170553213</v>
      </c>
      <c r="NG38" s="10" t="str">
        <f t="shared" si="117"/>
        <v xml:space="preserve"> </v>
      </c>
      <c r="NH38" s="114">
        <f t="shared" si="118"/>
        <v>-4.1099827346842588E-2</v>
      </c>
      <c r="NI38" s="10"/>
      <c r="NJ38" s="42">
        <v>77.351835539999911</v>
      </c>
      <c r="NK38" s="43">
        <v>3.3922256945578368</v>
      </c>
      <c r="NL38" s="67">
        <v>0.16909255979324953</v>
      </c>
      <c r="NM38" s="10">
        <f t="shared" si="119"/>
        <v>1.4324694999707026</v>
      </c>
      <c r="NN38" s="10" t="str">
        <f t="shared" si="120"/>
        <v xml:space="preserve"> </v>
      </c>
      <c r="NO38" s="10"/>
      <c r="NP38" s="53">
        <v>129</v>
      </c>
      <c r="NQ38" s="55">
        <v>2.7106306047167754</v>
      </c>
      <c r="NR38" s="56">
        <v>0.12380545063529599</v>
      </c>
      <c r="NS38" s="10">
        <f t="shared" si="121"/>
        <v>5.9788582503535785</v>
      </c>
      <c r="NT38" s="10" t="str">
        <f t="shared" si="122"/>
        <v>*</v>
      </c>
      <c r="NU38" s="10"/>
      <c r="NV38" s="54">
        <v>134</v>
      </c>
      <c r="NW38" s="57">
        <v>2.7743941205452263</v>
      </c>
      <c r="NX38" s="58">
        <v>0.13303809803888889</v>
      </c>
      <c r="NY38" s="10">
        <f t="shared" si="123"/>
        <v>5.346450793229172</v>
      </c>
      <c r="NZ38" s="10" t="str">
        <f t="shared" si="129"/>
        <v>*</v>
      </c>
      <c r="OA38" s="114">
        <f t="shared" si="124"/>
        <v>0.90201386774521097</v>
      </c>
      <c r="OB38" s="58"/>
    </row>
    <row r="39" spans="1:392" x14ac:dyDescent="0.2">
      <c r="B39" s="65" t="s">
        <v>35</v>
      </c>
      <c r="C39" s="27">
        <v>117</v>
      </c>
      <c r="D39" s="28">
        <v>3.4017094017094029</v>
      </c>
      <c r="E39" s="29">
        <v>0.11200728424060598</v>
      </c>
      <c r="F39" s="10"/>
      <c r="G39" s="42">
        <v>23</v>
      </c>
      <c r="H39" s="43">
        <v>3.3478260869565215</v>
      </c>
      <c r="I39" s="67">
        <v>0.27923087890450615</v>
      </c>
      <c r="J39" s="10" t="str">
        <f t="shared" si="1"/>
        <v>NV</v>
      </c>
      <c r="K39" s="10" t="str">
        <f t="shared" si="2"/>
        <v xml:space="preserve"> </v>
      </c>
      <c r="L39" s="114">
        <f t="shared" si="3"/>
        <v>5.3883314752881439E-2</v>
      </c>
      <c r="M39" s="10"/>
      <c r="N39" s="42">
        <v>9.3576521700000015</v>
      </c>
      <c r="O39" s="43">
        <v>4</v>
      </c>
      <c r="P39" s="67">
        <v>0.28243090922396724</v>
      </c>
      <c r="Q39" s="10" t="str">
        <f t="shared" si="4"/>
        <v>NV</v>
      </c>
      <c r="R39" s="10" t="str">
        <f t="shared" si="5"/>
        <v xml:space="preserve"> </v>
      </c>
      <c r="S39" s="10"/>
      <c r="T39" s="53">
        <v>23</v>
      </c>
      <c r="U39" s="55">
        <v>3.3043478260869565</v>
      </c>
      <c r="V39" s="56">
        <v>0.18008438857169573</v>
      </c>
      <c r="W39" s="10" t="str">
        <f t="shared" si="6"/>
        <v>NV</v>
      </c>
      <c r="X39" s="10" t="str">
        <f t="shared" si="7"/>
        <v xml:space="preserve"> </v>
      </c>
      <c r="Y39" s="10"/>
      <c r="Z39" s="54">
        <v>41</v>
      </c>
      <c r="AA39" s="57">
        <v>3.3902439024390247</v>
      </c>
      <c r="AB39" s="58">
        <v>0.1490768829933721</v>
      </c>
      <c r="AC39" s="10">
        <f t="shared" si="8"/>
        <v>6.1488435598197805E-2</v>
      </c>
      <c r="AD39" s="10" t="str">
        <f t="shared" si="9"/>
        <v xml:space="preserve"> </v>
      </c>
      <c r="AE39" s="114">
        <f t="shared" si="10"/>
        <v>1.146549927037821E-2</v>
      </c>
      <c r="AF39" s="76"/>
      <c r="AG39" s="27">
        <v>20</v>
      </c>
      <c r="AH39" s="28">
        <v>3.504310935771592</v>
      </c>
      <c r="AI39" s="29">
        <v>0.28124474185147291</v>
      </c>
      <c r="AJ39" s="67"/>
      <c r="AK39" s="42">
        <v>8</v>
      </c>
      <c r="AL39" s="43">
        <v>3.875</v>
      </c>
      <c r="AM39" s="67">
        <v>0.34886376670335756</v>
      </c>
      <c r="AN39" s="10" t="str">
        <f t="shared" si="11"/>
        <v>NV</v>
      </c>
      <c r="AO39" s="10" t="str">
        <f t="shared" si="12"/>
        <v xml:space="preserve"> </v>
      </c>
      <c r="AP39" s="114">
        <f t="shared" si="13"/>
        <v>-0.37068906422840797</v>
      </c>
      <c r="AQ39" s="67"/>
      <c r="AR39" s="42">
        <v>13.37519526</v>
      </c>
      <c r="AS39" s="43">
        <v>3.8571428571428572</v>
      </c>
      <c r="AT39" s="67">
        <v>0.23679110732460257</v>
      </c>
      <c r="AU39" s="10" t="str">
        <f t="shared" si="14"/>
        <v>NV</v>
      </c>
      <c r="AV39" s="10" t="str">
        <f t="shared" si="15"/>
        <v xml:space="preserve"> </v>
      </c>
      <c r="AW39" s="10"/>
      <c r="AX39" s="53">
        <v>30</v>
      </c>
      <c r="AY39" s="55">
        <v>3.4788579228601404</v>
      </c>
      <c r="AZ39" s="56">
        <v>0.2215082983497316</v>
      </c>
      <c r="BA39" s="10" t="str">
        <f t="shared" si="16"/>
        <v>NV</v>
      </c>
      <c r="BB39" s="10" t="str">
        <f t="shared" si="17"/>
        <v xml:space="preserve"> </v>
      </c>
      <c r="BC39" s="10"/>
      <c r="BD39" s="54">
        <v>25</v>
      </c>
      <c r="BE39" s="57">
        <v>2.7349187260090484</v>
      </c>
      <c r="BF39" s="58">
        <v>0.14509561272462473</v>
      </c>
      <c r="BG39" s="10" t="str">
        <f t="shared" si="18"/>
        <v>NV</v>
      </c>
      <c r="BH39" s="10" t="str">
        <f t="shared" si="19"/>
        <v xml:space="preserve"> </v>
      </c>
      <c r="BI39" s="114">
        <f t="shared" si="20"/>
        <v>0.76939220976254363</v>
      </c>
      <c r="BJ39" s="76"/>
      <c r="BK39" s="27">
        <v>266</v>
      </c>
      <c r="BL39" s="28">
        <v>3.6455471438635194</v>
      </c>
      <c r="BM39" s="29">
        <v>7.3632281692937632E-2</v>
      </c>
      <c r="BN39" s="10"/>
      <c r="BO39" s="42">
        <v>69</v>
      </c>
      <c r="BP39" s="43">
        <v>3.797306385405133</v>
      </c>
      <c r="BQ39" s="67">
        <v>0.14556777422515815</v>
      </c>
      <c r="BR39" s="10">
        <f t="shared" si="21"/>
        <v>-0.9302912178889855</v>
      </c>
      <c r="BS39" s="10" t="str">
        <f t="shared" si="22"/>
        <v xml:space="preserve"> </v>
      </c>
      <c r="BT39" s="114">
        <f t="shared" si="23"/>
        <v>-0.15175924154161358</v>
      </c>
      <c r="BU39" s="10"/>
      <c r="BV39" s="42">
        <v>13.263504570000002</v>
      </c>
      <c r="BW39" s="43">
        <v>3.4046767354489633</v>
      </c>
      <c r="BX39" s="67">
        <v>0.262121608706813</v>
      </c>
      <c r="BY39" s="10" t="str">
        <f t="shared" si="24"/>
        <v>NV</v>
      </c>
      <c r="BZ39" s="10" t="str">
        <f t="shared" si="25"/>
        <v xml:space="preserve"> </v>
      </c>
      <c r="CA39" s="10"/>
      <c r="CB39" s="53">
        <v>8</v>
      </c>
      <c r="CC39" s="55">
        <v>3.6001322048275406</v>
      </c>
      <c r="CD39" s="56">
        <v>0.37040190572202408</v>
      </c>
      <c r="CE39" s="10" t="str">
        <f t="shared" si="26"/>
        <v>NV</v>
      </c>
      <c r="CF39" s="10" t="str">
        <f t="shared" si="27"/>
        <v xml:space="preserve"> </v>
      </c>
      <c r="CG39" s="10"/>
      <c r="CH39" s="54">
        <v>80</v>
      </c>
      <c r="CI39" s="57">
        <v>3.336283875946203</v>
      </c>
      <c r="CJ39" s="58">
        <v>0.11702768005057998</v>
      </c>
      <c r="CK39" s="10">
        <f t="shared" si="28"/>
        <v>2.2367441145304787</v>
      </c>
      <c r="CL39" s="10" t="str">
        <f t="shared" si="29"/>
        <v>*</v>
      </c>
      <c r="CM39" s="114">
        <f t="shared" si="30"/>
        <v>0.3092632679173164</v>
      </c>
      <c r="CN39" s="76"/>
      <c r="CO39" s="27">
        <v>153</v>
      </c>
      <c r="CP39" s="28">
        <v>3.5941590021108674</v>
      </c>
      <c r="CQ39" s="29">
        <v>9.0212907553508706E-2</v>
      </c>
      <c r="CR39" s="67"/>
      <c r="CS39" s="42">
        <v>51</v>
      </c>
      <c r="CT39" s="43">
        <v>3.2158601148790926</v>
      </c>
      <c r="CU39" s="67">
        <v>0.16394956148353229</v>
      </c>
      <c r="CV39" s="10">
        <f t="shared" si="31"/>
        <v>2.0215778241951203</v>
      </c>
      <c r="CW39" s="10" t="str">
        <f t="shared" si="32"/>
        <v>*</v>
      </c>
      <c r="CX39" s="114">
        <f t="shared" si="33"/>
        <v>0.37829888723177474</v>
      </c>
      <c r="CY39" s="10"/>
      <c r="CZ39" s="42">
        <v>37.316517900000008</v>
      </c>
      <c r="DA39" s="43">
        <v>3.5421601507465406</v>
      </c>
      <c r="DB39" s="67">
        <v>0.2180780616519003</v>
      </c>
      <c r="DC39" s="10">
        <f t="shared" si="34"/>
        <v>0.22033330563865858</v>
      </c>
      <c r="DD39" s="10" t="str">
        <f t="shared" si="35"/>
        <v xml:space="preserve"> </v>
      </c>
      <c r="DE39" s="10"/>
      <c r="DF39" s="53">
        <v>34</v>
      </c>
      <c r="DG39" s="55">
        <v>3.7697050906261351</v>
      </c>
      <c r="DH39" s="56">
        <v>0.1974520785938339</v>
      </c>
      <c r="DI39" s="10">
        <f t="shared" si="36"/>
        <v>-0.80865315750187139</v>
      </c>
      <c r="DJ39" s="10" t="str">
        <f t="shared" si="0"/>
        <v xml:space="preserve"> </v>
      </c>
      <c r="DK39" s="10"/>
      <c r="DL39" s="54">
        <v>31</v>
      </c>
      <c r="DM39" s="57">
        <v>3.6401157032675999</v>
      </c>
      <c r="DN39" s="58">
        <v>0.2227987930620812</v>
      </c>
      <c r="DO39" s="10">
        <f t="shared" si="37"/>
        <v>-0.19119161048966685</v>
      </c>
      <c r="DP39" s="10" t="str">
        <f t="shared" si="38"/>
        <v xml:space="preserve"> </v>
      </c>
      <c r="DQ39" s="114">
        <f t="shared" si="39"/>
        <v>-4.595670115673256E-2</v>
      </c>
      <c r="DR39" s="76"/>
      <c r="DS39" s="27">
        <v>43</v>
      </c>
      <c r="DT39" s="28">
        <v>3.3546871395662339</v>
      </c>
      <c r="DU39" s="29">
        <v>0.18597870608464726</v>
      </c>
      <c r="DV39" s="10"/>
      <c r="DW39" s="42">
        <v>11</v>
      </c>
      <c r="DX39" s="43">
        <v>2.8202785071813192</v>
      </c>
      <c r="DY39" s="67">
        <v>0.37781618566079322</v>
      </c>
      <c r="DZ39" s="10" t="str">
        <f t="shared" si="40"/>
        <v>NV</v>
      </c>
      <c r="EA39" s="10" t="str">
        <f t="shared" si="41"/>
        <v xml:space="preserve"> </v>
      </c>
      <c r="EB39" s="114">
        <f t="shared" si="42"/>
        <v>0.53440863238491465</v>
      </c>
      <c r="EC39" s="10"/>
      <c r="ED39" s="42">
        <v>9.2732841300000004</v>
      </c>
      <c r="EE39" s="43">
        <v>2.784853974920749</v>
      </c>
      <c r="EF39" s="67">
        <v>0.53986663250579381</v>
      </c>
      <c r="EG39" s="10" t="str">
        <f t="shared" si="43"/>
        <v>NV</v>
      </c>
      <c r="EH39" s="10" t="str">
        <f t="shared" si="44"/>
        <v xml:space="preserve"> </v>
      </c>
      <c r="EI39" s="10"/>
      <c r="EJ39" s="53">
        <v>6</v>
      </c>
      <c r="EK39" s="55">
        <v>3.1666666666666665</v>
      </c>
      <c r="EL39" s="56">
        <v>0.69191084809568271</v>
      </c>
      <c r="EM39" s="10" t="str">
        <f t="shared" si="45"/>
        <v>NV</v>
      </c>
      <c r="EN39" s="10" t="str">
        <f t="shared" si="46"/>
        <v xml:space="preserve"> </v>
      </c>
      <c r="EO39" s="10"/>
      <c r="EP39" s="54">
        <v>12</v>
      </c>
      <c r="EQ39" s="57">
        <v>3.1666666666666674</v>
      </c>
      <c r="ER39" s="58">
        <v>0.2517999585553195</v>
      </c>
      <c r="ES39" s="10" t="str">
        <f t="shared" si="47"/>
        <v>NV</v>
      </c>
      <c r="ET39" s="10" t="str">
        <f t="shared" si="48"/>
        <v xml:space="preserve"> </v>
      </c>
      <c r="EU39" s="114">
        <f t="shared" si="49"/>
        <v>0.18802047289956647</v>
      </c>
      <c r="EV39" s="76"/>
      <c r="EW39" s="27">
        <v>112</v>
      </c>
      <c r="EX39" s="28">
        <v>3.5602760637872284</v>
      </c>
      <c r="EY39" s="29">
        <v>0.1067996877210083</v>
      </c>
      <c r="EZ39" s="10"/>
      <c r="FA39" s="42">
        <v>36</v>
      </c>
      <c r="FB39" s="43">
        <v>3.5842589118072032</v>
      </c>
      <c r="FC39" s="67">
        <v>0.21201029472977714</v>
      </c>
      <c r="FD39" s="10">
        <f t="shared" si="50"/>
        <v>-0.10102673253888335</v>
      </c>
      <c r="FE39" s="10" t="str">
        <f t="shared" si="51"/>
        <v xml:space="preserve"> </v>
      </c>
      <c r="FF39" s="114">
        <f t="shared" si="52"/>
        <v>-2.3982848019974856E-2</v>
      </c>
      <c r="FG39" s="10"/>
      <c r="FH39" s="42">
        <v>22.199316540000009</v>
      </c>
      <c r="FI39" s="43">
        <v>3.226581731060806</v>
      </c>
      <c r="FJ39" s="67">
        <v>0.20625287371685161</v>
      </c>
      <c r="FK39" s="10" t="str">
        <f t="shared" si="53"/>
        <v>NV</v>
      </c>
      <c r="FL39" s="10" t="str">
        <f t="shared" si="54"/>
        <v xml:space="preserve"> </v>
      </c>
      <c r="FM39" s="10"/>
      <c r="FN39" s="53">
        <v>19</v>
      </c>
      <c r="FO39" s="55">
        <v>3.5652923527602618</v>
      </c>
      <c r="FP39" s="56">
        <v>0.29819314810558145</v>
      </c>
      <c r="FQ39" s="10" t="str">
        <f t="shared" si="55"/>
        <v>NV</v>
      </c>
      <c r="FR39" s="10" t="str">
        <f t="shared" si="56"/>
        <v xml:space="preserve"> </v>
      </c>
      <c r="FS39" s="10"/>
      <c r="FT39" s="54">
        <v>22</v>
      </c>
      <c r="FU39" s="57">
        <v>3.5222075414357468</v>
      </c>
      <c r="FV39" s="58">
        <v>0.21336949560616297</v>
      </c>
      <c r="FW39" s="10" t="str">
        <f t="shared" si="57"/>
        <v>NV</v>
      </c>
      <c r="FX39" s="10" t="str">
        <f t="shared" si="125"/>
        <v xml:space="preserve"> </v>
      </c>
      <c r="FY39" s="114">
        <f t="shared" si="58"/>
        <v>3.8068522351481615E-2</v>
      </c>
      <c r="FZ39" s="76"/>
      <c r="GA39" s="27">
        <v>34</v>
      </c>
      <c r="GB39" s="28">
        <v>3.1706262478901559</v>
      </c>
      <c r="GC39" s="29">
        <v>0.24531407839534158</v>
      </c>
      <c r="GD39" s="67"/>
      <c r="GE39" s="42">
        <v>17</v>
      </c>
      <c r="GF39" s="43">
        <v>3.0015300743390525</v>
      </c>
      <c r="GG39" s="67">
        <v>0.32116008517032052</v>
      </c>
      <c r="GH39" s="10" t="str">
        <f t="shared" si="59"/>
        <v>NV</v>
      </c>
      <c r="GI39" s="10" t="str">
        <f t="shared" si="60"/>
        <v xml:space="preserve"> </v>
      </c>
      <c r="GJ39" s="114">
        <f t="shared" si="61"/>
        <v>0.1690961735511034</v>
      </c>
      <c r="GK39" s="67"/>
      <c r="GL39" s="42">
        <v>34.215007039999982</v>
      </c>
      <c r="GM39" s="43">
        <v>3.30930807956952</v>
      </c>
      <c r="GN39" s="67">
        <v>0.2340804537002624</v>
      </c>
      <c r="GO39" s="10">
        <f t="shared" si="62"/>
        <v>-0.40899903870348903</v>
      </c>
      <c r="GP39" s="10" t="str">
        <f t="shared" si="63"/>
        <v xml:space="preserve"> </v>
      </c>
      <c r="GQ39" s="10"/>
      <c r="GR39" s="53">
        <v>28</v>
      </c>
      <c r="GS39" s="55">
        <v>3.2191891997770719</v>
      </c>
      <c r="GT39" s="56">
        <v>0.25111963739506976</v>
      </c>
      <c r="GU39" s="10" t="str">
        <f t="shared" si="64"/>
        <v>NV</v>
      </c>
      <c r="GV39" s="10" t="str">
        <f t="shared" si="65"/>
        <v xml:space="preserve"> </v>
      </c>
      <c r="GW39" s="10"/>
      <c r="GX39" s="54">
        <v>39</v>
      </c>
      <c r="GY39" s="57">
        <v>3.4335483867713639</v>
      </c>
      <c r="GZ39" s="58">
        <v>0.2031233720283501</v>
      </c>
      <c r="HA39" s="10">
        <f t="shared" si="66"/>
        <v>-0.82551810172884654</v>
      </c>
      <c r="HB39" s="10" t="str">
        <f t="shared" si="126"/>
        <v xml:space="preserve"> </v>
      </c>
      <c r="HC39" s="114">
        <f t="shared" si="67"/>
        <v>-0.26292213888120797</v>
      </c>
      <c r="HD39" s="76"/>
      <c r="HE39" s="27">
        <v>42</v>
      </c>
      <c r="HF39" s="28">
        <v>3.3731075152177215</v>
      </c>
      <c r="HG39" s="29">
        <v>0.18226501266241801</v>
      </c>
      <c r="HH39" s="10"/>
      <c r="HI39" s="42">
        <v>24</v>
      </c>
      <c r="HJ39" s="43">
        <v>3.2172156773071063</v>
      </c>
      <c r="HK39" s="67">
        <v>0.30823994557885837</v>
      </c>
      <c r="HL39" s="10" t="str">
        <f t="shared" si="68"/>
        <v>NV</v>
      </c>
      <c r="HM39" s="10" t="str">
        <f t="shared" si="69"/>
        <v xml:space="preserve"> </v>
      </c>
      <c r="HN39" s="114">
        <f t="shared" si="70"/>
        <v>0.15589183791061512</v>
      </c>
      <c r="HO39" s="10"/>
      <c r="HP39" s="42">
        <v>26.355276069999992</v>
      </c>
      <c r="HQ39" s="43">
        <v>3.3234011492561075</v>
      </c>
      <c r="HR39" s="67">
        <v>0.29854775981448967</v>
      </c>
      <c r="HS39" s="10" t="str">
        <f t="shared" si="71"/>
        <v>NV</v>
      </c>
      <c r="HT39" s="10" t="str">
        <f t="shared" si="72"/>
        <v xml:space="preserve"> </v>
      </c>
      <c r="HU39" s="10"/>
      <c r="HV39" s="53">
        <v>21</v>
      </c>
      <c r="HW39" s="55">
        <v>3.178204952069914</v>
      </c>
      <c r="HX39" s="56">
        <v>0.27331292231877108</v>
      </c>
      <c r="HY39" s="10" t="str">
        <f t="shared" si="73"/>
        <v>NV</v>
      </c>
      <c r="HZ39" s="10" t="str">
        <f t="shared" si="74"/>
        <v xml:space="preserve"> </v>
      </c>
      <c r="IA39" s="10"/>
      <c r="IB39" s="54">
        <v>32</v>
      </c>
      <c r="IC39" s="57">
        <v>3.6623586438418569</v>
      </c>
      <c r="ID39" s="58">
        <v>0.21503500082531421</v>
      </c>
      <c r="IE39" s="10">
        <f t="shared" si="75"/>
        <v>-1.0261224260405861</v>
      </c>
      <c r="IF39" s="10" t="str">
        <f t="shared" si="127"/>
        <v xml:space="preserve"> </v>
      </c>
      <c r="IG39" s="114">
        <f t="shared" si="76"/>
        <v>-0.28925112862413549</v>
      </c>
      <c r="IH39" s="76"/>
      <c r="II39" s="27">
        <v>118</v>
      </c>
      <c r="IJ39" s="28">
        <v>3.7317204731192963</v>
      </c>
      <c r="IK39" s="29">
        <v>0.10600183661077245</v>
      </c>
      <c r="IL39" s="10"/>
      <c r="IM39" s="42">
        <v>86</v>
      </c>
      <c r="IN39" s="43">
        <v>3.3226090283594667</v>
      </c>
      <c r="IO39" s="67">
        <v>0.1481921225880137</v>
      </c>
      <c r="IP39" s="10">
        <f t="shared" si="77"/>
        <v>2.2453822383175601</v>
      </c>
      <c r="IQ39" s="10" t="str">
        <f t="shared" si="78"/>
        <v>*</v>
      </c>
      <c r="IR39" s="114">
        <f t="shared" si="79"/>
        <v>0.40911144475982963</v>
      </c>
      <c r="IS39" s="10"/>
      <c r="IT39" s="42">
        <v>103.70126489999993</v>
      </c>
      <c r="IU39" s="43">
        <v>3.4743262845196008</v>
      </c>
      <c r="IV39" s="67">
        <v>0.12899421529805805</v>
      </c>
      <c r="IW39" s="10">
        <f t="shared" si="80"/>
        <v>1.5416447635503496</v>
      </c>
      <c r="IX39" s="10" t="str">
        <f t="shared" si="81"/>
        <v xml:space="preserve"> </v>
      </c>
      <c r="IY39" s="10"/>
      <c r="IZ39" s="53">
        <v>77</v>
      </c>
      <c r="JA39" s="55">
        <v>3.6254379801901493</v>
      </c>
      <c r="JB39" s="56">
        <v>0.14946248212408111</v>
      </c>
      <c r="JC39" s="10">
        <f t="shared" si="82"/>
        <v>0.58003070797958323</v>
      </c>
      <c r="JD39" s="10" t="str">
        <f t="shared" si="83"/>
        <v xml:space="preserve"> </v>
      </c>
      <c r="JE39" s="10"/>
      <c r="JF39" s="54">
        <v>92</v>
      </c>
      <c r="JG39" s="57">
        <v>3.4309484187625956</v>
      </c>
      <c r="JH39" s="58">
        <v>0.12687177309097891</v>
      </c>
      <c r="JI39" s="10">
        <f t="shared" si="84"/>
        <v>1.8192615173839219</v>
      </c>
      <c r="JJ39" s="10" t="str">
        <f t="shared" si="85"/>
        <v xml:space="preserve"> </v>
      </c>
      <c r="JK39" s="114">
        <f t="shared" si="86"/>
        <v>0.30077205435670074</v>
      </c>
      <c r="JL39" s="76"/>
      <c r="JM39" s="27">
        <v>10</v>
      </c>
      <c r="JN39" s="28">
        <v>2.5999999999999996</v>
      </c>
      <c r="JO39" s="29">
        <v>0.34009114808087743</v>
      </c>
      <c r="JP39" s="10"/>
      <c r="JQ39" s="42">
        <v>8</v>
      </c>
      <c r="JR39" s="43">
        <v>3.1250000000000004</v>
      </c>
      <c r="JS39" s="67">
        <v>0.51496799303169682</v>
      </c>
      <c r="JT39" s="10" t="str">
        <f t="shared" si="87"/>
        <v>NV</v>
      </c>
      <c r="JU39" s="10" t="str">
        <f t="shared" si="88"/>
        <v xml:space="preserve"> </v>
      </c>
      <c r="JV39" s="114">
        <f t="shared" si="89"/>
        <v>-0.5250000000000008</v>
      </c>
      <c r="JW39" s="10"/>
      <c r="JX39" s="42">
        <v>11.881432680000001</v>
      </c>
      <c r="JY39" s="43">
        <v>3.5</v>
      </c>
      <c r="JZ39" s="67">
        <v>0.41969157891322051</v>
      </c>
      <c r="KA39" s="10" t="str">
        <f t="shared" si="90"/>
        <v>NV</v>
      </c>
      <c r="KB39" s="10" t="str">
        <f t="shared" si="91"/>
        <v xml:space="preserve"> </v>
      </c>
      <c r="KC39" s="10"/>
      <c r="KD39" s="53">
        <v>10</v>
      </c>
      <c r="KE39" s="55">
        <v>2.8</v>
      </c>
      <c r="KF39" s="56">
        <v>0.56095424707187092</v>
      </c>
      <c r="KG39" s="10" t="str">
        <f t="shared" si="92"/>
        <v>NV</v>
      </c>
      <c r="KH39" s="10" t="str">
        <f t="shared" si="93"/>
        <v xml:space="preserve"> </v>
      </c>
      <c r="KI39" s="10"/>
      <c r="KJ39" s="54">
        <v>16</v>
      </c>
      <c r="KK39" s="57">
        <v>2.7500000000000004</v>
      </c>
      <c r="KL39" s="58">
        <v>0.33447697178857566</v>
      </c>
      <c r="KM39" s="10" t="str">
        <f t="shared" si="94"/>
        <v>NV</v>
      </c>
      <c r="KN39" s="10" t="str">
        <f t="shared" si="95"/>
        <v xml:space="preserve"> </v>
      </c>
      <c r="KO39" s="114">
        <f t="shared" si="96"/>
        <v>-0.1500000000000008</v>
      </c>
      <c r="KP39" s="76"/>
      <c r="KQ39" s="27">
        <v>92</v>
      </c>
      <c r="KR39" s="28">
        <v>2.9124253019331685</v>
      </c>
      <c r="KS39" s="29">
        <v>0.13966947068702457</v>
      </c>
      <c r="KT39" s="10"/>
      <c r="KU39" s="42">
        <v>55</v>
      </c>
      <c r="KV39" s="43">
        <v>2.9292351675449271</v>
      </c>
      <c r="KW39" s="67">
        <v>0.19918500671221639</v>
      </c>
      <c r="KX39" s="10">
        <f t="shared" si="97"/>
        <v>-6.9098494673232161E-2</v>
      </c>
      <c r="KY39" s="10" t="str">
        <f t="shared" si="98"/>
        <v xml:space="preserve"> </v>
      </c>
      <c r="KZ39" s="114">
        <f t="shared" si="99"/>
        <v>-1.6809865611758568E-2</v>
      </c>
      <c r="LA39" s="10"/>
      <c r="LB39" s="42">
        <v>78.183005999999921</v>
      </c>
      <c r="LC39" s="43">
        <v>3.0694197373275727</v>
      </c>
      <c r="LD39" s="67">
        <v>0.15033560951961</v>
      </c>
      <c r="LE39" s="10">
        <f t="shared" si="100"/>
        <v>-0.76506813418066888</v>
      </c>
      <c r="LF39" s="10" t="str">
        <f t="shared" si="101"/>
        <v xml:space="preserve"> </v>
      </c>
      <c r="LG39" s="10"/>
      <c r="LH39" s="53">
        <v>125</v>
      </c>
      <c r="LI39" s="55">
        <v>2.8764082353825997</v>
      </c>
      <c r="LJ39" s="56">
        <v>0.11316548253862561</v>
      </c>
      <c r="LK39" s="10">
        <f t="shared" si="102"/>
        <v>0.20036094074542737</v>
      </c>
      <c r="LL39" s="10" t="str">
        <f t="shared" si="103"/>
        <v xml:space="preserve"> </v>
      </c>
      <c r="LM39" s="10"/>
      <c r="LN39" s="54">
        <v>126</v>
      </c>
      <c r="LO39" s="57">
        <v>2.7541034671680942</v>
      </c>
      <c r="LP39" s="58">
        <v>0.11548087084846673</v>
      </c>
      <c r="LQ39" s="10">
        <f t="shared" si="104"/>
        <v>0.87360841455133809</v>
      </c>
      <c r="LR39" s="10" t="str">
        <f t="shared" si="128"/>
        <v xml:space="preserve"> </v>
      </c>
      <c r="LS39" s="114">
        <f t="shared" si="105"/>
        <v>0.15832183476507433</v>
      </c>
      <c r="LT39" s="76"/>
      <c r="LU39" s="27">
        <v>23</v>
      </c>
      <c r="LV39" s="28">
        <v>3.5652173913043481</v>
      </c>
      <c r="LW39" s="29">
        <v>0.25799981766446989</v>
      </c>
      <c r="LX39" s="10"/>
      <c r="LY39" s="42">
        <v>28</v>
      </c>
      <c r="LZ39" s="43">
        <v>3.8927068724033256</v>
      </c>
      <c r="MA39" s="67">
        <v>0.19490048942806998</v>
      </c>
      <c r="MB39" s="10" t="str">
        <f t="shared" si="106"/>
        <v>NV</v>
      </c>
      <c r="MC39" s="10" t="str">
        <f t="shared" si="107"/>
        <v xml:space="preserve"> </v>
      </c>
      <c r="MD39" s="114">
        <f t="shared" si="108"/>
        <v>-0.32748948109897746</v>
      </c>
      <c r="ME39" s="10"/>
      <c r="MF39" s="42">
        <v>46.535611329999959</v>
      </c>
      <c r="MG39" s="43">
        <v>3.8297872340425543</v>
      </c>
      <c r="MH39" s="67">
        <v>0.15075255080638675</v>
      </c>
      <c r="MI39" s="10" t="str">
        <f t="shared" si="109"/>
        <v>NV</v>
      </c>
      <c r="MJ39" s="10" t="str">
        <f t="shared" si="110"/>
        <v xml:space="preserve"> </v>
      </c>
      <c r="MK39" s="10"/>
      <c r="ML39" s="53">
        <v>88</v>
      </c>
      <c r="MM39" s="55">
        <v>3.6022727272727271</v>
      </c>
      <c r="MN39" s="56">
        <v>0.11035605104292957</v>
      </c>
      <c r="MO39" s="10" t="str">
        <f t="shared" si="111"/>
        <v>NV</v>
      </c>
      <c r="MP39" s="10" t="str">
        <f t="shared" si="112"/>
        <v xml:space="preserve"> </v>
      </c>
      <c r="MQ39" s="10"/>
      <c r="MR39" s="54">
        <v>77</v>
      </c>
      <c r="MS39" s="57">
        <v>3.4487106877754994</v>
      </c>
      <c r="MT39" s="58">
        <v>0.13920999541753806</v>
      </c>
      <c r="MU39" s="10" t="str">
        <f t="shared" si="113"/>
        <v>NV</v>
      </c>
      <c r="MV39" s="10" t="str">
        <f t="shared" si="114"/>
        <v xml:space="preserve"> </v>
      </c>
      <c r="MW39" s="114">
        <f t="shared" si="115"/>
        <v>0.11650670352884873</v>
      </c>
      <c r="MX39" s="76"/>
      <c r="MY39" s="27">
        <v>41</v>
      </c>
      <c r="MZ39" s="28">
        <v>3.8779148527885243</v>
      </c>
      <c r="NA39" s="29">
        <v>0.16821230693290737</v>
      </c>
      <c r="NB39" s="10"/>
      <c r="NC39" s="42">
        <v>27</v>
      </c>
      <c r="ND39" s="43">
        <v>3.5188953487543642</v>
      </c>
      <c r="NE39" s="67">
        <v>0.24673191299705907</v>
      </c>
      <c r="NF39" s="10" t="str">
        <f t="shared" si="116"/>
        <v>NV</v>
      </c>
      <c r="NG39" s="10" t="str">
        <f t="shared" si="117"/>
        <v xml:space="preserve"> </v>
      </c>
      <c r="NH39" s="114">
        <f t="shared" si="118"/>
        <v>0.35901950403416016</v>
      </c>
      <c r="NI39" s="10"/>
      <c r="NJ39" s="42">
        <v>21.110405050000004</v>
      </c>
      <c r="NK39" s="43">
        <v>3.851764705954801</v>
      </c>
      <c r="NL39" s="67">
        <v>0.24950308004600083</v>
      </c>
      <c r="NM39" s="10" t="str">
        <f t="shared" si="119"/>
        <v>NV</v>
      </c>
      <c r="NN39" s="10" t="str">
        <f t="shared" si="120"/>
        <v xml:space="preserve"> </v>
      </c>
      <c r="NO39" s="10"/>
      <c r="NP39" s="53">
        <v>58</v>
      </c>
      <c r="NQ39" s="55">
        <v>3.5554457613331625</v>
      </c>
      <c r="NR39" s="56">
        <v>0.14938569485409978</v>
      </c>
      <c r="NS39" s="10">
        <f t="shared" si="121"/>
        <v>1.4333875740741802</v>
      </c>
      <c r="NT39" s="10" t="str">
        <f t="shared" si="122"/>
        <v xml:space="preserve"> </v>
      </c>
      <c r="NU39" s="10"/>
      <c r="NV39" s="54">
        <v>34</v>
      </c>
      <c r="NW39" s="57">
        <v>3.7565534355181911</v>
      </c>
      <c r="NX39" s="58">
        <v>0.24131773699489178</v>
      </c>
      <c r="NY39" s="10">
        <f t="shared" si="123"/>
        <v>0.4125705416079064</v>
      </c>
      <c r="NZ39" s="10" t="str">
        <f t="shared" si="129"/>
        <v xml:space="preserve"> </v>
      </c>
      <c r="OA39" s="114">
        <f t="shared" si="124"/>
        <v>0.12136141727033323</v>
      </c>
      <c r="OB39" s="58"/>
    </row>
    <row r="40" spans="1:392" x14ac:dyDescent="0.2">
      <c r="B40" s="65" t="s">
        <v>36</v>
      </c>
      <c r="C40" s="27">
        <v>392</v>
      </c>
      <c r="D40" s="28">
        <v>3.8571428571428572</v>
      </c>
      <c r="E40" s="29">
        <v>5.2102273966526821E-2</v>
      </c>
      <c r="F40" s="10"/>
      <c r="G40" s="42">
        <v>118</v>
      </c>
      <c r="H40" s="43">
        <v>3.7033435862200008</v>
      </c>
      <c r="I40" s="67">
        <v>0.1019108182541516</v>
      </c>
      <c r="J40" s="10">
        <f t="shared" si="1"/>
        <v>1.3437267833861741</v>
      </c>
      <c r="K40" s="10" t="str">
        <f t="shared" si="2"/>
        <v xml:space="preserve"> </v>
      </c>
      <c r="L40" s="114">
        <f t="shared" si="3"/>
        <v>0.15379927092285639</v>
      </c>
      <c r="M40" s="10"/>
      <c r="N40" s="42">
        <v>121.6494782100001</v>
      </c>
      <c r="O40" s="43">
        <v>3.41880341880342</v>
      </c>
      <c r="P40" s="67">
        <v>8.1810895107452264E-2</v>
      </c>
      <c r="Q40" s="10">
        <f t="shared" si="4"/>
        <v>4.5192828200429798</v>
      </c>
      <c r="R40" s="10" t="str">
        <f t="shared" si="5"/>
        <v>*</v>
      </c>
      <c r="S40" s="10"/>
      <c r="T40" s="53">
        <v>118</v>
      </c>
      <c r="U40" s="55">
        <v>3.7372881355932193</v>
      </c>
      <c r="V40" s="56">
        <v>7.4137476992998844E-2</v>
      </c>
      <c r="W40" s="10">
        <f t="shared" si="6"/>
        <v>1.3226861073882843</v>
      </c>
      <c r="X40" s="10" t="str">
        <f t="shared" si="7"/>
        <v xml:space="preserve"> </v>
      </c>
      <c r="Y40" s="10"/>
      <c r="Z40" s="54">
        <v>184</v>
      </c>
      <c r="AA40" s="57">
        <v>3.1684782608695667</v>
      </c>
      <c r="AB40" s="58">
        <v>7.3831851167082962E-2</v>
      </c>
      <c r="AC40" s="10">
        <f t="shared" si="8"/>
        <v>7.6209423198629915</v>
      </c>
      <c r="AD40" s="10" t="str">
        <f t="shared" si="9"/>
        <v>*</v>
      </c>
      <c r="AE40" s="114">
        <f t="shared" si="10"/>
        <v>0.68866459627329046</v>
      </c>
      <c r="AF40" s="76"/>
      <c r="AG40" s="27">
        <v>92</v>
      </c>
      <c r="AH40" s="28">
        <v>3.783041212800387</v>
      </c>
      <c r="AI40" s="29">
        <v>9.590297607420388E-2</v>
      </c>
      <c r="AJ40" s="67"/>
      <c r="AK40" s="42">
        <v>50</v>
      </c>
      <c r="AL40" s="43">
        <v>3.6803603214344678</v>
      </c>
      <c r="AM40" s="67">
        <v>0.14640625461502024</v>
      </c>
      <c r="AN40" s="10">
        <f t="shared" si="11"/>
        <v>0.58667925612092986</v>
      </c>
      <c r="AO40" s="10" t="str">
        <f t="shared" si="12"/>
        <v xml:space="preserve"> </v>
      </c>
      <c r="AP40" s="114">
        <f t="shared" si="13"/>
        <v>0.10268089136591918</v>
      </c>
      <c r="AQ40" s="67"/>
      <c r="AR40" s="42">
        <v>92.053096800000006</v>
      </c>
      <c r="AS40" s="43">
        <v>2.9340630689135065</v>
      </c>
      <c r="AT40" s="67">
        <v>0.11789149427555072</v>
      </c>
      <c r="AU40" s="10">
        <f t="shared" si="14"/>
        <v>5.5863757475778613</v>
      </c>
      <c r="AV40" s="10" t="str">
        <f t="shared" si="15"/>
        <v>*</v>
      </c>
      <c r="AW40" s="10"/>
      <c r="AX40" s="53">
        <v>117</v>
      </c>
      <c r="AY40" s="55">
        <v>3.5601937848541012</v>
      </c>
      <c r="AZ40" s="56">
        <v>9.2018770880776826E-2</v>
      </c>
      <c r="BA40" s="10">
        <f t="shared" si="16"/>
        <v>1.6766902277180931</v>
      </c>
      <c r="BB40" s="10" t="str">
        <f t="shared" si="17"/>
        <v xml:space="preserve"> </v>
      </c>
      <c r="BC40" s="10"/>
      <c r="BD40" s="54">
        <v>86</v>
      </c>
      <c r="BE40" s="57">
        <v>3.0012152193965784</v>
      </c>
      <c r="BF40" s="58">
        <v>9.0867387072382066E-2</v>
      </c>
      <c r="BG40" s="10">
        <f t="shared" si="18"/>
        <v>5.9177872711797042</v>
      </c>
      <c r="BH40" s="10" t="str">
        <f t="shared" si="19"/>
        <v>*</v>
      </c>
      <c r="BI40" s="114">
        <f t="shared" si="20"/>
        <v>0.78182599340380854</v>
      </c>
      <c r="BJ40" s="76"/>
      <c r="BK40" s="27">
        <v>1065</v>
      </c>
      <c r="BL40" s="28">
        <v>3.9742942727593431</v>
      </c>
      <c r="BM40" s="29">
        <v>2.8764148191406907E-2</v>
      </c>
      <c r="BN40" s="10"/>
      <c r="BO40" s="42">
        <v>326</v>
      </c>
      <c r="BP40" s="43">
        <v>4.0001229297691419</v>
      </c>
      <c r="BQ40" s="67">
        <v>4.9550462501000453E-2</v>
      </c>
      <c r="BR40" s="10">
        <f t="shared" si="21"/>
        <v>-0.4508075887405828</v>
      </c>
      <c r="BS40" s="10" t="str">
        <f t="shared" si="22"/>
        <v xml:space="preserve"> </v>
      </c>
      <c r="BT40" s="114">
        <f t="shared" si="23"/>
        <v>-2.582865700979875E-2</v>
      </c>
      <c r="BU40" s="10"/>
      <c r="BV40" s="42">
        <v>344.39955587999924</v>
      </c>
      <c r="BW40" s="43">
        <v>3.3499510057207922</v>
      </c>
      <c r="BX40" s="67">
        <v>3.4967329938545282E-2</v>
      </c>
      <c r="BY40" s="10">
        <f t="shared" si="24"/>
        <v>13.789131977641654</v>
      </c>
      <c r="BZ40" s="10" t="str">
        <f t="shared" si="25"/>
        <v>*</v>
      </c>
      <c r="CA40" s="10"/>
      <c r="CB40" s="53">
        <v>357</v>
      </c>
      <c r="CC40" s="55">
        <v>3.8714494148564706</v>
      </c>
      <c r="CD40" s="56">
        <v>2.417294898701566E-2</v>
      </c>
      <c r="CE40" s="10">
        <f t="shared" si="26"/>
        <v>2.737223079412761</v>
      </c>
      <c r="CF40" s="10" t="str">
        <f t="shared" si="27"/>
        <v>*</v>
      </c>
      <c r="CG40" s="10"/>
      <c r="CH40" s="54">
        <v>396</v>
      </c>
      <c r="CI40" s="57">
        <v>3.6014610756733858</v>
      </c>
      <c r="CJ40" s="58">
        <v>5.0140252120454913E-2</v>
      </c>
      <c r="CK40" s="10">
        <f t="shared" si="28"/>
        <v>6.4498404172024282</v>
      </c>
      <c r="CL40" s="10" t="str">
        <f t="shared" si="29"/>
        <v>*</v>
      </c>
      <c r="CM40" s="114">
        <f t="shared" si="30"/>
        <v>0.3728331970859573</v>
      </c>
      <c r="CN40" s="76"/>
      <c r="CO40" s="27">
        <v>650</v>
      </c>
      <c r="CP40" s="28">
        <v>4.1224686940240636</v>
      </c>
      <c r="CQ40" s="29">
        <v>3.5136217846482791E-2</v>
      </c>
      <c r="CR40" s="67"/>
      <c r="CS40" s="42">
        <v>205</v>
      </c>
      <c r="CT40" s="43">
        <v>4.2196450665402665</v>
      </c>
      <c r="CU40" s="67">
        <v>6.1907562371677424E-2</v>
      </c>
      <c r="CV40" s="10">
        <f t="shared" si="31"/>
        <v>-1.3651517876120105</v>
      </c>
      <c r="CW40" s="10" t="str">
        <f t="shared" si="32"/>
        <v xml:space="preserve"> </v>
      </c>
      <c r="CX40" s="114">
        <f t="shared" si="33"/>
        <v>-9.7176372516202925E-2</v>
      </c>
      <c r="CY40" s="10"/>
      <c r="CZ40" s="42">
        <v>229.80007001999942</v>
      </c>
      <c r="DA40" s="43">
        <v>4.2308598869677576</v>
      </c>
      <c r="DB40" s="67">
        <v>5.6172949827798579E-2</v>
      </c>
      <c r="DC40" s="10">
        <f t="shared" si="34"/>
        <v>-1.6359273251811024</v>
      </c>
      <c r="DD40" s="10" t="str">
        <f t="shared" si="35"/>
        <v xml:space="preserve"> </v>
      </c>
      <c r="DE40" s="10"/>
      <c r="DF40" s="53">
        <v>199</v>
      </c>
      <c r="DG40" s="55">
        <v>4.2037178603942582</v>
      </c>
      <c r="DH40" s="56">
        <v>6.2518452495071819E-2</v>
      </c>
      <c r="DI40" s="10">
        <f t="shared" si="36"/>
        <v>-1.1329375659486036</v>
      </c>
      <c r="DJ40" s="10" t="str">
        <f t="shared" si="0"/>
        <v xml:space="preserve"> </v>
      </c>
      <c r="DK40" s="10"/>
      <c r="DL40" s="54">
        <v>250</v>
      </c>
      <c r="DM40" s="57">
        <v>4.0278833960433928</v>
      </c>
      <c r="DN40" s="58">
        <v>6.0124887276471799E-2</v>
      </c>
      <c r="DO40" s="10">
        <f t="shared" si="37"/>
        <v>1.3582279168304652</v>
      </c>
      <c r="DP40" s="10" t="str">
        <f t="shared" si="38"/>
        <v xml:space="preserve"> </v>
      </c>
      <c r="DQ40" s="114">
        <f t="shared" si="39"/>
        <v>9.4585297980670724E-2</v>
      </c>
      <c r="DR40" s="76"/>
      <c r="DS40" s="27">
        <v>189</v>
      </c>
      <c r="DT40" s="28">
        <v>3.6854488614315901</v>
      </c>
      <c r="DU40" s="29">
        <v>7.789465564970674E-2</v>
      </c>
      <c r="DV40" s="10"/>
      <c r="DW40" s="42">
        <v>71</v>
      </c>
      <c r="DX40" s="43">
        <v>3.1268241922247082</v>
      </c>
      <c r="DY40" s="67">
        <v>0.14880935282804897</v>
      </c>
      <c r="DZ40" s="10">
        <f t="shared" si="40"/>
        <v>3.3258656801553856</v>
      </c>
      <c r="EA40" s="10" t="str">
        <f t="shared" si="41"/>
        <v>*</v>
      </c>
      <c r="EB40" s="114">
        <f t="shared" si="42"/>
        <v>0.55862466920688192</v>
      </c>
      <c r="EC40" s="10"/>
      <c r="ED40" s="42">
        <v>85.762416810000033</v>
      </c>
      <c r="EE40" s="43">
        <v>3.4688808385506134</v>
      </c>
      <c r="EF40" s="67">
        <v>0.1094339601372199</v>
      </c>
      <c r="EG40" s="10">
        <f t="shared" si="43"/>
        <v>1.6122616218325887</v>
      </c>
      <c r="EH40" s="10" t="str">
        <f t="shared" si="44"/>
        <v xml:space="preserve"> </v>
      </c>
      <c r="EI40" s="10"/>
      <c r="EJ40" s="53">
        <v>76</v>
      </c>
      <c r="EK40" s="55">
        <v>3.2876589942891918</v>
      </c>
      <c r="EL40" s="56">
        <v>9.9330756552162447E-2</v>
      </c>
      <c r="EM40" s="10">
        <f t="shared" si="45"/>
        <v>3.1512938610990036</v>
      </c>
      <c r="EN40" s="10" t="str">
        <f t="shared" si="46"/>
        <v>*</v>
      </c>
      <c r="EO40" s="10"/>
      <c r="EP40" s="54">
        <v>53</v>
      </c>
      <c r="EQ40" s="57">
        <v>3.5094339622641506</v>
      </c>
      <c r="ER40" s="58">
        <v>0.12744272987132663</v>
      </c>
      <c r="ES40" s="10">
        <f t="shared" si="47"/>
        <v>1.1784391769480764</v>
      </c>
      <c r="ET40" s="10" t="str">
        <f t="shared" si="48"/>
        <v xml:space="preserve"> </v>
      </c>
      <c r="EU40" s="114">
        <f t="shared" si="49"/>
        <v>0.17601489916743951</v>
      </c>
      <c r="EV40" s="76"/>
      <c r="EW40" s="27">
        <v>439</v>
      </c>
      <c r="EX40" s="28">
        <v>4.120329745968025</v>
      </c>
      <c r="EY40" s="29">
        <v>4.4188644057532388E-2</v>
      </c>
      <c r="EZ40" s="10"/>
      <c r="FA40" s="42">
        <v>138</v>
      </c>
      <c r="FB40" s="43">
        <v>4.1590141689600921</v>
      </c>
      <c r="FC40" s="67">
        <v>7.5006807677808596E-2</v>
      </c>
      <c r="FD40" s="10">
        <f t="shared" si="50"/>
        <v>-0.44436514264143168</v>
      </c>
      <c r="FE40" s="10" t="str">
        <f t="shared" si="51"/>
        <v xml:space="preserve"> </v>
      </c>
      <c r="FF40" s="114">
        <f t="shared" si="52"/>
        <v>-3.8684422992067091E-2</v>
      </c>
      <c r="FG40" s="10"/>
      <c r="FH40" s="42">
        <v>160.84461545999986</v>
      </c>
      <c r="FI40" s="43">
        <v>3.392036076866257</v>
      </c>
      <c r="FJ40" s="67">
        <v>7.3511342806514751E-2</v>
      </c>
      <c r="FK40" s="10">
        <f t="shared" si="53"/>
        <v>8.4912050287546474</v>
      </c>
      <c r="FL40" s="10" t="str">
        <f t="shared" si="54"/>
        <v>*</v>
      </c>
      <c r="FM40" s="10"/>
      <c r="FN40" s="53">
        <v>146</v>
      </c>
      <c r="FO40" s="55">
        <v>3.8970310243009201</v>
      </c>
      <c r="FP40" s="56">
        <v>8.0253381540400501E-2</v>
      </c>
      <c r="FQ40" s="10">
        <f t="shared" si="55"/>
        <v>2.4373695257008459</v>
      </c>
      <c r="FR40" s="10" t="str">
        <f t="shared" si="56"/>
        <v>*</v>
      </c>
      <c r="FS40" s="10"/>
      <c r="FT40" s="54">
        <v>185</v>
      </c>
      <c r="FU40" s="57">
        <v>3.3984821927685309</v>
      </c>
      <c r="FV40" s="58">
        <v>6.9257429773433271E-2</v>
      </c>
      <c r="FW40" s="10">
        <f t="shared" si="57"/>
        <v>8.7865511989580778</v>
      </c>
      <c r="FX40" s="10" t="str">
        <f t="shared" si="125"/>
        <v>*</v>
      </c>
      <c r="FY40" s="114">
        <f t="shared" si="58"/>
        <v>0.72184755319949412</v>
      </c>
      <c r="FZ40" s="76"/>
      <c r="GA40" s="27">
        <v>189</v>
      </c>
      <c r="GB40" s="28">
        <v>3.4526777697062561</v>
      </c>
      <c r="GC40" s="29">
        <v>8.8874945815706805E-2</v>
      </c>
      <c r="GD40" s="67"/>
      <c r="GE40" s="42">
        <v>150</v>
      </c>
      <c r="GF40" s="43">
        <v>3.7017783609289294</v>
      </c>
      <c r="GG40" s="67">
        <v>8.5773668349204149E-2</v>
      </c>
      <c r="GH40" s="10">
        <f t="shared" si="59"/>
        <v>-2.0167689775164805</v>
      </c>
      <c r="GI40" s="10" t="str">
        <f t="shared" si="60"/>
        <v>*</v>
      </c>
      <c r="GJ40" s="114">
        <f t="shared" si="61"/>
        <v>-0.24910059122267336</v>
      </c>
      <c r="GK40" s="67"/>
      <c r="GL40" s="42">
        <v>168.86613699000014</v>
      </c>
      <c r="GM40" s="43">
        <v>3.5817684907176961</v>
      </c>
      <c r="GN40" s="67">
        <v>9.3376746486285189E-2</v>
      </c>
      <c r="GO40" s="10">
        <f t="shared" si="62"/>
        <v>-1.0013963517713551</v>
      </c>
      <c r="GP40" s="10" t="str">
        <f t="shared" si="63"/>
        <v xml:space="preserve"> </v>
      </c>
      <c r="GQ40" s="10"/>
      <c r="GR40" s="53">
        <v>194</v>
      </c>
      <c r="GS40" s="55">
        <v>3.3890640813007713</v>
      </c>
      <c r="GT40" s="56">
        <v>8.1195781500385505E-2</v>
      </c>
      <c r="GU40" s="10">
        <f t="shared" si="64"/>
        <v>0.52843763831585433</v>
      </c>
      <c r="GV40" s="10" t="str">
        <f t="shared" si="65"/>
        <v xml:space="preserve"> </v>
      </c>
      <c r="GW40" s="10"/>
      <c r="GX40" s="54">
        <v>169</v>
      </c>
      <c r="GY40" s="57">
        <v>3.567945286932062</v>
      </c>
      <c r="GZ40" s="58">
        <v>8.6628565417008654E-2</v>
      </c>
      <c r="HA40" s="10">
        <f t="shared" si="66"/>
        <v>-0.92875369506388461</v>
      </c>
      <c r="HB40" s="10" t="str">
        <f t="shared" si="126"/>
        <v xml:space="preserve"> </v>
      </c>
      <c r="HC40" s="114">
        <f t="shared" si="67"/>
        <v>-0.11526751722580597</v>
      </c>
      <c r="HD40" s="76"/>
      <c r="HE40" s="27">
        <v>206</v>
      </c>
      <c r="HF40" s="28">
        <v>3.8951785750511601</v>
      </c>
      <c r="HG40" s="29">
        <v>6.7938564426122269E-2</v>
      </c>
      <c r="HH40" s="10"/>
      <c r="HI40" s="42">
        <v>124</v>
      </c>
      <c r="HJ40" s="43">
        <v>3.8719037214833132</v>
      </c>
      <c r="HK40" s="67">
        <v>8.3017043203682292E-2</v>
      </c>
      <c r="HL40" s="10">
        <f t="shared" si="68"/>
        <v>0.21696859701444721</v>
      </c>
      <c r="HM40" s="10" t="str">
        <f t="shared" si="69"/>
        <v xml:space="preserve"> </v>
      </c>
      <c r="HN40" s="114">
        <f t="shared" si="70"/>
        <v>2.3274853567846865E-2</v>
      </c>
      <c r="HO40" s="10"/>
      <c r="HP40" s="42">
        <v>111.3291115099999</v>
      </c>
      <c r="HQ40" s="43">
        <v>3.8534597773329522</v>
      </c>
      <c r="HR40" s="67">
        <v>9.7434773679108563E-2</v>
      </c>
      <c r="HS40" s="10">
        <f t="shared" si="71"/>
        <v>0.35122129574580824</v>
      </c>
      <c r="HT40" s="10" t="str">
        <f t="shared" si="72"/>
        <v xml:space="preserve"> </v>
      </c>
      <c r="HU40" s="10"/>
      <c r="HV40" s="53">
        <v>79</v>
      </c>
      <c r="HW40" s="55">
        <v>3.8200606293485695</v>
      </c>
      <c r="HX40" s="56">
        <v>9.2373410033374667E-2</v>
      </c>
      <c r="HY40" s="10">
        <f t="shared" si="73"/>
        <v>0.65509709386776926</v>
      </c>
      <c r="HZ40" s="10" t="str">
        <f t="shared" si="74"/>
        <v xml:space="preserve"> </v>
      </c>
      <c r="IA40" s="10"/>
      <c r="IB40" s="54">
        <v>140</v>
      </c>
      <c r="IC40" s="57">
        <v>3.9127071820963701</v>
      </c>
      <c r="ID40" s="58">
        <v>8.6588240385407009E-2</v>
      </c>
      <c r="IE40" s="10">
        <f t="shared" si="75"/>
        <v>-0.15926431014453901</v>
      </c>
      <c r="IF40" s="10" t="str">
        <f t="shared" si="127"/>
        <v xml:space="preserve"> </v>
      </c>
      <c r="IG40" s="114">
        <f t="shared" si="76"/>
        <v>-1.7528607045210087E-2</v>
      </c>
      <c r="IH40" s="76"/>
      <c r="II40" s="27">
        <v>533</v>
      </c>
      <c r="IJ40" s="28">
        <v>3.6338811659528307</v>
      </c>
      <c r="IK40" s="29">
        <v>4.7350868441515107E-2</v>
      </c>
      <c r="IL40" s="10"/>
      <c r="IM40" s="42">
        <v>369</v>
      </c>
      <c r="IN40" s="43">
        <v>3.5757218859214395</v>
      </c>
      <c r="IO40" s="67">
        <v>6.0830761906332846E-2</v>
      </c>
      <c r="IP40" s="10">
        <f t="shared" si="77"/>
        <v>0.75445775285430261</v>
      </c>
      <c r="IQ40" s="10" t="str">
        <f t="shared" si="78"/>
        <v xml:space="preserve"> </v>
      </c>
      <c r="IR40" s="114">
        <f t="shared" si="79"/>
        <v>5.8159280031391258E-2</v>
      </c>
      <c r="IS40" s="10"/>
      <c r="IT40" s="42">
        <v>370.36065956000044</v>
      </c>
      <c r="IU40" s="43">
        <v>3.7614881985982369</v>
      </c>
      <c r="IV40" s="67">
        <v>5.4717990284327417E-2</v>
      </c>
      <c r="IW40" s="10">
        <f t="shared" si="80"/>
        <v>-1.7634697835809789</v>
      </c>
      <c r="IX40" s="10" t="str">
        <f t="shared" si="81"/>
        <v xml:space="preserve"> </v>
      </c>
      <c r="IY40" s="10"/>
      <c r="IZ40" s="53">
        <v>370</v>
      </c>
      <c r="JA40" s="55">
        <v>3.6105683095962653</v>
      </c>
      <c r="JB40" s="56">
        <v>5.5953280460783995E-2</v>
      </c>
      <c r="JC40" s="10">
        <f t="shared" si="82"/>
        <v>0.31804761716864943</v>
      </c>
      <c r="JD40" s="10" t="str">
        <f t="shared" si="83"/>
        <v xml:space="preserve"> </v>
      </c>
      <c r="JE40" s="10"/>
      <c r="JF40" s="54">
        <v>395</v>
      </c>
      <c r="JG40" s="57">
        <v>3.7065119274591845</v>
      </c>
      <c r="JH40" s="58">
        <v>5.5158795637353396E-2</v>
      </c>
      <c r="JI40" s="10">
        <f t="shared" si="84"/>
        <v>-0.99911307167100338</v>
      </c>
      <c r="JJ40" s="10" t="str">
        <f t="shared" si="85"/>
        <v xml:space="preserve"> </v>
      </c>
      <c r="JK40" s="114">
        <f t="shared" si="86"/>
        <v>-7.2630761506353725E-2</v>
      </c>
      <c r="JL40" s="76"/>
      <c r="JM40" s="27">
        <v>35</v>
      </c>
      <c r="JN40" s="28">
        <v>4.0571428571428569</v>
      </c>
      <c r="JO40" s="29">
        <v>0.16881850468105872</v>
      </c>
      <c r="JP40" s="10"/>
      <c r="JQ40" s="42">
        <v>25</v>
      </c>
      <c r="JR40" s="43">
        <v>4.2001569858367569</v>
      </c>
      <c r="JS40" s="67">
        <v>0.16330469314756704</v>
      </c>
      <c r="JT40" s="10" t="str">
        <f t="shared" si="87"/>
        <v>NV</v>
      </c>
      <c r="JU40" s="10" t="str">
        <f t="shared" si="88"/>
        <v xml:space="preserve"> </v>
      </c>
      <c r="JV40" s="114">
        <f t="shared" si="89"/>
        <v>-0.14301412869389996</v>
      </c>
      <c r="JW40" s="10"/>
      <c r="JX40" s="42">
        <v>26.733223530000004</v>
      </c>
      <c r="JY40" s="43">
        <v>3.8888888888888888</v>
      </c>
      <c r="JZ40" s="67">
        <v>0.18841967665934364</v>
      </c>
      <c r="KA40" s="10" t="str">
        <f t="shared" si="90"/>
        <v>NV</v>
      </c>
      <c r="KB40" s="10" t="str">
        <f t="shared" si="91"/>
        <v xml:space="preserve"> </v>
      </c>
      <c r="KC40" s="10"/>
      <c r="KD40" s="53">
        <v>30</v>
      </c>
      <c r="KE40" s="55">
        <v>3.5666666666666673</v>
      </c>
      <c r="KF40" s="56">
        <v>0.22595506651590194</v>
      </c>
      <c r="KG40" s="10">
        <f t="shared" si="92"/>
        <v>1.7389342194691404</v>
      </c>
      <c r="KH40" s="10" t="str">
        <f t="shared" si="93"/>
        <v xml:space="preserve"> </v>
      </c>
      <c r="KI40" s="10"/>
      <c r="KJ40" s="54">
        <v>42</v>
      </c>
      <c r="KK40" s="57">
        <v>3.3333333333333335</v>
      </c>
      <c r="KL40" s="58">
        <v>0.19529791991359827</v>
      </c>
      <c r="KM40" s="10">
        <f t="shared" si="94"/>
        <v>2.8038427584287429</v>
      </c>
      <c r="KN40" s="10" t="str">
        <f t="shared" si="95"/>
        <v>*</v>
      </c>
      <c r="KO40" s="114">
        <f t="shared" si="96"/>
        <v>0.72380952380952346</v>
      </c>
      <c r="KP40" s="76"/>
      <c r="KQ40" s="27">
        <v>442</v>
      </c>
      <c r="KR40" s="28">
        <v>3.3597171476351386</v>
      </c>
      <c r="KS40" s="29">
        <v>5.7285441569451798E-2</v>
      </c>
      <c r="KT40" s="10"/>
      <c r="KU40" s="42">
        <v>276</v>
      </c>
      <c r="KV40" s="43">
        <v>3.3223234624454636</v>
      </c>
      <c r="KW40" s="67">
        <v>7.265355399444054E-2</v>
      </c>
      <c r="KX40" s="10">
        <f t="shared" si="97"/>
        <v>0.40416370302575488</v>
      </c>
      <c r="KY40" s="10" t="str">
        <f t="shared" si="98"/>
        <v xml:space="preserve"> </v>
      </c>
      <c r="KZ40" s="114">
        <f t="shared" si="99"/>
        <v>3.7393685189675008E-2</v>
      </c>
      <c r="LA40" s="10"/>
      <c r="LB40" s="42">
        <v>295.89999436999966</v>
      </c>
      <c r="LC40" s="43">
        <v>3.5059704331484083</v>
      </c>
      <c r="LD40" s="67">
        <v>6.6200208740662528E-2</v>
      </c>
      <c r="LE40" s="10">
        <f t="shared" si="100"/>
        <v>-1.6706110457898147</v>
      </c>
      <c r="LF40" s="10" t="str">
        <f t="shared" si="101"/>
        <v xml:space="preserve"> </v>
      </c>
      <c r="LG40" s="10"/>
      <c r="LH40" s="53">
        <v>575</v>
      </c>
      <c r="LI40" s="55">
        <v>3.3220639786581159</v>
      </c>
      <c r="LJ40" s="56">
        <v>4.8085479471800044E-2</v>
      </c>
      <c r="LK40" s="10">
        <f t="shared" si="102"/>
        <v>0.50343882071958657</v>
      </c>
      <c r="LL40" s="10" t="str">
        <f t="shared" si="103"/>
        <v xml:space="preserve"> </v>
      </c>
      <c r="LM40" s="10"/>
      <c r="LN40" s="54">
        <v>608</v>
      </c>
      <c r="LO40" s="57">
        <v>3.2844474699196642</v>
      </c>
      <c r="LP40" s="58">
        <v>4.74593414948399E-2</v>
      </c>
      <c r="LQ40" s="10">
        <f t="shared" si="104"/>
        <v>1.0118125246109855</v>
      </c>
      <c r="LR40" s="10" t="str">
        <f t="shared" si="128"/>
        <v xml:space="preserve"> </v>
      </c>
      <c r="LS40" s="114">
        <f t="shared" si="105"/>
        <v>7.5269677715474437E-2</v>
      </c>
      <c r="LT40" s="76"/>
      <c r="LU40" s="27">
        <v>151</v>
      </c>
      <c r="LV40" s="28">
        <v>3.8146537809263004</v>
      </c>
      <c r="LW40" s="29">
        <v>8.5334566211698742E-2</v>
      </c>
      <c r="LX40" s="10"/>
      <c r="LY40" s="42">
        <v>167</v>
      </c>
      <c r="LZ40" s="43">
        <v>3.7244214730696763</v>
      </c>
      <c r="MA40" s="67">
        <v>8.0381564016477225E-2</v>
      </c>
      <c r="MB40" s="10">
        <f t="shared" si="106"/>
        <v>0.76969450218725166</v>
      </c>
      <c r="MC40" s="10" t="str">
        <f t="shared" si="107"/>
        <v xml:space="preserve"> </v>
      </c>
      <c r="MD40" s="114">
        <f t="shared" si="108"/>
        <v>9.0232307856624061E-2</v>
      </c>
      <c r="ME40" s="10"/>
      <c r="MF40" s="42">
        <v>168.63819415999976</v>
      </c>
      <c r="MG40" s="43">
        <v>3.8541609393856202</v>
      </c>
      <c r="MH40" s="67">
        <v>7.090269217783958E-2</v>
      </c>
      <c r="MI40" s="10">
        <f t="shared" si="109"/>
        <v>-0.35609119406461776</v>
      </c>
      <c r="MJ40" s="10" t="str">
        <f t="shared" si="110"/>
        <v xml:space="preserve"> </v>
      </c>
      <c r="MK40" s="10"/>
      <c r="ML40" s="53">
        <v>431</v>
      </c>
      <c r="MM40" s="55">
        <v>3.6798143851508143</v>
      </c>
      <c r="MN40" s="56">
        <v>4.768896891672738E-2</v>
      </c>
      <c r="MO40" s="10">
        <f t="shared" si="111"/>
        <v>1.3793471851061898</v>
      </c>
      <c r="MP40" s="10" t="str">
        <f t="shared" si="112"/>
        <v xml:space="preserve"> </v>
      </c>
      <c r="MQ40" s="10"/>
      <c r="MR40" s="54">
        <v>432</v>
      </c>
      <c r="MS40" s="57">
        <v>3.7383346142436338</v>
      </c>
      <c r="MT40" s="58">
        <v>5.0943517103949475E-2</v>
      </c>
      <c r="MU40" s="10">
        <f t="shared" si="113"/>
        <v>0.76792009706369735</v>
      </c>
      <c r="MV40" s="10" t="str">
        <f t="shared" si="114"/>
        <v xml:space="preserve"> </v>
      </c>
      <c r="MW40" s="114">
        <f t="shared" si="115"/>
        <v>7.6319166682666584E-2</v>
      </c>
      <c r="MX40" s="76"/>
      <c r="MY40" s="27">
        <v>185</v>
      </c>
      <c r="MZ40" s="28">
        <v>3.8810754421155491</v>
      </c>
      <c r="NA40" s="29">
        <v>6.7133819739572068E-2</v>
      </c>
      <c r="NB40" s="10"/>
      <c r="NC40" s="42">
        <v>124</v>
      </c>
      <c r="ND40" s="43">
        <v>4.0164713334691866</v>
      </c>
      <c r="NE40" s="67">
        <v>8.7963887885567651E-2</v>
      </c>
      <c r="NF40" s="10">
        <f t="shared" si="116"/>
        <v>-1.2235825294367728</v>
      </c>
      <c r="NG40" s="10" t="str">
        <f t="shared" si="117"/>
        <v xml:space="preserve"> </v>
      </c>
      <c r="NH40" s="114">
        <f t="shared" si="118"/>
        <v>-0.1353958913536375</v>
      </c>
      <c r="NI40" s="10"/>
      <c r="NJ40" s="42">
        <v>105.23412739000001</v>
      </c>
      <c r="NK40" s="43">
        <v>3.9329746060053292</v>
      </c>
      <c r="NL40" s="67">
        <v>9.0934929230412229E-2</v>
      </c>
      <c r="NM40" s="10">
        <f t="shared" si="119"/>
        <v>-0.45915680086254024</v>
      </c>
      <c r="NN40" s="10" t="str">
        <f t="shared" si="120"/>
        <v xml:space="preserve"> </v>
      </c>
      <c r="NO40" s="10"/>
      <c r="NP40" s="53">
        <v>194</v>
      </c>
      <c r="NQ40" s="55">
        <v>3.7941647705643744</v>
      </c>
      <c r="NR40" s="56">
        <v>6.7962386387037457E-2</v>
      </c>
      <c r="NS40" s="10">
        <f t="shared" si="121"/>
        <v>0.90978083202480642</v>
      </c>
      <c r="NT40" s="10" t="str">
        <f t="shared" si="122"/>
        <v xml:space="preserve"> </v>
      </c>
      <c r="NU40" s="10"/>
      <c r="NV40" s="54">
        <v>198</v>
      </c>
      <c r="NW40" s="57">
        <v>3.9240847333128994</v>
      </c>
      <c r="NX40" s="58">
        <v>7.153422459586338E-2</v>
      </c>
      <c r="NY40" s="10">
        <f t="shared" si="123"/>
        <v>-0.43841189988459323</v>
      </c>
      <c r="NZ40" s="10" t="str">
        <f t="shared" si="129"/>
        <v xml:space="preserve"> </v>
      </c>
      <c r="OA40" s="114">
        <f t="shared" si="124"/>
        <v>-4.3009291197350308E-2</v>
      </c>
      <c r="OB40" s="58"/>
    </row>
    <row r="41" spans="1:392" x14ac:dyDescent="0.2">
      <c r="B41" s="65" t="s">
        <v>37</v>
      </c>
      <c r="C41" s="27">
        <v>382</v>
      </c>
      <c r="D41" s="28">
        <v>3.4607329842931929</v>
      </c>
      <c r="E41" s="29">
        <v>6.3625553350523056E-2</v>
      </c>
      <c r="F41" s="10"/>
      <c r="G41" s="42">
        <v>115</v>
      </c>
      <c r="H41" s="43">
        <v>3.3652914466042909</v>
      </c>
      <c r="I41" s="67">
        <v>0.11901321432324659</v>
      </c>
      <c r="J41" s="10">
        <f t="shared" si="1"/>
        <v>0.70721971621443058</v>
      </c>
      <c r="K41" s="10" t="str">
        <f t="shared" si="2"/>
        <v xml:space="preserve"> </v>
      </c>
      <c r="L41" s="114">
        <f t="shared" si="3"/>
        <v>9.5441537688901956E-2</v>
      </c>
      <c r="M41" s="10"/>
      <c r="N41" s="42">
        <v>121.6494782100001</v>
      </c>
      <c r="O41" s="43">
        <v>3.0085470085470076</v>
      </c>
      <c r="P41" s="67">
        <v>9.633094592296633E-2</v>
      </c>
      <c r="Q41" s="10">
        <f t="shared" si="4"/>
        <v>3.9168491176151443</v>
      </c>
      <c r="R41" s="10" t="str">
        <f t="shared" si="5"/>
        <v>*</v>
      </c>
      <c r="S41" s="10"/>
      <c r="T41" s="53">
        <v>118</v>
      </c>
      <c r="U41" s="55">
        <v>3.4322033898305078</v>
      </c>
      <c r="V41" s="56">
        <v>9.0336149669639626E-2</v>
      </c>
      <c r="W41" s="10">
        <f t="shared" si="6"/>
        <v>0.25820137920094838</v>
      </c>
      <c r="X41" s="10" t="str">
        <f t="shared" si="7"/>
        <v xml:space="preserve"> </v>
      </c>
      <c r="Y41" s="10"/>
      <c r="Z41" s="54">
        <v>185</v>
      </c>
      <c r="AA41" s="57">
        <v>2.9081081081081086</v>
      </c>
      <c r="AB41" s="58">
        <v>7.5103622081489602E-2</v>
      </c>
      <c r="AC41" s="10">
        <f t="shared" si="8"/>
        <v>5.6143077829524559</v>
      </c>
      <c r="AD41" s="10" t="str">
        <f t="shared" si="9"/>
        <v>*</v>
      </c>
      <c r="AE41" s="114">
        <f t="shared" si="10"/>
        <v>0.55262487618508427</v>
      </c>
      <c r="AF41" s="76"/>
      <c r="AG41" s="27">
        <v>88</v>
      </c>
      <c r="AH41" s="28">
        <v>3.6254875860263618</v>
      </c>
      <c r="AI41" s="29">
        <v>0.10709514605809414</v>
      </c>
      <c r="AJ41" s="67"/>
      <c r="AK41" s="42">
        <v>50</v>
      </c>
      <c r="AL41" s="43">
        <v>3.3608162383281832</v>
      </c>
      <c r="AM41" s="67">
        <v>0.17023924187851444</v>
      </c>
      <c r="AN41" s="10">
        <f t="shared" si="11"/>
        <v>1.3159625598367879</v>
      </c>
      <c r="AO41" s="10" t="str">
        <f t="shared" si="12"/>
        <v xml:space="preserve"> </v>
      </c>
      <c r="AP41" s="114">
        <f t="shared" si="13"/>
        <v>0.26467134769817857</v>
      </c>
      <c r="AQ41" s="67"/>
      <c r="AR41" s="42">
        <v>92.053096800000006</v>
      </c>
      <c r="AS41" s="43">
        <v>3.0283858907612542</v>
      </c>
      <c r="AT41" s="67">
        <v>0.10632796396420577</v>
      </c>
      <c r="AU41" s="10">
        <f t="shared" si="14"/>
        <v>3.9565718064180686</v>
      </c>
      <c r="AV41" s="10" t="str">
        <f t="shared" si="15"/>
        <v>*</v>
      </c>
      <c r="AW41" s="10"/>
      <c r="AX41" s="53">
        <v>117</v>
      </c>
      <c r="AY41" s="55">
        <v>3.1904048576822226</v>
      </c>
      <c r="AZ41" s="56">
        <v>8.629122169327888E-2</v>
      </c>
      <c r="BA41" s="10">
        <f t="shared" si="16"/>
        <v>3.1634604628227896</v>
      </c>
      <c r="BB41" s="10" t="str">
        <f t="shared" si="17"/>
        <v>*</v>
      </c>
      <c r="BC41" s="10"/>
      <c r="BD41" s="54">
        <v>84</v>
      </c>
      <c r="BE41" s="57">
        <v>2.7836225213048436</v>
      </c>
      <c r="BF41" s="58">
        <v>9.2260140024160983E-2</v>
      </c>
      <c r="BG41" s="10">
        <f t="shared" si="18"/>
        <v>5.9556693295455689</v>
      </c>
      <c r="BH41" s="10" t="str">
        <f t="shared" si="19"/>
        <v>*</v>
      </c>
      <c r="BI41" s="114">
        <f t="shared" si="20"/>
        <v>0.84186506472151823</v>
      </c>
      <c r="BJ41" s="76"/>
      <c r="BK41" s="27">
        <v>1051</v>
      </c>
      <c r="BL41" s="28">
        <v>3.7130999294258498</v>
      </c>
      <c r="BM41" s="29">
        <v>3.2692404663190427E-2</v>
      </c>
      <c r="BN41" s="10"/>
      <c r="BO41" s="42">
        <v>319</v>
      </c>
      <c r="BP41" s="43">
        <v>3.796263317127881</v>
      </c>
      <c r="BQ41" s="67">
        <v>5.6524245355294281E-2</v>
      </c>
      <c r="BR41" s="10">
        <f t="shared" si="21"/>
        <v>-1.2736045238162841</v>
      </c>
      <c r="BS41" s="10" t="str">
        <f t="shared" si="22"/>
        <v xml:space="preserve"> </v>
      </c>
      <c r="BT41" s="114">
        <f t="shared" si="23"/>
        <v>-8.3163387702031244E-2</v>
      </c>
      <c r="BU41" s="10"/>
      <c r="BV41" s="42">
        <v>344.39955587999924</v>
      </c>
      <c r="BW41" s="43">
        <v>2.9738883015193736</v>
      </c>
      <c r="BX41" s="67">
        <v>3.8417541922082701E-2</v>
      </c>
      <c r="BY41" s="10">
        <f t="shared" si="24"/>
        <v>14.653805482979186</v>
      </c>
      <c r="BZ41" s="10" t="str">
        <f t="shared" si="25"/>
        <v>*</v>
      </c>
      <c r="CA41" s="10"/>
      <c r="CB41" s="53">
        <v>354</v>
      </c>
      <c r="CC41" s="55">
        <v>3.1247867683140145</v>
      </c>
      <c r="CD41" s="56">
        <v>3.4206422755815459E-2</v>
      </c>
      <c r="CE41" s="10">
        <f t="shared" si="26"/>
        <v>12.433513367075655</v>
      </c>
      <c r="CF41" s="10" t="str">
        <f t="shared" si="27"/>
        <v>*</v>
      </c>
      <c r="CG41" s="10"/>
      <c r="CH41" s="54">
        <v>393</v>
      </c>
      <c r="CI41" s="57">
        <v>3.2722426525100778</v>
      </c>
      <c r="CJ41" s="58">
        <v>5.3526974372980027E-2</v>
      </c>
      <c r="CK41" s="10">
        <f t="shared" si="28"/>
        <v>7.0288565957464009</v>
      </c>
      <c r="CL41" s="10" t="str">
        <f t="shared" si="29"/>
        <v>*</v>
      </c>
      <c r="CM41" s="114">
        <f t="shared" si="30"/>
        <v>0.44085727691577192</v>
      </c>
      <c r="CN41" s="76"/>
      <c r="CO41" s="27">
        <v>631</v>
      </c>
      <c r="CP41" s="28">
        <v>3.8170777516135979</v>
      </c>
      <c r="CQ41" s="29">
        <v>4.2150305116947215E-2</v>
      </c>
      <c r="CR41" s="67"/>
      <c r="CS41" s="42">
        <v>205</v>
      </c>
      <c r="CT41" s="43">
        <v>4.0390566590169232</v>
      </c>
      <c r="CU41" s="67">
        <v>6.6105399772147272E-2</v>
      </c>
      <c r="CV41" s="10">
        <f t="shared" si="31"/>
        <v>-2.8313608278462223</v>
      </c>
      <c r="CW41" s="10" t="str">
        <f t="shared" si="32"/>
        <v>*</v>
      </c>
      <c r="CX41" s="114">
        <f t="shared" si="33"/>
        <v>-0.22197890740332538</v>
      </c>
      <c r="CY41" s="10"/>
      <c r="CZ41" s="42">
        <v>217.12714172999941</v>
      </c>
      <c r="DA41" s="43">
        <v>3.8934846892206618</v>
      </c>
      <c r="DB41" s="67">
        <v>7.5054058691812559E-2</v>
      </c>
      <c r="DC41" s="10">
        <f t="shared" si="34"/>
        <v>-0.88762744975274122</v>
      </c>
      <c r="DD41" s="10" t="str">
        <f t="shared" si="35"/>
        <v xml:space="preserve"> </v>
      </c>
      <c r="DE41" s="10"/>
      <c r="DF41" s="53">
        <v>195</v>
      </c>
      <c r="DG41" s="55">
        <v>4.0660825174929647</v>
      </c>
      <c r="DH41" s="56">
        <v>6.7784520220218317E-2</v>
      </c>
      <c r="DI41" s="10">
        <f t="shared" si="36"/>
        <v>-3.1195401890400238</v>
      </c>
      <c r="DJ41" s="10" t="str">
        <f t="shared" si="0"/>
        <v>*</v>
      </c>
      <c r="DK41" s="10"/>
      <c r="DL41" s="54">
        <v>249</v>
      </c>
      <c r="DM41" s="57">
        <v>3.6414628913887128</v>
      </c>
      <c r="DN41" s="58">
        <v>6.83529278772564E-2</v>
      </c>
      <c r="DO41" s="10">
        <f t="shared" si="37"/>
        <v>2.1868690881595167</v>
      </c>
      <c r="DP41" s="10" t="str">
        <f t="shared" si="38"/>
        <v>*</v>
      </c>
      <c r="DQ41" s="114">
        <f t="shared" si="39"/>
        <v>0.17561486022488504</v>
      </c>
      <c r="DR41" s="76"/>
      <c r="DS41" s="27">
        <v>179</v>
      </c>
      <c r="DT41" s="28">
        <v>3.4152842620601063</v>
      </c>
      <c r="DU41" s="29">
        <v>8.1063117874351054E-2</v>
      </c>
      <c r="DV41" s="10"/>
      <c r="DW41" s="42">
        <v>69</v>
      </c>
      <c r="DX41" s="43">
        <v>3.3333979022509319</v>
      </c>
      <c r="DY41" s="67">
        <v>0.12861460217434656</v>
      </c>
      <c r="DZ41" s="10">
        <f t="shared" si="40"/>
        <v>0.53862179474053007</v>
      </c>
      <c r="EA41" s="10" t="str">
        <f t="shared" si="41"/>
        <v xml:space="preserve"> </v>
      </c>
      <c r="EB41" s="114">
        <f t="shared" si="42"/>
        <v>8.1886359809174358E-2</v>
      </c>
      <c r="EC41" s="10"/>
      <c r="ED41" s="42">
        <v>83.682938550000031</v>
      </c>
      <c r="EE41" s="43">
        <v>3.1188800085462587</v>
      </c>
      <c r="EF41" s="67">
        <v>0.12500996497447484</v>
      </c>
      <c r="EG41" s="10">
        <f t="shared" si="43"/>
        <v>1.9893924291226277</v>
      </c>
      <c r="EH41" s="10" t="str">
        <f t="shared" si="44"/>
        <v>*</v>
      </c>
      <c r="EI41" s="10"/>
      <c r="EJ41" s="53">
        <v>69</v>
      </c>
      <c r="EK41" s="55">
        <v>3.0311169958609119</v>
      </c>
      <c r="EL41" s="56">
        <v>0.11103388288489953</v>
      </c>
      <c r="EM41" s="10">
        <f t="shared" si="45"/>
        <v>2.7944239945817704</v>
      </c>
      <c r="EN41" s="10" t="str">
        <f t="shared" si="46"/>
        <v>*</v>
      </c>
      <c r="EO41" s="10"/>
      <c r="EP41" s="54">
        <v>53</v>
      </c>
      <c r="EQ41" s="57">
        <v>3.2264150943396221</v>
      </c>
      <c r="ER41" s="58">
        <v>0.15851786225319969</v>
      </c>
      <c r="ES41" s="10">
        <f t="shared" si="47"/>
        <v>1.06080929074965</v>
      </c>
      <c r="ET41" s="10" t="str">
        <f t="shared" si="48"/>
        <v xml:space="preserve"> </v>
      </c>
      <c r="EU41" s="114">
        <f t="shared" si="49"/>
        <v>0.18886916772048412</v>
      </c>
      <c r="EV41" s="76"/>
      <c r="EW41" s="27">
        <v>437</v>
      </c>
      <c r="EX41" s="28">
        <v>3.8402033706565684</v>
      </c>
      <c r="EY41" s="29">
        <v>5.3536999428417616E-2</v>
      </c>
      <c r="EZ41" s="10"/>
      <c r="FA41" s="42">
        <v>142</v>
      </c>
      <c r="FB41" s="43">
        <v>3.782198024380985</v>
      </c>
      <c r="FC41" s="67">
        <v>9.2667867688445441E-2</v>
      </c>
      <c r="FD41" s="10">
        <f t="shared" si="50"/>
        <v>0.54199849335636729</v>
      </c>
      <c r="FE41" s="10" t="str">
        <f t="shared" si="51"/>
        <v xml:space="preserve"> </v>
      </c>
      <c r="FF41" s="114">
        <f t="shared" si="52"/>
        <v>5.8005346275583403E-2</v>
      </c>
      <c r="FG41" s="10"/>
      <c r="FH41" s="42">
        <v>162.92409371999986</v>
      </c>
      <c r="FI41" s="43">
        <v>3.1091751102852165</v>
      </c>
      <c r="FJ41" s="67">
        <v>7.7959385970902878E-2</v>
      </c>
      <c r="FK41" s="10">
        <f t="shared" si="53"/>
        <v>7.7298537592114371</v>
      </c>
      <c r="FL41" s="10" t="str">
        <f t="shared" si="54"/>
        <v>*</v>
      </c>
      <c r="FM41" s="10"/>
      <c r="FN41" s="53">
        <v>145</v>
      </c>
      <c r="FO41" s="55">
        <v>3.639216405373995</v>
      </c>
      <c r="FP41" s="56">
        <v>9.4978707638670487E-2</v>
      </c>
      <c r="FQ41" s="10">
        <f t="shared" si="55"/>
        <v>1.8434388819606735</v>
      </c>
      <c r="FR41" s="10" t="str">
        <f t="shared" si="56"/>
        <v xml:space="preserve"> </v>
      </c>
      <c r="FS41" s="10"/>
      <c r="FT41" s="54">
        <v>183</v>
      </c>
      <c r="FU41" s="57">
        <v>3.0977990310263901</v>
      </c>
      <c r="FV41" s="58">
        <v>7.564542559120771E-2</v>
      </c>
      <c r="FW41" s="10">
        <f t="shared" si="57"/>
        <v>8.0109374478698587</v>
      </c>
      <c r="FX41" s="10" t="str">
        <f t="shared" si="125"/>
        <v>*</v>
      </c>
      <c r="FY41" s="114">
        <f t="shared" si="58"/>
        <v>0.74240433963017827</v>
      </c>
      <c r="FZ41" s="76"/>
      <c r="GA41" s="27">
        <v>178</v>
      </c>
      <c r="GB41" s="28">
        <v>3.4248750126771754</v>
      </c>
      <c r="GC41" s="29">
        <v>8.4643966971336915E-2</v>
      </c>
      <c r="GD41" s="67"/>
      <c r="GE41" s="42">
        <v>143</v>
      </c>
      <c r="GF41" s="43">
        <v>3.5605398504567454</v>
      </c>
      <c r="GG41" s="67">
        <v>9.7763734426076179E-2</v>
      </c>
      <c r="GH41" s="10">
        <f t="shared" si="59"/>
        <v>-1.0491042815656209</v>
      </c>
      <c r="GI41" s="10" t="str">
        <f t="shared" si="60"/>
        <v xml:space="preserve"> </v>
      </c>
      <c r="GJ41" s="114">
        <f t="shared" si="61"/>
        <v>-0.13566483777956995</v>
      </c>
      <c r="GK41" s="67"/>
      <c r="GL41" s="42">
        <v>166.67101173000012</v>
      </c>
      <c r="GM41" s="43">
        <v>3.4773168784075987</v>
      </c>
      <c r="GN41" s="67">
        <v>9.5077307296768443E-2</v>
      </c>
      <c r="GO41" s="10">
        <f t="shared" si="62"/>
        <v>-0.41196759576523723</v>
      </c>
      <c r="GP41" s="10" t="str">
        <f t="shared" si="63"/>
        <v xml:space="preserve"> </v>
      </c>
      <c r="GQ41" s="10"/>
      <c r="GR41" s="53">
        <v>188</v>
      </c>
      <c r="GS41" s="55">
        <v>3.3313258317866081</v>
      </c>
      <c r="GT41" s="56">
        <v>8.29799490708268E-2</v>
      </c>
      <c r="GU41" s="10">
        <f t="shared" si="64"/>
        <v>0.78921913500966845</v>
      </c>
      <c r="GV41" s="10" t="str">
        <f t="shared" si="65"/>
        <v xml:space="preserve"> </v>
      </c>
      <c r="GW41" s="10"/>
      <c r="GX41" s="54">
        <v>168</v>
      </c>
      <c r="GY41" s="57">
        <v>3.3881578949101492</v>
      </c>
      <c r="GZ41" s="58">
        <v>8.727382249925536E-2</v>
      </c>
      <c r="HA41" s="10">
        <f t="shared" si="66"/>
        <v>0.30200348510395048</v>
      </c>
      <c r="HB41" s="10" t="str">
        <f t="shared" si="126"/>
        <v xml:space="preserve"> </v>
      </c>
      <c r="HC41" s="114">
        <f t="shared" si="67"/>
        <v>3.6717117767026242E-2</v>
      </c>
      <c r="HD41" s="76"/>
      <c r="HE41" s="27">
        <v>198</v>
      </c>
      <c r="HF41" s="28">
        <v>3.6900283561266143</v>
      </c>
      <c r="HG41" s="29">
        <v>7.6979857610544239E-2</v>
      </c>
      <c r="HH41" s="10"/>
      <c r="HI41" s="42">
        <v>120</v>
      </c>
      <c r="HJ41" s="43">
        <v>3.7672792669646658</v>
      </c>
      <c r="HK41" s="67">
        <v>9.9327759754853778E-2</v>
      </c>
      <c r="HL41" s="10">
        <f t="shared" si="68"/>
        <v>-0.61473279692939564</v>
      </c>
      <c r="HM41" s="10" t="str">
        <f t="shared" si="69"/>
        <v xml:space="preserve"> </v>
      </c>
      <c r="HN41" s="114">
        <f t="shared" si="70"/>
        <v>-7.7250910838051468E-2</v>
      </c>
      <c r="HO41" s="10"/>
      <c r="HP41" s="42">
        <v>106.38319319999991</v>
      </c>
      <c r="HQ41" s="43">
        <v>3.6659040101082425</v>
      </c>
      <c r="HR41" s="67">
        <v>9.7124501505631511E-2</v>
      </c>
      <c r="HS41" s="10">
        <f t="shared" si="71"/>
        <v>0.1946583902960603</v>
      </c>
      <c r="HT41" s="10" t="str">
        <f t="shared" si="72"/>
        <v xml:space="preserve"> </v>
      </c>
      <c r="HU41" s="10"/>
      <c r="HV41" s="53">
        <v>78</v>
      </c>
      <c r="HW41" s="55">
        <v>3.5873348384746664</v>
      </c>
      <c r="HX41" s="56">
        <v>0.10689012507129725</v>
      </c>
      <c r="HY41" s="10">
        <f t="shared" si="73"/>
        <v>0.77960713142866678</v>
      </c>
      <c r="HZ41" s="10" t="str">
        <f t="shared" si="74"/>
        <v xml:space="preserve"> </v>
      </c>
      <c r="IA41" s="10"/>
      <c r="IB41" s="54">
        <v>136</v>
      </c>
      <c r="IC41" s="57">
        <v>3.7437452617176459</v>
      </c>
      <c r="ID41" s="58">
        <v>9.5276450225508708E-2</v>
      </c>
      <c r="IE41" s="10">
        <f t="shared" si="75"/>
        <v>-0.43854553036102095</v>
      </c>
      <c r="IF41" s="10" t="str">
        <f t="shared" si="127"/>
        <v xml:space="preserve"> </v>
      </c>
      <c r="IG41" s="114">
        <f t="shared" si="76"/>
        <v>-5.3716905591031594E-2</v>
      </c>
      <c r="IH41" s="76"/>
      <c r="II41" s="27">
        <v>524</v>
      </c>
      <c r="IJ41" s="28">
        <v>3.3072353476051028</v>
      </c>
      <c r="IK41" s="29">
        <v>5.0806602768368833E-2</v>
      </c>
      <c r="IL41" s="10"/>
      <c r="IM41" s="42">
        <v>371</v>
      </c>
      <c r="IN41" s="43">
        <v>3.2005605040217469</v>
      </c>
      <c r="IO41" s="67">
        <v>6.6742753277736558E-2</v>
      </c>
      <c r="IP41" s="10">
        <f t="shared" si="77"/>
        <v>1.2717507441158915</v>
      </c>
      <c r="IQ41" s="10" t="str">
        <f t="shared" si="78"/>
        <v xml:space="preserve"> </v>
      </c>
      <c r="IR41" s="114">
        <f t="shared" si="79"/>
        <v>0.10667484358335599</v>
      </c>
      <c r="IS41" s="10"/>
      <c r="IT41" s="42">
        <v>372.55578482000038</v>
      </c>
      <c r="IU41" s="43">
        <v>3.4100165212675555</v>
      </c>
      <c r="IV41" s="67">
        <v>6.1925996955686721E-2</v>
      </c>
      <c r="IW41" s="10">
        <f t="shared" si="80"/>
        <v>-1.2831477221145995</v>
      </c>
      <c r="IX41" s="10" t="str">
        <f t="shared" si="81"/>
        <v xml:space="preserve"> </v>
      </c>
      <c r="IY41" s="10"/>
      <c r="IZ41" s="53">
        <v>370</v>
      </c>
      <c r="JA41" s="55">
        <v>3.4139243921627398</v>
      </c>
      <c r="JB41" s="56">
        <v>5.9938216958514978E-2</v>
      </c>
      <c r="JC41" s="10">
        <f t="shared" si="82"/>
        <v>-1.357813131737837</v>
      </c>
      <c r="JD41" s="10" t="str">
        <f t="shared" si="83"/>
        <v xml:space="preserve"> </v>
      </c>
      <c r="JE41" s="10"/>
      <c r="JF41" s="54">
        <v>394</v>
      </c>
      <c r="JG41" s="57">
        <v>3.4470451309480095</v>
      </c>
      <c r="JH41" s="58">
        <v>5.84780492149478E-2</v>
      </c>
      <c r="JI41" s="10">
        <f t="shared" si="84"/>
        <v>-1.804787183010218</v>
      </c>
      <c r="JJ41" s="10" t="str">
        <f t="shared" si="85"/>
        <v xml:space="preserve"> </v>
      </c>
      <c r="JK41" s="114">
        <f t="shared" si="86"/>
        <v>-0.13980978334290661</v>
      </c>
      <c r="JL41" s="76"/>
      <c r="JM41" s="27">
        <v>36</v>
      </c>
      <c r="JN41" s="28">
        <v>4.0277777777777768</v>
      </c>
      <c r="JO41" s="29">
        <v>0.16667152087925843</v>
      </c>
      <c r="JP41" s="10"/>
      <c r="JQ41" s="42">
        <v>26</v>
      </c>
      <c r="JR41" s="43">
        <v>4.1539622641254148</v>
      </c>
      <c r="JS41" s="67">
        <v>0.15384801611220764</v>
      </c>
      <c r="JT41" s="10" t="str">
        <f t="shared" si="87"/>
        <v>NV</v>
      </c>
      <c r="JU41" s="10" t="str">
        <f t="shared" si="88"/>
        <v xml:space="preserve"> </v>
      </c>
      <c r="JV41" s="114">
        <f t="shared" si="89"/>
        <v>-0.12618448634763801</v>
      </c>
      <c r="JW41" s="10"/>
      <c r="JX41" s="42">
        <v>25.743104140000003</v>
      </c>
      <c r="JY41" s="43">
        <v>3.8846153846153846</v>
      </c>
      <c r="JZ41" s="67">
        <v>0.15092530019739248</v>
      </c>
      <c r="KA41" s="10" t="str">
        <f t="shared" si="90"/>
        <v>NV</v>
      </c>
      <c r="KB41" s="10" t="str">
        <f t="shared" si="91"/>
        <v xml:space="preserve"> </v>
      </c>
      <c r="KC41" s="10"/>
      <c r="KD41" s="53">
        <v>29</v>
      </c>
      <c r="KE41" s="55">
        <v>3.6551724137931028</v>
      </c>
      <c r="KF41" s="56">
        <v>0.20263709116194215</v>
      </c>
      <c r="KG41" s="10" t="str">
        <f t="shared" si="92"/>
        <v>NV</v>
      </c>
      <c r="KH41" s="10" t="str">
        <f t="shared" si="93"/>
        <v xml:space="preserve"> </v>
      </c>
      <c r="KI41" s="10"/>
      <c r="KJ41" s="54">
        <v>42</v>
      </c>
      <c r="KK41" s="57">
        <v>3.1428571428571428</v>
      </c>
      <c r="KL41" s="58">
        <v>0.19177875022960447</v>
      </c>
      <c r="KM41" s="10">
        <f t="shared" si="94"/>
        <v>3.4827929563174442</v>
      </c>
      <c r="KN41" s="10" t="str">
        <f t="shared" si="95"/>
        <v>*</v>
      </c>
      <c r="KO41" s="114">
        <f t="shared" si="96"/>
        <v>0.884920634920634</v>
      </c>
      <c r="KP41" s="76"/>
      <c r="KQ41" s="27">
        <v>427</v>
      </c>
      <c r="KR41" s="28">
        <v>3.2386801950051267</v>
      </c>
      <c r="KS41" s="29">
        <v>5.9856850322853268E-2</v>
      </c>
      <c r="KT41" s="10"/>
      <c r="KU41" s="42">
        <v>266</v>
      </c>
      <c r="KV41" s="43">
        <v>3.1879615952750986</v>
      </c>
      <c r="KW41" s="67">
        <v>7.4652540028784006E-2</v>
      </c>
      <c r="KX41" s="10">
        <f t="shared" si="97"/>
        <v>0.5300514859043659</v>
      </c>
      <c r="KY41" s="10" t="str">
        <f t="shared" si="98"/>
        <v xml:space="preserve"> </v>
      </c>
      <c r="KZ41" s="114">
        <f t="shared" si="99"/>
        <v>5.0718599730028124E-2</v>
      </c>
      <c r="LA41" s="10"/>
      <c r="LB41" s="42">
        <v>280.73030565999937</v>
      </c>
      <c r="LC41" s="43">
        <v>3.2342172312156214</v>
      </c>
      <c r="LD41" s="67">
        <v>6.9435298319047767E-2</v>
      </c>
      <c r="LE41" s="10">
        <f t="shared" si="100"/>
        <v>4.8683038364975867E-2</v>
      </c>
      <c r="LF41" s="10" t="str">
        <f t="shared" si="101"/>
        <v xml:space="preserve"> </v>
      </c>
      <c r="LG41" s="10"/>
      <c r="LH41" s="53">
        <v>582</v>
      </c>
      <c r="LI41" s="55">
        <v>3.0709849809888787</v>
      </c>
      <c r="LJ41" s="56">
        <v>4.9907279457895089E-2</v>
      </c>
      <c r="LK41" s="10">
        <f t="shared" si="102"/>
        <v>2.1517822618053373</v>
      </c>
      <c r="LL41" s="10" t="str">
        <f t="shared" si="103"/>
        <v>*</v>
      </c>
      <c r="LM41" s="10"/>
      <c r="LN41" s="54">
        <v>593</v>
      </c>
      <c r="LO41" s="57">
        <v>2.9948276410725887</v>
      </c>
      <c r="LP41" s="58">
        <v>4.810785581826741E-2</v>
      </c>
      <c r="LQ41" s="10">
        <f t="shared" si="104"/>
        <v>3.1754411875497848</v>
      </c>
      <c r="LR41" s="10" t="str">
        <f t="shared" si="128"/>
        <v>*</v>
      </c>
      <c r="LS41" s="114">
        <f t="shared" si="105"/>
        <v>0.24385255393253802</v>
      </c>
      <c r="LT41" s="76"/>
      <c r="LU41" s="27">
        <v>150</v>
      </c>
      <c r="LV41" s="28">
        <v>3.693355272369351</v>
      </c>
      <c r="LW41" s="29">
        <v>8.670201961958536E-2</v>
      </c>
      <c r="LX41" s="10"/>
      <c r="LY41" s="42">
        <v>165</v>
      </c>
      <c r="LZ41" s="43">
        <v>3.6665081441318583</v>
      </c>
      <c r="MA41" s="67">
        <v>8.6074524573112876E-2</v>
      </c>
      <c r="MB41" s="10">
        <f t="shared" si="106"/>
        <v>0.2197481298423361</v>
      </c>
      <c r="MC41" s="10" t="str">
        <f t="shared" si="107"/>
        <v xml:space="preserve"> </v>
      </c>
      <c r="MD41" s="114">
        <f t="shared" si="108"/>
        <v>2.684712823749269E-2</v>
      </c>
      <c r="ME41" s="10"/>
      <c r="MF41" s="42">
        <v>165.66783598999979</v>
      </c>
      <c r="MG41" s="43">
        <v>3.789861880117142</v>
      </c>
      <c r="MH41" s="67">
        <v>7.3393548421398142E-2</v>
      </c>
      <c r="MI41" s="10">
        <f t="shared" si="109"/>
        <v>-0.84956643174292112</v>
      </c>
      <c r="MJ41" s="10" t="str">
        <f t="shared" si="110"/>
        <v xml:space="preserve"> </v>
      </c>
      <c r="MK41" s="10"/>
      <c r="ML41" s="53">
        <v>431</v>
      </c>
      <c r="MM41" s="55">
        <v>3.5034802784222752</v>
      </c>
      <c r="MN41" s="56">
        <v>5.0387821179947744E-2</v>
      </c>
      <c r="MO41" s="10">
        <f t="shared" si="111"/>
        <v>1.8934394037483024</v>
      </c>
      <c r="MP41" s="10" t="str">
        <f t="shared" si="112"/>
        <v xml:space="preserve"> </v>
      </c>
      <c r="MQ41" s="10"/>
      <c r="MR41" s="54">
        <v>423</v>
      </c>
      <c r="MS41" s="57">
        <v>3.5284869905608951</v>
      </c>
      <c r="MT41" s="58">
        <v>5.4613929282615437E-2</v>
      </c>
      <c r="MU41" s="10">
        <f t="shared" si="113"/>
        <v>1.6089556985793796</v>
      </c>
      <c r="MV41" s="10" t="str">
        <f t="shared" si="114"/>
        <v xml:space="preserve"> </v>
      </c>
      <c r="MW41" s="114">
        <f t="shared" si="115"/>
        <v>0.16486828180845592</v>
      </c>
      <c r="MX41" s="76"/>
      <c r="MY41" s="27">
        <v>174</v>
      </c>
      <c r="MZ41" s="28">
        <v>3.7760830378006367</v>
      </c>
      <c r="NA41" s="29">
        <v>6.8738903575189733E-2</v>
      </c>
      <c r="NB41" s="10"/>
      <c r="NC41" s="42">
        <v>121</v>
      </c>
      <c r="ND41" s="43">
        <v>3.9173835416266516</v>
      </c>
      <c r="NE41" s="67">
        <v>9.2867688302628745E-2</v>
      </c>
      <c r="NF41" s="10">
        <f t="shared" si="116"/>
        <v>-1.2229596126901907</v>
      </c>
      <c r="NG41" s="10" t="str">
        <f t="shared" si="117"/>
        <v xml:space="preserve"> </v>
      </c>
      <c r="NH41" s="114">
        <f t="shared" si="118"/>
        <v>-0.14130050382601489</v>
      </c>
      <c r="NI41" s="10"/>
      <c r="NJ41" s="42">
        <v>102.26376922</v>
      </c>
      <c r="NK41" s="43">
        <v>3.7389417784653807</v>
      </c>
      <c r="NL41" s="67">
        <v>9.9835295932540397E-2</v>
      </c>
      <c r="NM41" s="10">
        <f t="shared" si="119"/>
        <v>0.30641805017873036</v>
      </c>
      <c r="NN41" s="10" t="str">
        <f t="shared" si="120"/>
        <v xml:space="preserve"> </v>
      </c>
      <c r="NO41" s="10"/>
      <c r="NP41" s="53">
        <v>193</v>
      </c>
      <c r="NQ41" s="55">
        <v>3.7284671454178655</v>
      </c>
      <c r="NR41" s="56">
        <v>7.4724274190992632E-2</v>
      </c>
      <c r="NS41" s="10">
        <f t="shared" si="121"/>
        <v>0.46897407940353891</v>
      </c>
      <c r="NT41" s="10" t="str">
        <f t="shared" si="122"/>
        <v xml:space="preserve"> </v>
      </c>
      <c r="NU41" s="10"/>
      <c r="NV41" s="54">
        <v>188</v>
      </c>
      <c r="NW41" s="57">
        <v>3.6781926870313724</v>
      </c>
      <c r="NX41" s="58">
        <v>7.914489950861095E-2</v>
      </c>
      <c r="NY41" s="10">
        <f t="shared" si="123"/>
        <v>0.93381693748513694</v>
      </c>
      <c r="NZ41" s="10" t="str">
        <f t="shared" si="129"/>
        <v xml:space="preserve"> </v>
      </c>
      <c r="OA41" s="114">
        <f t="shared" si="124"/>
        <v>9.7890350769264334E-2</v>
      </c>
      <c r="OB41" s="58"/>
    </row>
    <row r="42" spans="1:392" x14ac:dyDescent="0.2">
      <c r="B42" s="65" t="s">
        <v>38</v>
      </c>
      <c r="C42" s="27">
        <v>412</v>
      </c>
      <c r="D42" s="28">
        <v>3.5122074711582898</v>
      </c>
      <c r="E42" s="29">
        <v>5.4833892193421219E-2</v>
      </c>
      <c r="F42" s="10"/>
      <c r="G42" s="42">
        <v>128</v>
      </c>
      <c r="H42" s="43">
        <v>3.1873558942460667</v>
      </c>
      <c r="I42" s="67">
        <v>9.488438980104065E-2</v>
      </c>
      <c r="J42" s="10">
        <f t="shared" si="1"/>
        <v>2.9642650571331295</v>
      </c>
      <c r="K42" s="10" t="str">
        <f t="shared" si="2"/>
        <v>*</v>
      </c>
      <c r="L42" s="114">
        <f t="shared" si="3"/>
        <v>0.32485157691222311</v>
      </c>
      <c r="M42" s="10"/>
      <c r="N42" s="42">
        <v>126.8481738600001</v>
      </c>
      <c r="O42" s="43">
        <v>3.2295081967213122</v>
      </c>
      <c r="P42" s="67">
        <v>7.8068114490296422E-2</v>
      </c>
      <c r="Q42" s="10">
        <f t="shared" si="4"/>
        <v>2.9632679338294827</v>
      </c>
      <c r="R42" s="10" t="str">
        <f t="shared" si="5"/>
        <v>*</v>
      </c>
      <c r="S42" s="10"/>
      <c r="T42" s="53">
        <v>134</v>
      </c>
      <c r="U42" s="55">
        <v>3.5149253731343277</v>
      </c>
      <c r="V42" s="56">
        <v>7.5890166369266626E-2</v>
      </c>
      <c r="W42" s="10">
        <f t="shared" si="6"/>
        <v>-2.9028944551396218E-2</v>
      </c>
      <c r="X42" s="10" t="str">
        <f t="shared" si="7"/>
        <v xml:space="preserve"> </v>
      </c>
      <c r="Y42" s="10"/>
      <c r="Z42" s="54">
        <v>202</v>
      </c>
      <c r="AA42" s="57">
        <v>3.1584158415841568</v>
      </c>
      <c r="AB42" s="58">
        <v>6.6457209690411481E-2</v>
      </c>
      <c r="AC42" s="10">
        <f t="shared" si="8"/>
        <v>4.1062800609443126</v>
      </c>
      <c r="AD42" s="10" t="str">
        <f t="shared" si="9"/>
        <v>*</v>
      </c>
      <c r="AE42" s="114">
        <f t="shared" si="10"/>
        <v>0.35379162957413302</v>
      </c>
      <c r="AF42" s="76"/>
      <c r="AG42" s="27">
        <v>97</v>
      </c>
      <c r="AH42" s="28">
        <v>3.6609486645979525</v>
      </c>
      <c r="AI42" s="29">
        <v>0.1008351464510796</v>
      </c>
      <c r="AJ42" s="67"/>
      <c r="AK42" s="42">
        <v>55</v>
      </c>
      <c r="AL42" s="43">
        <v>3.654777597428942</v>
      </c>
      <c r="AM42" s="67">
        <v>0.13739981701363654</v>
      </c>
      <c r="AN42" s="10">
        <f t="shared" si="11"/>
        <v>3.6208775980159827E-2</v>
      </c>
      <c r="AO42" s="10" t="str">
        <f t="shared" si="12"/>
        <v xml:space="preserve"> </v>
      </c>
      <c r="AP42" s="114">
        <f t="shared" si="13"/>
        <v>6.1710671690105023E-3</v>
      </c>
      <c r="AQ42" s="67"/>
      <c r="AR42" s="42">
        <v>96.829952250000005</v>
      </c>
      <c r="AS42" s="43">
        <v>2.9660440453227634</v>
      </c>
      <c r="AT42" s="67">
        <v>0.10714465844444444</v>
      </c>
      <c r="AU42" s="10">
        <f t="shared" si="14"/>
        <v>4.7230144268232586</v>
      </c>
      <c r="AV42" s="10" t="str">
        <f t="shared" si="15"/>
        <v>*</v>
      </c>
      <c r="AW42" s="10"/>
      <c r="AX42" s="53">
        <v>127</v>
      </c>
      <c r="AY42" s="55">
        <v>3.2247780328429476</v>
      </c>
      <c r="AZ42" s="56">
        <v>8.6978482032487009E-2</v>
      </c>
      <c r="BA42" s="10">
        <f t="shared" si="16"/>
        <v>3.2754088660519431</v>
      </c>
      <c r="BB42" s="10" t="str">
        <f t="shared" si="17"/>
        <v>*</v>
      </c>
      <c r="BC42" s="10"/>
      <c r="BD42" s="54">
        <v>86</v>
      </c>
      <c r="BE42" s="57">
        <v>3.0969374862417891</v>
      </c>
      <c r="BF42" s="58">
        <v>9.0746968180601739E-2</v>
      </c>
      <c r="BG42" s="10">
        <f t="shared" si="18"/>
        <v>4.1576361335748482</v>
      </c>
      <c r="BH42" s="10" t="str">
        <f t="shared" si="19"/>
        <v>*</v>
      </c>
      <c r="BI42" s="114">
        <f t="shared" si="20"/>
        <v>0.56401117835616343</v>
      </c>
      <c r="BJ42" s="76"/>
      <c r="BK42" s="27">
        <v>1125</v>
      </c>
      <c r="BL42" s="28">
        <v>3.6007256258088982</v>
      </c>
      <c r="BM42" s="29">
        <v>3.1839705442349889E-2</v>
      </c>
      <c r="BN42" s="10"/>
      <c r="BO42" s="42">
        <v>342</v>
      </c>
      <c r="BP42" s="43">
        <v>3.7048606355231115</v>
      </c>
      <c r="BQ42" s="67">
        <v>5.3957234389891688E-2</v>
      </c>
      <c r="BR42" s="10">
        <f t="shared" si="21"/>
        <v>-1.6621439519634111</v>
      </c>
      <c r="BS42" s="10" t="str">
        <f t="shared" si="22"/>
        <v xml:space="preserve"> </v>
      </c>
      <c r="BT42" s="114">
        <f t="shared" si="23"/>
        <v>-0.1041350097142133</v>
      </c>
      <c r="BU42" s="10"/>
      <c r="BV42" s="42">
        <v>348.47414435999923</v>
      </c>
      <c r="BW42" s="43">
        <v>3.1611977146056747</v>
      </c>
      <c r="BX42" s="67">
        <v>3.2174704211125837E-2</v>
      </c>
      <c r="BY42" s="10">
        <f t="shared" si="24"/>
        <v>9.7099672585810133</v>
      </c>
      <c r="BZ42" s="10" t="str">
        <f t="shared" si="25"/>
        <v>*</v>
      </c>
      <c r="CA42" s="10"/>
      <c r="CB42" s="53">
        <v>356</v>
      </c>
      <c r="CC42" s="55">
        <v>3.2189573786924703</v>
      </c>
      <c r="CD42" s="56">
        <v>2.9015324751962068E-2</v>
      </c>
      <c r="CE42" s="10">
        <f t="shared" si="26"/>
        <v>8.8623945141954614</v>
      </c>
      <c r="CF42" s="10" t="str">
        <f t="shared" si="27"/>
        <v>*</v>
      </c>
      <c r="CG42" s="10"/>
      <c r="CH42" s="54">
        <v>409</v>
      </c>
      <c r="CI42" s="57">
        <v>3.3688865369255394</v>
      </c>
      <c r="CJ42" s="58">
        <v>4.9113460872131497E-2</v>
      </c>
      <c r="CK42" s="10">
        <f t="shared" si="28"/>
        <v>3.9609502829504963</v>
      </c>
      <c r="CL42" s="10" t="str">
        <f t="shared" si="29"/>
        <v>*</v>
      </c>
      <c r="CM42" s="114">
        <f t="shared" si="30"/>
        <v>0.2318390888833588</v>
      </c>
      <c r="CN42" s="76"/>
      <c r="CO42" s="27">
        <v>694</v>
      </c>
      <c r="CP42" s="28">
        <v>3.7890628734488749</v>
      </c>
      <c r="CQ42" s="29">
        <v>3.7575226187641531E-2</v>
      </c>
      <c r="CR42" s="67"/>
      <c r="CS42" s="42">
        <v>217</v>
      </c>
      <c r="CT42" s="43">
        <v>3.9627916810731478</v>
      </c>
      <c r="CU42" s="67">
        <v>6.2813375618201286E-2</v>
      </c>
      <c r="CV42" s="10">
        <f t="shared" si="31"/>
        <v>-2.3735264819181183</v>
      </c>
      <c r="CW42" s="10" t="str">
        <f t="shared" si="32"/>
        <v>*</v>
      </c>
      <c r="CX42" s="114">
        <f t="shared" si="33"/>
        <v>-0.1737288076242729</v>
      </c>
      <c r="CY42" s="10"/>
      <c r="CZ42" s="42">
        <v>230.67107306999944</v>
      </c>
      <c r="DA42" s="43">
        <v>3.8944998180044239</v>
      </c>
      <c r="DB42" s="67">
        <v>6.0428623571600018E-2</v>
      </c>
      <c r="DC42" s="10">
        <f t="shared" si="34"/>
        <v>-1.4817219396588373</v>
      </c>
      <c r="DD42" s="10" t="str">
        <f t="shared" si="35"/>
        <v xml:space="preserve"> </v>
      </c>
      <c r="DE42" s="10"/>
      <c r="DF42" s="53">
        <v>203</v>
      </c>
      <c r="DG42" s="55">
        <v>3.8701316892710342</v>
      </c>
      <c r="DH42" s="56">
        <v>7.2450244496816502E-2</v>
      </c>
      <c r="DI42" s="10">
        <f t="shared" si="36"/>
        <v>-0.99331321537211181</v>
      </c>
      <c r="DJ42" s="10" t="str">
        <f t="shared" si="0"/>
        <v xml:space="preserve"> </v>
      </c>
      <c r="DK42" s="10"/>
      <c r="DL42" s="54">
        <v>268</v>
      </c>
      <c r="DM42" s="57">
        <v>3.7130425813113526</v>
      </c>
      <c r="DN42" s="58">
        <v>5.6822700590252906E-2</v>
      </c>
      <c r="DO42" s="10">
        <f t="shared" si="37"/>
        <v>1.1159301081811543</v>
      </c>
      <c r="DP42" s="10" t="str">
        <f t="shared" si="38"/>
        <v xml:space="preserve"> </v>
      </c>
      <c r="DQ42" s="114">
        <f t="shared" si="39"/>
        <v>7.6020292137522372E-2</v>
      </c>
      <c r="DR42" s="76"/>
      <c r="DS42" s="27">
        <v>207</v>
      </c>
      <c r="DT42" s="28">
        <v>3.3167141994417593</v>
      </c>
      <c r="DU42" s="29">
        <v>7.7803963549236563E-2</v>
      </c>
      <c r="DV42" s="10"/>
      <c r="DW42" s="42">
        <v>78</v>
      </c>
      <c r="DX42" s="43">
        <v>3.1037375553955613</v>
      </c>
      <c r="DY42" s="67">
        <v>0.14217048945387381</v>
      </c>
      <c r="DZ42" s="10">
        <f t="shared" si="40"/>
        <v>1.314122334013627</v>
      </c>
      <c r="EA42" s="10" t="str">
        <f t="shared" si="41"/>
        <v xml:space="preserve"> </v>
      </c>
      <c r="EB42" s="114">
        <f t="shared" si="42"/>
        <v>0.21297664404619798</v>
      </c>
      <c r="EC42" s="10"/>
      <c r="ED42" s="42">
        <v>91.832115510000037</v>
      </c>
      <c r="EE42" s="43">
        <v>3.1643202775651709</v>
      </c>
      <c r="EF42" s="67">
        <v>0.11548391620295634</v>
      </c>
      <c r="EG42" s="10">
        <f t="shared" si="43"/>
        <v>1.0944069310599707</v>
      </c>
      <c r="EH42" s="10" t="str">
        <f t="shared" si="44"/>
        <v xml:space="preserve"> </v>
      </c>
      <c r="EI42" s="10"/>
      <c r="EJ42" s="53">
        <v>85</v>
      </c>
      <c r="EK42" s="55">
        <v>3.0062790495123783</v>
      </c>
      <c r="EL42" s="56">
        <v>0.11632775673008054</v>
      </c>
      <c r="EM42" s="10">
        <f t="shared" si="45"/>
        <v>2.2182087188342279</v>
      </c>
      <c r="EN42" s="10" t="str">
        <f t="shared" si="46"/>
        <v>*</v>
      </c>
      <c r="EO42" s="10"/>
      <c r="EP42" s="54">
        <v>60</v>
      </c>
      <c r="EQ42" s="57">
        <v>3.0999999999999996</v>
      </c>
      <c r="ER42" s="58">
        <v>0.14687345698560725</v>
      </c>
      <c r="ES42" s="10">
        <f t="shared" si="47"/>
        <v>1.3038694481308373</v>
      </c>
      <c r="ET42" s="10" t="str">
        <f t="shared" si="48"/>
        <v xml:space="preserve"> </v>
      </c>
      <c r="EU42" s="114">
        <f t="shared" si="49"/>
        <v>0.21671419944175963</v>
      </c>
      <c r="EV42" s="76"/>
      <c r="EW42" s="27">
        <v>455</v>
      </c>
      <c r="EX42" s="28">
        <v>3.9579913164395819</v>
      </c>
      <c r="EY42" s="29">
        <v>4.6487110202811668E-2</v>
      </c>
      <c r="EZ42" s="10"/>
      <c r="FA42" s="42">
        <v>149</v>
      </c>
      <c r="FB42" s="43">
        <v>4.0867017853012211</v>
      </c>
      <c r="FC42" s="67">
        <v>7.1220469587689364E-2</v>
      </c>
      <c r="FD42" s="10">
        <f t="shared" si="50"/>
        <v>-1.5133606250083966</v>
      </c>
      <c r="FE42" s="10" t="str">
        <f t="shared" si="51"/>
        <v xml:space="preserve"> </v>
      </c>
      <c r="FF42" s="114">
        <f t="shared" si="52"/>
        <v>-0.12871046886163917</v>
      </c>
      <c r="FG42" s="10"/>
      <c r="FH42" s="42">
        <v>162.75535763999989</v>
      </c>
      <c r="FI42" s="43">
        <v>3.3016252196046603</v>
      </c>
      <c r="FJ42" s="67">
        <v>6.1104264506942473E-2</v>
      </c>
      <c r="FK42" s="10">
        <f t="shared" si="53"/>
        <v>8.54893953847548</v>
      </c>
      <c r="FL42" s="10" t="str">
        <f t="shared" si="54"/>
        <v>*</v>
      </c>
      <c r="FM42" s="10"/>
      <c r="FN42" s="53">
        <v>154</v>
      </c>
      <c r="FO42" s="55">
        <v>3.8121556254532196</v>
      </c>
      <c r="FP42" s="56">
        <v>7.736848661360754E-2</v>
      </c>
      <c r="FQ42" s="10">
        <f t="shared" si="55"/>
        <v>1.6157223074030689</v>
      </c>
      <c r="FR42" s="10" t="str">
        <f t="shared" si="56"/>
        <v xml:space="preserve"> </v>
      </c>
      <c r="FS42" s="10"/>
      <c r="FT42" s="54">
        <v>197</v>
      </c>
      <c r="FU42" s="57">
        <v>3.5420504643544906</v>
      </c>
      <c r="FV42" s="58">
        <v>6.5474998512881355E-2</v>
      </c>
      <c r="FW42" s="10">
        <f t="shared" si="57"/>
        <v>5.179861631772245</v>
      </c>
      <c r="FX42" s="10" t="str">
        <f t="shared" si="125"/>
        <v>*</v>
      </c>
      <c r="FY42" s="114">
        <f t="shared" si="58"/>
        <v>0.41594085208509135</v>
      </c>
      <c r="FZ42" s="76"/>
      <c r="GA42" s="27">
        <v>214</v>
      </c>
      <c r="GB42" s="28">
        <v>3.360200616576444</v>
      </c>
      <c r="GC42" s="29">
        <v>7.3459413887652425E-2</v>
      </c>
      <c r="GD42" s="67"/>
      <c r="GE42" s="42">
        <v>164</v>
      </c>
      <c r="GF42" s="43">
        <v>3.5129421318638459</v>
      </c>
      <c r="GG42" s="67">
        <v>8.6432401154358823E-2</v>
      </c>
      <c r="GH42" s="10">
        <f t="shared" si="59"/>
        <v>-1.3465455604662049</v>
      </c>
      <c r="GI42" s="10" t="str">
        <f t="shared" si="60"/>
        <v xml:space="preserve"> </v>
      </c>
      <c r="GJ42" s="114">
        <f t="shared" si="61"/>
        <v>-0.15274151528740187</v>
      </c>
      <c r="GK42" s="67"/>
      <c r="GL42" s="42">
        <v>183.7038919200003</v>
      </c>
      <c r="GM42" s="43">
        <v>3.4981938444714906</v>
      </c>
      <c r="GN42" s="67">
        <v>8.0735791227824344E-2</v>
      </c>
      <c r="GO42" s="10">
        <f t="shared" si="62"/>
        <v>-1.264209030514919</v>
      </c>
      <c r="GP42" s="10" t="str">
        <f t="shared" si="63"/>
        <v xml:space="preserve"> </v>
      </c>
      <c r="GQ42" s="10"/>
      <c r="GR42" s="53">
        <v>210</v>
      </c>
      <c r="GS42" s="55">
        <v>3.3709194475598792</v>
      </c>
      <c r="GT42" s="56">
        <v>7.6785238256861107E-2</v>
      </c>
      <c r="GU42" s="10">
        <f t="shared" si="64"/>
        <v>-0.10086883874835559</v>
      </c>
      <c r="GV42" s="10" t="str">
        <f t="shared" si="65"/>
        <v xml:space="preserve"> </v>
      </c>
      <c r="GW42" s="10"/>
      <c r="GX42" s="54">
        <v>188</v>
      </c>
      <c r="GY42" s="57">
        <v>3.4104756815784096</v>
      </c>
      <c r="GZ42" s="58">
        <v>7.5980103826856007E-2</v>
      </c>
      <c r="HA42" s="10">
        <f t="shared" si="66"/>
        <v>-0.47570794855906701</v>
      </c>
      <c r="HB42" s="10" t="str">
        <f t="shared" si="126"/>
        <v xml:space="preserve"> </v>
      </c>
      <c r="HC42" s="114">
        <f t="shared" si="67"/>
        <v>-5.0275065001965658E-2</v>
      </c>
      <c r="HD42" s="76"/>
      <c r="HE42" s="27">
        <v>213</v>
      </c>
      <c r="HF42" s="28">
        <v>3.6311794450255017</v>
      </c>
      <c r="HG42" s="29">
        <v>7.5316582802570184E-2</v>
      </c>
      <c r="HH42" s="10"/>
      <c r="HI42" s="42">
        <v>134</v>
      </c>
      <c r="HJ42" s="43">
        <v>3.53231247004152</v>
      </c>
      <c r="HK42" s="67">
        <v>8.9436124039697959E-2</v>
      </c>
      <c r="HL42" s="10">
        <f t="shared" si="68"/>
        <v>0.84556038013247481</v>
      </c>
      <c r="HM42" s="10" t="str">
        <f t="shared" si="69"/>
        <v xml:space="preserve"> </v>
      </c>
      <c r="HN42" s="114">
        <f t="shared" si="70"/>
        <v>9.886697498398167E-2</v>
      </c>
      <c r="HO42" s="10"/>
      <c r="HP42" s="42">
        <v>120.5298066299999</v>
      </c>
      <c r="HQ42" s="43">
        <v>3.5548083116509024</v>
      </c>
      <c r="HR42" s="67">
        <v>9.8143317062184626E-2</v>
      </c>
      <c r="HS42" s="10">
        <f t="shared" si="71"/>
        <v>0.61732924136714951</v>
      </c>
      <c r="HT42" s="10" t="str">
        <f t="shared" si="72"/>
        <v xml:space="preserve"> </v>
      </c>
      <c r="HU42" s="10"/>
      <c r="HV42" s="53">
        <v>86</v>
      </c>
      <c r="HW42" s="55">
        <v>3.5814687434291592</v>
      </c>
      <c r="HX42" s="56">
        <v>9.1761162169320981E-2</v>
      </c>
      <c r="HY42" s="10">
        <f t="shared" si="73"/>
        <v>0.41874806369259965</v>
      </c>
      <c r="HZ42" s="10" t="str">
        <f t="shared" si="74"/>
        <v xml:space="preserve"> </v>
      </c>
      <c r="IA42" s="10"/>
      <c r="IB42" s="54">
        <v>145</v>
      </c>
      <c r="IC42" s="57">
        <v>3.7758436949801317</v>
      </c>
      <c r="ID42" s="58">
        <v>9.0581609554348047E-2</v>
      </c>
      <c r="IE42" s="10">
        <f t="shared" si="75"/>
        <v>-1.228015341084115</v>
      </c>
      <c r="IF42" s="10" t="str">
        <f t="shared" si="127"/>
        <v xml:space="preserve"> </v>
      </c>
      <c r="IG42" s="114">
        <f t="shared" si="76"/>
        <v>-0.14466424995463001</v>
      </c>
      <c r="IH42" s="76"/>
      <c r="II42" s="27">
        <v>558</v>
      </c>
      <c r="IJ42" s="28">
        <v>3.6289813767597368</v>
      </c>
      <c r="IK42" s="29">
        <v>4.6812347114484419E-2</v>
      </c>
      <c r="IL42" s="10"/>
      <c r="IM42" s="42">
        <v>394</v>
      </c>
      <c r="IN42" s="43">
        <v>3.5387315082093691</v>
      </c>
      <c r="IO42" s="67">
        <v>5.8285014408116467E-2</v>
      </c>
      <c r="IP42" s="10">
        <f t="shared" si="77"/>
        <v>1.2072506414946547</v>
      </c>
      <c r="IQ42" s="10" t="str">
        <f t="shared" si="78"/>
        <v xml:space="preserve"> </v>
      </c>
      <c r="IR42" s="114">
        <f t="shared" si="79"/>
        <v>9.0249868550367651E-2</v>
      </c>
      <c r="IS42" s="10"/>
      <c r="IT42" s="42">
        <v>393.72174106000051</v>
      </c>
      <c r="IU42" s="43">
        <v>3.5994284752846135</v>
      </c>
      <c r="IV42" s="67">
        <v>5.3950052734915599E-2</v>
      </c>
      <c r="IW42" s="10">
        <f t="shared" si="80"/>
        <v>0.41374211211951734</v>
      </c>
      <c r="IX42" s="10" t="str">
        <f t="shared" si="81"/>
        <v xml:space="preserve"> </v>
      </c>
      <c r="IY42" s="10"/>
      <c r="IZ42" s="53">
        <v>390</v>
      </c>
      <c r="JA42" s="55">
        <v>3.674656358725982</v>
      </c>
      <c r="JB42" s="56">
        <v>5.3448109833241213E-2</v>
      </c>
      <c r="JC42" s="10">
        <f t="shared" si="82"/>
        <v>-0.6428572846336037</v>
      </c>
      <c r="JD42" s="10" t="str">
        <f t="shared" si="83"/>
        <v xml:space="preserve"> </v>
      </c>
      <c r="JE42" s="10"/>
      <c r="JF42" s="54">
        <v>421</v>
      </c>
      <c r="JG42" s="57">
        <v>3.5852980290626451</v>
      </c>
      <c r="JH42" s="58">
        <v>5.0614170848293789E-2</v>
      </c>
      <c r="JI42" s="10">
        <f t="shared" si="84"/>
        <v>0.63361189222686953</v>
      </c>
      <c r="JJ42" s="10" t="str">
        <f t="shared" si="85"/>
        <v xml:space="preserve"> </v>
      </c>
      <c r="JK42" s="114">
        <f t="shared" si="86"/>
        <v>4.3683347697091701E-2</v>
      </c>
      <c r="JL42" s="76"/>
      <c r="JM42" s="27">
        <v>41</v>
      </c>
      <c r="JN42" s="28">
        <v>3.8536585365853657</v>
      </c>
      <c r="JO42" s="29">
        <v>0.15841611053546742</v>
      </c>
      <c r="JP42" s="10"/>
      <c r="JQ42" s="42">
        <v>34</v>
      </c>
      <c r="JR42" s="43">
        <v>3.6478060044546021</v>
      </c>
      <c r="JS42" s="67">
        <v>0.18830076874516899</v>
      </c>
      <c r="JT42" s="10">
        <f t="shared" si="87"/>
        <v>0.83654429576789124</v>
      </c>
      <c r="JU42" s="10" t="str">
        <f t="shared" si="88"/>
        <v xml:space="preserve"> </v>
      </c>
      <c r="JV42" s="114">
        <f t="shared" si="89"/>
        <v>0.2058525321307636</v>
      </c>
      <c r="JW42" s="10"/>
      <c r="JX42" s="42">
        <v>32.673939870000005</v>
      </c>
      <c r="JY42" s="43">
        <v>3.7272727272727275</v>
      </c>
      <c r="JZ42" s="67">
        <v>0.1709484952044395</v>
      </c>
      <c r="KA42" s="10">
        <f t="shared" si="90"/>
        <v>0.54227829577147002</v>
      </c>
      <c r="KB42" s="10" t="str">
        <f t="shared" si="91"/>
        <v xml:space="preserve"> </v>
      </c>
      <c r="KC42" s="10"/>
      <c r="KD42" s="53">
        <v>31</v>
      </c>
      <c r="KE42" s="55">
        <v>3.838709677419355</v>
      </c>
      <c r="KF42" s="56">
        <v>0.18235322178154323</v>
      </c>
      <c r="KG42" s="10">
        <f t="shared" si="92"/>
        <v>6.1886185910666497E-2</v>
      </c>
      <c r="KH42" s="10" t="str">
        <f t="shared" si="93"/>
        <v xml:space="preserve"> </v>
      </c>
      <c r="KI42" s="10"/>
      <c r="KJ42" s="54">
        <v>51</v>
      </c>
      <c r="KK42" s="57">
        <v>3.8235294117647056</v>
      </c>
      <c r="KL42" s="58">
        <v>0.15793053647518504</v>
      </c>
      <c r="KM42" s="10">
        <f t="shared" si="94"/>
        <v>0.13469074874682677</v>
      </c>
      <c r="KN42" s="10" t="str">
        <f t="shared" si="95"/>
        <v xml:space="preserve"> </v>
      </c>
      <c r="KO42" s="114">
        <f t="shared" si="96"/>
        <v>3.0129124820660103E-2</v>
      </c>
      <c r="KP42" s="76"/>
      <c r="KQ42" s="27">
        <v>494</v>
      </c>
      <c r="KR42" s="28">
        <v>3.0079361305272805</v>
      </c>
      <c r="KS42" s="29">
        <v>5.3065974376737317E-2</v>
      </c>
      <c r="KT42" s="10"/>
      <c r="KU42" s="42">
        <v>300</v>
      </c>
      <c r="KV42" s="43">
        <v>3.0176828866713148</v>
      </c>
      <c r="KW42" s="67">
        <v>7.1860281272192586E-2</v>
      </c>
      <c r="KX42" s="10">
        <f t="shared" si="97"/>
        <v>-0.10910921711932385</v>
      </c>
      <c r="KY42" s="10" t="str">
        <f t="shared" si="98"/>
        <v xml:space="preserve"> </v>
      </c>
      <c r="KZ42" s="114">
        <f t="shared" si="99"/>
        <v>-9.7467561440343076E-3</v>
      </c>
      <c r="LA42" s="10"/>
      <c r="LB42" s="42">
        <v>351.15130547000069</v>
      </c>
      <c r="LC42" s="43">
        <v>3.2685633993693282</v>
      </c>
      <c r="LD42" s="67">
        <v>6.0809209895839204E-2</v>
      </c>
      <c r="LE42" s="10">
        <f t="shared" si="100"/>
        <v>-3.2292677475216873</v>
      </c>
      <c r="LF42" s="10" t="str">
        <f t="shared" si="101"/>
        <v>*</v>
      </c>
      <c r="LG42" s="10"/>
      <c r="LH42" s="53">
        <v>683</v>
      </c>
      <c r="LI42" s="55">
        <v>3.00528919794391</v>
      </c>
      <c r="LJ42" s="56">
        <v>4.3571155811815893E-2</v>
      </c>
      <c r="LK42" s="10">
        <f t="shared" si="102"/>
        <v>3.8550292152545344E-2</v>
      </c>
      <c r="LL42" s="10" t="str">
        <f t="shared" si="103"/>
        <v xml:space="preserve"> </v>
      </c>
      <c r="LM42" s="10"/>
      <c r="LN42" s="54">
        <v>671</v>
      </c>
      <c r="LO42" s="57">
        <v>2.9416562597178508</v>
      </c>
      <c r="LP42" s="58">
        <v>4.3224191627186832E-2</v>
      </c>
      <c r="LQ42" s="10">
        <f t="shared" si="104"/>
        <v>0.96840714970518826</v>
      </c>
      <c r="LR42" s="10" t="str">
        <f t="shared" si="128"/>
        <v xml:space="preserve"> </v>
      </c>
      <c r="LS42" s="114">
        <f t="shared" si="105"/>
        <v>6.6279870809429653E-2</v>
      </c>
      <c r="LT42" s="76"/>
      <c r="LU42" s="27">
        <v>184</v>
      </c>
      <c r="LV42" s="28">
        <v>3.554373817277618</v>
      </c>
      <c r="LW42" s="29">
        <v>8.4006916103678345E-2</v>
      </c>
      <c r="LX42" s="10"/>
      <c r="LY42" s="42">
        <v>189</v>
      </c>
      <c r="LZ42" s="43">
        <v>3.4492994292603329</v>
      </c>
      <c r="MA42" s="67">
        <v>8.1932244708705568E-2</v>
      </c>
      <c r="MB42" s="10">
        <f t="shared" si="106"/>
        <v>0.89542463154430108</v>
      </c>
      <c r="MC42" s="10" t="str">
        <f t="shared" si="107"/>
        <v xml:space="preserve"> </v>
      </c>
      <c r="MD42" s="114">
        <f t="shared" si="108"/>
        <v>0.10507438801728508</v>
      </c>
      <c r="ME42" s="10"/>
      <c r="MF42" s="42">
        <v>193.5501278399995</v>
      </c>
      <c r="MG42" s="43">
        <v>3.63003644203638</v>
      </c>
      <c r="MH42" s="67">
        <v>7.5551311370563881E-2</v>
      </c>
      <c r="MI42" s="10">
        <f t="shared" si="109"/>
        <v>-0.66968138546015477</v>
      </c>
      <c r="MJ42" s="10" t="str">
        <f t="shared" si="110"/>
        <v xml:space="preserve"> </v>
      </c>
      <c r="MK42" s="10"/>
      <c r="ML42" s="53">
        <v>477</v>
      </c>
      <c r="MM42" s="55">
        <v>3.4633123689727472</v>
      </c>
      <c r="MN42" s="56">
        <v>4.9999916797820648E-2</v>
      </c>
      <c r="MO42" s="10">
        <f t="shared" si="111"/>
        <v>0.93147299749224255</v>
      </c>
      <c r="MP42" s="10" t="str">
        <f t="shared" si="112"/>
        <v xml:space="preserve"> </v>
      </c>
      <c r="MQ42" s="10"/>
      <c r="MR42" s="54">
        <v>464</v>
      </c>
      <c r="MS42" s="57">
        <v>3.420973239558236</v>
      </c>
      <c r="MT42" s="58">
        <v>5.4883377598707164E-2</v>
      </c>
      <c r="MU42" s="10">
        <f t="shared" si="113"/>
        <v>1.329404225301009</v>
      </c>
      <c r="MV42" s="10" t="str">
        <f t="shared" si="114"/>
        <v xml:space="preserve"> </v>
      </c>
      <c r="MW42" s="114">
        <f t="shared" si="115"/>
        <v>0.13340057771938207</v>
      </c>
      <c r="MX42" s="76"/>
      <c r="MY42" s="27">
        <v>198</v>
      </c>
      <c r="MZ42" s="28">
        <v>3.3582751560595447</v>
      </c>
      <c r="NA42" s="29">
        <v>7.8393052119438131E-2</v>
      </c>
      <c r="NB42" s="10"/>
      <c r="NC42" s="42">
        <v>136</v>
      </c>
      <c r="ND42" s="43">
        <v>3.6049400544495489</v>
      </c>
      <c r="NE42" s="67">
        <v>0.10075015848408292</v>
      </c>
      <c r="NF42" s="10">
        <f t="shared" si="116"/>
        <v>-1.9322618385724373</v>
      </c>
      <c r="NG42" s="10" t="str">
        <f t="shared" si="117"/>
        <v xml:space="preserve"> </v>
      </c>
      <c r="NH42" s="114">
        <f t="shared" si="118"/>
        <v>-0.24666489839000416</v>
      </c>
      <c r="NI42" s="10"/>
      <c r="NJ42" s="42">
        <v>120.24486717000006</v>
      </c>
      <c r="NK42" s="43">
        <v>3.4199438202930486</v>
      </c>
      <c r="NL42" s="67">
        <v>9.6016616913821046E-2</v>
      </c>
      <c r="NM42" s="10">
        <f t="shared" si="119"/>
        <v>-0.49751141001931343</v>
      </c>
      <c r="NN42" s="10" t="str">
        <f t="shared" si="120"/>
        <v xml:space="preserve"> </v>
      </c>
      <c r="NO42" s="10"/>
      <c r="NP42" s="53">
        <v>213</v>
      </c>
      <c r="NQ42" s="55">
        <v>3.4648105905761235</v>
      </c>
      <c r="NR42" s="56">
        <v>7.6295790876637001E-2</v>
      </c>
      <c r="NS42" s="10">
        <f t="shared" si="121"/>
        <v>-0.97389060531886007</v>
      </c>
      <c r="NT42" s="10" t="str">
        <f t="shared" si="122"/>
        <v xml:space="preserve"> </v>
      </c>
      <c r="NU42" s="10"/>
      <c r="NV42" s="54">
        <v>218</v>
      </c>
      <c r="NW42" s="57">
        <v>3.3938403921754192</v>
      </c>
      <c r="NX42" s="58">
        <v>7.6739505683625711E-2</v>
      </c>
      <c r="NY42" s="10">
        <f t="shared" si="123"/>
        <v>-0.32420004568914174</v>
      </c>
      <c r="NZ42" s="10" t="str">
        <f t="shared" si="129"/>
        <v xml:space="preserve"> </v>
      </c>
      <c r="OA42" s="114">
        <f t="shared" si="124"/>
        <v>-3.5565236115874477E-2</v>
      </c>
      <c r="OB42" s="58"/>
    </row>
    <row r="43" spans="1:392" x14ac:dyDescent="0.2">
      <c r="B43" s="65"/>
      <c r="C43" s="27"/>
      <c r="D43" s="28"/>
      <c r="E43" s="29"/>
      <c r="F43" s="10"/>
      <c r="G43" s="42"/>
      <c r="H43" s="43"/>
      <c r="I43" s="67"/>
      <c r="J43" s="10"/>
      <c r="K43" s="10"/>
      <c r="L43" s="114"/>
      <c r="M43" s="10"/>
      <c r="N43" s="42"/>
      <c r="O43" s="43"/>
      <c r="P43" s="67"/>
      <c r="Q43" s="10"/>
      <c r="R43" s="10"/>
      <c r="S43" s="10"/>
      <c r="T43" s="53"/>
      <c r="U43" s="55"/>
      <c r="V43" s="56"/>
      <c r="W43" s="10"/>
      <c r="X43" s="10"/>
      <c r="Y43" s="10"/>
      <c r="Z43" s="54"/>
      <c r="AA43" s="57"/>
      <c r="AB43" s="58"/>
      <c r="AC43" s="10"/>
      <c r="AD43" s="10"/>
      <c r="AE43" s="114"/>
      <c r="AF43" s="76"/>
      <c r="AG43" s="27"/>
      <c r="AH43" s="28"/>
      <c r="AI43" s="29"/>
      <c r="AJ43" s="67"/>
      <c r="AK43" s="42"/>
      <c r="AL43" s="43"/>
      <c r="AM43" s="67"/>
      <c r="AN43" s="10"/>
      <c r="AO43" s="10"/>
      <c r="AP43" s="114"/>
      <c r="AQ43" s="67"/>
      <c r="AR43" s="42"/>
      <c r="AS43" s="43"/>
      <c r="AT43" s="67"/>
      <c r="AU43" s="10"/>
      <c r="AV43" s="10"/>
      <c r="AW43" s="10"/>
      <c r="AX43" s="53"/>
      <c r="AY43" s="55"/>
      <c r="AZ43" s="56"/>
      <c r="BA43" s="10"/>
      <c r="BB43" s="10"/>
      <c r="BC43" s="10"/>
      <c r="BD43" s="54"/>
      <c r="BE43" s="57"/>
      <c r="BF43" s="58"/>
      <c r="BG43" s="10"/>
      <c r="BH43" s="10"/>
      <c r="BI43" s="114"/>
      <c r="BJ43" s="76"/>
      <c r="BK43" s="27"/>
      <c r="BL43" s="28"/>
      <c r="BM43" s="29"/>
      <c r="BN43" s="10"/>
      <c r="BO43" s="42"/>
      <c r="BP43" s="43"/>
      <c r="BQ43" s="67"/>
      <c r="BR43" s="10"/>
      <c r="BS43" s="10"/>
      <c r="BT43" s="114"/>
      <c r="BU43" s="10"/>
      <c r="BV43" s="42"/>
      <c r="BW43" s="43"/>
      <c r="BX43" s="67"/>
      <c r="BY43" s="10"/>
      <c r="BZ43" s="10"/>
      <c r="CA43" s="10"/>
      <c r="CB43" s="53"/>
      <c r="CC43" s="55"/>
      <c r="CD43" s="56"/>
      <c r="CE43" s="10"/>
      <c r="CF43" s="10"/>
      <c r="CG43" s="10"/>
      <c r="CH43" s="54"/>
      <c r="CI43" s="57"/>
      <c r="CJ43" s="58"/>
      <c r="CK43" s="10"/>
      <c r="CL43" s="10"/>
      <c r="CM43" s="114"/>
      <c r="CN43" s="76"/>
      <c r="CO43" s="27"/>
      <c r="CP43" s="28"/>
      <c r="CQ43" s="29"/>
      <c r="CR43" s="67"/>
      <c r="CS43" s="42"/>
      <c r="CT43" s="43"/>
      <c r="CU43" s="67"/>
      <c r="CV43" s="10"/>
      <c r="CW43" s="10"/>
      <c r="CX43" s="114"/>
      <c r="CY43" s="10"/>
      <c r="CZ43" s="42"/>
      <c r="DA43" s="43"/>
      <c r="DB43" s="67"/>
      <c r="DC43" s="10"/>
      <c r="DD43" s="10"/>
      <c r="DE43" s="10"/>
      <c r="DF43" s="53"/>
      <c r="DG43" s="55"/>
      <c r="DH43" s="56"/>
      <c r="DI43" s="10"/>
      <c r="DJ43" s="10"/>
      <c r="DK43" s="10"/>
      <c r="DL43" s="54"/>
      <c r="DM43" s="57"/>
      <c r="DN43" s="58"/>
      <c r="DO43" s="10"/>
      <c r="DP43" s="10"/>
      <c r="DQ43" s="114"/>
      <c r="DR43" s="76"/>
      <c r="DS43" s="27"/>
      <c r="DT43" s="28"/>
      <c r="DU43" s="29"/>
      <c r="DV43" s="10"/>
      <c r="DW43" s="42"/>
      <c r="DX43" s="43"/>
      <c r="DY43" s="67"/>
      <c r="DZ43" s="10"/>
      <c r="EA43" s="10"/>
      <c r="EB43" s="114"/>
      <c r="EC43" s="10"/>
      <c r="ED43" s="42"/>
      <c r="EE43" s="43"/>
      <c r="EF43" s="67"/>
      <c r="EG43" s="10"/>
      <c r="EH43" s="10"/>
      <c r="EI43" s="10"/>
      <c r="EJ43" s="53"/>
      <c r="EK43" s="55"/>
      <c r="EL43" s="56"/>
      <c r="EM43" s="10"/>
      <c r="EN43" s="10"/>
      <c r="EO43" s="10"/>
      <c r="EP43" s="54"/>
      <c r="EQ43" s="57"/>
      <c r="ER43" s="58"/>
      <c r="ES43" s="10"/>
      <c r="ET43" s="10"/>
      <c r="EU43" s="114"/>
      <c r="EV43" s="76"/>
      <c r="EW43" s="27"/>
      <c r="EX43" s="28"/>
      <c r="EY43" s="29"/>
      <c r="EZ43" s="10"/>
      <c r="FA43" s="42"/>
      <c r="FB43" s="43"/>
      <c r="FC43" s="67"/>
      <c r="FD43" s="10"/>
      <c r="FE43" s="10"/>
      <c r="FF43" s="114"/>
      <c r="FG43" s="10"/>
      <c r="FH43" s="42"/>
      <c r="FI43" s="43"/>
      <c r="FJ43" s="67"/>
      <c r="FK43" s="10"/>
      <c r="FL43" s="10"/>
      <c r="FM43" s="10"/>
      <c r="FN43" s="53"/>
      <c r="FO43" s="55"/>
      <c r="FP43" s="56"/>
      <c r="FQ43" s="10"/>
      <c r="FR43" s="10"/>
      <c r="FS43" s="10"/>
      <c r="FT43" s="54"/>
      <c r="FU43" s="57"/>
      <c r="FV43" s="58"/>
      <c r="FW43" s="10"/>
      <c r="FX43" s="10"/>
      <c r="FY43" s="114"/>
      <c r="FZ43" s="76"/>
      <c r="GA43" s="27"/>
      <c r="GB43" s="28"/>
      <c r="GC43" s="29"/>
      <c r="GD43" s="67"/>
      <c r="GE43" s="42"/>
      <c r="GF43" s="43"/>
      <c r="GG43" s="67"/>
      <c r="GH43" s="10"/>
      <c r="GI43" s="10"/>
      <c r="GJ43" s="114"/>
      <c r="GK43" s="67"/>
      <c r="GL43" s="42"/>
      <c r="GM43" s="43"/>
      <c r="GN43" s="67"/>
      <c r="GO43" s="10"/>
      <c r="GP43" s="10"/>
      <c r="GQ43" s="10"/>
      <c r="GR43" s="53"/>
      <c r="GS43" s="55"/>
      <c r="GT43" s="56"/>
      <c r="GU43" s="10"/>
      <c r="GV43" s="10"/>
      <c r="GW43" s="10"/>
      <c r="GX43" s="54"/>
      <c r="GY43" s="57"/>
      <c r="GZ43" s="58"/>
      <c r="HA43" s="10"/>
      <c r="HB43" s="10"/>
      <c r="HC43" s="114"/>
      <c r="HD43" s="76"/>
      <c r="HE43" s="27"/>
      <c r="HF43" s="28"/>
      <c r="HG43" s="29"/>
      <c r="HH43" s="10"/>
      <c r="HI43" s="42"/>
      <c r="HJ43" s="43"/>
      <c r="HK43" s="67"/>
      <c r="HL43" s="10"/>
      <c r="HM43" s="10"/>
      <c r="HN43" s="114"/>
      <c r="HO43" s="10"/>
      <c r="HP43" s="42"/>
      <c r="HQ43" s="43"/>
      <c r="HR43" s="67"/>
      <c r="HS43" s="10"/>
      <c r="HT43" s="10"/>
      <c r="HU43" s="10"/>
      <c r="HV43" s="53"/>
      <c r="HW43" s="55"/>
      <c r="HX43" s="56"/>
      <c r="HY43" s="10"/>
      <c r="HZ43" s="10"/>
      <c r="IA43" s="10"/>
      <c r="IB43" s="54"/>
      <c r="IC43" s="57"/>
      <c r="ID43" s="58"/>
      <c r="IE43" s="10"/>
      <c r="IF43" s="10"/>
      <c r="IG43" s="114"/>
      <c r="IH43" s="76"/>
      <c r="II43" s="27"/>
      <c r="IJ43" s="28"/>
      <c r="IK43" s="29"/>
      <c r="IL43" s="10"/>
      <c r="IM43" s="42"/>
      <c r="IN43" s="43"/>
      <c r="IO43" s="67"/>
      <c r="IP43" s="10"/>
      <c r="IQ43" s="10"/>
      <c r="IR43" s="114"/>
      <c r="IS43" s="10"/>
      <c r="IT43" s="42"/>
      <c r="IU43" s="43"/>
      <c r="IV43" s="67"/>
      <c r="IW43" s="10"/>
      <c r="IX43" s="10"/>
      <c r="IY43" s="10"/>
      <c r="IZ43" s="53"/>
      <c r="JA43" s="55"/>
      <c r="JB43" s="56"/>
      <c r="JC43" s="10"/>
      <c r="JD43" s="10"/>
      <c r="JE43" s="10"/>
      <c r="JF43" s="54"/>
      <c r="JG43" s="57"/>
      <c r="JH43" s="58"/>
      <c r="JI43" s="10"/>
      <c r="JJ43" s="10"/>
      <c r="JK43" s="114"/>
      <c r="JL43" s="76"/>
      <c r="JM43" s="27"/>
      <c r="JN43" s="28"/>
      <c r="JO43" s="29"/>
      <c r="JP43" s="10"/>
      <c r="JQ43" s="42"/>
      <c r="JR43" s="43"/>
      <c r="JS43" s="67"/>
      <c r="JT43" s="10"/>
      <c r="JU43" s="10"/>
      <c r="JV43" s="114"/>
      <c r="JW43" s="10"/>
      <c r="JX43" s="42"/>
      <c r="JY43" s="43"/>
      <c r="JZ43" s="67"/>
      <c r="KA43" s="10"/>
      <c r="KB43" s="10"/>
      <c r="KC43" s="10"/>
      <c r="KD43" s="53"/>
      <c r="KE43" s="55"/>
      <c r="KF43" s="56"/>
      <c r="KG43" s="10"/>
      <c r="KH43" s="10"/>
      <c r="KI43" s="10"/>
      <c r="KJ43" s="54"/>
      <c r="KK43" s="57"/>
      <c r="KL43" s="58"/>
      <c r="KM43" s="10"/>
      <c r="KN43" s="10"/>
      <c r="KO43" s="114"/>
      <c r="KP43" s="76"/>
      <c r="KQ43" s="27"/>
      <c r="KR43" s="28"/>
      <c r="KS43" s="29"/>
      <c r="KT43" s="10"/>
      <c r="KU43" s="42"/>
      <c r="KV43" s="43"/>
      <c r="KW43" s="67"/>
      <c r="KX43" s="10"/>
      <c r="KY43" s="10"/>
      <c r="KZ43" s="114"/>
      <c r="LA43" s="10"/>
      <c r="LB43" s="42"/>
      <c r="LC43" s="43"/>
      <c r="LD43" s="67"/>
      <c r="LE43" s="10"/>
      <c r="LF43" s="10"/>
      <c r="LG43" s="10"/>
      <c r="LH43" s="53"/>
      <c r="LI43" s="55"/>
      <c r="LJ43" s="56"/>
      <c r="LK43" s="10"/>
      <c r="LL43" s="10"/>
      <c r="LM43" s="10"/>
      <c r="LN43" s="54"/>
      <c r="LO43" s="57"/>
      <c r="LP43" s="58"/>
      <c r="LQ43" s="10"/>
      <c r="LR43" s="10"/>
      <c r="LS43" s="114"/>
      <c r="LT43" s="76"/>
      <c r="LU43" s="27"/>
      <c r="LV43" s="28"/>
      <c r="LW43" s="29"/>
      <c r="LX43" s="10"/>
      <c r="LY43" s="42"/>
      <c r="LZ43" s="43"/>
      <c r="MA43" s="67"/>
      <c r="MB43" s="10"/>
      <c r="MC43" s="10"/>
      <c r="MD43" s="114"/>
      <c r="ME43" s="10"/>
      <c r="MF43" s="42"/>
      <c r="MG43" s="43"/>
      <c r="MH43" s="67"/>
      <c r="MI43" s="10"/>
      <c r="MJ43" s="10"/>
      <c r="MK43" s="10"/>
      <c r="ML43" s="53"/>
      <c r="MM43" s="55"/>
      <c r="MN43" s="56"/>
      <c r="MO43" s="10"/>
      <c r="MP43" s="10"/>
      <c r="MQ43" s="10"/>
      <c r="MR43" s="54"/>
      <c r="MS43" s="57"/>
      <c r="MT43" s="58"/>
      <c r="MU43" s="10"/>
      <c r="MV43" s="10"/>
      <c r="MW43" s="114"/>
      <c r="MX43" s="76"/>
      <c r="MY43" s="27"/>
      <c r="MZ43" s="28"/>
      <c r="NA43" s="29"/>
      <c r="NB43" s="10"/>
      <c r="NC43" s="42"/>
      <c r="ND43" s="43"/>
      <c r="NE43" s="67"/>
      <c r="NF43" s="10"/>
      <c r="NG43" s="10"/>
      <c r="NH43" s="114"/>
      <c r="NI43" s="10"/>
      <c r="NJ43" s="42"/>
      <c r="NK43" s="43"/>
      <c r="NL43" s="67"/>
      <c r="NM43" s="10"/>
      <c r="NN43" s="10"/>
      <c r="NO43" s="10"/>
      <c r="NP43" s="53"/>
      <c r="NQ43" s="55"/>
      <c r="NR43" s="56"/>
      <c r="NS43" s="10"/>
      <c r="NT43" s="10"/>
      <c r="NU43" s="10"/>
      <c r="NV43" s="54"/>
      <c r="NW43" s="57"/>
      <c r="NX43" s="58"/>
      <c r="NY43" s="10"/>
      <c r="NZ43" s="10"/>
      <c r="OA43" s="114"/>
      <c r="OB43" s="58"/>
    </row>
    <row r="44" spans="1:392" x14ac:dyDescent="0.2">
      <c r="A44" s="73"/>
      <c r="B44" s="65" t="s">
        <v>39</v>
      </c>
      <c r="C44" s="27">
        <v>424</v>
      </c>
      <c r="D44" s="28">
        <v>3.7407455161595076</v>
      </c>
      <c r="E44" s="29">
        <v>5.1124853721905131E-2</v>
      </c>
      <c r="F44" s="10"/>
      <c r="G44" s="42">
        <v>132</v>
      </c>
      <c r="H44" s="43">
        <v>3.5757421774324523</v>
      </c>
      <c r="I44" s="67">
        <v>9.7125299870145204E-2</v>
      </c>
      <c r="J44" s="10">
        <f t="shared" si="1"/>
        <v>1.5033217232793998</v>
      </c>
      <c r="K44" s="10" t="str">
        <f t="shared" si="2"/>
        <v xml:space="preserve"> </v>
      </c>
      <c r="L44" s="114">
        <f t="shared" si="3"/>
        <v>0.1650033387270553</v>
      </c>
      <c r="M44" s="10"/>
      <c r="N44" s="42">
        <v>128.92765212000009</v>
      </c>
      <c r="O44" s="43">
        <v>3.5080645161290325</v>
      </c>
      <c r="P44" s="67">
        <v>7.1454211568761805E-2</v>
      </c>
      <c r="Q44" s="10">
        <f t="shared" si="4"/>
        <v>2.6483025652419596</v>
      </c>
      <c r="R44" s="10" t="str">
        <f t="shared" si="5"/>
        <v>*</v>
      </c>
      <c r="S44" s="10"/>
      <c r="T44" s="53">
        <v>134</v>
      </c>
      <c r="U44" s="55">
        <v>3.6791044776119399</v>
      </c>
      <c r="V44" s="56">
        <v>7.0439327892497794E-2</v>
      </c>
      <c r="W44" s="10">
        <f t="shared" si="6"/>
        <v>0.70821601153641411</v>
      </c>
      <c r="X44" s="10" t="str">
        <f t="shared" si="7"/>
        <v xml:space="preserve"> </v>
      </c>
      <c r="Y44" s="10"/>
      <c r="Z44" s="54">
        <v>212</v>
      </c>
      <c r="AA44" s="57">
        <v>3.4103773584905648</v>
      </c>
      <c r="AB44" s="58">
        <v>5.9553190420277395E-2</v>
      </c>
      <c r="AC44" s="10">
        <f t="shared" si="8"/>
        <v>4.209166269715686</v>
      </c>
      <c r="AD44" s="10" t="str">
        <f t="shared" si="9"/>
        <v>*</v>
      </c>
      <c r="AE44" s="114">
        <f t="shared" si="10"/>
        <v>0.33036815766894279</v>
      </c>
      <c r="AF44" s="76"/>
      <c r="AG44" s="27">
        <v>105</v>
      </c>
      <c r="AH44" s="28">
        <v>3.8864299328872476</v>
      </c>
      <c r="AI44" s="29">
        <v>8.9562523420660595E-2</v>
      </c>
      <c r="AJ44" s="67"/>
      <c r="AK44" s="42">
        <v>56</v>
      </c>
      <c r="AL44" s="43">
        <v>3.9108875093230164</v>
      </c>
      <c r="AM44" s="67">
        <v>0.13503284442326152</v>
      </c>
      <c r="AN44" s="10">
        <f t="shared" si="11"/>
        <v>-0.15094015985456605</v>
      </c>
      <c r="AO44" s="10" t="str">
        <f t="shared" si="12"/>
        <v xml:space="preserve"> </v>
      </c>
      <c r="AP44" s="114">
        <f t="shared" si="13"/>
        <v>-2.4457576435768846E-2</v>
      </c>
      <c r="AQ44" s="67"/>
      <c r="AR44" s="42">
        <v>99.696065520000005</v>
      </c>
      <c r="AS44" s="43">
        <v>3.4120619670969732</v>
      </c>
      <c r="AT44" s="67">
        <v>9.2057210129942849E-2</v>
      </c>
      <c r="AU44" s="10">
        <f t="shared" si="14"/>
        <v>3.6934000552152515</v>
      </c>
      <c r="AV44" s="10" t="str">
        <f t="shared" si="15"/>
        <v>*</v>
      </c>
      <c r="AW44" s="10"/>
      <c r="AX44" s="53">
        <v>132</v>
      </c>
      <c r="AY44" s="55">
        <v>3.5148534268337239</v>
      </c>
      <c r="AZ44" s="56">
        <v>8.1925308428162424E-2</v>
      </c>
      <c r="BA44" s="10">
        <f t="shared" si="16"/>
        <v>3.0612562060718549</v>
      </c>
      <c r="BB44" s="10" t="str">
        <f t="shared" si="17"/>
        <v>*</v>
      </c>
      <c r="BC44" s="10"/>
      <c r="BD44" s="54">
        <v>87</v>
      </c>
      <c r="BE44" s="57">
        <v>3.0050284977637021</v>
      </c>
      <c r="BF44" s="58">
        <v>8.1900819630619973E-2</v>
      </c>
      <c r="BG44" s="10">
        <f t="shared" si="18"/>
        <v>7.2624695282758607</v>
      </c>
      <c r="BH44" s="10" t="str">
        <f t="shared" si="19"/>
        <v>*</v>
      </c>
      <c r="BI44" s="114">
        <f t="shared" si="20"/>
        <v>0.88140143512354552</v>
      </c>
      <c r="BJ44" s="76"/>
      <c r="BK44" s="27">
        <v>1160</v>
      </c>
      <c r="BL44" s="28">
        <v>4.0046778330160206</v>
      </c>
      <c r="BM44" s="29">
        <v>2.7286044800862094E-2</v>
      </c>
      <c r="BN44" s="10"/>
      <c r="BO44" s="42">
        <v>355</v>
      </c>
      <c r="BP44" s="43">
        <v>4.0398184521814011</v>
      </c>
      <c r="BQ44" s="67">
        <v>4.8324972364178605E-2</v>
      </c>
      <c r="BR44" s="10">
        <f t="shared" si="21"/>
        <v>-0.63320735765922309</v>
      </c>
      <c r="BS44" s="10" t="str">
        <f t="shared" si="22"/>
        <v xml:space="preserve"> </v>
      </c>
      <c r="BT44" s="114">
        <f t="shared" si="23"/>
        <v>-3.5140619165380471E-2</v>
      </c>
      <c r="BU44" s="10"/>
      <c r="BV44" s="42">
        <v>348.47414435999917</v>
      </c>
      <c r="BW44" s="43">
        <v>3.2462721082438253</v>
      </c>
      <c r="BX44" s="67">
        <v>3.4165650167204631E-2</v>
      </c>
      <c r="BY44" s="10">
        <f t="shared" si="24"/>
        <v>17.345152180566501</v>
      </c>
      <c r="BZ44" s="10" t="str">
        <f t="shared" si="25"/>
        <v>*</v>
      </c>
      <c r="CA44" s="10"/>
      <c r="CB44" s="53">
        <v>360</v>
      </c>
      <c r="CC44" s="55">
        <v>3.2704713226190831</v>
      </c>
      <c r="CD44" s="56">
        <v>2.9724379601778279E-2</v>
      </c>
      <c r="CE44" s="10">
        <f t="shared" si="26"/>
        <v>18.196258447590726</v>
      </c>
      <c r="CF44" s="10" t="str">
        <f t="shared" si="27"/>
        <v>*</v>
      </c>
      <c r="CG44" s="10"/>
      <c r="CH44" s="54">
        <v>413</v>
      </c>
      <c r="CI44" s="57">
        <v>3.6373126775080733</v>
      </c>
      <c r="CJ44" s="58">
        <v>4.5946022752763251E-2</v>
      </c>
      <c r="CK44" s="10">
        <f t="shared" si="28"/>
        <v>6.8746709713738774</v>
      </c>
      <c r="CL44" s="10" t="str">
        <f t="shared" si="29"/>
        <v>*</v>
      </c>
      <c r="CM44" s="114">
        <f t="shared" si="30"/>
        <v>0.36736515550794735</v>
      </c>
      <c r="CN44" s="76"/>
      <c r="CO44" s="27">
        <v>704</v>
      </c>
      <c r="CP44" s="28">
        <v>3.994831425262714</v>
      </c>
      <c r="CQ44" s="29">
        <v>3.632520030936856E-2</v>
      </c>
      <c r="CR44" s="67"/>
      <c r="CS44" s="42">
        <v>224</v>
      </c>
      <c r="CT44" s="43">
        <v>4.1384765775358776</v>
      </c>
      <c r="CU44" s="67">
        <v>6.16495331126483E-2</v>
      </c>
      <c r="CV44" s="10">
        <f t="shared" si="31"/>
        <v>-2.0074657429760876</v>
      </c>
      <c r="CW44" s="10" t="str">
        <f t="shared" si="32"/>
        <v>*</v>
      </c>
      <c r="CX44" s="114">
        <f t="shared" si="33"/>
        <v>-0.14364515227316366</v>
      </c>
      <c r="CY44" s="10"/>
      <c r="CZ44" s="42">
        <v>242.30426222999932</v>
      </c>
      <c r="DA44" s="43">
        <v>4.0498643808359036</v>
      </c>
      <c r="DB44" s="67">
        <v>5.9387297724317376E-2</v>
      </c>
      <c r="DC44" s="10">
        <f t="shared" si="34"/>
        <v>-0.79052297251332515</v>
      </c>
      <c r="DD44" s="10" t="str">
        <f t="shared" si="35"/>
        <v xml:space="preserve"> </v>
      </c>
      <c r="DE44" s="10"/>
      <c r="DF44" s="53">
        <v>212</v>
      </c>
      <c r="DG44" s="55">
        <v>4.1302284662107391</v>
      </c>
      <c r="DH44" s="56">
        <v>6.4428505662839308E-2</v>
      </c>
      <c r="DI44" s="10">
        <f t="shared" si="36"/>
        <v>-1.8306005023929335</v>
      </c>
      <c r="DJ44" s="10" t="str">
        <f t="shared" si="0"/>
        <v xml:space="preserve"> </v>
      </c>
      <c r="DK44" s="10"/>
      <c r="DL44" s="54">
        <v>268</v>
      </c>
      <c r="DM44" s="57">
        <v>3.7474464663735532</v>
      </c>
      <c r="DN44" s="58">
        <v>5.9942300103453069E-2</v>
      </c>
      <c r="DO44" s="10">
        <f t="shared" si="37"/>
        <v>3.5295359529400501</v>
      </c>
      <c r="DP44" s="10" t="str">
        <f t="shared" si="38"/>
        <v>*</v>
      </c>
      <c r="DQ44" s="114">
        <f t="shared" si="39"/>
        <v>0.24738495888916079</v>
      </c>
      <c r="DR44" s="76"/>
      <c r="DS44" s="27">
        <v>211</v>
      </c>
      <c r="DT44" s="28">
        <v>3.665341882239578</v>
      </c>
      <c r="DU44" s="29">
        <v>6.6502445691039469E-2</v>
      </c>
      <c r="DV44" s="10"/>
      <c r="DW44" s="42">
        <v>80</v>
      </c>
      <c r="DX44" s="43">
        <v>3.5258314875793073</v>
      </c>
      <c r="DY44" s="67">
        <v>0.11403133352691763</v>
      </c>
      <c r="DZ44" s="10">
        <f t="shared" si="40"/>
        <v>1.0568447582595804</v>
      </c>
      <c r="EA44" s="10" t="str">
        <f t="shared" si="41"/>
        <v xml:space="preserve"> </v>
      </c>
      <c r="EB44" s="114">
        <f t="shared" si="42"/>
        <v>0.13951039466027071</v>
      </c>
      <c r="EC44" s="10"/>
      <c r="ED44" s="42">
        <v>93.911593770000039</v>
      </c>
      <c r="EE44" s="43">
        <v>3.5299246111388825</v>
      </c>
      <c r="EF44" s="67">
        <v>0.10114377085281376</v>
      </c>
      <c r="EG44" s="10">
        <f t="shared" si="43"/>
        <v>1.1187064770510531</v>
      </c>
      <c r="EH44" s="10" t="str">
        <f t="shared" si="44"/>
        <v xml:space="preserve"> </v>
      </c>
      <c r="EI44" s="10"/>
      <c r="EJ44" s="53">
        <v>88</v>
      </c>
      <c r="EK44" s="55">
        <v>3.6221906952882925</v>
      </c>
      <c r="EL44" s="56">
        <v>8.6845508347884473E-2</v>
      </c>
      <c r="EM44" s="10">
        <f t="shared" si="45"/>
        <v>0.39449501526137054</v>
      </c>
      <c r="EN44" s="10" t="str">
        <f t="shared" si="46"/>
        <v xml:space="preserve"> </v>
      </c>
      <c r="EO44" s="10"/>
      <c r="EP44" s="54">
        <v>60</v>
      </c>
      <c r="EQ44" s="57">
        <v>3.6666666666666674</v>
      </c>
      <c r="ER44" s="58">
        <v>0.13081532992266562</v>
      </c>
      <c r="ES44" s="10">
        <f t="shared" si="47"/>
        <v>-9.0275624031454522E-3</v>
      </c>
      <c r="ET44" s="10" t="str">
        <f t="shared" si="48"/>
        <v xml:space="preserve"> </v>
      </c>
      <c r="EU44" s="114">
        <f t="shared" si="49"/>
        <v>-1.3247844270893872E-3</v>
      </c>
      <c r="EV44" s="76"/>
      <c r="EW44" s="27">
        <v>463</v>
      </c>
      <c r="EX44" s="28">
        <v>4.1699115047842934</v>
      </c>
      <c r="EY44" s="29">
        <v>4.2084760102042831E-2</v>
      </c>
      <c r="EZ44" s="10"/>
      <c r="FA44" s="42">
        <v>156</v>
      </c>
      <c r="FB44" s="43">
        <v>4.2108843085733598</v>
      </c>
      <c r="FC44" s="67">
        <v>6.8687009999259321E-2</v>
      </c>
      <c r="FD44" s="10">
        <f t="shared" si="50"/>
        <v>-0.50863438172714071</v>
      </c>
      <c r="FE44" s="10" t="str">
        <f t="shared" si="51"/>
        <v xml:space="preserve"> </v>
      </c>
      <c r="FF44" s="114">
        <f t="shared" si="52"/>
        <v>-4.0972803789066425E-2</v>
      </c>
      <c r="FG44" s="10"/>
      <c r="FH44" s="42">
        <v>164.75046785999987</v>
      </c>
      <c r="FI44" s="43">
        <v>3.4432912639256412</v>
      </c>
      <c r="FJ44" s="67">
        <v>6.7442882268797064E-2</v>
      </c>
      <c r="FK44" s="10">
        <f t="shared" si="53"/>
        <v>9.1402970816461959</v>
      </c>
      <c r="FL44" s="10" t="str">
        <f t="shared" si="54"/>
        <v>*</v>
      </c>
      <c r="FM44" s="10"/>
      <c r="FN44" s="53">
        <v>153</v>
      </c>
      <c r="FO44" s="55">
        <v>3.9095808504448684</v>
      </c>
      <c r="FP44" s="56">
        <v>7.5603148848614465E-2</v>
      </c>
      <c r="FQ44" s="10">
        <f t="shared" si="55"/>
        <v>3.0086554975057753</v>
      </c>
      <c r="FR44" s="10" t="str">
        <f t="shared" si="56"/>
        <v>*</v>
      </c>
      <c r="FS44" s="10"/>
      <c r="FT44" s="54">
        <v>202</v>
      </c>
      <c r="FU44" s="57">
        <v>3.4152848260994189</v>
      </c>
      <c r="FV44" s="58">
        <v>6.7249981521949276E-2</v>
      </c>
      <c r="FW44" s="10">
        <f t="shared" si="57"/>
        <v>9.5121695551326919</v>
      </c>
      <c r="FX44" s="10" t="str">
        <f t="shared" si="125"/>
        <v>*</v>
      </c>
      <c r="FY44" s="114">
        <f t="shared" si="58"/>
        <v>0.75462667868487454</v>
      </c>
      <c r="FZ44" s="76"/>
      <c r="GA44" s="27">
        <v>219</v>
      </c>
      <c r="GB44" s="28">
        <v>3.5432049176357605</v>
      </c>
      <c r="GC44" s="29">
        <v>7.2474584081305596E-2</v>
      </c>
      <c r="GD44" s="67"/>
      <c r="GE44" s="42">
        <v>169</v>
      </c>
      <c r="GF44" s="43">
        <v>3.5868277867417366</v>
      </c>
      <c r="GG44" s="67">
        <v>8.34206936541486E-2</v>
      </c>
      <c r="GH44" s="10">
        <f t="shared" si="59"/>
        <v>-0.39475563814760195</v>
      </c>
      <c r="GI44" s="10" t="str">
        <f t="shared" si="60"/>
        <v xml:space="preserve"> </v>
      </c>
      <c r="GJ44" s="114">
        <f t="shared" si="61"/>
        <v>-4.3622869105976125E-2</v>
      </c>
      <c r="GK44" s="67"/>
      <c r="GL44" s="42">
        <v>197.44408422000046</v>
      </c>
      <c r="GM44" s="43">
        <v>3.6695507274489874</v>
      </c>
      <c r="GN44" s="67">
        <v>7.4337836800473775E-2</v>
      </c>
      <c r="GO44" s="10">
        <f t="shared" si="62"/>
        <v>-1.2169649431105385</v>
      </c>
      <c r="GP44" s="10" t="str">
        <f t="shared" si="63"/>
        <v xml:space="preserve"> </v>
      </c>
      <c r="GQ44" s="10"/>
      <c r="GR44" s="53">
        <v>217</v>
      </c>
      <c r="GS44" s="55">
        <v>3.5315543685423942</v>
      </c>
      <c r="GT44" s="56">
        <v>7.1758923436892788E-2</v>
      </c>
      <c r="GU44" s="10">
        <f t="shared" si="64"/>
        <v>0.11423255249757712</v>
      </c>
      <c r="GV44" s="10" t="str">
        <f t="shared" si="65"/>
        <v xml:space="preserve"> </v>
      </c>
      <c r="GW44" s="10"/>
      <c r="GX44" s="54">
        <v>194</v>
      </c>
      <c r="GY44" s="57">
        <v>3.5729085730114298</v>
      </c>
      <c r="GZ44" s="58">
        <v>7.7108255764595179E-2</v>
      </c>
      <c r="HA44" s="10">
        <f t="shared" si="66"/>
        <v>-0.28069511091461219</v>
      </c>
      <c r="HB44" s="10" t="str">
        <f t="shared" si="126"/>
        <v xml:space="preserve"> </v>
      </c>
      <c r="HC44" s="114">
        <f t="shared" si="67"/>
        <v>-2.9703655375669324E-2</v>
      </c>
      <c r="HD44" s="76"/>
      <c r="HE44" s="27">
        <v>220</v>
      </c>
      <c r="HF44" s="28">
        <v>3.8503661667428708</v>
      </c>
      <c r="HG44" s="29">
        <v>7.0106646946378595E-2</v>
      </c>
      <c r="HH44" s="10"/>
      <c r="HI44" s="42">
        <v>129</v>
      </c>
      <c r="HJ44" s="43">
        <v>3.8698840423555225</v>
      </c>
      <c r="HK44" s="67">
        <v>8.3716360247750143E-2</v>
      </c>
      <c r="HL44" s="10">
        <f t="shared" si="68"/>
        <v>-0.17874463636746377</v>
      </c>
      <c r="HM44" s="10" t="str">
        <f t="shared" si="69"/>
        <v xml:space="preserve"> </v>
      </c>
      <c r="HN44" s="114">
        <f t="shared" si="70"/>
        <v>-1.9517875612651725E-2</v>
      </c>
      <c r="HO44" s="10"/>
      <c r="HP44" s="42">
        <v>122.86040559999989</v>
      </c>
      <c r="HQ44" s="43">
        <v>3.8492346585578918</v>
      </c>
      <c r="HR44" s="67">
        <v>9.2367875899736301E-2</v>
      </c>
      <c r="HS44" s="10">
        <f t="shared" si="71"/>
        <v>9.7577293740584419E-3</v>
      </c>
      <c r="HT44" s="10" t="str">
        <f t="shared" si="72"/>
        <v xml:space="preserve"> </v>
      </c>
      <c r="HU44" s="10"/>
      <c r="HV44" s="53">
        <v>91</v>
      </c>
      <c r="HW44" s="55">
        <v>3.7389123851660151</v>
      </c>
      <c r="HX44" s="56">
        <v>8.4924637466383221E-2</v>
      </c>
      <c r="HY44" s="10">
        <f t="shared" si="73"/>
        <v>1.0120819618455608</v>
      </c>
      <c r="HZ44" s="10" t="str">
        <f t="shared" si="74"/>
        <v xml:space="preserve"> </v>
      </c>
      <c r="IA44" s="10"/>
      <c r="IB44" s="54">
        <v>155</v>
      </c>
      <c r="IC44" s="57">
        <v>3.8736282012421617</v>
      </c>
      <c r="ID44" s="58">
        <v>8.0220854893212665E-2</v>
      </c>
      <c r="IE44" s="10">
        <f t="shared" si="75"/>
        <v>-0.21834512456612298</v>
      </c>
      <c r="IF44" s="10" t="str">
        <f t="shared" si="127"/>
        <v xml:space="preserve"> </v>
      </c>
      <c r="IG44" s="114">
        <f t="shared" si="76"/>
        <v>-2.3262034499290873E-2</v>
      </c>
      <c r="IH44" s="76"/>
      <c r="II44" s="27">
        <v>571</v>
      </c>
      <c r="IJ44" s="28">
        <v>3.9320459332519091</v>
      </c>
      <c r="IK44" s="29">
        <v>4.0561504560699929E-2</v>
      </c>
      <c r="IL44" s="10"/>
      <c r="IM44" s="42">
        <v>404</v>
      </c>
      <c r="IN44" s="43">
        <v>3.8149466527337239</v>
      </c>
      <c r="IO44" s="67">
        <v>4.8491442968412922E-2</v>
      </c>
      <c r="IP44" s="10">
        <f t="shared" si="77"/>
        <v>1.8522766785814726</v>
      </c>
      <c r="IQ44" s="10" t="str">
        <f t="shared" si="78"/>
        <v xml:space="preserve"> </v>
      </c>
      <c r="IR44" s="114">
        <f t="shared" si="79"/>
        <v>0.11709928051818519</v>
      </c>
      <c r="IS44" s="10"/>
      <c r="IT44" s="42">
        <v>412.54332538000034</v>
      </c>
      <c r="IU44" s="43">
        <v>3.8251598834290643</v>
      </c>
      <c r="IV44" s="67">
        <v>4.7930531674511972E-2</v>
      </c>
      <c r="IW44" s="10">
        <f t="shared" si="80"/>
        <v>1.7022809422705056</v>
      </c>
      <c r="IX44" s="10" t="str">
        <f t="shared" si="81"/>
        <v xml:space="preserve"> </v>
      </c>
      <c r="IY44" s="10"/>
      <c r="IZ44" s="53">
        <v>403</v>
      </c>
      <c r="JA44" s="55">
        <v>3.8631701733595967</v>
      </c>
      <c r="JB44" s="56">
        <v>4.9096980240654391E-2</v>
      </c>
      <c r="JC44" s="10">
        <f t="shared" si="82"/>
        <v>1.0815108033115761</v>
      </c>
      <c r="JD44" s="10" t="str">
        <f t="shared" si="83"/>
        <v xml:space="preserve"> </v>
      </c>
      <c r="JE44" s="10"/>
      <c r="JF44" s="54">
        <v>436</v>
      </c>
      <c r="JG44" s="57">
        <v>3.8287415360914365</v>
      </c>
      <c r="JH44" s="58">
        <v>4.4503030806038638E-2</v>
      </c>
      <c r="JI44" s="10">
        <f t="shared" si="84"/>
        <v>1.7156139000680033</v>
      </c>
      <c r="JJ44" s="10" t="str">
        <f t="shared" si="85"/>
        <v xml:space="preserve"> </v>
      </c>
      <c r="JK44" s="114">
        <f t="shared" si="86"/>
        <v>0.10330439716047257</v>
      </c>
      <c r="JL44" s="76"/>
      <c r="JM44" s="27">
        <v>46</v>
      </c>
      <c r="JN44" s="28">
        <v>4.1739130434782608</v>
      </c>
      <c r="JO44" s="29">
        <v>0.14353171053321942</v>
      </c>
      <c r="JP44" s="10"/>
      <c r="JQ44" s="42">
        <v>35</v>
      </c>
      <c r="JR44" s="43">
        <v>3.9439147501880365</v>
      </c>
      <c r="JS44" s="67">
        <v>0.15844536322755176</v>
      </c>
      <c r="JT44" s="10">
        <f t="shared" si="87"/>
        <v>1.0758126617559745</v>
      </c>
      <c r="JU44" s="10" t="str">
        <f t="shared" si="88"/>
        <v xml:space="preserve"> </v>
      </c>
      <c r="JV44" s="114">
        <f t="shared" si="89"/>
        <v>0.22999829329022425</v>
      </c>
      <c r="JW44" s="10"/>
      <c r="JX44" s="42">
        <v>32.673939870000005</v>
      </c>
      <c r="JY44" s="43">
        <v>3.9090909090909092</v>
      </c>
      <c r="JZ44" s="67">
        <v>0.14745708620248163</v>
      </c>
      <c r="KA44" s="10">
        <f t="shared" si="90"/>
        <v>1.2869257747098002</v>
      </c>
      <c r="KB44" s="10" t="str">
        <f t="shared" si="91"/>
        <v xml:space="preserve"> </v>
      </c>
      <c r="KC44" s="10"/>
      <c r="KD44" s="53">
        <v>32</v>
      </c>
      <c r="KE44" s="55">
        <v>3.71875</v>
      </c>
      <c r="KF44" s="56">
        <v>0.20440730982609009</v>
      </c>
      <c r="KG44" s="10">
        <f t="shared" si="92"/>
        <v>1.8223484729330557</v>
      </c>
      <c r="KH44" s="10" t="str">
        <f t="shared" si="93"/>
        <v xml:space="preserve"> </v>
      </c>
      <c r="KI44" s="10"/>
      <c r="KJ44" s="54">
        <v>54</v>
      </c>
      <c r="KK44" s="57">
        <v>3.6666666666666674</v>
      </c>
      <c r="KL44" s="58">
        <v>0.14211667616821921</v>
      </c>
      <c r="KM44" s="10">
        <f t="shared" si="94"/>
        <v>2.5112898838280868</v>
      </c>
      <c r="KN44" s="10" t="str">
        <f t="shared" si="95"/>
        <v>*</v>
      </c>
      <c r="KO44" s="114">
        <f t="shared" si="96"/>
        <v>0.50724637681159335</v>
      </c>
      <c r="KP44" s="76"/>
      <c r="KQ44" s="27">
        <v>513</v>
      </c>
      <c r="KR44" s="28">
        <v>3.190938965274317</v>
      </c>
      <c r="KS44" s="29">
        <v>5.2099186815970186E-2</v>
      </c>
      <c r="KT44" s="10"/>
      <c r="KU44" s="42">
        <v>316</v>
      </c>
      <c r="KV44" s="43">
        <v>3.3013179160496549</v>
      </c>
      <c r="KW44" s="67">
        <v>6.6849962515703354E-2</v>
      </c>
      <c r="KX44" s="10">
        <f t="shared" si="97"/>
        <v>-1.3023448282215626</v>
      </c>
      <c r="KY44" s="10" t="str">
        <f t="shared" si="98"/>
        <v xml:space="preserve"> </v>
      </c>
      <c r="KZ44" s="114">
        <f t="shared" si="99"/>
        <v>-0.11037895077533788</v>
      </c>
      <c r="LA44" s="10"/>
      <c r="LB44" s="42">
        <v>364.18180647000094</v>
      </c>
      <c r="LC44" s="43">
        <v>3.4559135091326358</v>
      </c>
      <c r="LD44" s="67">
        <v>5.7462853635567898E-2</v>
      </c>
      <c r="LE44" s="10">
        <f t="shared" si="100"/>
        <v>-3.4161681351536366</v>
      </c>
      <c r="LF44" s="10" t="str">
        <f t="shared" si="101"/>
        <v>*</v>
      </c>
      <c r="LG44" s="10"/>
      <c r="LH44" s="53">
        <v>712</v>
      </c>
      <c r="LI44" s="55">
        <v>3.1514100763777306</v>
      </c>
      <c r="LJ44" s="56">
        <v>4.1741978634623776E-2</v>
      </c>
      <c r="LK44" s="10">
        <f t="shared" si="102"/>
        <v>0.59211631457205927</v>
      </c>
      <c r="LL44" s="10" t="str">
        <f t="shared" si="103"/>
        <v xml:space="preserve"> </v>
      </c>
      <c r="LM44" s="10"/>
      <c r="LN44" s="54">
        <v>696</v>
      </c>
      <c r="LO44" s="57">
        <v>3.1120835823913526</v>
      </c>
      <c r="LP44" s="58">
        <v>4.122022478204148E-2</v>
      </c>
      <c r="LQ44" s="10">
        <f t="shared" si="104"/>
        <v>1.1869792180316183</v>
      </c>
      <c r="LR44" s="10" t="str">
        <f t="shared" si="128"/>
        <v xml:space="preserve"> </v>
      </c>
      <c r="LS44" s="114">
        <f t="shared" si="105"/>
        <v>7.8855382882964342E-2</v>
      </c>
      <c r="LT44" s="76"/>
      <c r="LU44" s="27">
        <v>192</v>
      </c>
      <c r="LV44" s="28">
        <v>3.7760541840923687</v>
      </c>
      <c r="LW44" s="29">
        <v>7.8073196925048202E-2</v>
      </c>
      <c r="LX44" s="10"/>
      <c r="LY44" s="42">
        <v>193</v>
      </c>
      <c r="LZ44" s="43">
        <v>3.8028254904576313</v>
      </c>
      <c r="MA44" s="67">
        <v>7.9179111197541646E-2</v>
      </c>
      <c r="MB44" s="10">
        <f t="shared" si="106"/>
        <v>-0.24075581945924932</v>
      </c>
      <c r="MC44" s="10" t="str">
        <f t="shared" si="107"/>
        <v xml:space="preserve"> </v>
      </c>
      <c r="MD44" s="114">
        <f t="shared" si="108"/>
        <v>-2.6771306365262593E-2</v>
      </c>
      <c r="ME44" s="10"/>
      <c r="MF44" s="42">
        <v>199.49084417999944</v>
      </c>
      <c r="MG44" s="43">
        <v>3.9041050412682647</v>
      </c>
      <c r="MH44" s="67">
        <v>6.483497872140917E-2</v>
      </c>
      <c r="MI44" s="10">
        <f t="shared" si="109"/>
        <v>-1.2617839290209252</v>
      </c>
      <c r="MJ44" s="10" t="str">
        <f t="shared" si="110"/>
        <v xml:space="preserve"> </v>
      </c>
      <c r="MK44" s="10"/>
      <c r="ML44" s="53">
        <v>496</v>
      </c>
      <c r="MM44" s="55">
        <v>3.6975806451612931</v>
      </c>
      <c r="MN44" s="56">
        <v>4.2955517172010863E-2</v>
      </c>
      <c r="MO44" s="10">
        <f t="shared" si="111"/>
        <v>0.8806362614541976</v>
      </c>
      <c r="MP44" s="10" t="str">
        <f t="shared" si="112"/>
        <v xml:space="preserve"> </v>
      </c>
      <c r="MQ44" s="10"/>
      <c r="MR44" s="54">
        <v>479</v>
      </c>
      <c r="MS44" s="57">
        <v>3.7194139493016309</v>
      </c>
      <c r="MT44" s="58">
        <v>4.8084504512043956E-2</v>
      </c>
      <c r="MU44" s="10">
        <f t="shared" si="113"/>
        <v>0.61771831701744717</v>
      </c>
      <c r="MV44" s="10" t="str">
        <f t="shared" si="114"/>
        <v xml:space="preserve"> </v>
      </c>
      <c r="MW44" s="114">
        <f t="shared" si="115"/>
        <v>5.6640234790737765E-2</v>
      </c>
      <c r="MX44" s="76"/>
      <c r="MY44" s="27">
        <v>206</v>
      </c>
      <c r="MZ44" s="28">
        <v>3.6357570750412851</v>
      </c>
      <c r="NA44" s="29">
        <v>6.6663619114877545E-2</v>
      </c>
      <c r="NB44" s="10"/>
      <c r="NC44" s="42">
        <v>141</v>
      </c>
      <c r="ND44" s="43">
        <v>3.8160791415978212</v>
      </c>
      <c r="NE44" s="67">
        <v>8.6942959024060879E-2</v>
      </c>
      <c r="NF44" s="10">
        <f t="shared" si="116"/>
        <v>-1.6458940301695293</v>
      </c>
      <c r="NG44" s="10" t="str">
        <f t="shared" si="117"/>
        <v xml:space="preserve"> </v>
      </c>
      <c r="NH44" s="114">
        <f t="shared" si="118"/>
        <v>-0.18032206655653615</v>
      </c>
      <c r="NI44" s="10"/>
      <c r="NJ44" s="42">
        <v>126.50348137000007</v>
      </c>
      <c r="NK44" s="43">
        <v>3.7823935920033249</v>
      </c>
      <c r="NL44" s="67">
        <v>9.0287738781256635E-2</v>
      </c>
      <c r="NM44" s="10">
        <f t="shared" si="119"/>
        <v>-1.3065537924641855</v>
      </c>
      <c r="NN44" s="10" t="str">
        <f t="shared" si="120"/>
        <v xml:space="preserve"> </v>
      </c>
      <c r="NO44" s="10"/>
      <c r="NP44" s="53">
        <v>212</v>
      </c>
      <c r="NQ44" s="55">
        <v>3.7669127822381276</v>
      </c>
      <c r="NR44" s="56">
        <v>6.5352362474843995E-2</v>
      </c>
      <c r="NS44" s="10">
        <f t="shared" si="121"/>
        <v>-1.4049286222965625</v>
      </c>
      <c r="NT44" s="10" t="str">
        <f t="shared" si="122"/>
        <v xml:space="preserve"> </v>
      </c>
      <c r="NU44" s="10"/>
      <c r="NV44" s="54">
        <v>233</v>
      </c>
      <c r="NW44" s="57">
        <v>3.7519172732371744</v>
      </c>
      <c r="NX44" s="58">
        <v>6.7116861490478644E-2</v>
      </c>
      <c r="NY44" s="10">
        <f t="shared" si="123"/>
        <v>-1.2279398621164694</v>
      </c>
      <c r="NZ44" s="10" t="str">
        <f t="shared" si="129"/>
        <v xml:space="preserve"> </v>
      </c>
      <c r="OA44" s="114">
        <f t="shared" si="124"/>
        <v>-0.1161601981958893</v>
      </c>
      <c r="OB44" s="58"/>
    </row>
    <row r="45" spans="1:392" x14ac:dyDescent="0.2">
      <c r="B45" s="65" t="s">
        <v>40</v>
      </c>
      <c r="C45" s="27">
        <v>417</v>
      </c>
      <c r="D45" s="28">
        <v>3.460654736703197</v>
      </c>
      <c r="E45" s="29">
        <v>5.3229166181337682E-2</v>
      </c>
      <c r="F45" s="10"/>
      <c r="G45" s="42">
        <v>130</v>
      </c>
      <c r="H45" s="43">
        <v>3.2920409803011825</v>
      </c>
      <c r="I45" s="67">
        <v>0.10064515267715843</v>
      </c>
      <c r="J45" s="10">
        <f t="shared" si="1"/>
        <v>1.4809614238905509</v>
      </c>
      <c r="K45" s="10" t="str">
        <f t="shared" si="2"/>
        <v xml:space="preserve"> </v>
      </c>
      <c r="L45" s="114">
        <f t="shared" si="3"/>
        <v>0.16861375640201448</v>
      </c>
      <c r="M45" s="10"/>
      <c r="N45" s="42">
        <v>125.8084347300001</v>
      </c>
      <c r="O45" s="43">
        <v>3.4958677685950406</v>
      </c>
      <c r="P45" s="67">
        <v>8.0657927677993471E-2</v>
      </c>
      <c r="Q45" s="10">
        <f t="shared" si="4"/>
        <v>-0.36437802372783001</v>
      </c>
      <c r="R45" s="10" t="str">
        <f t="shared" si="5"/>
        <v xml:space="preserve"> </v>
      </c>
      <c r="S45" s="10"/>
      <c r="T45" s="53">
        <v>136</v>
      </c>
      <c r="U45" s="55">
        <v>3.4926470588235285</v>
      </c>
      <c r="V45" s="56">
        <v>7.8654948299226146E-2</v>
      </c>
      <c r="W45" s="10">
        <f t="shared" si="6"/>
        <v>-0.33685563647752637</v>
      </c>
      <c r="X45" s="10" t="str">
        <f t="shared" si="7"/>
        <v xml:space="preserve"> </v>
      </c>
      <c r="Y45" s="10"/>
      <c r="Z45" s="54">
        <v>204</v>
      </c>
      <c r="AA45" s="57">
        <v>3.2303921568627429</v>
      </c>
      <c r="AB45" s="58">
        <v>6.170120738469765E-2</v>
      </c>
      <c r="AC45" s="10">
        <f t="shared" si="8"/>
        <v>2.8257048531901972</v>
      </c>
      <c r="AD45" s="10" t="str">
        <f t="shared" si="9"/>
        <v>*</v>
      </c>
      <c r="AE45" s="114">
        <f t="shared" si="10"/>
        <v>0.23026257984045406</v>
      </c>
      <c r="AF45" s="76"/>
      <c r="AG45" s="27">
        <v>100</v>
      </c>
      <c r="AH45" s="28">
        <v>3.7302172966435125</v>
      </c>
      <c r="AI45" s="29">
        <v>9.9704263715892805E-2</v>
      </c>
      <c r="AJ45" s="67"/>
      <c r="AK45" s="42">
        <v>57</v>
      </c>
      <c r="AL45" s="43">
        <v>3.6317869239022635</v>
      </c>
      <c r="AM45" s="67">
        <v>0.16480779401069309</v>
      </c>
      <c r="AN45" s="10">
        <f t="shared" si="11"/>
        <v>0.51100747740171926</v>
      </c>
      <c r="AO45" s="10" t="str">
        <f t="shared" si="12"/>
        <v xml:space="preserve"> </v>
      </c>
      <c r="AP45" s="114">
        <f t="shared" si="13"/>
        <v>9.8430372741248995E-2</v>
      </c>
      <c r="AQ45" s="67"/>
      <c r="AR45" s="42">
        <v>99.696065520000005</v>
      </c>
      <c r="AS45" s="43">
        <v>3.4024791306528583</v>
      </c>
      <c r="AT45" s="67">
        <v>9.1959354683753158E-2</v>
      </c>
      <c r="AU45" s="10">
        <f t="shared" si="14"/>
        <v>2.4162843922462351</v>
      </c>
      <c r="AV45" s="10" t="str">
        <f t="shared" si="15"/>
        <v>*</v>
      </c>
      <c r="AW45" s="10"/>
      <c r="AX45" s="53">
        <v>129</v>
      </c>
      <c r="AY45" s="55">
        <v>3.3898586916582616</v>
      </c>
      <c r="AZ45" s="56">
        <v>9.6463900697199734E-2</v>
      </c>
      <c r="BA45" s="10">
        <f t="shared" si="16"/>
        <v>2.4533751558721613</v>
      </c>
      <c r="BB45" s="10" t="str">
        <f t="shared" si="17"/>
        <v>*</v>
      </c>
      <c r="BC45" s="10"/>
      <c r="BD45" s="54">
        <v>87</v>
      </c>
      <c r="BE45" s="57">
        <v>3.202043399386282</v>
      </c>
      <c r="BF45" s="58">
        <v>9.3516548888046683E-2</v>
      </c>
      <c r="BG45" s="10">
        <f t="shared" si="18"/>
        <v>3.8638072111620185</v>
      </c>
      <c r="BH45" s="10" t="str">
        <f t="shared" si="19"/>
        <v>*</v>
      </c>
      <c r="BI45" s="114">
        <f t="shared" si="20"/>
        <v>0.52817389725723052</v>
      </c>
      <c r="BJ45" s="76"/>
      <c r="BK45" s="27">
        <v>1141</v>
      </c>
      <c r="BL45" s="28">
        <v>3.7651005468389953</v>
      </c>
      <c r="BM45" s="29">
        <v>2.9986639601985568E-2</v>
      </c>
      <c r="BN45" s="10"/>
      <c r="BO45" s="42">
        <v>353</v>
      </c>
      <c r="BP45" s="43">
        <v>3.7822037613247113</v>
      </c>
      <c r="BQ45" s="67">
        <v>5.187221270199719E-2</v>
      </c>
      <c r="BR45" s="10">
        <f t="shared" si="21"/>
        <v>-0.28545329078883142</v>
      </c>
      <c r="BS45" s="10" t="str">
        <f t="shared" si="22"/>
        <v xml:space="preserve"> </v>
      </c>
      <c r="BT45" s="114">
        <f t="shared" si="23"/>
        <v>-1.7103214485715945E-2</v>
      </c>
      <c r="BU45" s="10"/>
      <c r="BV45" s="42">
        <v>346.3946660999992</v>
      </c>
      <c r="BW45" s="43">
        <v>3.6229439263297007</v>
      </c>
      <c r="BX45" s="67">
        <v>3.3391946176442991E-2</v>
      </c>
      <c r="BY45" s="10">
        <f t="shared" si="24"/>
        <v>3.1674777378035999</v>
      </c>
      <c r="BZ45" s="10" t="str">
        <f t="shared" si="25"/>
        <v>*</v>
      </c>
      <c r="CA45" s="10"/>
      <c r="CB45" s="53">
        <v>358</v>
      </c>
      <c r="CC45" s="55">
        <v>3.9063966198178441</v>
      </c>
      <c r="CD45" s="56">
        <v>2.5844992863811488E-2</v>
      </c>
      <c r="CE45" s="10">
        <f t="shared" si="26"/>
        <v>-3.5692183432494566</v>
      </c>
      <c r="CF45" s="10" t="str">
        <f t="shared" si="27"/>
        <v>*</v>
      </c>
      <c r="CG45" s="10"/>
      <c r="CH45" s="54">
        <v>409</v>
      </c>
      <c r="CI45" s="57">
        <v>3.6731904681893246</v>
      </c>
      <c r="CJ45" s="58">
        <v>4.8846157897600065E-2</v>
      </c>
      <c r="CK45" s="10">
        <f t="shared" si="28"/>
        <v>1.6035622362947932</v>
      </c>
      <c r="CL45" s="10" t="str">
        <f t="shared" si="29"/>
        <v xml:space="preserve"> </v>
      </c>
      <c r="CM45" s="114">
        <f t="shared" si="30"/>
        <v>9.1910078649670712E-2</v>
      </c>
      <c r="CN45" s="76"/>
      <c r="CO45" s="27">
        <v>693</v>
      </c>
      <c r="CP45" s="28">
        <v>3.8887010417885319</v>
      </c>
      <c r="CQ45" s="29">
        <v>3.6920456833692022E-2</v>
      </c>
      <c r="CR45" s="67"/>
      <c r="CS45" s="42">
        <v>224</v>
      </c>
      <c r="CT45" s="43">
        <v>4.0086694159713412</v>
      </c>
      <c r="CU45" s="67">
        <v>6.5049534450231136E-2</v>
      </c>
      <c r="CV45" s="10">
        <f t="shared" si="31"/>
        <v>-1.6039237758290028</v>
      </c>
      <c r="CW45" s="10" t="str">
        <f t="shared" si="32"/>
        <v xml:space="preserve"> </v>
      </c>
      <c r="CX45" s="114">
        <f t="shared" si="33"/>
        <v>-0.11996837418280926</v>
      </c>
      <c r="CY45" s="10"/>
      <c r="CZ45" s="42">
        <v>231.45770807999946</v>
      </c>
      <c r="DA45" s="43">
        <v>4.048684463539689</v>
      </c>
      <c r="DB45" s="67">
        <v>5.4804011956118365E-2</v>
      </c>
      <c r="DC45" s="10">
        <f t="shared" si="34"/>
        <v>-2.4210473488106055</v>
      </c>
      <c r="DD45" s="10" t="str">
        <f t="shared" si="35"/>
        <v>*</v>
      </c>
      <c r="DE45" s="10"/>
      <c r="DF45" s="53">
        <v>210</v>
      </c>
      <c r="DG45" s="55">
        <v>4.0511479908712316</v>
      </c>
      <c r="DH45" s="56">
        <v>6.718383108729048E-2</v>
      </c>
      <c r="DI45" s="10">
        <f t="shared" si="36"/>
        <v>-2.1190518009348258</v>
      </c>
      <c r="DJ45" s="10" t="str">
        <f t="shared" si="0"/>
        <v>*</v>
      </c>
      <c r="DK45" s="10"/>
      <c r="DL45" s="54">
        <v>264</v>
      </c>
      <c r="DM45" s="57">
        <v>3.8181416135408224</v>
      </c>
      <c r="DN45" s="58">
        <v>5.7140371425338954E-2</v>
      </c>
      <c r="DO45" s="10">
        <f t="shared" si="37"/>
        <v>1.0371742043387067</v>
      </c>
      <c r="DP45" s="10" t="str">
        <f t="shared" si="38"/>
        <v xml:space="preserve"> </v>
      </c>
      <c r="DQ45" s="114">
        <f t="shared" si="39"/>
        <v>7.0559428247709555E-2</v>
      </c>
      <c r="DR45" s="76"/>
      <c r="DS45" s="27">
        <v>199</v>
      </c>
      <c r="DT45" s="28">
        <v>3.3047100091310506</v>
      </c>
      <c r="DU45" s="29">
        <v>7.7516005373632998E-2</v>
      </c>
      <c r="DV45" s="10"/>
      <c r="DW45" s="42">
        <v>78</v>
      </c>
      <c r="DX45" s="43">
        <v>3.1037375553955608</v>
      </c>
      <c r="DY45" s="67">
        <v>0.13746191074998371</v>
      </c>
      <c r="DZ45" s="10">
        <f t="shared" si="40"/>
        <v>1.2734959020036962</v>
      </c>
      <c r="EA45" s="10" t="str">
        <f t="shared" si="41"/>
        <v xml:space="preserve"> </v>
      </c>
      <c r="EB45" s="114">
        <f t="shared" si="42"/>
        <v>0.20097245373548978</v>
      </c>
      <c r="EC45" s="10"/>
      <c r="ED45" s="42">
        <v>92.871854640000038</v>
      </c>
      <c r="EE45" s="43">
        <v>3.2895581665106293</v>
      </c>
      <c r="EF45" s="67">
        <v>0.11341895282795808</v>
      </c>
      <c r="EG45" s="10">
        <f t="shared" si="43"/>
        <v>0.11029344416169841</v>
      </c>
      <c r="EH45" s="10" t="str">
        <f t="shared" si="44"/>
        <v xml:space="preserve"> </v>
      </c>
      <c r="EI45" s="10"/>
      <c r="EJ45" s="53">
        <v>85</v>
      </c>
      <c r="EK45" s="55">
        <v>3.2821949962368002</v>
      </c>
      <c r="EL45" s="56">
        <v>0.10813779960348777</v>
      </c>
      <c r="EM45" s="10">
        <f t="shared" si="45"/>
        <v>0.16922117919226984</v>
      </c>
      <c r="EN45" s="10" t="str">
        <f t="shared" si="46"/>
        <v xml:space="preserve"> </v>
      </c>
      <c r="EO45" s="10"/>
      <c r="EP45" s="54">
        <v>60</v>
      </c>
      <c r="EQ45" s="57">
        <v>3.3166666666666664</v>
      </c>
      <c r="ER45" s="58">
        <v>0.13962247425769284</v>
      </c>
      <c r="ES45" s="10">
        <f t="shared" si="47"/>
        <v>-7.4870845572145864E-2</v>
      </c>
      <c r="ET45" s="10" t="str">
        <f t="shared" si="48"/>
        <v xml:space="preserve"> </v>
      </c>
      <c r="EU45" s="114">
        <f t="shared" si="49"/>
        <v>-1.1956657535615811E-2</v>
      </c>
      <c r="EV45" s="76"/>
      <c r="EW45" s="27">
        <v>457</v>
      </c>
      <c r="EX45" s="28">
        <v>4.0077794511896716</v>
      </c>
      <c r="EY45" s="29">
        <v>4.4219062025032167E-2</v>
      </c>
      <c r="EZ45" s="10"/>
      <c r="FA45" s="42">
        <v>152</v>
      </c>
      <c r="FB45" s="43">
        <v>4.1043862940773863</v>
      </c>
      <c r="FC45" s="67">
        <v>6.6101411168959415E-2</v>
      </c>
      <c r="FD45" s="10">
        <f t="shared" si="50"/>
        <v>-1.2147507304717942</v>
      </c>
      <c r="FE45" s="10" t="str">
        <f t="shared" si="51"/>
        <v xml:space="preserve"> </v>
      </c>
      <c r="FF45" s="114">
        <f t="shared" si="52"/>
        <v>-9.6606842887714706E-2</v>
      </c>
      <c r="FG45" s="10"/>
      <c r="FH45" s="42">
        <v>162.67098959999987</v>
      </c>
      <c r="FI45" s="43">
        <v>3.5577843425746267</v>
      </c>
      <c r="FJ45" s="67">
        <v>6.9263195094181898E-2</v>
      </c>
      <c r="FK45" s="10">
        <f t="shared" si="53"/>
        <v>5.4760645923237004</v>
      </c>
      <c r="FL45" s="10" t="str">
        <f t="shared" si="54"/>
        <v>*</v>
      </c>
      <c r="FM45" s="10"/>
      <c r="FN45" s="53">
        <v>153</v>
      </c>
      <c r="FO45" s="55">
        <v>3.7602151265863135</v>
      </c>
      <c r="FP45" s="56">
        <v>7.8235037123216833E-2</v>
      </c>
      <c r="FQ45" s="10">
        <f t="shared" si="55"/>
        <v>2.7547910016453589</v>
      </c>
      <c r="FR45" s="10" t="str">
        <f t="shared" si="56"/>
        <v>*</v>
      </c>
      <c r="FS45" s="10"/>
      <c r="FT45" s="54">
        <v>198</v>
      </c>
      <c r="FU45" s="57">
        <v>3.4676593708424943</v>
      </c>
      <c r="FV45" s="58">
        <v>6.5437513639958006E-2</v>
      </c>
      <c r="FW45" s="10">
        <f t="shared" si="57"/>
        <v>6.8389392686467367</v>
      </c>
      <c r="FX45" s="10" t="str">
        <f t="shared" si="125"/>
        <v>*</v>
      </c>
      <c r="FY45" s="114">
        <f t="shared" si="58"/>
        <v>0.54012008034717729</v>
      </c>
      <c r="FZ45" s="76"/>
      <c r="GA45" s="27">
        <v>217</v>
      </c>
      <c r="GB45" s="28">
        <v>3.1194925494626196</v>
      </c>
      <c r="GC45" s="29">
        <v>7.6269763986625175E-2</v>
      </c>
      <c r="GD45" s="67"/>
      <c r="GE45" s="42">
        <v>166</v>
      </c>
      <c r="GF45" s="43">
        <v>3.1516725584973591</v>
      </c>
      <c r="GG45" s="67">
        <v>9.000176571273813E-2</v>
      </c>
      <c r="GH45" s="10">
        <f t="shared" si="59"/>
        <v>-0.27277664856889999</v>
      </c>
      <c r="GI45" s="10" t="str">
        <f t="shared" si="60"/>
        <v xml:space="preserve"> </v>
      </c>
      <c r="GJ45" s="114">
        <f t="shared" si="61"/>
        <v>-3.2180009034739498E-2</v>
      </c>
      <c r="GK45" s="67"/>
      <c r="GL45" s="42">
        <v>195.38443267000045</v>
      </c>
      <c r="GM45" s="43">
        <v>3.3664621599149225</v>
      </c>
      <c r="GN45" s="67">
        <v>8.5362704006787332E-2</v>
      </c>
      <c r="GO45" s="10">
        <f t="shared" si="62"/>
        <v>-2.1574650034243557</v>
      </c>
      <c r="GP45" s="10" t="str">
        <f t="shared" si="63"/>
        <v>*</v>
      </c>
      <c r="GQ45" s="10"/>
      <c r="GR45" s="53">
        <v>218</v>
      </c>
      <c r="GS45" s="55">
        <v>3.1475020057979424</v>
      </c>
      <c r="GT45" s="56">
        <v>8.0858780200650002E-2</v>
      </c>
      <c r="GU45" s="10">
        <f t="shared" si="64"/>
        <v>-0.25198776304485598</v>
      </c>
      <c r="GV45" s="10" t="str">
        <f t="shared" si="65"/>
        <v xml:space="preserve"> </v>
      </c>
      <c r="GW45" s="10"/>
      <c r="GX45" s="54">
        <v>192</v>
      </c>
      <c r="GY45" s="57">
        <v>3.2566718997314377</v>
      </c>
      <c r="GZ45" s="58">
        <v>8.1167542222723002E-2</v>
      </c>
      <c r="HA45" s="10">
        <f t="shared" si="66"/>
        <v>-1.2316463862802642</v>
      </c>
      <c r="HB45" s="10" t="str">
        <f t="shared" si="126"/>
        <v xml:space="preserve"> </v>
      </c>
      <c r="HC45" s="114">
        <f t="shared" si="67"/>
        <v>-0.13717935026881811</v>
      </c>
      <c r="HD45" s="76"/>
      <c r="HE45" s="27">
        <v>214</v>
      </c>
      <c r="HF45" s="28">
        <v>3.4298476384035439</v>
      </c>
      <c r="HG45" s="29">
        <v>8.2188403215591732E-2</v>
      </c>
      <c r="HH45" s="10"/>
      <c r="HI45" s="42">
        <v>128</v>
      </c>
      <c r="HJ45" s="43">
        <v>3.5653964899354471</v>
      </c>
      <c r="HK45" s="67">
        <v>9.5631327093727875E-2</v>
      </c>
      <c r="HL45" s="10">
        <f t="shared" si="68"/>
        <v>-1.074962704586816</v>
      </c>
      <c r="HM45" s="10" t="str">
        <f t="shared" si="69"/>
        <v xml:space="preserve"> </v>
      </c>
      <c r="HN45" s="114">
        <f t="shared" si="70"/>
        <v>-0.13554885153190321</v>
      </c>
      <c r="HO45" s="10"/>
      <c r="HP45" s="42">
        <v>123.82249451999989</v>
      </c>
      <c r="HQ45" s="43">
        <v>3.4868708466397647</v>
      </c>
      <c r="HR45" s="67">
        <v>0.10395521434830403</v>
      </c>
      <c r="HS45" s="10">
        <f t="shared" si="71"/>
        <v>-0.43029802967792735</v>
      </c>
      <c r="HT45" s="10" t="str">
        <f t="shared" si="72"/>
        <v xml:space="preserve"> </v>
      </c>
      <c r="HU45" s="10"/>
      <c r="HV45" s="53">
        <v>88</v>
      </c>
      <c r="HW45" s="55">
        <v>3.3477909388941041</v>
      </c>
      <c r="HX45" s="56">
        <v>9.1636204907564869E-2</v>
      </c>
      <c r="HY45" s="10">
        <f t="shared" si="73"/>
        <v>0.66661830381366449</v>
      </c>
      <c r="HZ45" s="10" t="str">
        <f t="shared" si="74"/>
        <v xml:space="preserve"> </v>
      </c>
      <c r="IA45" s="10"/>
      <c r="IB45" s="54">
        <v>151</v>
      </c>
      <c r="IC45" s="57">
        <v>3.5312393310337118</v>
      </c>
      <c r="ID45" s="58">
        <v>8.6696646858718793E-2</v>
      </c>
      <c r="IE45" s="10">
        <f t="shared" si="75"/>
        <v>-0.8487337745834086</v>
      </c>
      <c r="IF45" s="10" t="str">
        <f t="shared" si="127"/>
        <v xml:space="preserve"> </v>
      </c>
      <c r="IG45" s="114">
        <f t="shared" si="76"/>
        <v>-0.1013916926301679</v>
      </c>
      <c r="IH45" s="76"/>
      <c r="II45" s="27">
        <v>561</v>
      </c>
      <c r="IJ45" s="28">
        <v>3.783649350449394</v>
      </c>
      <c r="IK45" s="29">
        <v>4.2743680872856543E-2</v>
      </c>
      <c r="IL45" s="10"/>
      <c r="IM45" s="42">
        <v>389</v>
      </c>
      <c r="IN45" s="43">
        <v>3.6969807095100213</v>
      </c>
      <c r="IO45" s="67">
        <v>5.3755327448066222E-2</v>
      </c>
      <c r="IP45" s="10">
        <f t="shared" si="77"/>
        <v>1.2619577543824068</v>
      </c>
      <c r="IQ45" s="10" t="str">
        <f t="shared" si="78"/>
        <v xml:space="preserve"> </v>
      </c>
      <c r="IR45" s="114">
        <f t="shared" si="79"/>
        <v>8.6668640939372654E-2</v>
      </c>
      <c r="IS45" s="10"/>
      <c r="IT45" s="42">
        <v>404.57566660000043</v>
      </c>
      <c r="IU45" s="43">
        <v>3.6845292545332731</v>
      </c>
      <c r="IV45" s="67">
        <v>4.9002192312822206E-2</v>
      </c>
      <c r="IW45" s="10">
        <f t="shared" si="80"/>
        <v>1.5243407054938121</v>
      </c>
      <c r="IX45" s="10" t="str">
        <f t="shared" si="81"/>
        <v xml:space="preserve"> </v>
      </c>
      <c r="IY45" s="10"/>
      <c r="IZ45" s="53">
        <v>394</v>
      </c>
      <c r="JA45" s="55">
        <v>3.7379138284409392</v>
      </c>
      <c r="JB45" s="56">
        <v>5.1941844155763299E-2</v>
      </c>
      <c r="JC45" s="10">
        <f t="shared" si="82"/>
        <v>0.67990061139598712</v>
      </c>
      <c r="JD45" s="10" t="str">
        <f t="shared" si="83"/>
        <v xml:space="preserve"> </v>
      </c>
      <c r="JE45" s="10"/>
      <c r="JF45" s="54">
        <v>427</v>
      </c>
      <c r="JG45" s="57">
        <v>3.7074740728929392</v>
      </c>
      <c r="JH45" s="58">
        <v>4.8317664027130648E-2</v>
      </c>
      <c r="JI45" s="10">
        <f t="shared" si="84"/>
        <v>1.1808177997173628</v>
      </c>
      <c r="JJ45" s="10" t="str">
        <f t="shared" si="85"/>
        <v xml:space="preserve"> </v>
      </c>
      <c r="JK45" s="114">
        <f t="shared" si="86"/>
        <v>7.6175277556454812E-2</v>
      </c>
      <c r="JL45" s="76"/>
      <c r="JM45" s="27">
        <v>44</v>
      </c>
      <c r="JN45" s="28">
        <v>3.6363636363636354</v>
      </c>
      <c r="JO45" s="29">
        <v>0.17842519727556164</v>
      </c>
      <c r="JP45" s="10"/>
      <c r="JQ45" s="42">
        <v>35</v>
      </c>
      <c r="JR45" s="43">
        <v>3.5154234433841016</v>
      </c>
      <c r="JS45" s="67">
        <v>0.19816446377578451</v>
      </c>
      <c r="JT45" s="10">
        <f t="shared" si="87"/>
        <v>0.45354615088197897</v>
      </c>
      <c r="JU45" s="10" t="str">
        <f t="shared" si="88"/>
        <v xml:space="preserve"> </v>
      </c>
      <c r="JV45" s="114">
        <f t="shared" si="89"/>
        <v>0.12094019297953373</v>
      </c>
      <c r="JW45" s="10"/>
      <c r="JX45" s="42">
        <v>32.673939870000005</v>
      </c>
      <c r="JY45" s="43">
        <v>3.5151515151515156</v>
      </c>
      <c r="JZ45" s="67">
        <v>0.19127785530100283</v>
      </c>
      <c r="KA45" s="10">
        <f t="shared" si="90"/>
        <v>0.46338900911974085</v>
      </c>
      <c r="KB45" s="10" t="str">
        <f t="shared" si="91"/>
        <v xml:space="preserve"> </v>
      </c>
      <c r="KC45" s="10"/>
      <c r="KD45" s="53">
        <v>32</v>
      </c>
      <c r="KE45" s="55">
        <v>3.3124999999999996</v>
      </c>
      <c r="KF45" s="56">
        <v>0.2152478183399627</v>
      </c>
      <c r="KG45" s="10">
        <f t="shared" si="92"/>
        <v>1.158377148203712</v>
      </c>
      <c r="KH45" s="10" t="str">
        <f t="shared" si="93"/>
        <v xml:space="preserve"> </v>
      </c>
      <c r="KI45" s="10"/>
      <c r="KJ45" s="54">
        <v>54</v>
      </c>
      <c r="KK45" s="57">
        <v>3.2962962962962954</v>
      </c>
      <c r="KL45" s="58">
        <v>0.16094855536315125</v>
      </c>
      <c r="KM45" s="10">
        <f t="shared" si="94"/>
        <v>1.4152285394446362</v>
      </c>
      <c r="KN45" s="10" t="str">
        <f t="shared" si="95"/>
        <v xml:space="preserve"> </v>
      </c>
      <c r="KO45" s="114">
        <f t="shared" si="96"/>
        <v>0.34006734006733996</v>
      </c>
      <c r="KP45" s="76"/>
      <c r="KQ45" s="27">
        <v>513</v>
      </c>
      <c r="KR45" s="28">
        <v>2.8361913222018784</v>
      </c>
      <c r="KS45" s="29">
        <v>5.4906558957239095E-2</v>
      </c>
      <c r="KT45" s="10"/>
      <c r="KU45" s="42">
        <v>315</v>
      </c>
      <c r="KV45" s="43">
        <v>2.7717974303790824</v>
      </c>
      <c r="KW45" s="67">
        <v>7.3333771480827495E-2</v>
      </c>
      <c r="KX45" s="10">
        <f t="shared" si="97"/>
        <v>0.70290580367813293</v>
      </c>
      <c r="KY45" s="10" t="str">
        <f t="shared" si="98"/>
        <v xml:space="preserve"> </v>
      </c>
      <c r="KZ45" s="114">
        <f t="shared" si="99"/>
        <v>6.4393891822795979E-2</v>
      </c>
      <c r="LA45" s="10"/>
      <c r="LB45" s="42">
        <v>355.27073196000077</v>
      </c>
      <c r="LC45" s="43">
        <v>3.0953432879289724</v>
      </c>
      <c r="LD45" s="67">
        <v>6.5283270078225611E-2</v>
      </c>
      <c r="LE45" s="10">
        <f t="shared" si="100"/>
        <v>-3.0380099710949415</v>
      </c>
      <c r="LF45" s="10" t="str">
        <f t="shared" si="101"/>
        <v>*</v>
      </c>
      <c r="LG45" s="10"/>
      <c r="LH45" s="53">
        <v>697</v>
      </c>
      <c r="LI45" s="55">
        <v>2.7087134705802618</v>
      </c>
      <c r="LJ45" s="56">
        <v>4.7360836601690735E-2</v>
      </c>
      <c r="LK45" s="10">
        <f t="shared" si="102"/>
        <v>1.7580595007757578</v>
      </c>
      <c r="LL45" s="10" t="str">
        <f t="shared" si="103"/>
        <v xml:space="preserve"> </v>
      </c>
      <c r="LM45" s="10"/>
      <c r="LN45" s="54">
        <v>670</v>
      </c>
      <c r="LO45" s="57">
        <v>2.7281175038774657</v>
      </c>
      <c r="LP45" s="58">
        <v>4.5148297362567813E-2</v>
      </c>
      <c r="LQ45" s="10">
        <f t="shared" si="104"/>
        <v>1.5203430509056344</v>
      </c>
      <c r="LR45" s="10" t="str">
        <f t="shared" si="128"/>
        <v xml:space="preserve"> </v>
      </c>
      <c r="LS45" s="114">
        <f t="shared" si="105"/>
        <v>0.10807381832441276</v>
      </c>
      <c r="LT45" s="76"/>
      <c r="LU45" s="27">
        <v>190</v>
      </c>
      <c r="LV45" s="28">
        <v>3.5000282400311864</v>
      </c>
      <c r="LW45" s="29">
        <v>8.4381317329146083E-2</v>
      </c>
      <c r="LX45" s="10"/>
      <c r="LY45" s="42">
        <v>193</v>
      </c>
      <c r="LZ45" s="43">
        <v>3.4866348207023572</v>
      </c>
      <c r="MA45" s="67">
        <v>8.3756958468030385E-2</v>
      </c>
      <c r="MB45" s="10">
        <f t="shared" si="106"/>
        <v>0.11265147440312587</v>
      </c>
      <c r="MC45" s="10" t="str">
        <f t="shared" si="107"/>
        <v xml:space="preserve"> </v>
      </c>
      <c r="MD45" s="114">
        <f t="shared" si="108"/>
        <v>1.3393419328829204E-2</v>
      </c>
      <c r="ME45" s="10"/>
      <c r="MF45" s="42">
        <v>194.54024722999949</v>
      </c>
      <c r="MG45" s="43">
        <v>3.6632736433579578</v>
      </c>
      <c r="MH45" s="67">
        <v>7.7126419554210457E-2</v>
      </c>
      <c r="MI45" s="10">
        <f t="shared" si="109"/>
        <v>-1.4279891622725918</v>
      </c>
      <c r="MJ45" s="10" t="str">
        <f t="shared" si="110"/>
        <v xml:space="preserve"> </v>
      </c>
      <c r="MK45" s="10"/>
      <c r="ML45" s="53">
        <v>493</v>
      </c>
      <c r="MM45" s="55">
        <v>3.4158215010141992</v>
      </c>
      <c r="MN45" s="56">
        <v>5.0389838395114891E-2</v>
      </c>
      <c r="MO45" s="10">
        <f t="shared" si="111"/>
        <v>0.85678738965746681</v>
      </c>
      <c r="MP45" s="10" t="str">
        <f t="shared" si="112"/>
        <v xml:space="preserve"> </v>
      </c>
      <c r="MQ45" s="10"/>
      <c r="MR45" s="54">
        <v>478</v>
      </c>
      <c r="MS45" s="57">
        <v>3.4586586811806739</v>
      </c>
      <c r="MT45" s="58">
        <v>5.2920598831714148E-2</v>
      </c>
      <c r="MU45" s="10">
        <f t="shared" si="113"/>
        <v>0.41534369219431916</v>
      </c>
      <c r="MV45" s="10" t="str">
        <f t="shared" si="114"/>
        <v xml:space="preserve"> </v>
      </c>
      <c r="MW45" s="114">
        <f t="shared" si="115"/>
        <v>4.1369558850512522E-2</v>
      </c>
      <c r="MX45" s="76"/>
      <c r="MY45" s="27">
        <v>201</v>
      </c>
      <c r="MZ45" s="28">
        <v>3.4424614784137386</v>
      </c>
      <c r="NA45" s="29">
        <v>7.4249997728316947E-2</v>
      </c>
      <c r="NB45" s="10"/>
      <c r="NC45" s="42">
        <v>134</v>
      </c>
      <c r="ND45" s="43">
        <v>3.5229438497530516</v>
      </c>
      <c r="NE45" s="67">
        <v>0.10147835494762358</v>
      </c>
      <c r="NF45" s="10">
        <f t="shared" si="116"/>
        <v>-0.64006224641977449</v>
      </c>
      <c r="NG45" s="10" t="str">
        <f t="shared" si="117"/>
        <v xml:space="preserve"> </v>
      </c>
      <c r="NH45" s="114">
        <f t="shared" si="118"/>
        <v>-8.0482371339313019E-2</v>
      </c>
      <c r="NI45" s="10"/>
      <c r="NJ45" s="42">
        <v>125.67231091000006</v>
      </c>
      <c r="NK45" s="43">
        <v>3.576111301413484</v>
      </c>
      <c r="NL45" s="67">
        <v>0.10179051771449792</v>
      </c>
      <c r="NM45" s="10">
        <f t="shared" si="119"/>
        <v>-1.0607672817721614</v>
      </c>
      <c r="NN45" s="10" t="str">
        <f t="shared" si="120"/>
        <v xml:space="preserve"> </v>
      </c>
      <c r="NO45" s="10"/>
      <c r="NP45" s="53">
        <v>215</v>
      </c>
      <c r="NQ45" s="55">
        <v>3.3815247916405395</v>
      </c>
      <c r="NR45" s="56">
        <v>7.6272076167168426E-2</v>
      </c>
      <c r="NS45" s="10">
        <f t="shared" si="121"/>
        <v>0.57247227363907216</v>
      </c>
      <c r="NT45" s="10" t="str">
        <f t="shared" si="122"/>
        <v xml:space="preserve"> </v>
      </c>
      <c r="NU45" s="10"/>
      <c r="NV45" s="54">
        <v>224</v>
      </c>
      <c r="NW45" s="57">
        <v>3.4366995000584026</v>
      </c>
      <c r="NX45" s="58">
        <v>7.8032420956751267E-2</v>
      </c>
      <c r="NY45" s="10">
        <f t="shared" si="123"/>
        <v>5.3493735929906555E-2</v>
      </c>
      <c r="NZ45" s="10" t="str">
        <f t="shared" si="129"/>
        <v xml:space="preserve"> </v>
      </c>
      <c r="OA45" s="114">
        <f t="shared" si="124"/>
        <v>5.7619783553359838E-3</v>
      </c>
      <c r="OB45" s="58"/>
    </row>
    <row r="46" spans="1:392" x14ac:dyDescent="0.2">
      <c r="B46" s="65"/>
      <c r="C46" s="27"/>
      <c r="D46" s="28"/>
      <c r="E46" s="29"/>
      <c r="F46" s="10"/>
      <c r="G46" s="42"/>
      <c r="H46" s="43"/>
      <c r="I46" s="67"/>
      <c r="J46" s="10"/>
      <c r="K46" s="10"/>
      <c r="L46" s="114"/>
      <c r="M46" s="10"/>
      <c r="N46" s="42"/>
      <c r="O46" s="43"/>
      <c r="P46" s="67"/>
      <c r="Q46" s="10"/>
      <c r="R46" s="10"/>
      <c r="S46" s="10"/>
      <c r="T46" s="53"/>
      <c r="U46" s="55"/>
      <c r="V46" s="56"/>
      <c r="W46" s="10"/>
      <c r="X46" s="10"/>
      <c r="Y46" s="10"/>
      <c r="Z46" s="54"/>
      <c r="AA46" s="57"/>
      <c r="AB46" s="58"/>
      <c r="AC46" s="10"/>
      <c r="AD46" s="10"/>
      <c r="AE46" s="114"/>
      <c r="AF46" s="76"/>
      <c r="AG46" s="27"/>
      <c r="AH46" s="28"/>
      <c r="AI46" s="29"/>
      <c r="AJ46" s="67"/>
      <c r="AK46" s="42"/>
      <c r="AL46" s="43"/>
      <c r="AM46" s="67"/>
      <c r="AN46" s="10"/>
      <c r="AO46" s="10"/>
      <c r="AP46" s="114"/>
      <c r="AQ46" s="67"/>
      <c r="AR46" s="42"/>
      <c r="AS46" s="43"/>
      <c r="AT46" s="67"/>
      <c r="AU46" s="10"/>
      <c r="AV46" s="10"/>
      <c r="AW46" s="10"/>
      <c r="AX46" s="53"/>
      <c r="AY46" s="55"/>
      <c r="AZ46" s="56"/>
      <c r="BA46" s="10"/>
      <c r="BB46" s="10"/>
      <c r="BC46" s="10"/>
      <c r="BD46" s="54"/>
      <c r="BE46" s="57"/>
      <c r="BF46" s="58"/>
      <c r="BG46" s="10"/>
      <c r="BH46" s="10"/>
      <c r="BI46" s="114"/>
      <c r="BJ46" s="76"/>
      <c r="BK46" s="27"/>
      <c r="BL46" s="28"/>
      <c r="BM46" s="29"/>
      <c r="BN46" s="10"/>
      <c r="BO46" s="42"/>
      <c r="BP46" s="43"/>
      <c r="BQ46" s="67"/>
      <c r="BR46" s="10"/>
      <c r="BS46" s="10"/>
      <c r="BT46" s="114"/>
      <c r="BU46" s="10"/>
      <c r="BV46" s="42"/>
      <c r="BW46" s="43"/>
      <c r="BX46" s="67"/>
      <c r="BY46" s="10"/>
      <c r="BZ46" s="10"/>
      <c r="CA46" s="10"/>
      <c r="CB46" s="53"/>
      <c r="CC46" s="55"/>
      <c r="CD46" s="56"/>
      <c r="CE46" s="10"/>
      <c r="CF46" s="10"/>
      <c r="CG46" s="10"/>
      <c r="CH46" s="54"/>
      <c r="CI46" s="57"/>
      <c r="CJ46" s="58"/>
      <c r="CK46" s="10"/>
      <c r="CL46" s="10"/>
      <c r="CM46" s="114"/>
      <c r="CN46" s="76"/>
      <c r="CO46" s="27"/>
      <c r="CP46" s="28"/>
      <c r="CQ46" s="29"/>
      <c r="CR46" s="67"/>
      <c r="CS46" s="42"/>
      <c r="CT46" s="43"/>
      <c r="CU46" s="67"/>
      <c r="CV46" s="10"/>
      <c r="CW46" s="10"/>
      <c r="CX46" s="114"/>
      <c r="CY46" s="10"/>
      <c r="CZ46" s="42"/>
      <c r="DA46" s="43"/>
      <c r="DB46" s="67"/>
      <c r="DC46" s="10"/>
      <c r="DD46" s="10"/>
      <c r="DE46" s="10"/>
      <c r="DF46" s="53"/>
      <c r="DG46" s="55"/>
      <c r="DH46" s="56"/>
      <c r="DI46" s="10"/>
      <c r="DJ46" s="10"/>
      <c r="DK46" s="10"/>
      <c r="DL46" s="54"/>
      <c r="DM46" s="57"/>
      <c r="DN46" s="58"/>
      <c r="DO46" s="10"/>
      <c r="DP46" s="10"/>
      <c r="DQ46" s="114"/>
      <c r="DR46" s="76"/>
      <c r="DS46" s="27"/>
      <c r="DT46" s="28"/>
      <c r="DU46" s="29"/>
      <c r="DV46" s="10"/>
      <c r="DW46" s="42"/>
      <c r="DX46" s="43"/>
      <c r="DY46" s="67"/>
      <c r="DZ46" s="10"/>
      <c r="EA46" s="10"/>
      <c r="EB46" s="114"/>
      <c r="EC46" s="10"/>
      <c r="ED46" s="42"/>
      <c r="EE46" s="43"/>
      <c r="EF46" s="67"/>
      <c r="EG46" s="10"/>
      <c r="EH46" s="10"/>
      <c r="EI46" s="10"/>
      <c r="EJ46" s="53"/>
      <c r="EK46" s="55"/>
      <c r="EL46" s="56"/>
      <c r="EM46" s="10"/>
      <c r="EN46" s="10"/>
      <c r="EO46" s="10"/>
      <c r="EP46" s="54"/>
      <c r="EQ46" s="57"/>
      <c r="ER46" s="58"/>
      <c r="ES46" s="10"/>
      <c r="ET46" s="10"/>
      <c r="EU46" s="114"/>
      <c r="EV46" s="76"/>
      <c r="EW46" s="27"/>
      <c r="EX46" s="28"/>
      <c r="EY46" s="29"/>
      <c r="EZ46" s="10"/>
      <c r="FA46" s="42"/>
      <c r="FB46" s="43"/>
      <c r="FC46" s="67"/>
      <c r="FD46" s="10"/>
      <c r="FE46" s="10"/>
      <c r="FF46" s="114"/>
      <c r="FG46" s="10"/>
      <c r="FH46" s="42"/>
      <c r="FI46" s="43"/>
      <c r="FJ46" s="67"/>
      <c r="FK46" s="10"/>
      <c r="FL46" s="10"/>
      <c r="FM46" s="10"/>
      <c r="FN46" s="53"/>
      <c r="FO46" s="55"/>
      <c r="FP46" s="56"/>
      <c r="FQ46" s="10"/>
      <c r="FR46" s="10"/>
      <c r="FS46" s="10"/>
      <c r="FT46" s="54"/>
      <c r="FU46" s="57"/>
      <c r="FV46" s="58"/>
      <c r="FW46" s="10"/>
      <c r="FX46" s="10"/>
      <c r="FY46" s="114"/>
      <c r="FZ46" s="76"/>
      <c r="GA46" s="27"/>
      <c r="GB46" s="28"/>
      <c r="GC46" s="29"/>
      <c r="GD46" s="67"/>
      <c r="GE46" s="42"/>
      <c r="GF46" s="43"/>
      <c r="GG46" s="67"/>
      <c r="GH46" s="10"/>
      <c r="GI46" s="10"/>
      <c r="GJ46" s="114"/>
      <c r="GK46" s="67"/>
      <c r="GL46" s="42"/>
      <c r="GM46" s="43"/>
      <c r="GN46" s="67"/>
      <c r="GO46" s="10"/>
      <c r="GP46" s="10"/>
      <c r="GQ46" s="10"/>
      <c r="GR46" s="53"/>
      <c r="GS46" s="55"/>
      <c r="GT46" s="56"/>
      <c r="GU46" s="10"/>
      <c r="GV46" s="10"/>
      <c r="GW46" s="10"/>
      <c r="GX46" s="54"/>
      <c r="GY46" s="57"/>
      <c r="GZ46" s="58"/>
      <c r="HA46" s="10"/>
      <c r="HB46" s="10"/>
      <c r="HC46" s="114"/>
      <c r="HD46" s="76"/>
      <c r="HE46" s="27"/>
      <c r="HF46" s="28"/>
      <c r="HG46" s="29"/>
      <c r="HH46" s="10"/>
      <c r="HI46" s="42"/>
      <c r="HJ46" s="43"/>
      <c r="HK46" s="67"/>
      <c r="HL46" s="10"/>
      <c r="HM46" s="10"/>
      <c r="HN46" s="114"/>
      <c r="HO46" s="10"/>
      <c r="HP46" s="42"/>
      <c r="HQ46" s="43"/>
      <c r="HR46" s="67"/>
      <c r="HS46" s="10"/>
      <c r="HT46" s="10"/>
      <c r="HU46" s="10"/>
      <c r="HV46" s="53"/>
      <c r="HW46" s="55"/>
      <c r="HX46" s="56"/>
      <c r="HY46" s="10"/>
      <c r="HZ46" s="10"/>
      <c r="IA46" s="10"/>
      <c r="IB46" s="54"/>
      <c r="IC46" s="57"/>
      <c r="ID46" s="58"/>
      <c r="IE46" s="10"/>
      <c r="IF46" s="10"/>
      <c r="IG46" s="114"/>
      <c r="IH46" s="76"/>
      <c r="II46" s="27"/>
      <c r="IJ46" s="28"/>
      <c r="IK46" s="29"/>
      <c r="IL46" s="10"/>
      <c r="IM46" s="42"/>
      <c r="IN46" s="43"/>
      <c r="IO46" s="67"/>
      <c r="IP46" s="10"/>
      <c r="IQ46" s="10"/>
      <c r="IR46" s="114"/>
      <c r="IS46" s="10"/>
      <c r="IT46" s="42"/>
      <c r="IU46" s="43"/>
      <c r="IV46" s="67"/>
      <c r="IW46" s="10"/>
      <c r="IX46" s="10"/>
      <c r="IY46" s="10"/>
      <c r="IZ46" s="53"/>
      <c r="JA46" s="55"/>
      <c r="JB46" s="56"/>
      <c r="JC46" s="10"/>
      <c r="JD46" s="10"/>
      <c r="JE46" s="10"/>
      <c r="JF46" s="54"/>
      <c r="JG46" s="57"/>
      <c r="JH46" s="58"/>
      <c r="JI46" s="10"/>
      <c r="JJ46" s="10"/>
      <c r="JK46" s="114"/>
      <c r="JL46" s="76"/>
      <c r="JM46" s="27"/>
      <c r="JN46" s="28"/>
      <c r="JO46" s="29"/>
      <c r="JP46" s="10"/>
      <c r="JQ46" s="42"/>
      <c r="JR46" s="43"/>
      <c r="JS46" s="67"/>
      <c r="JT46" s="10"/>
      <c r="JU46" s="10"/>
      <c r="JV46" s="114"/>
      <c r="JW46" s="10"/>
      <c r="JX46" s="42"/>
      <c r="JY46" s="43"/>
      <c r="JZ46" s="67"/>
      <c r="KA46" s="10"/>
      <c r="KB46" s="10"/>
      <c r="KC46" s="10"/>
      <c r="KD46" s="53"/>
      <c r="KE46" s="55"/>
      <c r="KF46" s="56"/>
      <c r="KG46" s="10"/>
      <c r="KH46" s="10"/>
      <c r="KI46" s="10"/>
      <c r="KJ46" s="54"/>
      <c r="KK46" s="57"/>
      <c r="KL46" s="58"/>
      <c r="KM46" s="10"/>
      <c r="KN46" s="10"/>
      <c r="KO46" s="114"/>
      <c r="KP46" s="76"/>
      <c r="KQ46" s="27"/>
      <c r="KR46" s="28"/>
      <c r="KS46" s="29"/>
      <c r="KT46" s="10"/>
      <c r="KU46" s="42"/>
      <c r="KV46" s="43"/>
      <c r="KW46" s="67"/>
      <c r="KX46" s="10"/>
      <c r="KY46" s="10"/>
      <c r="KZ46" s="114"/>
      <c r="LA46" s="10"/>
      <c r="LB46" s="42"/>
      <c r="LC46" s="43"/>
      <c r="LD46" s="67"/>
      <c r="LE46" s="10"/>
      <c r="LF46" s="10"/>
      <c r="LG46" s="10"/>
      <c r="LH46" s="53"/>
      <c r="LI46" s="55"/>
      <c r="LJ46" s="56"/>
      <c r="LK46" s="10"/>
      <c r="LL46" s="10"/>
      <c r="LM46" s="10"/>
      <c r="LN46" s="54"/>
      <c r="LO46" s="57"/>
      <c r="LP46" s="58"/>
      <c r="LQ46" s="10"/>
      <c r="LR46" s="10"/>
      <c r="LS46" s="114"/>
      <c r="LT46" s="76"/>
      <c r="LU46" s="27"/>
      <c r="LV46" s="28"/>
      <c r="LW46" s="29"/>
      <c r="LX46" s="10"/>
      <c r="LY46" s="42"/>
      <c r="LZ46" s="43"/>
      <c r="MA46" s="67"/>
      <c r="MB46" s="10"/>
      <c r="MC46" s="10"/>
      <c r="MD46" s="114"/>
      <c r="ME46" s="10"/>
      <c r="MF46" s="42"/>
      <c r="MG46" s="43"/>
      <c r="MH46" s="67"/>
      <c r="MI46" s="10"/>
      <c r="MJ46" s="10"/>
      <c r="MK46" s="10"/>
      <c r="ML46" s="53"/>
      <c r="MM46" s="55"/>
      <c r="MN46" s="56"/>
      <c r="MO46" s="10"/>
      <c r="MP46" s="10"/>
      <c r="MQ46" s="10"/>
      <c r="MR46" s="54"/>
      <c r="MS46" s="57"/>
      <c r="MT46" s="58"/>
      <c r="MU46" s="10"/>
      <c r="MV46" s="10"/>
      <c r="MW46" s="114"/>
      <c r="MX46" s="76"/>
      <c r="MY46" s="27"/>
      <c r="MZ46" s="28"/>
      <c r="NA46" s="29"/>
      <c r="NB46" s="10"/>
      <c r="NC46" s="42"/>
      <c r="ND46" s="43"/>
      <c r="NE46" s="67"/>
      <c r="NF46" s="10"/>
      <c r="NG46" s="10"/>
      <c r="NH46" s="114"/>
      <c r="NI46" s="10"/>
      <c r="NJ46" s="42"/>
      <c r="NK46" s="43"/>
      <c r="NL46" s="67"/>
      <c r="NM46" s="10"/>
      <c r="NN46" s="10"/>
      <c r="NO46" s="10"/>
      <c r="NP46" s="53"/>
      <c r="NQ46" s="55"/>
      <c r="NR46" s="56"/>
      <c r="NS46" s="10"/>
      <c r="NT46" s="10"/>
      <c r="NU46" s="10"/>
      <c r="NV46" s="54"/>
      <c r="NW46" s="57"/>
      <c r="NX46" s="58"/>
      <c r="NY46" s="10"/>
      <c r="NZ46" s="10"/>
      <c r="OA46" s="114"/>
      <c r="OB46" s="58"/>
    </row>
    <row r="47" spans="1:392" x14ac:dyDescent="0.2">
      <c r="A47" s="73"/>
      <c r="B47" s="65" t="s">
        <v>41</v>
      </c>
      <c r="C47" s="27">
        <v>285</v>
      </c>
      <c r="D47" s="28">
        <v>3.7368421052631575</v>
      </c>
      <c r="E47" s="29">
        <v>6.4959445277766939E-2</v>
      </c>
      <c r="F47" s="10"/>
      <c r="G47" s="42">
        <v>86</v>
      </c>
      <c r="H47" s="43">
        <v>3.720930232558139</v>
      </c>
      <c r="I47" s="67">
        <v>0.116890274651923</v>
      </c>
      <c r="J47" s="10">
        <f t="shared" si="1"/>
        <v>0.11898721731237462</v>
      </c>
      <c r="K47" s="10" t="str">
        <f t="shared" si="2"/>
        <v xml:space="preserve"> </v>
      </c>
      <c r="L47" s="114">
        <f t="shared" si="3"/>
        <v>1.5911872705018482E-2</v>
      </c>
      <c r="M47" s="10"/>
      <c r="N47" s="42">
        <v>61.344608670000049</v>
      </c>
      <c r="O47" s="43">
        <v>3.3389830508474567</v>
      </c>
      <c r="P47" s="67">
        <v>0.13943494105823101</v>
      </c>
      <c r="Q47" s="10">
        <f t="shared" si="4"/>
        <v>2.5864557927876839</v>
      </c>
      <c r="R47" s="10" t="str">
        <f t="shared" si="5"/>
        <v>*</v>
      </c>
      <c r="S47" s="10"/>
      <c r="T47" s="53">
        <v>84</v>
      </c>
      <c r="U47" s="55">
        <v>3.6428571428571428</v>
      </c>
      <c r="V47" s="56">
        <v>0.11038819319877613</v>
      </c>
      <c r="W47" s="10">
        <f t="shared" si="6"/>
        <v>0.73378108461341673</v>
      </c>
      <c r="X47" s="10" t="str">
        <f t="shared" si="7"/>
        <v xml:space="preserve"> </v>
      </c>
      <c r="Y47" s="10"/>
      <c r="Z47" s="54">
        <v>165</v>
      </c>
      <c r="AA47" s="57">
        <v>3.1030303030303044</v>
      </c>
      <c r="AB47" s="58">
        <v>7.8635220976646159E-2</v>
      </c>
      <c r="AC47" s="10">
        <f t="shared" si="8"/>
        <v>6.2140718983185472</v>
      </c>
      <c r="AD47" s="10" t="str">
        <f t="shared" si="9"/>
        <v>*</v>
      </c>
      <c r="AE47" s="114">
        <f t="shared" si="10"/>
        <v>0.63381180223285316</v>
      </c>
      <c r="AF47" s="76"/>
      <c r="AG47" s="27">
        <v>69</v>
      </c>
      <c r="AH47" s="28">
        <v>3.8869882615376272</v>
      </c>
      <c r="AI47" s="29">
        <v>0.11201970562783503</v>
      </c>
      <c r="AJ47" s="67"/>
      <c r="AK47" s="42">
        <v>37</v>
      </c>
      <c r="AL47" s="43">
        <v>3.8377797888880445</v>
      </c>
      <c r="AM47" s="67">
        <v>0.19503244329591832</v>
      </c>
      <c r="AN47" s="10">
        <f t="shared" si="11"/>
        <v>0.21878846536699245</v>
      </c>
      <c r="AO47" s="10" t="str">
        <f t="shared" si="12"/>
        <v xml:space="preserve"> </v>
      </c>
      <c r="AP47" s="114">
        <f t="shared" si="13"/>
        <v>4.9208472649582724E-2</v>
      </c>
      <c r="AQ47" s="67"/>
      <c r="AR47" s="42">
        <v>38.214843600000002</v>
      </c>
      <c r="AS47" s="43">
        <v>3.7500000000000004</v>
      </c>
      <c r="AT47" s="67">
        <v>0.17863177351646495</v>
      </c>
      <c r="AU47" s="10">
        <f t="shared" si="14"/>
        <v>0.64969531776044576</v>
      </c>
      <c r="AV47" s="10" t="str">
        <f t="shared" si="15"/>
        <v xml:space="preserve"> </v>
      </c>
      <c r="AW47" s="10"/>
      <c r="AX47" s="53">
        <v>55</v>
      </c>
      <c r="AY47" s="55">
        <v>3.5857731563127975</v>
      </c>
      <c r="AZ47" s="56">
        <v>0.15282635281635329</v>
      </c>
      <c r="BA47" s="10">
        <f t="shared" si="16"/>
        <v>1.5896571329477889</v>
      </c>
      <c r="BB47" s="10" t="str">
        <f t="shared" si="17"/>
        <v xml:space="preserve"> </v>
      </c>
      <c r="BC47" s="10"/>
      <c r="BD47" s="54">
        <v>22</v>
      </c>
      <c r="BE47" s="57">
        <v>2.6927939141002817</v>
      </c>
      <c r="BF47" s="58">
        <v>0.20093108935621193</v>
      </c>
      <c r="BG47" s="10" t="str">
        <f t="shared" si="18"/>
        <v>NV</v>
      </c>
      <c r="BH47" s="10" t="str">
        <f t="shared" si="19"/>
        <v xml:space="preserve"> </v>
      </c>
      <c r="BI47" s="114">
        <f t="shared" si="20"/>
        <v>1.1941943474373455</v>
      </c>
      <c r="BJ47" s="76"/>
      <c r="BK47" s="27">
        <v>769</v>
      </c>
      <c r="BL47" s="28">
        <v>3.8602277046409075</v>
      </c>
      <c r="BM47" s="29">
        <v>3.788932587588429E-2</v>
      </c>
      <c r="BN47" s="10"/>
      <c r="BO47" s="42">
        <v>227</v>
      </c>
      <c r="BP47" s="43">
        <v>3.7580458672410444</v>
      </c>
      <c r="BQ47" s="67">
        <v>7.1720956912276632E-2</v>
      </c>
      <c r="BR47" s="10">
        <f t="shared" si="21"/>
        <v>1.2597297093462441</v>
      </c>
      <c r="BS47" s="10" t="str">
        <f t="shared" si="22"/>
        <v xml:space="preserve"> </v>
      </c>
      <c r="BT47" s="114">
        <f t="shared" si="23"/>
        <v>0.10218183739986308</v>
      </c>
      <c r="BU47" s="10"/>
      <c r="BV47" s="42">
        <v>94.55921544000006</v>
      </c>
      <c r="BW47" s="43">
        <v>3.0451637335412314</v>
      </c>
      <c r="BX47" s="67">
        <v>0.10460832853755898</v>
      </c>
      <c r="BY47" s="10">
        <f t="shared" si="24"/>
        <v>7.3258433143184574</v>
      </c>
      <c r="BZ47" s="10" t="str">
        <f t="shared" si="25"/>
        <v>*</v>
      </c>
      <c r="CA47" s="10"/>
      <c r="CB47" s="53">
        <v>163</v>
      </c>
      <c r="CC47" s="55">
        <v>2.7831310985096716</v>
      </c>
      <c r="CD47" s="56">
        <v>5.8284699648030153E-2</v>
      </c>
      <c r="CE47" s="10">
        <f t="shared" si="26"/>
        <v>15.493852405047987</v>
      </c>
      <c r="CF47" s="10" t="str">
        <f t="shared" si="27"/>
        <v>*</v>
      </c>
      <c r="CG47" s="10"/>
      <c r="CH47" s="54">
        <v>252</v>
      </c>
      <c r="CI47" s="57">
        <v>3.3939728956493744</v>
      </c>
      <c r="CJ47" s="58">
        <v>7.5664816711692867E-2</v>
      </c>
      <c r="CK47" s="10">
        <f t="shared" si="28"/>
        <v>5.5098984950190548</v>
      </c>
      <c r="CL47" s="10" t="str">
        <f t="shared" si="29"/>
        <v>*</v>
      </c>
      <c r="CM47" s="114">
        <f t="shared" si="30"/>
        <v>0.46625480899153304</v>
      </c>
      <c r="CN47" s="76"/>
      <c r="CO47" s="27">
        <v>449</v>
      </c>
      <c r="CP47" s="28">
        <v>4.0114747955205621</v>
      </c>
      <c r="CQ47" s="29">
        <v>4.754528501811521E-2</v>
      </c>
      <c r="CR47" s="67"/>
      <c r="CS47" s="42">
        <v>129</v>
      </c>
      <c r="CT47" s="43">
        <v>3.9926214997900336</v>
      </c>
      <c r="CU47" s="67">
        <v>8.8249059565692914E-2</v>
      </c>
      <c r="CV47" s="10">
        <f t="shared" si="31"/>
        <v>0.18807788314885365</v>
      </c>
      <c r="CW47" s="10" t="str">
        <f t="shared" si="32"/>
        <v xml:space="preserve"> </v>
      </c>
      <c r="CX47" s="114">
        <f t="shared" si="33"/>
        <v>1.8853295730528519E-2</v>
      </c>
      <c r="CY47" s="10"/>
      <c r="CZ47" s="42">
        <v>131.84361051000002</v>
      </c>
      <c r="DA47" s="43">
        <v>4.0100131200510445</v>
      </c>
      <c r="DB47" s="67">
        <v>8.9289682510826834E-2</v>
      </c>
      <c r="DC47" s="10">
        <f t="shared" si="34"/>
        <v>1.4449246329477963E-2</v>
      </c>
      <c r="DD47" s="10" t="str">
        <f t="shared" si="35"/>
        <v xml:space="preserve"> </v>
      </c>
      <c r="DE47" s="10"/>
      <c r="DF47" s="53">
        <v>156</v>
      </c>
      <c r="DG47" s="55">
        <v>4.1136578392962244</v>
      </c>
      <c r="DH47" s="56">
        <v>7.9354038507210706E-2</v>
      </c>
      <c r="DI47" s="10">
        <f t="shared" si="36"/>
        <v>-1.1045932836781147</v>
      </c>
      <c r="DJ47" s="10" t="str">
        <f t="shared" si="0"/>
        <v xml:space="preserve"> </v>
      </c>
      <c r="DK47" s="10"/>
      <c r="DL47" s="54">
        <v>126</v>
      </c>
      <c r="DM47" s="57">
        <v>3.7399872203255691</v>
      </c>
      <c r="DN47" s="58">
        <v>9.9102835101431183E-2</v>
      </c>
      <c r="DO47" s="10">
        <f t="shared" si="37"/>
        <v>2.4699142283257727</v>
      </c>
      <c r="DP47" s="10" t="str">
        <f t="shared" si="38"/>
        <v>*</v>
      </c>
      <c r="DQ47" s="114">
        <f t="shared" si="39"/>
        <v>0.271487575194993</v>
      </c>
      <c r="DR47" s="76"/>
      <c r="DS47" s="27">
        <v>134</v>
      </c>
      <c r="DT47" s="28">
        <v>3.8353920362949703</v>
      </c>
      <c r="DU47" s="29">
        <v>9.0628181220795689E-2</v>
      </c>
      <c r="DV47" s="10"/>
      <c r="DW47" s="42">
        <v>53</v>
      </c>
      <c r="DX47" s="43">
        <v>3.5671336023188505</v>
      </c>
      <c r="DY47" s="67">
        <v>0.16076518759973019</v>
      </c>
      <c r="DZ47" s="10">
        <f t="shared" si="40"/>
        <v>1.4535768403047025</v>
      </c>
      <c r="EA47" s="10" t="str">
        <f t="shared" si="41"/>
        <v xml:space="preserve"> </v>
      </c>
      <c r="EB47" s="114">
        <f t="shared" si="42"/>
        <v>0.26825843397611981</v>
      </c>
      <c r="EC47" s="10"/>
      <c r="ED47" s="42">
        <v>45.411049560000031</v>
      </c>
      <c r="EE47" s="43">
        <v>3.6775957393220837</v>
      </c>
      <c r="EF47" s="67">
        <v>0.17496552207878643</v>
      </c>
      <c r="EG47" s="10">
        <f t="shared" si="43"/>
        <v>0.80081691663767074</v>
      </c>
      <c r="EH47" s="10" t="str">
        <f t="shared" si="44"/>
        <v xml:space="preserve"> </v>
      </c>
      <c r="EI47" s="10"/>
      <c r="EJ47" s="53">
        <v>52</v>
      </c>
      <c r="EK47" s="55">
        <v>3.3846153846153837</v>
      </c>
      <c r="EL47" s="56">
        <v>0.17983670005111091</v>
      </c>
      <c r="EM47" s="10">
        <f t="shared" si="45"/>
        <v>2.2384159157765429</v>
      </c>
      <c r="EN47" s="10" t="str">
        <f t="shared" si="46"/>
        <v>*</v>
      </c>
      <c r="EO47" s="10"/>
      <c r="EP47" s="54">
        <v>37</v>
      </c>
      <c r="EQ47" s="57">
        <v>3.7567567567567566</v>
      </c>
      <c r="ER47" s="58">
        <v>0.16746424050934483</v>
      </c>
      <c r="ES47" s="10">
        <f t="shared" si="47"/>
        <v>0.412968641749687</v>
      </c>
      <c r="ET47" s="10" t="str">
        <f t="shared" si="48"/>
        <v xml:space="preserve"> </v>
      </c>
      <c r="EU47" s="114">
        <f t="shared" si="49"/>
        <v>7.8635279538213698E-2</v>
      </c>
      <c r="EV47" s="76"/>
      <c r="EW47" s="27">
        <v>321</v>
      </c>
      <c r="EX47" s="28">
        <v>3.9370406637547806</v>
      </c>
      <c r="EY47" s="29">
        <v>5.7661378624941605E-2</v>
      </c>
      <c r="EZ47" s="10"/>
      <c r="FA47" s="42">
        <v>98</v>
      </c>
      <c r="FB47" s="43">
        <v>3.979719565480111</v>
      </c>
      <c r="FC47" s="67">
        <v>0.10650846189218256</v>
      </c>
      <c r="FD47" s="10">
        <f t="shared" si="50"/>
        <v>-0.35238276007412056</v>
      </c>
      <c r="FE47" s="10" t="str">
        <f t="shared" si="51"/>
        <v xml:space="preserve"> </v>
      </c>
      <c r="FF47" s="114">
        <f t="shared" si="52"/>
        <v>-4.2678901725330398E-2</v>
      </c>
      <c r="FG47" s="10"/>
      <c r="FH47" s="42">
        <v>69.997593780000031</v>
      </c>
      <c r="FI47" s="43">
        <v>3.53513169963712</v>
      </c>
      <c r="FJ47" s="67">
        <v>0.13906103123153687</v>
      </c>
      <c r="FK47" s="10">
        <f t="shared" si="53"/>
        <v>2.6697516392139171</v>
      </c>
      <c r="FL47" s="10" t="str">
        <f t="shared" si="54"/>
        <v>*</v>
      </c>
      <c r="FM47" s="10"/>
      <c r="FN47" s="53">
        <v>96</v>
      </c>
      <c r="FO47" s="55">
        <v>3.7889882651441904</v>
      </c>
      <c r="FP47" s="56">
        <v>0.10174536998999001</v>
      </c>
      <c r="FQ47" s="10">
        <f t="shared" si="55"/>
        <v>1.2659622058927706</v>
      </c>
      <c r="FR47" s="10" t="str">
        <f t="shared" si="56"/>
        <v xml:space="preserve"> </v>
      </c>
      <c r="FS47" s="10"/>
      <c r="FT47" s="54">
        <v>139</v>
      </c>
      <c r="FU47" s="57">
        <v>2.9223532917201069</v>
      </c>
      <c r="FV47" s="58">
        <v>8.0898694997930898E-2</v>
      </c>
      <c r="FW47" s="10">
        <f t="shared" si="57"/>
        <v>10.213771656531014</v>
      </c>
      <c r="FX47" s="10" t="str">
        <f t="shared" si="125"/>
        <v>*</v>
      </c>
      <c r="FY47" s="114">
        <f t="shared" si="58"/>
        <v>1.0146873720346736</v>
      </c>
      <c r="FZ47" s="76"/>
      <c r="GA47" s="27">
        <v>119</v>
      </c>
      <c r="GB47" s="28">
        <v>3.6425086339808646</v>
      </c>
      <c r="GC47" s="29">
        <v>9.6239030256071875E-2</v>
      </c>
      <c r="GD47" s="67"/>
      <c r="GE47" s="42">
        <v>101</v>
      </c>
      <c r="GF47" s="43">
        <v>3.9014293374227194</v>
      </c>
      <c r="GG47" s="67">
        <v>9.7743923490175244E-2</v>
      </c>
      <c r="GH47" s="10">
        <f t="shared" si="59"/>
        <v>-1.8875790112942257</v>
      </c>
      <c r="GI47" s="10" t="str">
        <f t="shared" si="60"/>
        <v xml:space="preserve"> </v>
      </c>
      <c r="GJ47" s="114">
        <f t="shared" si="61"/>
        <v>-0.2589207034418548</v>
      </c>
      <c r="GK47" s="67"/>
      <c r="GL47" s="42">
        <v>102.63124816999994</v>
      </c>
      <c r="GM47" s="43">
        <v>3.9276461694424705</v>
      </c>
      <c r="GN47" s="67">
        <v>0.10406677736026122</v>
      </c>
      <c r="GO47" s="10">
        <f t="shared" si="62"/>
        <v>-2.0116132194606036</v>
      </c>
      <c r="GP47" s="10" t="str">
        <f t="shared" si="63"/>
        <v>*</v>
      </c>
      <c r="GQ47" s="10"/>
      <c r="GR47" s="53">
        <v>111</v>
      </c>
      <c r="GS47" s="55">
        <v>3.7558659226472408</v>
      </c>
      <c r="GT47" s="56">
        <v>9.775940491536747E-2</v>
      </c>
      <c r="GU47" s="10">
        <f t="shared" si="64"/>
        <v>-0.82632878973635149</v>
      </c>
      <c r="GV47" s="10" t="str">
        <f t="shared" si="65"/>
        <v xml:space="preserve"> </v>
      </c>
      <c r="GW47" s="10"/>
      <c r="GX47" s="54">
        <v>117</v>
      </c>
      <c r="GY47" s="57">
        <v>3.9858064520147027</v>
      </c>
      <c r="GZ47" s="58">
        <v>9.1024522858188392E-2</v>
      </c>
      <c r="HA47" s="10">
        <f t="shared" si="66"/>
        <v>-2.5915791249128781</v>
      </c>
      <c r="HB47" s="10" t="str">
        <f t="shared" si="126"/>
        <v>*</v>
      </c>
      <c r="HC47" s="114">
        <f t="shared" si="67"/>
        <v>-0.34329781803383819</v>
      </c>
      <c r="HD47" s="76"/>
      <c r="HE47" s="27">
        <v>142</v>
      </c>
      <c r="HF47" s="28">
        <v>3.8640776864314965</v>
      </c>
      <c r="HG47" s="29">
        <v>8.5336160132536032E-2</v>
      </c>
      <c r="HH47" s="10"/>
      <c r="HI47" s="42">
        <v>89</v>
      </c>
      <c r="HJ47" s="43">
        <v>3.7692209233716296</v>
      </c>
      <c r="HK47" s="67">
        <v>0.13313771948140973</v>
      </c>
      <c r="HL47" s="10">
        <f t="shared" si="68"/>
        <v>0.5998319286889926</v>
      </c>
      <c r="HM47" s="10" t="str">
        <f t="shared" si="69"/>
        <v xml:space="preserve"> </v>
      </c>
      <c r="HN47" s="114">
        <f t="shared" si="70"/>
        <v>9.48567630598669E-2</v>
      </c>
      <c r="HO47" s="10"/>
      <c r="HP47" s="42">
        <v>83.320605019999931</v>
      </c>
      <c r="HQ47" s="43">
        <v>4.0017912335125798</v>
      </c>
      <c r="HR47" s="67">
        <v>0.11860776443894497</v>
      </c>
      <c r="HS47" s="10">
        <f t="shared" si="71"/>
        <v>-0.94249074478830541</v>
      </c>
      <c r="HT47" s="10" t="str">
        <f t="shared" si="72"/>
        <v xml:space="preserve"> </v>
      </c>
      <c r="HU47" s="10"/>
      <c r="HV47" s="53">
        <v>63</v>
      </c>
      <c r="HW47" s="55">
        <v>3.890102209079922</v>
      </c>
      <c r="HX47" s="56">
        <v>0.11201217212641211</v>
      </c>
      <c r="HY47" s="10">
        <f t="shared" si="73"/>
        <v>-0.18481299666858741</v>
      </c>
      <c r="HZ47" s="10" t="str">
        <f t="shared" si="74"/>
        <v xml:space="preserve"> </v>
      </c>
      <c r="IA47" s="10"/>
      <c r="IB47" s="54">
        <v>96</v>
      </c>
      <c r="IC47" s="57">
        <v>3.8898441704299049</v>
      </c>
      <c r="ID47" s="58">
        <v>0.10941701222040914</v>
      </c>
      <c r="IE47" s="10">
        <f t="shared" si="75"/>
        <v>-0.18569098101853923</v>
      </c>
      <c r="IF47" s="10" t="str">
        <f t="shared" si="127"/>
        <v xml:space="preserve"> </v>
      </c>
      <c r="IG47" s="114">
        <f t="shared" si="76"/>
        <v>-2.5766483998408418E-2</v>
      </c>
      <c r="IH47" s="76"/>
      <c r="II47" s="27">
        <v>308</v>
      </c>
      <c r="IJ47" s="28">
        <v>3.8303962595325833</v>
      </c>
      <c r="IK47" s="29">
        <v>5.8795286107469216E-2</v>
      </c>
      <c r="IL47" s="10"/>
      <c r="IM47" s="42">
        <v>221</v>
      </c>
      <c r="IN47" s="43">
        <v>3.6994374049065719</v>
      </c>
      <c r="IO47" s="67">
        <v>7.0264541094407634E-2</v>
      </c>
      <c r="IP47" s="10">
        <f t="shared" si="77"/>
        <v>1.429389567338063</v>
      </c>
      <c r="IQ47" s="10" t="str">
        <f t="shared" si="78"/>
        <v xml:space="preserve"> </v>
      </c>
      <c r="IR47" s="114">
        <f t="shared" si="79"/>
        <v>0.13095885462601142</v>
      </c>
      <c r="IS47" s="10"/>
      <c r="IT47" s="42">
        <v>255.23602838000122</v>
      </c>
      <c r="IU47" s="43">
        <v>3.9208963777639552</v>
      </c>
      <c r="IV47" s="67">
        <v>6.2566596847763986E-2</v>
      </c>
      <c r="IW47" s="10">
        <f t="shared" si="80"/>
        <v>-1.0540767915226785</v>
      </c>
      <c r="IX47" s="10" t="str">
        <f t="shared" si="81"/>
        <v xml:space="preserve"> </v>
      </c>
      <c r="IY47" s="10"/>
      <c r="IZ47" s="53">
        <v>238</v>
      </c>
      <c r="JA47" s="55">
        <v>3.8792780640047848</v>
      </c>
      <c r="JB47" s="56">
        <v>6.6647949699061612E-2</v>
      </c>
      <c r="JC47" s="10">
        <f t="shared" si="82"/>
        <v>-0.5500038280570525</v>
      </c>
      <c r="JD47" s="10" t="str">
        <f t="shared" si="83"/>
        <v xml:space="preserve"> </v>
      </c>
      <c r="JE47" s="10"/>
      <c r="JF47" s="54">
        <v>254</v>
      </c>
      <c r="JG47" s="57">
        <v>3.8574297187578428</v>
      </c>
      <c r="JH47" s="58">
        <v>6.3694435030687682E-2</v>
      </c>
      <c r="JI47" s="10">
        <f t="shared" si="84"/>
        <v>-0.31186732717966986</v>
      </c>
      <c r="JJ47" s="10" t="str">
        <f t="shared" si="85"/>
        <v xml:space="preserve"> </v>
      </c>
      <c r="JK47" s="114">
        <f t="shared" si="86"/>
        <v>-2.703345922525946E-2</v>
      </c>
      <c r="JL47" s="76"/>
      <c r="JM47" s="27">
        <v>23</v>
      </c>
      <c r="JN47" s="28">
        <v>4.2608695652173907</v>
      </c>
      <c r="JO47" s="29">
        <v>0.18029962299312399</v>
      </c>
      <c r="JP47" s="10"/>
      <c r="JQ47" s="42">
        <v>15</v>
      </c>
      <c r="JR47" s="43">
        <v>4.5327225132233693</v>
      </c>
      <c r="JS47" s="67">
        <v>0.1333356039207225</v>
      </c>
      <c r="JT47" s="10" t="str">
        <f t="shared" si="87"/>
        <v>NV</v>
      </c>
      <c r="JU47" s="10" t="str">
        <f t="shared" si="88"/>
        <v xml:space="preserve"> </v>
      </c>
      <c r="JV47" s="114">
        <f t="shared" si="89"/>
        <v>-0.27185294800597859</v>
      </c>
      <c r="JW47" s="10"/>
      <c r="JX47" s="42">
        <v>18.812268410000001</v>
      </c>
      <c r="JY47" s="43">
        <v>4.2105263157894726</v>
      </c>
      <c r="JZ47" s="67">
        <v>0.2379235742328602</v>
      </c>
      <c r="KA47" s="10" t="str">
        <f t="shared" si="90"/>
        <v>NV</v>
      </c>
      <c r="KB47" s="10" t="str">
        <f t="shared" si="91"/>
        <v xml:space="preserve"> </v>
      </c>
      <c r="KC47" s="10"/>
      <c r="KD47" s="53">
        <v>14</v>
      </c>
      <c r="KE47" s="55">
        <v>4.1428571428571423</v>
      </c>
      <c r="KF47" s="56">
        <v>0.29753049757510269</v>
      </c>
      <c r="KG47" s="10" t="str">
        <f t="shared" si="92"/>
        <v>NV</v>
      </c>
      <c r="KH47" s="10" t="str">
        <f t="shared" si="93"/>
        <v xml:space="preserve"> </v>
      </c>
      <c r="KI47" s="10"/>
      <c r="KJ47" s="54">
        <v>17</v>
      </c>
      <c r="KK47" s="57">
        <v>3.5294117647058818</v>
      </c>
      <c r="KL47" s="58">
        <v>0.30929918502919079</v>
      </c>
      <c r="KM47" s="10" t="str">
        <f t="shared" si="94"/>
        <v>NV</v>
      </c>
      <c r="KN47" s="10" t="str">
        <f t="shared" si="95"/>
        <v xml:space="preserve"> </v>
      </c>
      <c r="KO47" s="114">
        <f t="shared" si="96"/>
        <v>0.73145780051150888</v>
      </c>
      <c r="KP47" s="76"/>
      <c r="KQ47" s="27">
        <v>251</v>
      </c>
      <c r="KR47" s="28">
        <v>3.7087797302273597</v>
      </c>
      <c r="KS47" s="29">
        <v>6.770865666104231E-2</v>
      </c>
      <c r="KT47" s="10"/>
      <c r="KU47" s="42">
        <v>147</v>
      </c>
      <c r="KV47" s="43">
        <v>3.8438001068368992</v>
      </c>
      <c r="KW47" s="67">
        <v>8.6189088248392512E-2</v>
      </c>
      <c r="KX47" s="10">
        <f t="shared" si="97"/>
        <v>-1.2318935879849735</v>
      </c>
      <c r="KY47" s="10" t="str">
        <f t="shared" si="98"/>
        <v xml:space="preserve"> </v>
      </c>
      <c r="KZ47" s="114">
        <f t="shared" si="99"/>
        <v>-0.13502037660953947</v>
      </c>
      <c r="LA47" s="10"/>
      <c r="LB47" s="42">
        <v>208.76948804999955</v>
      </c>
      <c r="LC47" s="43">
        <v>3.9840748671127475</v>
      </c>
      <c r="LD47" s="67">
        <v>6.2752773646823717E-2</v>
      </c>
      <c r="LE47" s="10">
        <f t="shared" si="100"/>
        <v>-2.9820730368329049</v>
      </c>
      <c r="LF47" s="10" t="str">
        <f t="shared" si="101"/>
        <v>*</v>
      </c>
      <c r="LG47" s="10"/>
      <c r="LH47" s="53">
        <v>358</v>
      </c>
      <c r="LI47" s="55">
        <v>3.7518481145308762</v>
      </c>
      <c r="LJ47" s="56">
        <v>5.2002188538784647E-2</v>
      </c>
      <c r="LK47" s="10">
        <f t="shared" si="102"/>
        <v>-0.50446825922359184</v>
      </c>
      <c r="LL47" s="10" t="str">
        <f t="shared" si="103"/>
        <v xml:space="preserve"> </v>
      </c>
      <c r="LM47" s="10"/>
      <c r="LN47" s="54">
        <v>342</v>
      </c>
      <c r="LO47" s="57">
        <v>3.7892789290541935</v>
      </c>
      <c r="LP47" s="58">
        <v>4.9801381626376214E-2</v>
      </c>
      <c r="LQ47" s="10">
        <f t="shared" si="104"/>
        <v>-0.9577376186287655</v>
      </c>
      <c r="LR47" s="10" t="str">
        <f t="shared" si="128"/>
        <v xml:space="preserve"> </v>
      </c>
      <c r="LS47" s="114">
        <f t="shared" si="105"/>
        <v>-8.0499198826833762E-2</v>
      </c>
      <c r="LT47" s="76"/>
      <c r="LU47" s="27">
        <v>76</v>
      </c>
      <c r="LV47" s="28">
        <v>3.9999999999999996</v>
      </c>
      <c r="LW47" s="29">
        <v>0.1009157337995305</v>
      </c>
      <c r="LX47" s="10"/>
      <c r="LY47" s="42">
        <v>89</v>
      </c>
      <c r="LZ47" s="43">
        <v>4.2245977518450539</v>
      </c>
      <c r="MA47" s="67">
        <v>8.8583925278342843E-2</v>
      </c>
      <c r="MB47" s="10">
        <f t="shared" si="106"/>
        <v>-1.6726086104873479</v>
      </c>
      <c r="MC47" s="10" t="str">
        <f t="shared" si="107"/>
        <v xml:space="preserve"> </v>
      </c>
      <c r="MD47" s="114">
        <f t="shared" si="108"/>
        <v>-0.22459775184505437</v>
      </c>
      <c r="ME47" s="10"/>
      <c r="MF47" s="42">
        <v>106.10172366000006</v>
      </c>
      <c r="MG47" s="43">
        <v>3.97350269964502</v>
      </c>
      <c r="MH47" s="67">
        <v>8.3796430411678974E-2</v>
      </c>
      <c r="MI47" s="10">
        <f t="shared" si="109"/>
        <v>0.20200580586029179</v>
      </c>
      <c r="MJ47" s="10" t="str">
        <f t="shared" si="110"/>
        <v xml:space="preserve"> </v>
      </c>
      <c r="MK47" s="10"/>
      <c r="ML47" s="53">
        <v>215</v>
      </c>
      <c r="MM47" s="55">
        <v>3.8139534883720936</v>
      </c>
      <c r="MN47" s="56">
        <v>6.5788588130638717E-2</v>
      </c>
      <c r="MO47" s="10">
        <f t="shared" si="111"/>
        <v>1.5443866763783312</v>
      </c>
      <c r="MP47" s="10" t="str">
        <f t="shared" si="112"/>
        <v xml:space="preserve"> </v>
      </c>
      <c r="MQ47" s="10"/>
      <c r="MR47" s="54">
        <v>213</v>
      </c>
      <c r="MS47" s="57">
        <v>3.9220023054342215</v>
      </c>
      <c r="MT47" s="58">
        <v>6.6048935772115097E-2</v>
      </c>
      <c r="MU47" s="10">
        <f t="shared" si="113"/>
        <v>0.64670065080339101</v>
      </c>
      <c r="MV47" s="10" t="str">
        <f t="shared" si="114"/>
        <v xml:space="preserve"> </v>
      </c>
      <c r="MW47" s="114">
        <f t="shared" si="115"/>
        <v>7.7997694565778097E-2</v>
      </c>
      <c r="MX47" s="76"/>
      <c r="MY47" s="27">
        <v>100</v>
      </c>
      <c r="MZ47" s="28">
        <v>3.9202916237803747</v>
      </c>
      <c r="NA47" s="29">
        <v>9.4979185407556607E-2</v>
      </c>
      <c r="NB47" s="10"/>
      <c r="NC47" s="42">
        <v>71</v>
      </c>
      <c r="ND47" s="43">
        <v>4.1416712781800697</v>
      </c>
      <c r="NE47" s="67">
        <v>0.10294201573585993</v>
      </c>
      <c r="NF47" s="10">
        <f t="shared" si="116"/>
        <v>-1.580553445894904</v>
      </c>
      <c r="NG47" s="10" t="str">
        <f t="shared" si="117"/>
        <v xml:space="preserve"> </v>
      </c>
      <c r="NH47" s="114">
        <f t="shared" si="118"/>
        <v>-0.22137965439969509</v>
      </c>
      <c r="NI47" s="10"/>
      <c r="NJ47" s="42">
        <v>51.290833539999952</v>
      </c>
      <c r="NK47" s="43">
        <v>4.0030989734233131</v>
      </c>
      <c r="NL47" s="67">
        <v>0.12153553321779562</v>
      </c>
      <c r="NM47" s="10">
        <f t="shared" si="119"/>
        <v>-0.53685133121231643</v>
      </c>
      <c r="NN47" s="10" t="str">
        <f t="shared" si="120"/>
        <v xml:space="preserve"> </v>
      </c>
      <c r="NO47" s="10"/>
      <c r="NP47" s="53">
        <v>106</v>
      </c>
      <c r="NQ47" s="55">
        <v>3.8938618402933196</v>
      </c>
      <c r="NR47" s="56">
        <v>8.9908136572132286E-2</v>
      </c>
      <c r="NS47" s="10">
        <f t="shared" si="121"/>
        <v>0.2020869068105712</v>
      </c>
      <c r="NT47" s="10" t="str">
        <f t="shared" si="122"/>
        <v xml:space="preserve"> </v>
      </c>
      <c r="NU47" s="10"/>
      <c r="NV47" s="54">
        <v>117</v>
      </c>
      <c r="NW47" s="57">
        <v>4.1358250154585177</v>
      </c>
      <c r="NX47" s="58">
        <v>8.215114228904323E-2</v>
      </c>
      <c r="NY47" s="10">
        <f t="shared" si="123"/>
        <v>-1.7163296357902174</v>
      </c>
      <c r="NZ47" s="10" t="str">
        <f t="shared" si="129"/>
        <v xml:space="preserve"> </v>
      </c>
      <c r="OA47" s="114">
        <f t="shared" si="124"/>
        <v>-0.215533391678143</v>
      </c>
      <c r="OB47" s="58"/>
    </row>
    <row r="48" spans="1:392" x14ac:dyDescent="0.2">
      <c r="B48" s="65" t="s">
        <v>42</v>
      </c>
      <c r="C48" s="27">
        <v>250</v>
      </c>
      <c r="D48" s="28">
        <v>3.6080000000000014</v>
      </c>
      <c r="E48" s="29">
        <v>7.343863217377708E-2</v>
      </c>
      <c r="F48" s="10"/>
      <c r="G48" s="42">
        <v>72</v>
      </c>
      <c r="H48" s="43">
        <v>3.5277777777777772</v>
      </c>
      <c r="I48" s="67">
        <v>0.11731172990642121</v>
      </c>
      <c r="J48" s="10">
        <f t="shared" si="1"/>
        <v>0.57962952089773634</v>
      </c>
      <c r="K48" s="10" t="str">
        <f t="shared" si="2"/>
        <v xml:space="preserve"> </v>
      </c>
      <c r="L48" s="114">
        <f t="shared" si="3"/>
        <v>8.0222222222224193E-2</v>
      </c>
      <c r="M48" s="10"/>
      <c r="N48" s="42">
        <v>58.225391280000046</v>
      </c>
      <c r="O48" s="43">
        <v>3.4821428571428568</v>
      </c>
      <c r="P48" s="67">
        <v>0.12488751863976719</v>
      </c>
      <c r="Q48" s="10">
        <f t="shared" si="4"/>
        <v>0.86870106885813236</v>
      </c>
      <c r="R48" s="10" t="str">
        <f t="shared" si="5"/>
        <v xml:space="preserve"> </v>
      </c>
      <c r="S48" s="10"/>
      <c r="T48" s="53">
        <v>76</v>
      </c>
      <c r="U48" s="55">
        <v>3.6315789473684212</v>
      </c>
      <c r="V48" s="56">
        <v>0.11456575222400125</v>
      </c>
      <c r="W48" s="10">
        <f t="shared" si="6"/>
        <v>-0.17326904866311874</v>
      </c>
      <c r="X48" s="10" t="str">
        <f t="shared" si="7"/>
        <v xml:space="preserve"> </v>
      </c>
      <c r="Y48" s="10"/>
      <c r="Z48" s="54">
        <v>137</v>
      </c>
      <c r="AA48" s="57">
        <v>3.1313868613138687</v>
      </c>
      <c r="AB48" s="58">
        <v>8.4375849474872838E-2</v>
      </c>
      <c r="AC48" s="10">
        <f t="shared" si="8"/>
        <v>4.2608247885045429</v>
      </c>
      <c r="AD48" s="10" t="str">
        <f t="shared" si="9"/>
        <v>*</v>
      </c>
      <c r="AE48" s="114">
        <f t="shared" si="10"/>
        <v>0.47661313868613275</v>
      </c>
      <c r="AF48" s="76"/>
      <c r="AG48" s="27">
        <v>57</v>
      </c>
      <c r="AH48" s="28">
        <v>3.6361224647153736</v>
      </c>
      <c r="AI48" s="29">
        <v>0.148663472068299</v>
      </c>
      <c r="AJ48" s="67"/>
      <c r="AK48" s="42">
        <v>34</v>
      </c>
      <c r="AL48" s="43">
        <v>3.4115355492433346</v>
      </c>
      <c r="AM48" s="67">
        <v>0.22701257024984411</v>
      </c>
      <c r="AN48" s="10">
        <f t="shared" si="11"/>
        <v>0.82763858070292506</v>
      </c>
      <c r="AO48" s="10" t="str">
        <f t="shared" si="12"/>
        <v xml:space="preserve"> </v>
      </c>
      <c r="AP48" s="114">
        <f t="shared" si="13"/>
        <v>0.22458691547203902</v>
      </c>
      <c r="AQ48" s="67"/>
      <c r="AR48" s="42">
        <v>35.348730330000002</v>
      </c>
      <c r="AS48" s="43">
        <v>3.6486486486486491</v>
      </c>
      <c r="AT48" s="67">
        <v>0.14957217247383447</v>
      </c>
      <c r="AU48" s="10">
        <f t="shared" si="14"/>
        <v>-5.9398054185555528E-2</v>
      </c>
      <c r="AV48" s="10" t="str">
        <f t="shared" si="15"/>
        <v xml:space="preserve"> </v>
      </c>
      <c r="AW48" s="10"/>
      <c r="AX48" s="53">
        <v>42</v>
      </c>
      <c r="AY48" s="55">
        <v>3.3593604932241745</v>
      </c>
      <c r="AZ48" s="56">
        <v>0.18694584583186244</v>
      </c>
      <c r="BA48" s="10">
        <f t="shared" si="16"/>
        <v>1.1587245287019499</v>
      </c>
      <c r="BB48" s="10" t="str">
        <f t="shared" si="17"/>
        <v xml:space="preserve"> </v>
      </c>
      <c r="BC48" s="10"/>
      <c r="BD48" s="54">
        <v>16</v>
      </c>
      <c r="BE48" s="57">
        <v>3.2342403310985528</v>
      </c>
      <c r="BF48" s="58">
        <v>0.2636787252491703</v>
      </c>
      <c r="BG48" s="10" t="str">
        <f t="shared" si="18"/>
        <v>NV</v>
      </c>
      <c r="BH48" s="10" t="str">
        <f t="shared" si="19"/>
        <v xml:space="preserve"> </v>
      </c>
      <c r="BI48" s="114">
        <f t="shared" si="20"/>
        <v>0.40188213361682079</v>
      </c>
      <c r="BJ48" s="76"/>
      <c r="BK48" s="27">
        <v>680</v>
      </c>
      <c r="BL48" s="28">
        <v>3.7474043260918228</v>
      </c>
      <c r="BM48" s="29">
        <v>4.1830321151912743E-2</v>
      </c>
      <c r="BN48" s="10"/>
      <c r="BO48" s="42">
        <v>189</v>
      </c>
      <c r="BP48" s="43">
        <v>3.730373172398568</v>
      </c>
      <c r="BQ48" s="67">
        <v>8.0048700558449912E-2</v>
      </c>
      <c r="BR48" s="10">
        <f t="shared" si="21"/>
        <v>0.18856611674546758</v>
      </c>
      <c r="BS48" s="10" t="str">
        <f t="shared" si="22"/>
        <v xml:space="preserve"> </v>
      </c>
      <c r="BT48" s="114">
        <f t="shared" si="23"/>
        <v>1.7031153693254808E-2</v>
      </c>
      <c r="BU48" s="10"/>
      <c r="BV48" s="42">
        <v>106.16508195000007</v>
      </c>
      <c r="BW48" s="43">
        <v>3.1037562447810085</v>
      </c>
      <c r="BX48" s="67">
        <v>7.780717173213339E-2</v>
      </c>
      <c r="BY48" s="10">
        <f t="shared" si="24"/>
        <v>7.2861366668773702</v>
      </c>
      <c r="BZ48" s="10" t="str">
        <f t="shared" si="25"/>
        <v>*</v>
      </c>
      <c r="CA48" s="10"/>
      <c r="CB48" s="53">
        <v>109</v>
      </c>
      <c r="CC48" s="55">
        <v>3.1428305985851632</v>
      </c>
      <c r="CD48" s="56">
        <v>5.8395221189267599E-2</v>
      </c>
      <c r="CE48" s="10">
        <f t="shared" si="26"/>
        <v>8.4165436088323471</v>
      </c>
      <c r="CF48" s="10" t="str">
        <f t="shared" si="27"/>
        <v>*</v>
      </c>
      <c r="CG48" s="10"/>
      <c r="CH48" s="54">
        <v>183</v>
      </c>
      <c r="CI48" s="57">
        <v>3.5823851598524428</v>
      </c>
      <c r="CJ48" s="58">
        <v>8.6760855501401626E-2</v>
      </c>
      <c r="CK48" s="10">
        <f t="shared" si="28"/>
        <v>1.7132684533596831</v>
      </c>
      <c r="CL48" s="10" t="str">
        <f t="shared" si="29"/>
        <v xml:space="preserve"> </v>
      </c>
      <c r="CM48" s="114">
        <f t="shared" si="30"/>
        <v>0.16501916623938007</v>
      </c>
      <c r="CN48" s="76"/>
      <c r="CO48" s="27">
        <v>381</v>
      </c>
      <c r="CP48" s="28">
        <v>3.7307188817135746</v>
      </c>
      <c r="CQ48" s="29">
        <v>5.5916919818242837E-2</v>
      </c>
      <c r="CR48" s="67"/>
      <c r="CS48" s="42">
        <v>122</v>
      </c>
      <c r="CT48" s="43">
        <v>3.7454993324438397</v>
      </c>
      <c r="CU48" s="67">
        <v>0.10689906987306322</v>
      </c>
      <c r="CV48" s="10">
        <f t="shared" si="31"/>
        <v>-0.12251656328613096</v>
      </c>
      <c r="CW48" s="10" t="str">
        <f t="shared" si="32"/>
        <v xml:space="preserve"> </v>
      </c>
      <c r="CX48" s="114">
        <f t="shared" si="33"/>
        <v>-1.4780450730265127E-2</v>
      </c>
      <c r="CY48" s="10"/>
      <c r="CZ48" s="42">
        <v>115.43356590000002</v>
      </c>
      <c r="DA48" s="43">
        <v>3.8113419076140667</v>
      </c>
      <c r="DB48" s="67">
        <v>9.6578978510247937E-2</v>
      </c>
      <c r="DC48" s="10">
        <f t="shared" si="34"/>
        <v>-0.72243895929462576</v>
      </c>
      <c r="DD48" s="10" t="str">
        <f t="shared" si="35"/>
        <v xml:space="preserve"> </v>
      </c>
      <c r="DE48" s="10"/>
      <c r="DF48" s="53">
        <v>130</v>
      </c>
      <c r="DG48" s="55">
        <v>3.9185892112505294</v>
      </c>
      <c r="DH48" s="56">
        <v>9.3835575714599634E-2</v>
      </c>
      <c r="DI48" s="10">
        <f t="shared" si="36"/>
        <v>-1.7199067530482752</v>
      </c>
      <c r="DJ48" s="10" t="str">
        <f t="shared" si="0"/>
        <v xml:space="preserve"> </v>
      </c>
      <c r="DK48" s="10"/>
      <c r="DL48" s="54">
        <v>109</v>
      </c>
      <c r="DM48" s="57">
        <v>3.6910091223390462</v>
      </c>
      <c r="DN48" s="58">
        <v>0.10518367052974832</v>
      </c>
      <c r="DO48" s="10">
        <f t="shared" si="37"/>
        <v>0.33335069729552186</v>
      </c>
      <c r="DP48" s="10" t="str">
        <f t="shared" si="38"/>
        <v xml:space="preserve"> </v>
      </c>
      <c r="DQ48" s="114">
        <f t="shared" si="39"/>
        <v>3.9709759374528364E-2</v>
      </c>
      <c r="DR48" s="76"/>
      <c r="DS48" s="27">
        <v>122</v>
      </c>
      <c r="DT48" s="28">
        <v>3.524438358669459</v>
      </c>
      <c r="DU48" s="29">
        <v>0.10344557894207908</v>
      </c>
      <c r="DV48" s="10"/>
      <c r="DW48" s="42">
        <v>50</v>
      </c>
      <c r="DX48" s="43">
        <v>3.6808564375863586</v>
      </c>
      <c r="DY48" s="67">
        <v>0.15535807203973745</v>
      </c>
      <c r="DZ48" s="10">
        <f t="shared" si="40"/>
        <v>-0.83804209859901946</v>
      </c>
      <c r="EA48" s="10" t="str">
        <f t="shared" si="41"/>
        <v xml:space="preserve"> </v>
      </c>
      <c r="EB48" s="114">
        <f t="shared" si="42"/>
        <v>-0.15641807891689963</v>
      </c>
      <c r="EC48" s="10"/>
      <c r="ED48" s="42">
        <v>40.212353910000026</v>
      </c>
      <c r="EE48" s="43">
        <v>3.7693921586695796</v>
      </c>
      <c r="EF48" s="67">
        <v>0.16811547937701651</v>
      </c>
      <c r="EG48" s="10">
        <f t="shared" si="43"/>
        <v>-1.240947807492524</v>
      </c>
      <c r="EH48" s="10" t="str">
        <f t="shared" si="44"/>
        <v xml:space="preserve"> </v>
      </c>
      <c r="EI48" s="10"/>
      <c r="EJ48" s="53">
        <v>49</v>
      </c>
      <c r="EK48" s="55">
        <v>3.6734693877551035</v>
      </c>
      <c r="EL48" s="56">
        <v>0.15013560408456122</v>
      </c>
      <c r="EM48" s="10">
        <f t="shared" si="45"/>
        <v>-0.81740100937122906</v>
      </c>
      <c r="EN48" s="10" t="str">
        <f t="shared" si="46"/>
        <v xml:space="preserve"> </v>
      </c>
      <c r="EO48" s="10"/>
      <c r="EP48" s="54">
        <v>32</v>
      </c>
      <c r="EQ48" s="57">
        <v>3.4999999999999991</v>
      </c>
      <c r="ER48" s="58">
        <v>0.16772431340733007</v>
      </c>
      <c r="ES48" s="10">
        <f t="shared" si="47"/>
        <v>0.12401514717779946</v>
      </c>
      <c r="ET48" s="10" t="str">
        <f t="shared" si="48"/>
        <v xml:space="preserve"> </v>
      </c>
      <c r="EU48" s="114">
        <f t="shared" si="49"/>
        <v>2.443835866945987E-2</v>
      </c>
      <c r="EV48" s="76"/>
      <c r="EW48" s="27">
        <v>283</v>
      </c>
      <c r="EX48" s="28">
        <v>3.7952439884705562</v>
      </c>
      <c r="EY48" s="29">
        <v>6.318232813786373E-2</v>
      </c>
      <c r="EZ48" s="10"/>
      <c r="FA48" s="42">
        <v>86</v>
      </c>
      <c r="FB48" s="43">
        <v>3.7674058128827026</v>
      </c>
      <c r="FC48" s="67">
        <v>0.12228757923994518</v>
      </c>
      <c r="FD48" s="10">
        <f t="shared" si="50"/>
        <v>0.20224558004017046</v>
      </c>
      <c r="FE48" s="10" t="str">
        <f t="shared" si="51"/>
        <v xml:space="preserve"> </v>
      </c>
      <c r="FF48" s="114">
        <f t="shared" si="52"/>
        <v>2.783817558785362E-2</v>
      </c>
      <c r="FG48" s="10"/>
      <c r="FH48" s="42">
        <v>58.280036580000029</v>
      </c>
      <c r="FI48" s="43">
        <v>3.4744526244770584</v>
      </c>
      <c r="FJ48" s="67">
        <v>0.15819893124373718</v>
      </c>
      <c r="FK48" s="10">
        <f t="shared" si="53"/>
        <v>1.8831379347558723</v>
      </c>
      <c r="FL48" s="10" t="str">
        <f t="shared" si="54"/>
        <v xml:space="preserve"> </v>
      </c>
      <c r="FM48" s="10"/>
      <c r="FN48" s="53">
        <v>82</v>
      </c>
      <c r="FO48" s="55">
        <v>3.7186488520759813</v>
      </c>
      <c r="FP48" s="56">
        <v>0.11220743624877104</v>
      </c>
      <c r="FQ48" s="10">
        <f t="shared" si="55"/>
        <v>0.59480688924843261</v>
      </c>
      <c r="FR48" s="10" t="str">
        <f t="shared" si="56"/>
        <v xml:space="preserve"> </v>
      </c>
      <c r="FS48" s="10"/>
      <c r="FT48" s="54">
        <v>115</v>
      </c>
      <c r="FU48" s="57">
        <v>3.1783360973005577</v>
      </c>
      <c r="FV48" s="58">
        <v>9.9937974927307938E-2</v>
      </c>
      <c r="FW48" s="10">
        <f t="shared" si="57"/>
        <v>5.217625077347793</v>
      </c>
      <c r="FX48" s="10" t="str">
        <f t="shared" si="125"/>
        <v>*</v>
      </c>
      <c r="FY48" s="114">
        <f t="shared" si="58"/>
        <v>0.61690789116999856</v>
      </c>
      <c r="FZ48" s="76"/>
      <c r="GA48" s="27">
        <v>104</v>
      </c>
      <c r="GB48" s="28">
        <v>3.2533530729705005</v>
      </c>
      <c r="GC48" s="29">
        <v>0.12742676539884987</v>
      </c>
      <c r="GD48" s="67"/>
      <c r="GE48" s="42">
        <v>73</v>
      </c>
      <c r="GF48" s="43">
        <v>3.6867635325789245</v>
      </c>
      <c r="GG48" s="67">
        <v>0.11971387975439832</v>
      </c>
      <c r="GH48" s="10">
        <f t="shared" si="59"/>
        <v>-2.4788989181071162</v>
      </c>
      <c r="GI48" s="10" t="str">
        <f t="shared" si="60"/>
        <v>*</v>
      </c>
      <c r="GJ48" s="114">
        <f t="shared" si="61"/>
        <v>-0.43341045960842406</v>
      </c>
      <c r="GK48" s="67"/>
      <c r="GL48" s="42">
        <v>84.500805349999951</v>
      </c>
      <c r="GM48" s="43">
        <v>3.6160974356914815</v>
      </c>
      <c r="GN48" s="67">
        <v>0.13263917431648156</v>
      </c>
      <c r="GO48" s="10">
        <f t="shared" si="62"/>
        <v>-1.9721728706268744</v>
      </c>
      <c r="GP48" s="10" t="str">
        <f t="shared" si="63"/>
        <v>*</v>
      </c>
      <c r="GQ48" s="10"/>
      <c r="GR48" s="53">
        <v>96</v>
      </c>
      <c r="GS48" s="55">
        <v>3.486481121110903</v>
      </c>
      <c r="GT48" s="56">
        <v>0.12070783660261852</v>
      </c>
      <c r="GU48" s="10">
        <f t="shared" si="64"/>
        <v>-1.328198667149795</v>
      </c>
      <c r="GV48" s="10" t="str">
        <f t="shared" si="65"/>
        <v xml:space="preserve"> </v>
      </c>
      <c r="GW48" s="10"/>
      <c r="GX48" s="54">
        <v>104</v>
      </c>
      <c r="GY48" s="57">
        <v>3.6470019346196154</v>
      </c>
      <c r="GZ48" s="58">
        <v>0.10261228979466991</v>
      </c>
      <c r="HA48" s="10">
        <f t="shared" si="66"/>
        <v>-2.4060811207387243</v>
      </c>
      <c r="HB48" s="10" t="str">
        <f t="shared" si="126"/>
        <v>*</v>
      </c>
      <c r="HC48" s="114">
        <f t="shared" si="67"/>
        <v>-0.39364886164911495</v>
      </c>
      <c r="HD48" s="76"/>
      <c r="HE48" s="27">
        <v>119</v>
      </c>
      <c r="HF48" s="28">
        <v>3.6069738264552478</v>
      </c>
      <c r="HG48" s="29">
        <v>9.6202921266959701E-2</v>
      </c>
      <c r="HH48" s="10"/>
      <c r="HI48" s="42">
        <v>77</v>
      </c>
      <c r="HJ48" s="43">
        <v>3.6006992393815089</v>
      </c>
      <c r="HK48" s="67">
        <v>0.12890134674520456</v>
      </c>
      <c r="HL48" s="10">
        <f t="shared" si="68"/>
        <v>3.9010565140040726E-2</v>
      </c>
      <c r="HM48" s="10" t="str">
        <f t="shared" si="69"/>
        <v xml:space="preserve"> </v>
      </c>
      <c r="HN48" s="114">
        <f t="shared" si="70"/>
        <v>6.2745870737388465E-3</v>
      </c>
      <c r="HO48" s="10"/>
      <c r="HP48" s="42">
        <v>60.122543129999961</v>
      </c>
      <c r="HQ48" s="43">
        <v>4.0274976794714998</v>
      </c>
      <c r="HR48" s="67">
        <v>0.13351985260675431</v>
      </c>
      <c r="HS48" s="10">
        <f t="shared" si="71"/>
        <v>-2.555323172389802</v>
      </c>
      <c r="HT48" s="10" t="str">
        <f t="shared" si="72"/>
        <v>*</v>
      </c>
      <c r="HU48" s="10"/>
      <c r="HV48" s="53">
        <v>42</v>
      </c>
      <c r="HW48" s="55">
        <v>3.6830891247017417</v>
      </c>
      <c r="HX48" s="56">
        <v>0.14392883613065224</v>
      </c>
      <c r="HY48" s="10">
        <f t="shared" si="73"/>
        <v>-0.43966801513073828</v>
      </c>
      <c r="HZ48" s="10" t="str">
        <f t="shared" si="74"/>
        <v xml:space="preserve"> </v>
      </c>
      <c r="IA48" s="10"/>
      <c r="IB48" s="54">
        <v>77</v>
      </c>
      <c r="IC48" s="57">
        <v>3.5620389005784814</v>
      </c>
      <c r="ID48" s="58">
        <v>0.12705370704861751</v>
      </c>
      <c r="IE48" s="10">
        <f t="shared" si="75"/>
        <v>0.28195986390138789</v>
      </c>
      <c r="IF48" s="10" t="str">
        <f t="shared" si="127"/>
        <v xml:space="preserve"> </v>
      </c>
      <c r="IG48" s="114">
        <f t="shared" si="76"/>
        <v>4.4934925876766396E-2</v>
      </c>
      <c r="IH48" s="76"/>
      <c r="II48" s="27">
        <v>263</v>
      </c>
      <c r="IJ48" s="28">
        <v>3.511164976896469</v>
      </c>
      <c r="IK48" s="29">
        <v>7.2269826833217629E-2</v>
      </c>
      <c r="IL48" s="10"/>
      <c r="IM48" s="42">
        <v>180</v>
      </c>
      <c r="IN48" s="43">
        <v>3.4365147130421136</v>
      </c>
      <c r="IO48" s="67">
        <v>8.086154634702869E-2</v>
      </c>
      <c r="IP48" s="10">
        <f t="shared" si="77"/>
        <v>0.68833470492054993</v>
      </c>
      <c r="IQ48" s="10" t="str">
        <f t="shared" si="78"/>
        <v xml:space="preserve"> </v>
      </c>
      <c r="IR48" s="114">
        <f t="shared" si="79"/>
        <v>7.4650263854355359E-2</v>
      </c>
      <c r="IS48" s="10"/>
      <c r="IT48" s="42">
        <v>216.49529711000085</v>
      </c>
      <c r="IU48" s="43">
        <v>3.5290711577526888</v>
      </c>
      <c r="IV48" s="67">
        <v>8.1446029994993452E-2</v>
      </c>
      <c r="IW48" s="10">
        <f t="shared" si="80"/>
        <v>-0.16444733672051495</v>
      </c>
      <c r="IX48" s="10" t="str">
        <f t="shared" si="81"/>
        <v xml:space="preserve"> </v>
      </c>
      <c r="IY48" s="10"/>
      <c r="IZ48" s="53">
        <v>213</v>
      </c>
      <c r="JA48" s="55">
        <v>3.6156473350371381</v>
      </c>
      <c r="JB48" s="56">
        <v>7.913564141631127E-2</v>
      </c>
      <c r="JC48" s="10">
        <f t="shared" si="82"/>
        <v>-0.97492302369970518</v>
      </c>
      <c r="JD48" s="10" t="str">
        <f t="shared" si="83"/>
        <v xml:space="preserve"> </v>
      </c>
      <c r="JE48" s="10"/>
      <c r="JF48" s="54">
        <v>232</v>
      </c>
      <c r="JG48" s="57">
        <v>3.6876098415408038</v>
      </c>
      <c r="JH48" s="58">
        <v>7.27407817478469E-2</v>
      </c>
      <c r="JI48" s="10">
        <f t="shared" si="84"/>
        <v>-1.7207665497820974</v>
      </c>
      <c r="JJ48" s="10" t="str">
        <f t="shared" si="85"/>
        <v xml:space="preserve"> </v>
      </c>
      <c r="JK48" s="114">
        <f t="shared" si="86"/>
        <v>-0.17644486464433484</v>
      </c>
      <c r="JL48" s="76"/>
      <c r="JM48" s="27">
        <v>21</v>
      </c>
      <c r="JN48" s="28">
        <v>3.9047619047619042</v>
      </c>
      <c r="JO48" s="29">
        <v>0.23819882941235435</v>
      </c>
      <c r="JP48" s="10"/>
      <c r="JQ48" s="42">
        <v>11</v>
      </c>
      <c r="JR48" s="43">
        <v>4.2727272727272725</v>
      </c>
      <c r="JS48" s="67">
        <v>0.19482526133870098</v>
      </c>
      <c r="JT48" s="10" t="str">
        <f t="shared" si="87"/>
        <v>NV</v>
      </c>
      <c r="JU48" s="10" t="str">
        <f t="shared" si="88"/>
        <v xml:space="preserve"> </v>
      </c>
      <c r="JV48" s="114">
        <f t="shared" si="89"/>
        <v>-0.36796536796536827</v>
      </c>
      <c r="JW48" s="10"/>
      <c r="JX48" s="42">
        <v>11.881432680000001</v>
      </c>
      <c r="JY48" s="43">
        <v>4.083333333333333</v>
      </c>
      <c r="JZ48" s="67">
        <v>0.23015200378122649</v>
      </c>
      <c r="KA48" s="10" t="str">
        <f t="shared" si="90"/>
        <v>NV</v>
      </c>
      <c r="KB48" s="10" t="str">
        <f t="shared" si="91"/>
        <v xml:space="preserve"> </v>
      </c>
      <c r="KC48" s="10"/>
      <c r="KD48" s="53">
        <v>14</v>
      </c>
      <c r="KE48" s="55">
        <v>3.9285714285714284</v>
      </c>
      <c r="KF48" s="56">
        <v>0.34336336648244981</v>
      </c>
      <c r="KG48" s="10" t="str">
        <f t="shared" si="92"/>
        <v>NV</v>
      </c>
      <c r="KH48" s="10" t="str">
        <f t="shared" si="93"/>
        <v xml:space="preserve"> </v>
      </c>
      <c r="KI48" s="10"/>
      <c r="KJ48" s="54">
        <v>18</v>
      </c>
      <c r="KK48" s="57">
        <v>3.3888888888888884</v>
      </c>
      <c r="KL48" s="58">
        <v>0.30361087581457324</v>
      </c>
      <c r="KM48" s="10" t="str">
        <f t="shared" si="94"/>
        <v>NV</v>
      </c>
      <c r="KN48" s="10" t="str">
        <f t="shared" si="95"/>
        <v xml:space="preserve"> </v>
      </c>
      <c r="KO48" s="114">
        <f t="shared" si="96"/>
        <v>0.51587301587301582</v>
      </c>
      <c r="KP48" s="76"/>
      <c r="KQ48" s="27">
        <v>229</v>
      </c>
      <c r="KR48" s="28">
        <v>3.5063093941578387</v>
      </c>
      <c r="KS48" s="29">
        <v>7.8203030270174209E-2</v>
      </c>
      <c r="KT48" s="10"/>
      <c r="KU48" s="42">
        <v>120</v>
      </c>
      <c r="KV48" s="43">
        <v>3.5838926173265762</v>
      </c>
      <c r="KW48" s="67">
        <v>0.10360416040840902</v>
      </c>
      <c r="KX48" s="10">
        <f t="shared" si="97"/>
        <v>-0.59768704894453606</v>
      </c>
      <c r="KY48" s="10" t="str">
        <f t="shared" si="98"/>
        <v xml:space="preserve"> </v>
      </c>
      <c r="KZ48" s="114">
        <f t="shared" si="99"/>
        <v>-7.7583223168737447E-2</v>
      </c>
      <c r="LA48" s="10"/>
      <c r="LB48" s="42">
        <v>164.88633702999999</v>
      </c>
      <c r="LC48" s="43">
        <v>3.7408270238168679</v>
      </c>
      <c r="LD48" s="67">
        <v>8.31868743304289E-2</v>
      </c>
      <c r="LE48" s="10">
        <f t="shared" si="100"/>
        <v>-2.0540317448054588</v>
      </c>
      <c r="LF48" s="10" t="str">
        <f t="shared" si="101"/>
        <v>*</v>
      </c>
      <c r="LG48" s="10"/>
      <c r="LH48" s="53">
        <v>328</v>
      </c>
      <c r="LI48" s="55">
        <v>3.5545907610704406</v>
      </c>
      <c r="LJ48" s="56">
        <v>6.1514190190547054E-2</v>
      </c>
      <c r="LK48" s="10">
        <f t="shared" si="102"/>
        <v>-0.48525311380726321</v>
      </c>
      <c r="LL48" s="10" t="str">
        <f t="shared" si="103"/>
        <v xml:space="preserve"> </v>
      </c>
      <c r="LM48" s="10"/>
      <c r="LN48" s="54">
        <v>290</v>
      </c>
      <c r="LO48" s="57">
        <v>3.3413387212152479</v>
      </c>
      <c r="LP48" s="58">
        <v>6.5697925684801692E-2</v>
      </c>
      <c r="LQ48" s="10">
        <f t="shared" si="104"/>
        <v>1.6151928560837738</v>
      </c>
      <c r="LR48" s="10" t="str">
        <f t="shared" si="128"/>
        <v xml:space="preserve"> </v>
      </c>
      <c r="LS48" s="114">
        <f t="shared" si="105"/>
        <v>0.16497067294259082</v>
      </c>
      <c r="LT48" s="76"/>
      <c r="LU48" s="27">
        <v>60</v>
      </c>
      <c r="LV48" s="28">
        <v>3.666666666666667</v>
      </c>
      <c r="LW48" s="29">
        <v>0.14201283347338589</v>
      </c>
      <c r="LX48" s="10"/>
      <c r="LY48" s="42">
        <v>75</v>
      </c>
      <c r="LZ48" s="43">
        <v>3.9466666666666668</v>
      </c>
      <c r="MA48" s="67">
        <v>0.12277976286445028</v>
      </c>
      <c r="MB48" s="10">
        <f t="shared" si="106"/>
        <v>-1.4915045565285059</v>
      </c>
      <c r="MC48" s="10" t="str">
        <f t="shared" si="107"/>
        <v xml:space="preserve"> </v>
      </c>
      <c r="MD48" s="114">
        <f t="shared" si="108"/>
        <v>-0.2799999999999998</v>
      </c>
      <c r="ME48" s="10"/>
      <c r="MF48" s="42">
        <v>93.389120520000006</v>
      </c>
      <c r="MG48" s="43">
        <v>3.8727749804919132</v>
      </c>
      <c r="MH48" s="67">
        <v>0.10539263731637478</v>
      </c>
      <c r="MI48" s="10">
        <f t="shared" si="109"/>
        <v>-1.1654538890922028</v>
      </c>
      <c r="MJ48" s="10" t="str">
        <f t="shared" si="110"/>
        <v xml:space="preserve"> </v>
      </c>
      <c r="MK48" s="10"/>
      <c r="ML48" s="53">
        <v>201</v>
      </c>
      <c r="MM48" s="55">
        <v>3.7114427860696502</v>
      </c>
      <c r="MN48" s="56">
        <v>7.1940012977040654E-2</v>
      </c>
      <c r="MO48" s="10">
        <f t="shared" si="111"/>
        <v>-0.28126607428303918</v>
      </c>
      <c r="MP48" s="10" t="str">
        <f t="shared" si="112"/>
        <v xml:space="preserve"> </v>
      </c>
      <c r="MQ48" s="10"/>
      <c r="MR48" s="54">
        <v>158</v>
      </c>
      <c r="MS48" s="57">
        <v>3.6035499970586642</v>
      </c>
      <c r="MT48" s="58">
        <v>8.8394420610579699E-2</v>
      </c>
      <c r="MU48" s="10">
        <f t="shared" si="113"/>
        <v>0.37732081499999953</v>
      </c>
      <c r="MV48" s="10" t="str">
        <f t="shared" si="114"/>
        <v xml:space="preserve"> </v>
      </c>
      <c r="MW48" s="114">
        <f t="shared" si="115"/>
        <v>6.3116669608002773E-2</v>
      </c>
      <c r="MX48" s="76"/>
      <c r="MY48" s="27">
        <v>77</v>
      </c>
      <c r="MZ48" s="28">
        <v>3.8047733560014039</v>
      </c>
      <c r="NA48" s="29">
        <v>0.11407232185067243</v>
      </c>
      <c r="NB48" s="10"/>
      <c r="NC48" s="42">
        <v>58</v>
      </c>
      <c r="ND48" s="43">
        <v>3.9495257449823113</v>
      </c>
      <c r="NE48" s="67">
        <v>0.1357631747651005</v>
      </c>
      <c r="NF48" s="10">
        <f t="shared" si="116"/>
        <v>-0.81631150833657862</v>
      </c>
      <c r="NG48" s="10" t="str">
        <f t="shared" si="117"/>
        <v xml:space="preserve"> </v>
      </c>
      <c r="NH48" s="114">
        <f t="shared" si="118"/>
        <v>-0.14475238898090748</v>
      </c>
      <c r="NI48" s="10"/>
      <c r="NJ48" s="42">
        <v>53.271072319999945</v>
      </c>
      <c r="NK48" s="43">
        <v>3.5940821780326422</v>
      </c>
      <c r="NL48" s="67">
        <v>0.16397433050918175</v>
      </c>
      <c r="NM48" s="10">
        <f t="shared" si="119"/>
        <v>1.0547741836037348</v>
      </c>
      <c r="NN48" s="10" t="str">
        <f t="shared" si="120"/>
        <v xml:space="preserve"> </v>
      </c>
      <c r="NO48" s="10"/>
      <c r="NP48" s="53">
        <v>98</v>
      </c>
      <c r="NQ48" s="55">
        <v>3.8009197196092419</v>
      </c>
      <c r="NR48" s="56">
        <v>0.10603852011999136</v>
      </c>
      <c r="NS48" s="10">
        <f t="shared" si="121"/>
        <v>2.4743162824931969E-2</v>
      </c>
      <c r="NT48" s="10" t="str">
        <f t="shared" si="122"/>
        <v xml:space="preserve"> </v>
      </c>
      <c r="NU48" s="10"/>
      <c r="NV48" s="54">
        <v>94</v>
      </c>
      <c r="NW48" s="57">
        <v>3.9058197933067134</v>
      </c>
      <c r="NX48" s="58">
        <v>0.11781341330978702</v>
      </c>
      <c r="NY48" s="10">
        <f t="shared" si="123"/>
        <v>-0.61617696360831364</v>
      </c>
      <c r="NZ48" s="10" t="str">
        <f t="shared" si="129"/>
        <v xml:space="preserve"> </v>
      </c>
      <c r="OA48" s="114">
        <f t="shared" si="124"/>
        <v>-0.10104643730530949</v>
      </c>
      <c r="OB48" s="58"/>
    </row>
    <row r="49" spans="2:392" x14ac:dyDescent="0.2">
      <c r="B49" s="65" t="s">
        <v>43</v>
      </c>
      <c r="C49" s="27">
        <v>249</v>
      </c>
      <c r="D49" s="28">
        <v>3.634538152610443</v>
      </c>
      <c r="E49" s="29">
        <v>6.9344807152285567E-2</v>
      </c>
      <c r="F49" s="10"/>
      <c r="G49" s="42">
        <v>72</v>
      </c>
      <c r="H49" s="43">
        <v>3.4999999999999987</v>
      </c>
      <c r="I49" s="67">
        <v>0.12855958729482783</v>
      </c>
      <c r="J49" s="10">
        <f t="shared" si="1"/>
        <v>0.92105637555634645</v>
      </c>
      <c r="K49" s="10" t="str">
        <f t="shared" si="2"/>
        <v xml:space="preserve"> </v>
      </c>
      <c r="L49" s="114">
        <f t="shared" si="3"/>
        <v>0.13453815261044433</v>
      </c>
      <c r="M49" s="10"/>
      <c r="N49" s="42">
        <v>53.026695630000042</v>
      </c>
      <c r="O49" s="43">
        <v>3.3725490196078431</v>
      </c>
      <c r="P49" s="67">
        <v>0.14774811462497597</v>
      </c>
      <c r="Q49" s="10">
        <f t="shared" si="4"/>
        <v>1.6052060120132954</v>
      </c>
      <c r="R49" s="10" t="str">
        <f t="shared" si="5"/>
        <v xml:space="preserve"> </v>
      </c>
      <c r="S49" s="10"/>
      <c r="T49" s="53">
        <v>78</v>
      </c>
      <c r="U49" s="55">
        <v>3.615384615384615</v>
      </c>
      <c r="V49" s="56">
        <v>0.1159415621687907</v>
      </c>
      <c r="W49" s="10">
        <f t="shared" si="6"/>
        <v>0.14177638392972564</v>
      </c>
      <c r="X49" s="10" t="str">
        <f t="shared" si="7"/>
        <v xml:space="preserve"> </v>
      </c>
      <c r="Y49" s="10"/>
      <c r="Z49" s="54">
        <v>155</v>
      </c>
      <c r="AA49" s="57">
        <v>3.1741935483870964</v>
      </c>
      <c r="AB49" s="58">
        <v>7.6169506093825182E-2</v>
      </c>
      <c r="AC49" s="10">
        <f t="shared" si="8"/>
        <v>4.4690500181856345</v>
      </c>
      <c r="AD49" s="10" t="str">
        <f t="shared" si="9"/>
        <v>*</v>
      </c>
      <c r="AE49" s="114">
        <f t="shared" si="10"/>
        <v>0.46034460422334655</v>
      </c>
      <c r="AF49" s="76"/>
      <c r="AG49" s="27">
        <v>56</v>
      </c>
      <c r="AH49" s="28">
        <v>3.8068557812567927</v>
      </c>
      <c r="AI49" s="29">
        <v>0.12616727387392698</v>
      </c>
      <c r="AJ49" s="67"/>
      <c r="AK49" s="42">
        <v>27</v>
      </c>
      <c r="AL49" s="43">
        <v>3.8147239602769316</v>
      </c>
      <c r="AM49" s="67">
        <v>0.25530532112675114</v>
      </c>
      <c r="AN49" s="10" t="str">
        <f t="shared" si="11"/>
        <v>NV</v>
      </c>
      <c r="AO49" s="10" t="str">
        <f t="shared" si="12"/>
        <v xml:space="preserve"> </v>
      </c>
      <c r="AP49" s="114">
        <f t="shared" si="13"/>
        <v>-7.8681790201389212E-3</v>
      </c>
      <c r="AQ49" s="67"/>
      <c r="AR49" s="42">
        <v>31.527245969999999</v>
      </c>
      <c r="AS49" s="43">
        <v>3.6969696969696964</v>
      </c>
      <c r="AT49" s="67">
        <v>0.18631385485843041</v>
      </c>
      <c r="AU49" s="10">
        <f t="shared" si="14"/>
        <v>0.48835349661005872</v>
      </c>
      <c r="AV49" s="10" t="str">
        <f t="shared" si="15"/>
        <v xml:space="preserve"> </v>
      </c>
      <c r="AW49" s="10"/>
      <c r="AX49" s="53">
        <v>47</v>
      </c>
      <c r="AY49" s="55">
        <v>3.458396377292432</v>
      </c>
      <c r="AZ49" s="56">
        <v>0.15532970822996128</v>
      </c>
      <c r="BA49" s="10">
        <f t="shared" si="16"/>
        <v>1.7413069491644075</v>
      </c>
      <c r="BB49" s="10" t="str">
        <f t="shared" si="17"/>
        <v xml:space="preserve"> </v>
      </c>
      <c r="BC49" s="10"/>
      <c r="BD49" s="54">
        <v>21</v>
      </c>
      <c r="BE49" s="57">
        <v>3.0000000000000004</v>
      </c>
      <c r="BF49" s="58">
        <v>0.17991813985277955</v>
      </c>
      <c r="BG49" s="10" t="str">
        <f t="shared" si="18"/>
        <v>NV</v>
      </c>
      <c r="BH49" s="10" t="str">
        <f t="shared" si="19"/>
        <v xml:space="preserve"> </v>
      </c>
      <c r="BI49" s="114">
        <f t="shared" si="20"/>
        <v>0.80685578125679225</v>
      </c>
      <c r="BJ49" s="76"/>
      <c r="BK49" s="27">
        <v>639</v>
      </c>
      <c r="BL49" s="28">
        <v>3.7677731515899335</v>
      </c>
      <c r="BM49" s="29">
        <v>4.2191428475888221E-2</v>
      </c>
      <c r="BN49" s="10"/>
      <c r="BO49" s="42">
        <v>184</v>
      </c>
      <c r="BP49" s="43">
        <v>3.695674291924429</v>
      </c>
      <c r="BQ49" s="67">
        <v>8.4340679419999134E-2</v>
      </c>
      <c r="BR49" s="10">
        <f t="shared" si="21"/>
        <v>0.76452704087402434</v>
      </c>
      <c r="BS49" s="10" t="str">
        <f t="shared" si="22"/>
        <v xml:space="preserve"> </v>
      </c>
      <c r="BT49" s="114">
        <f t="shared" si="23"/>
        <v>7.2098859665504555E-2</v>
      </c>
      <c r="BU49" s="10"/>
      <c r="BV49" s="42">
        <v>85.539035430000055</v>
      </c>
      <c r="BW49" s="43">
        <v>2.994082137617577</v>
      </c>
      <c r="BX49" s="67">
        <v>9.8285567079768918E-2</v>
      </c>
      <c r="BY49" s="10">
        <f t="shared" si="24"/>
        <v>7.2335473124004945</v>
      </c>
      <c r="BZ49" s="10" t="str">
        <f t="shared" si="25"/>
        <v>*</v>
      </c>
      <c r="CA49" s="10"/>
      <c r="CB49" s="53">
        <v>158</v>
      </c>
      <c r="CC49" s="55">
        <v>3.0208922120393087</v>
      </c>
      <c r="CD49" s="56">
        <v>4.3004699009842398E-2</v>
      </c>
      <c r="CE49" s="10">
        <f t="shared" si="26"/>
        <v>12.397289220676813</v>
      </c>
      <c r="CF49" s="10" t="str">
        <f t="shared" si="27"/>
        <v>*</v>
      </c>
      <c r="CG49" s="10"/>
      <c r="CH49" s="54">
        <v>219</v>
      </c>
      <c r="CI49" s="57">
        <v>3.4910000312746794</v>
      </c>
      <c r="CJ49" s="58">
        <v>6.8530252045243337E-2</v>
      </c>
      <c r="CK49" s="10">
        <f t="shared" si="28"/>
        <v>3.4391674356843689</v>
      </c>
      <c r="CL49" s="10" t="str">
        <f t="shared" si="29"/>
        <v>*</v>
      </c>
      <c r="CM49" s="114">
        <f t="shared" si="30"/>
        <v>0.27677312031525414</v>
      </c>
      <c r="CN49" s="76"/>
      <c r="CO49" s="27">
        <v>332</v>
      </c>
      <c r="CP49" s="28">
        <v>3.9435660029439989</v>
      </c>
      <c r="CQ49" s="29">
        <v>5.8050431569876208E-2</v>
      </c>
      <c r="CR49" s="67"/>
      <c r="CS49" s="42">
        <v>103</v>
      </c>
      <c r="CT49" s="43">
        <v>3.8255639837549542</v>
      </c>
      <c r="CU49" s="67">
        <v>9.7864944097069528E-2</v>
      </c>
      <c r="CV49" s="10">
        <f t="shared" si="31"/>
        <v>1.0370463277258199</v>
      </c>
      <c r="CW49" s="10" t="str">
        <f t="shared" si="32"/>
        <v xml:space="preserve"> </v>
      </c>
      <c r="CX49" s="114">
        <f t="shared" si="33"/>
        <v>0.11800201918904474</v>
      </c>
      <c r="CY49" s="10"/>
      <c r="CZ49" s="42">
        <v>100.40073258000001</v>
      </c>
      <c r="DA49" s="43">
        <v>3.9221947430136987</v>
      </c>
      <c r="DB49" s="67">
        <v>0.10107525308377123</v>
      </c>
      <c r="DC49" s="10">
        <f t="shared" si="34"/>
        <v>0.1833510376408532</v>
      </c>
      <c r="DD49" s="10" t="str">
        <f t="shared" si="35"/>
        <v xml:space="preserve"> </v>
      </c>
      <c r="DE49" s="10"/>
      <c r="DF49" s="53">
        <v>115</v>
      </c>
      <c r="DG49" s="55">
        <v>3.9972493416861696</v>
      </c>
      <c r="DH49" s="56">
        <v>9.4967386147351188E-2</v>
      </c>
      <c r="DI49" s="10">
        <f t="shared" si="36"/>
        <v>-0.48231126223778314</v>
      </c>
      <c r="DJ49" s="10" t="str">
        <f t="shared" si="0"/>
        <v xml:space="preserve"> </v>
      </c>
      <c r="DK49" s="10"/>
      <c r="DL49" s="54">
        <v>102</v>
      </c>
      <c r="DM49" s="57">
        <v>3.5547455468753832</v>
      </c>
      <c r="DN49" s="58">
        <v>0.10939847322705351</v>
      </c>
      <c r="DO49" s="10">
        <f t="shared" si="37"/>
        <v>3.1395431619996179</v>
      </c>
      <c r="DP49" s="10" t="str">
        <f t="shared" si="38"/>
        <v>*</v>
      </c>
      <c r="DQ49" s="114">
        <f t="shared" si="39"/>
        <v>0.38882045606861571</v>
      </c>
      <c r="DR49" s="76"/>
      <c r="DS49" s="27">
        <v>111</v>
      </c>
      <c r="DT49" s="28">
        <v>3.6342152227944791</v>
      </c>
      <c r="DU49" s="29">
        <v>0.10466974630462546</v>
      </c>
      <c r="DV49" s="10"/>
      <c r="DW49" s="42">
        <v>48</v>
      </c>
      <c r="DX49" s="43">
        <v>3.6883892822281257</v>
      </c>
      <c r="DY49" s="67">
        <v>0.16377578445096352</v>
      </c>
      <c r="DZ49" s="10">
        <f t="shared" si="40"/>
        <v>-0.27872144502634516</v>
      </c>
      <c r="EA49" s="10" t="str">
        <f t="shared" si="41"/>
        <v xml:space="preserve"> </v>
      </c>
      <c r="EB49" s="114">
        <f t="shared" si="42"/>
        <v>-5.4174059433646615E-2</v>
      </c>
      <c r="EC49" s="10"/>
      <c r="ED49" s="42">
        <v>42.291832170000028</v>
      </c>
      <c r="EE49" s="43">
        <v>3.6106319079814888</v>
      </c>
      <c r="EF49" s="67">
        <v>0.16847251441578664</v>
      </c>
      <c r="EG49" s="10">
        <f t="shared" si="43"/>
        <v>0.11890349056424149</v>
      </c>
      <c r="EH49" s="10" t="str">
        <f t="shared" si="44"/>
        <v xml:space="preserve"> </v>
      </c>
      <c r="EI49" s="10"/>
      <c r="EJ49" s="53">
        <v>48</v>
      </c>
      <c r="EK49" s="55">
        <v>3.541666666666667</v>
      </c>
      <c r="EL49" s="56">
        <v>0.15964454388243113</v>
      </c>
      <c r="EM49" s="10">
        <f t="shared" si="45"/>
        <v>0.48480571889887536</v>
      </c>
      <c r="EN49" s="10" t="str">
        <f t="shared" si="46"/>
        <v xml:space="preserve"> </v>
      </c>
      <c r="EO49" s="10"/>
      <c r="EP49" s="54">
        <v>36</v>
      </c>
      <c r="EQ49" s="57">
        <v>3.5277777777777777</v>
      </c>
      <c r="ER49" s="58">
        <v>0.15561535353668712</v>
      </c>
      <c r="ES49" s="10">
        <f t="shared" si="47"/>
        <v>0.56754011369357982</v>
      </c>
      <c r="ET49" s="10" t="str">
        <f t="shared" si="48"/>
        <v xml:space="preserve"> </v>
      </c>
      <c r="EU49" s="114">
        <f t="shared" si="49"/>
        <v>0.10643744501670138</v>
      </c>
      <c r="EV49" s="76"/>
      <c r="EW49" s="27">
        <v>276</v>
      </c>
      <c r="EX49" s="28">
        <v>3.8899127606558692</v>
      </c>
      <c r="EY49" s="29">
        <v>6.2846826736519576E-2</v>
      </c>
      <c r="EZ49" s="10"/>
      <c r="FA49" s="42">
        <v>80</v>
      </c>
      <c r="FB49" s="43">
        <v>3.8503332082505946</v>
      </c>
      <c r="FC49" s="67">
        <v>0.1126280581352009</v>
      </c>
      <c r="FD49" s="10">
        <f t="shared" si="50"/>
        <v>0.30687537920058855</v>
      </c>
      <c r="FE49" s="10" t="str">
        <f t="shared" si="51"/>
        <v xml:space="preserve"> </v>
      </c>
      <c r="FF49" s="114">
        <f t="shared" si="52"/>
        <v>3.9579552405274665E-2</v>
      </c>
      <c r="FG49" s="10"/>
      <c r="FH49" s="42">
        <v>63.225628110000031</v>
      </c>
      <c r="FI49" s="43">
        <v>3.3551158182396743</v>
      </c>
      <c r="FJ49" s="67">
        <v>0.15073898002786282</v>
      </c>
      <c r="FK49" s="10">
        <f t="shared" si="53"/>
        <v>3.2746238429724519</v>
      </c>
      <c r="FL49" s="10" t="str">
        <f t="shared" si="54"/>
        <v>*</v>
      </c>
      <c r="FM49" s="10"/>
      <c r="FN49" s="53">
        <v>72</v>
      </c>
      <c r="FO49" s="55">
        <v>3.904646009485774</v>
      </c>
      <c r="FP49" s="56">
        <v>0.10378152344046677</v>
      </c>
      <c r="FQ49" s="10">
        <f t="shared" si="55"/>
        <v>-0.12143385344387848</v>
      </c>
      <c r="FR49" s="10" t="str">
        <f t="shared" si="56"/>
        <v xml:space="preserve"> </v>
      </c>
      <c r="FS49" s="10"/>
      <c r="FT49" s="54">
        <v>130</v>
      </c>
      <c r="FU49" s="57">
        <v>2.9719195212962788</v>
      </c>
      <c r="FV49" s="58">
        <v>8.2549632751041338E-2</v>
      </c>
      <c r="FW49" s="10">
        <f t="shared" si="57"/>
        <v>8.8480852760097921</v>
      </c>
      <c r="FX49" s="10" t="str">
        <f t="shared" si="125"/>
        <v>*</v>
      </c>
      <c r="FY49" s="114">
        <f t="shared" si="58"/>
        <v>0.91799323935959043</v>
      </c>
      <c r="FZ49" s="76"/>
      <c r="GA49" s="27">
        <v>72</v>
      </c>
      <c r="GB49" s="28">
        <v>3.5197898306669533</v>
      </c>
      <c r="GC49" s="29">
        <v>0.1368935689283193</v>
      </c>
      <c r="GD49" s="67"/>
      <c r="GE49" s="42">
        <v>57</v>
      </c>
      <c r="GF49" s="43">
        <v>3.7910757372092005</v>
      </c>
      <c r="GG49" s="67">
        <v>0.12899202336985055</v>
      </c>
      <c r="GH49" s="10">
        <f t="shared" si="59"/>
        <v>-1.4423004425795507</v>
      </c>
      <c r="GI49" s="10" t="str">
        <f t="shared" si="60"/>
        <v xml:space="preserve"> </v>
      </c>
      <c r="GJ49" s="114">
        <f t="shared" si="61"/>
        <v>-0.27128590654224727</v>
      </c>
      <c r="GK49" s="67"/>
      <c r="GL49" s="42">
        <v>64.838832869999962</v>
      </c>
      <c r="GM49" s="43">
        <v>3.790176380607019</v>
      </c>
      <c r="GN49" s="67">
        <v>0.1301375116735414</v>
      </c>
      <c r="GO49" s="10">
        <f t="shared" si="62"/>
        <v>-1.4315262384006928</v>
      </c>
      <c r="GP49" s="10" t="str">
        <f t="shared" si="63"/>
        <v xml:space="preserve"> </v>
      </c>
      <c r="GQ49" s="10"/>
      <c r="GR49" s="53">
        <v>78</v>
      </c>
      <c r="GS49" s="55">
        <v>3.5208121507403178</v>
      </c>
      <c r="GT49" s="56">
        <v>0.11549259416986014</v>
      </c>
      <c r="GU49" s="10">
        <f t="shared" si="64"/>
        <v>-5.7079560008587802E-3</v>
      </c>
      <c r="GV49" s="10" t="str">
        <f t="shared" si="65"/>
        <v xml:space="preserve"> </v>
      </c>
      <c r="GW49" s="10"/>
      <c r="GX49" s="54">
        <v>79</v>
      </c>
      <c r="GY49" s="57">
        <v>3.7911877403492671</v>
      </c>
      <c r="GZ49" s="58">
        <v>0.11450500046689781</v>
      </c>
      <c r="HA49" s="10">
        <f t="shared" si="66"/>
        <v>-1.5206991265637853</v>
      </c>
      <c r="HB49" s="10" t="str">
        <f t="shared" si="126"/>
        <v xml:space="preserve"> </v>
      </c>
      <c r="HC49" s="114">
        <f t="shared" si="67"/>
        <v>-0.27139790968231381</v>
      </c>
      <c r="HD49" s="76"/>
      <c r="HE49" s="27">
        <v>110</v>
      </c>
      <c r="HF49" s="28">
        <v>3.6421683687295396</v>
      </c>
      <c r="HG49" s="29">
        <v>8.9685479186111056E-2</v>
      </c>
      <c r="HH49" s="10"/>
      <c r="HI49" s="42">
        <v>69</v>
      </c>
      <c r="HJ49" s="43">
        <v>3.5854510154803227</v>
      </c>
      <c r="HK49" s="67">
        <v>0.14996388565926233</v>
      </c>
      <c r="HL49" s="10">
        <f t="shared" si="68"/>
        <v>0.32458891996554179</v>
      </c>
      <c r="HM49" s="10" t="str">
        <f t="shared" si="69"/>
        <v xml:space="preserve"> </v>
      </c>
      <c r="HN49" s="114">
        <f t="shared" si="70"/>
        <v>5.6717353249216895E-2</v>
      </c>
      <c r="HO49" s="10"/>
      <c r="HP49" s="42">
        <v>63.821652149999956</v>
      </c>
      <c r="HQ49" s="43">
        <v>3.8280266033507875</v>
      </c>
      <c r="HR49" s="67">
        <v>0.14758301447095276</v>
      </c>
      <c r="HS49" s="10">
        <f t="shared" si="71"/>
        <v>-1.076210383741681</v>
      </c>
      <c r="HT49" s="10" t="str">
        <f t="shared" si="72"/>
        <v xml:space="preserve"> </v>
      </c>
      <c r="HU49" s="10"/>
      <c r="HV49" s="53">
        <v>48</v>
      </c>
      <c r="HW49" s="55">
        <v>3.6997737302167217</v>
      </c>
      <c r="HX49" s="56">
        <v>0.14185783959534293</v>
      </c>
      <c r="HY49" s="10">
        <f t="shared" si="73"/>
        <v>-0.34323502070617318</v>
      </c>
      <c r="HZ49" s="10" t="str">
        <f t="shared" si="74"/>
        <v xml:space="preserve"> </v>
      </c>
      <c r="IA49" s="10"/>
      <c r="IB49" s="54">
        <v>73</v>
      </c>
      <c r="IC49" s="57">
        <v>3.6992907802359989</v>
      </c>
      <c r="ID49" s="58">
        <v>0.13021526800654223</v>
      </c>
      <c r="IE49" s="10">
        <f t="shared" si="75"/>
        <v>-0.36127745573377018</v>
      </c>
      <c r="IF49" s="10" t="str">
        <f t="shared" si="127"/>
        <v xml:space="preserve"> </v>
      </c>
      <c r="IG49" s="114">
        <f t="shared" si="76"/>
        <v>-5.7122411506459247E-2</v>
      </c>
      <c r="IH49" s="76"/>
      <c r="II49" s="27">
        <v>224</v>
      </c>
      <c r="IJ49" s="28">
        <v>3.705335183609376</v>
      </c>
      <c r="IK49" s="29">
        <v>7.3049742391136971E-2</v>
      </c>
      <c r="IL49" s="10"/>
      <c r="IM49" s="42">
        <v>158</v>
      </c>
      <c r="IN49" s="43">
        <v>3.6125397962526109</v>
      </c>
      <c r="IO49" s="67">
        <v>8.7442305962537728E-2</v>
      </c>
      <c r="IP49" s="10">
        <f t="shared" si="77"/>
        <v>0.81442019160239287</v>
      </c>
      <c r="IQ49" s="10" t="str">
        <f t="shared" si="78"/>
        <v xml:space="preserve"> </v>
      </c>
      <c r="IR49" s="114">
        <f t="shared" si="79"/>
        <v>9.2795387356765069E-2</v>
      </c>
      <c r="IS49" s="10"/>
      <c r="IT49" s="42">
        <v>192.02288003000055</v>
      </c>
      <c r="IU49" s="43">
        <v>3.8126464655442107</v>
      </c>
      <c r="IV49" s="67">
        <v>7.3755210863638968E-2</v>
      </c>
      <c r="IW49" s="10">
        <f t="shared" si="80"/>
        <v>-1.0337479403171519</v>
      </c>
      <c r="IX49" s="10" t="str">
        <f t="shared" si="81"/>
        <v xml:space="preserve"> </v>
      </c>
      <c r="IY49" s="10"/>
      <c r="IZ49" s="53">
        <v>176</v>
      </c>
      <c r="JA49" s="55">
        <v>3.7602397412557265</v>
      </c>
      <c r="JB49" s="56">
        <v>7.4695012948245668E-2</v>
      </c>
      <c r="JC49" s="10">
        <f t="shared" si="82"/>
        <v>-0.52551412677706066</v>
      </c>
      <c r="JD49" s="10" t="str">
        <f t="shared" si="83"/>
        <v xml:space="preserve"> </v>
      </c>
      <c r="JE49" s="10"/>
      <c r="JF49" s="54">
        <v>202</v>
      </c>
      <c r="JG49" s="57">
        <v>3.7579053883801463</v>
      </c>
      <c r="JH49" s="58">
        <v>6.9352353706688782E-2</v>
      </c>
      <c r="JI49" s="10">
        <f t="shared" si="84"/>
        <v>-0.52190558427714595</v>
      </c>
      <c r="JJ49" s="10" t="str">
        <f t="shared" si="85"/>
        <v xml:space="preserve"> </v>
      </c>
      <c r="JK49" s="114">
        <f t="shared" si="86"/>
        <v>-5.2570204770770346E-2</v>
      </c>
      <c r="JL49" s="76"/>
      <c r="JM49" s="27">
        <v>11</v>
      </c>
      <c r="JN49" s="28">
        <v>3.7272727272727271</v>
      </c>
      <c r="JO49" s="29">
        <v>0.332933600357673</v>
      </c>
      <c r="JP49" s="10"/>
      <c r="JQ49" s="42">
        <v>10</v>
      </c>
      <c r="JR49" s="43">
        <v>4.2986247547231482</v>
      </c>
      <c r="JS49" s="67">
        <v>0.26046898751423375</v>
      </c>
      <c r="JT49" s="10" t="str">
        <f t="shared" si="87"/>
        <v>NV</v>
      </c>
      <c r="JU49" s="10" t="str">
        <f t="shared" si="88"/>
        <v xml:space="preserve"> </v>
      </c>
      <c r="JV49" s="114">
        <f t="shared" si="89"/>
        <v>-0.57135202745042113</v>
      </c>
      <c r="JW49" s="10"/>
      <c r="JX49" s="42">
        <v>10.891313290000001</v>
      </c>
      <c r="JY49" s="43">
        <v>4.1818181818181808</v>
      </c>
      <c r="JZ49" s="67">
        <v>0.26492319197035563</v>
      </c>
      <c r="KA49" s="10" t="str">
        <f t="shared" si="90"/>
        <v>NV</v>
      </c>
      <c r="KB49" s="10" t="str">
        <f t="shared" si="91"/>
        <v xml:space="preserve"> </v>
      </c>
      <c r="KC49" s="10"/>
      <c r="KD49" s="53">
        <v>5</v>
      </c>
      <c r="KE49" s="55">
        <v>3.6</v>
      </c>
      <c r="KF49" s="56">
        <v>0.68814915718320391</v>
      </c>
      <c r="KG49" s="10" t="str">
        <f t="shared" si="92"/>
        <v>NV</v>
      </c>
      <c r="KH49" s="10" t="str">
        <f t="shared" si="93"/>
        <v xml:space="preserve"> </v>
      </c>
      <c r="KI49" s="10"/>
      <c r="KJ49" s="54">
        <v>8</v>
      </c>
      <c r="KK49" s="57">
        <v>3.6250000000000004</v>
      </c>
      <c r="KL49" s="58">
        <v>0.55324244478578799</v>
      </c>
      <c r="KM49" s="10" t="str">
        <f t="shared" si="94"/>
        <v>NV</v>
      </c>
      <c r="KN49" s="10" t="str">
        <f t="shared" si="95"/>
        <v xml:space="preserve"> </v>
      </c>
      <c r="KO49" s="114">
        <f t="shared" si="96"/>
        <v>0.10227272727272663</v>
      </c>
      <c r="KP49" s="76"/>
      <c r="KQ49" s="27">
        <v>133</v>
      </c>
      <c r="KR49" s="28">
        <v>3.5487855768835317</v>
      </c>
      <c r="KS49" s="29">
        <v>9.9192186798412393E-2</v>
      </c>
      <c r="KT49" s="10"/>
      <c r="KU49" s="42">
        <v>73</v>
      </c>
      <c r="KV49" s="43">
        <v>3.507273706803042</v>
      </c>
      <c r="KW49" s="67">
        <v>0.12974102231003851</v>
      </c>
      <c r="KX49" s="10">
        <f t="shared" si="97"/>
        <v>0.25418267739530043</v>
      </c>
      <c r="KY49" s="10" t="str">
        <f t="shared" si="98"/>
        <v xml:space="preserve"> </v>
      </c>
      <c r="KZ49" s="114">
        <f t="shared" si="99"/>
        <v>4.1511870080489732E-2</v>
      </c>
      <c r="LA49" s="10"/>
      <c r="LB49" s="42">
        <v>127.93402174000002</v>
      </c>
      <c r="LC49" s="43">
        <v>3.8904074131391413</v>
      </c>
      <c r="LD49" s="67">
        <v>8.4292716700029025E-2</v>
      </c>
      <c r="LE49" s="10">
        <f t="shared" si="100"/>
        <v>-2.6244188001320778</v>
      </c>
      <c r="LF49" s="10" t="str">
        <f t="shared" si="101"/>
        <v>*</v>
      </c>
      <c r="LG49" s="10"/>
      <c r="LH49" s="53">
        <v>206</v>
      </c>
      <c r="LI49" s="55">
        <v>3.6047521094654837</v>
      </c>
      <c r="LJ49" s="56">
        <v>7.0972303945120274E-2</v>
      </c>
      <c r="LK49" s="10">
        <f t="shared" si="102"/>
        <v>-0.45886297019474837</v>
      </c>
      <c r="LL49" s="10" t="str">
        <f t="shared" si="103"/>
        <v xml:space="preserve"> </v>
      </c>
      <c r="LM49" s="10"/>
      <c r="LN49" s="54">
        <v>185</v>
      </c>
      <c r="LO49" s="57">
        <v>3.6049038224267114</v>
      </c>
      <c r="LP49" s="58">
        <v>7.5870534409955379E-2</v>
      </c>
      <c r="LQ49" s="10">
        <f t="shared" si="104"/>
        <v>-0.44937140894691041</v>
      </c>
      <c r="LR49" s="10" t="str">
        <f t="shared" si="128"/>
        <v xml:space="preserve"> </v>
      </c>
      <c r="LS49" s="114">
        <f t="shared" si="105"/>
        <v>-5.6118245543179679E-2</v>
      </c>
      <c r="LT49" s="76"/>
      <c r="LU49" s="27">
        <v>39</v>
      </c>
      <c r="LV49" s="28">
        <v>3.9230769230769234</v>
      </c>
      <c r="LW49" s="29">
        <v>0.14415140110885671</v>
      </c>
      <c r="LX49" s="10"/>
      <c r="LY49" s="42">
        <v>34</v>
      </c>
      <c r="LZ49" s="43">
        <v>3.9705882352941173</v>
      </c>
      <c r="MA49" s="67">
        <v>0.18623130081394179</v>
      </c>
      <c r="MB49" s="10">
        <f t="shared" si="106"/>
        <v>-0.20174386806030928</v>
      </c>
      <c r="MC49" s="10" t="str">
        <f t="shared" si="107"/>
        <v xml:space="preserve"> </v>
      </c>
      <c r="MD49" s="114">
        <f t="shared" si="108"/>
        <v>-4.7511312217193957E-2</v>
      </c>
      <c r="ME49" s="10"/>
      <c r="MF49" s="42">
        <v>57.585873549999924</v>
      </c>
      <c r="MG49" s="43">
        <v>3.9339850488384234</v>
      </c>
      <c r="MH49" s="67">
        <v>0.10732278074551464</v>
      </c>
      <c r="MI49" s="10">
        <f t="shared" si="109"/>
        <v>-6.0696497045301327E-2</v>
      </c>
      <c r="MJ49" s="10" t="str">
        <f t="shared" si="110"/>
        <v xml:space="preserve"> </v>
      </c>
      <c r="MK49" s="10"/>
      <c r="ML49" s="53">
        <v>112</v>
      </c>
      <c r="MM49" s="55">
        <v>3.7053571428571437</v>
      </c>
      <c r="MN49" s="56">
        <v>8.8572130085759718E-2</v>
      </c>
      <c r="MO49" s="10">
        <f t="shared" si="111"/>
        <v>1.2868496381162187</v>
      </c>
      <c r="MP49" s="10" t="str">
        <f t="shared" si="112"/>
        <v xml:space="preserve"> </v>
      </c>
      <c r="MQ49" s="10"/>
      <c r="MR49" s="54">
        <v>100</v>
      </c>
      <c r="MS49" s="57">
        <v>3.8161281309739268</v>
      </c>
      <c r="MT49" s="58">
        <v>0.10615495089074166</v>
      </c>
      <c r="MU49" s="10">
        <f t="shared" si="113"/>
        <v>0.59740936988101512</v>
      </c>
      <c r="MV49" s="10" t="str">
        <f t="shared" si="114"/>
        <v xml:space="preserve"> </v>
      </c>
      <c r="MW49" s="114">
        <f t="shared" si="115"/>
        <v>0.10694879210299657</v>
      </c>
      <c r="MX49" s="76"/>
      <c r="MY49" s="27">
        <v>51</v>
      </c>
      <c r="MZ49" s="28">
        <v>3.9412506455739296</v>
      </c>
      <c r="NA49" s="29">
        <v>0.13253235822707451</v>
      </c>
      <c r="NB49" s="10"/>
      <c r="NC49" s="42">
        <v>49</v>
      </c>
      <c r="ND49" s="43">
        <v>4.0425190529744128</v>
      </c>
      <c r="NE49" s="67">
        <v>0.13359194413115472</v>
      </c>
      <c r="NF49" s="10">
        <f t="shared" si="116"/>
        <v>-0.53814709425851881</v>
      </c>
      <c r="NG49" s="10" t="str">
        <f t="shared" si="117"/>
        <v xml:space="preserve"> </v>
      </c>
      <c r="NH49" s="114">
        <f t="shared" si="118"/>
        <v>-0.10126840740048326</v>
      </c>
      <c r="NI49" s="10"/>
      <c r="NJ49" s="42">
        <v>30.339377420000009</v>
      </c>
      <c r="NK49" s="43">
        <v>3.9020956122836616</v>
      </c>
      <c r="NL49" s="67">
        <v>0.17338710413498687</v>
      </c>
      <c r="NM49" s="10">
        <f t="shared" si="119"/>
        <v>0.1794142020129636</v>
      </c>
      <c r="NN49" s="10" t="str">
        <f t="shared" si="120"/>
        <v xml:space="preserve"> </v>
      </c>
      <c r="NO49" s="10"/>
      <c r="NP49" s="53">
        <v>61</v>
      </c>
      <c r="NQ49" s="55">
        <v>3.6862811044156429</v>
      </c>
      <c r="NR49" s="56">
        <v>0.12811529358658907</v>
      </c>
      <c r="NS49" s="10">
        <f t="shared" si="121"/>
        <v>1.3832068510121256</v>
      </c>
      <c r="NT49" s="10" t="str">
        <f t="shared" si="122"/>
        <v xml:space="preserve"> </v>
      </c>
      <c r="NU49" s="10"/>
      <c r="NV49" s="54">
        <v>63</v>
      </c>
      <c r="NW49" s="57">
        <v>3.9511881059426162</v>
      </c>
      <c r="NX49" s="58">
        <v>0.13011825166004737</v>
      </c>
      <c r="NY49" s="10">
        <f t="shared" si="123"/>
        <v>-5.3504911493429064E-2</v>
      </c>
      <c r="NZ49" s="10" t="str">
        <f t="shared" si="129"/>
        <v xml:space="preserve"> </v>
      </c>
      <c r="OA49" s="114">
        <f t="shared" si="124"/>
        <v>-9.9374603686865903E-3</v>
      </c>
      <c r="OB49" s="5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8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5" sqref="K15"/>
    </sheetView>
  </sheetViews>
  <sheetFormatPr defaultRowHeight="12.55" x14ac:dyDescent="0.2"/>
  <cols>
    <col min="1" max="2" width="20.5546875" style="5" bestFit="1" customWidth="1"/>
    <col min="3" max="3" width="8.77734375" style="2" bestFit="1" customWidth="1"/>
    <col min="4" max="4" width="4.109375" style="2" bestFit="1" customWidth="1"/>
    <col min="5" max="5" width="4.21875" style="2" bestFit="1" customWidth="1"/>
    <col min="6" max="6" width="4.109375" style="2" bestFit="1" customWidth="1"/>
    <col min="7" max="7" width="7.21875" style="2" bestFit="1" customWidth="1"/>
    <col min="8" max="8" width="4.44140625" style="2" bestFit="1" customWidth="1"/>
    <col min="9" max="9" width="4.5546875" style="2" customWidth="1"/>
    <col min="10" max="16384" width="8.88671875" style="2"/>
  </cols>
  <sheetData>
    <row r="1" spans="1:8" ht="21.3" x14ac:dyDescent="0.2">
      <c r="A1" s="4"/>
      <c r="B1" s="4"/>
      <c r="C1" s="1" t="s">
        <v>67</v>
      </c>
      <c r="D1" s="1" t="s">
        <v>0</v>
      </c>
      <c r="E1" s="1" t="s">
        <v>1</v>
      </c>
      <c r="F1" s="1" t="s">
        <v>7</v>
      </c>
      <c r="G1" s="1" t="s">
        <v>87</v>
      </c>
      <c r="H1" s="1" t="s">
        <v>88</v>
      </c>
    </row>
    <row r="2" spans="1:8" ht="21.3" x14ac:dyDescent="0.2">
      <c r="A2" s="6"/>
      <c r="B2" s="6" t="s">
        <v>89</v>
      </c>
      <c r="C2" s="3">
        <v>3553</v>
      </c>
      <c r="D2" s="3">
        <v>1259</v>
      </c>
      <c r="E2" s="3">
        <v>801</v>
      </c>
      <c r="F2" s="3">
        <v>1493</v>
      </c>
      <c r="G2" s="3">
        <v>27245</v>
      </c>
      <c r="H2" s="3">
        <v>5812</v>
      </c>
    </row>
    <row r="3" spans="1:8" x14ac:dyDescent="0.2">
      <c r="A3" s="6"/>
      <c r="B3" s="13"/>
      <c r="C3" s="3"/>
      <c r="D3" s="3"/>
      <c r="E3" s="3"/>
      <c r="F3" s="3"/>
      <c r="G3" s="3"/>
      <c r="H3" s="3"/>
    </row>
    <row r="4" spans="1:8" x14ac:dyDescent="0.2">
      <c r="A4" s="6" t="s">
        <v>10</v>
      </c>
      <c r="B4" s="6" t="s">
        <v>2</v>
      </c>
      <c r="C4" s="3">
        <v>3421</v>
      </c>
      <c r="D4" s="3">
        <v>1227</v>
      </c>
      <c r="E4" s="3">
        <v>765</v>
      </c>
      <c r="F4" s="3">
        <v>1429</v>
      </c>
      <c r="G4" s="3">
        <v>26592</v>
      </c>
      <c r="H4" s="3">
        <v>5640</v>
      </c>
    </row>
    <row r="5" spans="1:8" x14ac:dyDescent="0.2">
      <c r="A5" s="15">
        <v>5</v>
      </c>
      <c r="B5" s="6" t="s">
        <v>82</v>
      </c>
      <c r="C5" s="14">
        <v>0.16113760999115243</v>
      </c>
      <c r="D5" s="14">
        <v>0.13993341381159058</v>
      </c>
      <c r="E5" s="14">
        <v>0.22959319323355928</v>
      </c>
      <c r="F5" s="14">
        <v>0.14266968732749991</v>
      </c>
      <c r="G5" s="14">
        <v>0.39729007015410095</v>
      </c>
      <c r="H5" s="14">
        <v>0.31421366704046105</v>
      </c>
    </row>
    <row r="6" spans="1:8" x14ac:dyDescent="0.2">
      <c r="A6" s="15">
        <v>4</v>
      </c>
      <c r="B6" s="6" t="s">
        <v>83</v>
      </c>
      <c r="C6" s="14">
        <v>0.36314275483900238</v>
      </c>
      <c r="D6" s="14">
        <v>0.40507855780876439</v>
      </c>
      <c r="E6" s="14">
        <v>0.35695293806101758</v>
      </c>
      <c r="F6" s="14">
        <v>0.33049545383197065</v>
      </c>
      <c r="G6" s="14">
        <v>0.37021214476806813</v>
      </c>
      <c r="H6" s="14">
        <v>0.40359218889733212</v>
      </c>
    </row>
    <row r="7" spans="1:8" x14ac:dyDescent="0.2">
      <c r="A7" s="15">
        <v>3</v>
      </c>
      <c r="B7" s="6" t="s">
        <v>84</v>
      </c>
      <c r="C7" s="14">
        <v>0.32880510081499964</v>
      </c>
      <c r="D7" s="14">
        <v>0.3430910636713207</v>
      </c>
      <c r="E7" s="14">
        <v>0.30098378095555312</v>
      </c>
      <c r="F7" s="14">
        <v>0.33144999162932298</v>
      </c>
      <c r="G7" s="14">
        <v>0.18870621640249419</v>
      </c>
      <c r="H7" s="14">
        <v>0.21320741447127822</v>
      </c>
    </row>
    <row r="8" spans="1:8" x14ac:dyDescent="0.2">
      <c r="A8" s="15">
        <v>2</v>
      </c>
      <c r="B8" s="6" t="s">
        <v>85</v>
      </c>
      <c r="C8" s="14">
        <v>0.12003622789532779</v>
      </c>
      <c r="D8" s="14">
        <v>0.10447898544856128</v>
      </c>
      <c r="E8" s="14">
        <v>9.2860941246098838E-2</v>
      </c>
      <c r="F8" s="14">
        <v>0.14792676727645898</v>
      </c>
      <c r="G8" s="14">
        <v>3.7708643587575516E-2</v>
      </c>
      <c r="H8" s="14">
        <v>5.5555408314342858E-2</v>
      </c>
    </row>
    <row r="9" spans="1:8" x14ac:dyDescent="0.2">
      <c r="A9" s="15">
        <v>1</v>
      </c>
      <c r="B9" s="6" t="s">
        <v>86</v>
      </c>
      <c r="C9" s="14">
        <v>2.6878306459532628E-2</v>
      </c>
      <c r="D9" s="14">
        <v>7.417979259752034E-3</v>
      </c>
      <c r="E9" s="14">
        <v>1.960914650377189E-2</v>
      </c>
      <c r="F9" s="14">
        <v>4.7458099934739068E-2</v>
      </c>
      <c r="G9" s="14">
        <v>6.0829250876480801E-3</v>
      </c>
      <c r="H9" s="14">
        <v>1.3431321276602872E-2</v>
      </c>
    </row>
    <row r="10" spans="1:8" x14ac:dyDescent="0.2">
      <c r="A10" s="6"/>
      <c r="B10" s="6" t="s">
        <v>90</v>
      </c>
      <c r="C10" s="14">
        <f t="shared" ref="C10:H10" si="0">(C5+C6+C7)-(C8+C9)</f>
        <v>0.70617093129029407</v>
      </c>
      <c r="D10" s="14">
        <f t="shared" si="0"/>
        <v>0.77620607058336233</v>
      </c>
      <c r="E10" s="14">
        <f t="shared" si="0"/>
        <v>0.77505982450025923</v>
      </c>
      <c r="F10" s="14">
        <f t="shared" si="0"/>
        <v>0.60923026557759552</v>
      </c>
      <c r="G10" s="14">
        <f t="shared" si="0"/>
        <v>0.91241686264943966</v>
      </c>
      <c r="H10" s="14">
        <f t="shared" si="0"/>
        <v>0.86202654081812558</v>
      </c>
    </row>
    <row r="11" spans="1:8" x14ac:dyDescent="0.2">
      <c r="A11" s="6"/>
      <c r="B11" s="6"/>
      <c r="C11" s="14"/>
      <c r="D11" s="14"/>
      <c r="E11" s="14"/>
      <c r="F11" s="14"/>
      <c r="G11" s="14"/>
      <c r="H11" s="14"/>
    </row>
    <row r="12" spans="1:8" x14ac:dyDescent="0.2">
      <c r="A12" s="16" t="s">
        <v>100</v>
      </c>
      <c r="B12" s="6" t="s">
        <v>2</v>
      </c>
      <c r="C12" s="3">
        <v>1730</v>
      </c>
      <c r="D12" s="3">
        <v>432</v>
      </c>
      <c r="E12" s="3">
        <v>357</v>
      </c>
      <c r="F12" s="3">
        <v>941</v>
      </c>
      <c r="G12" s="3">
        <v>13436</v>
      </c>
      <c r="H12" s="3">
        <v>3453</v>
      </c>
    </row>
    <row r="13" spans="1:8" x14ac:dyDescent="0.2">
      <c r="A13" s="15">
        <v>5</v>
      </c>
      <c r="B13" s="6" t="s">
        <v>82</v>
      </c>
      <c r="C13" s="14">
        <v>0.2244200821132683</v>
      </c>
      <c r="D13" s="14">
        <v>0.243372526955108</v>
      </c>
      <c r="E13" s="14">
        <v>0.27977207972448692</v>
      </c>
      <c r="F13" s="14">
        <v>0.19477698880901995</v>
      </c>
      <c r="G13" s="14">
        <v>0.44406177228331378</v>
      </c>
      <c r="H13" s="14">
        <v>0.33238388216469483</v>
      </c>
    </row>
    <row r="14" spans="1:8" x14ac:dyDescent="0.2">
      <c r="A14" s="15">
        <v>4</v>
      </c>
      <c r="B14" s="6" t="s">
        <v>83</v>
      </c>
      <c r="C14" s="14">
        <v>0.28488856389817774</v>
      </c>
      <c r="D14" s="14">
        <v>0.28877997764288427</v>
      </c>
      <c r="E14" s="14">
        <v>0.32834757843388251</v>
      </c>
      <c r="F14" s="14">
        <v>0.26669241229674784</v>
      </c>
      <c r="G14" s="14">
        <v>0.29108331397671561</v>
      </c>
      <c r="H14" s="14">
        <v>0.34271053849972577</v>
      </c>
    </row>
    <row r="15" spans="1:8" x14ac:dyDescent="0.2">
      <c r="A15" s="15">
        <v>3</v>
      </c>
      <c r="B15" s="6" t="s">
        <v>84</v>
      </c>
      <c r="C15" s="14">
        <v>0.30210793167326627</v>
      </c>
      <c r="D15" s="14">
        <v>0.34435511798700152</v>
      </c>
      <c r="E15" s="14">
        <v>0.32150997142333249</v>
      </c>
      <c r="F15" s="14">
        <v>0.27526536029808341</v>
      </c>
      <c r="G15" s="14">
        <v>0.193531682825093</v>
      </c>
      <c r="H15" s="14">
        <v>0.21964764889475966</v>
      </c>
    </row>
    <row r="16" spans="1:8" x14ac:dyDescent="0.2">
      <c r="A16" s="15">
        <v>2</v>
      </c>
      <c r="B16" s="6" t="s">
        <v>85</v>
      </c>
      <c r="C16" s="14">
        <v>0.13008649400173183</v>
      </c>
      <c r="D16" s="14">
        <v>0.10849890968530834</v>
      </c>
      <c r="E16" s="14">
        <v>5.3561253608846331E-2</v>
      </c>
      <c r="F16" s="14">
        <v>0.16893634922620457</v>
      </c>
      <c r="G16" s="14">
        <v>5.5823522344066408E-2</v>
      </c>
      <c r="H16" s="14">
        <v>7.3090401375928732E-2</v>
      </c>
    </row>
    <row r="17" spans="1:8" x14ac:dyDescent="0.2">
      <c r="A17" s="15">
        <v>1</v>
      </c>
      <c r="B17" s="6" t="s">
        <v>86</v>
      </c>
      <c r="C17" s="14">
        <v>5.8496928313533252E-2</v>
      </c>
      <c r="D17" s="14">
        <v>1.4993467729704642E-2</v>
      </c>
      <c r="E17" s="14">
        <v>1.6809116809451952E-2</v>
      </c>
      <c r="F17" s="14">
        <v>9.4328889369940022E-2</v>
      </c>
      <c r="G17" s="14">
        <v>1.5499708570773339E-2</v>
      </c>
      <c r="H17" s="14">
        <v>3.2167529064907364E-2</v>
      </c>
    </row>
    <row r="18" spans="1:8" x14ac:dyDescent="0.2">
      <c r="A18" s="6"/>
      <c r="B18" s="6" t="s">
        <v>90</v>
      </c>
      <c r="C18" s="14">
        <f t="shared" ref="C18:H18" si="1">(C13+C14+C15)-(C16+C17)</f>
        <v>0.62283315536944706</v>
      </c>
      <c r="D18" s="14">
        <f t="shared" si="1"/>
        <v>0.75301524516998075</v>
      </c>
      <c r="E18" s="14">
        <f t="shared" si="1"/>
        <v>0.85925925916340362</v>
      </c>
      <c r="F18" s="14">
        <f t="shared" si="1"/>
        <v>0.4734695228077066</v>
      </c>
      <c r="G18" s="14">
        <f t="shared" si="1"/>
        <v>0.8573535381702827</v>
      </c>
      <c r="H18" s="14">
        <f t="shared" si="1"/>
        <v>0.78948413911834414</v>
      </c>
    </row>
    <row r="19" spans="1:8" x14ac:dyDescent="0.2">
      <c r="A19" s="6"/>
      <c r="B19" s="6"/>
      <c r="C19" s="14"/>
      <c r="D19" s="14"/>
      <c r="E19" s="14"/>
      <c r="F19" s="14"/>
      <c r="G19" s="14"/>
      <c r="H19" s="14"/>
    </row>
    <row r="20" spans="1:8" x14ac:dyDescent="0.2">
      <c r="A20" s="6" t="s">
        <v>12</v>
      </c>
      <c r="B20" s="6" t="s">
        <v>2</v>
      </c>
      <c r="C20" s="3">
        <v>264</v>
      </c>
      <c r="D20" s="3">
        <v>59</v>
      </c>
      <c r="E20" s="3">
        <v>105</v>
      </c>
      <c r="F20" s="3">
        <v>100</v>
      </c>
      <c r="G20" s="3">
        <v>3035</v>
      </c>
      <c r="H20" s="3">
        <v>984</v>
      </c>
    </row>
    <row r="21" spans="1:8" x14ac:dyDescent="0.2">
      <c r="A21" s="15">
        <v>5</v>
      </c>
      <c r="B21" s="6" t="s">
        <v>82</v>
      </c>
      <c r="C21" s="14">
        <v>0.19496578184305197</v>
      </c>
      <c r="D21" s="14">
        <v>0.27811479604256323</v>
      </c>
      <c r="E21" s="14">
        <v>0.24649589157822946</v>
      </c>
      <c r="F21" s="14">
        <v>8.8707412839046013E-2</v>
      </c>
      <c r="G21" s="14">
        <v>0.32920869965688787</v>
      </c>
      <c r="H21" s="14">
        <v>0.26911869413906481</v>
      </c>
    </row>
    <row r="22" spans="1:8" x14ac:dyDescent="0.2">
      <c r="A22" s="15">
        <v>4</v>
      </c>
      <c r="B22" s="6" t="s">
        <v>83</v>
      </c>
      <c r="C22" s="14">
        <v>0.20939974891940205</v>
      </c>
      <c r="D22" s="14">
        <v>0.24221772130164221</v>
      </c>
      <c r="E22" s="14">
        <v>0.2750120829673226</v>
      </c>
      <c r="F22" s="14">
        <v>0.11972840353614417</v>
      </c>
      <c r="G22" s="14">
        <v>0.28269690717672313</v>
      </c>
      <c r="H22" s="14">
        <v>0.31999921134147558</v>
      </c>
    </row>
    <row r="23" spans="1:8" x14ac:dyDescent="0.2">
      <c r="A23" s="15">
        <v>3</v>
      </c>
      <c r="B23" s="6" t="s">
        <v>84</v>
      </c>
      <c r="C23" s="14">
        <v>0.298395321425034</v>
      </c>
      <c r="D23" s="14">
        <v>0.30597368744783709</v>
      </c>
      <c r="E23" s="14">
        <v>0.35379410362903002</v>
      </c>
      <c r="F23" s="14">
        <v>0.23525535389917754</v>
      </c>
      <c r="G23" s="14">
        <v>0.28268817763910903</v>
      </c>
      <c r="H23" s="14">
        <v>0.26698121558556726</v>
      </c>
    </row>
    <row r="24" spans="1:8" x14ac:dyDescent="0.2">
      <c r="A24" s="15">
        <v>2</v>
      </c>
      <c r="B24" s="6" t="s">
        <v>85</v>
      </c>
      <c r="C24" s="14">
        <v>0.18726536494195031</v>
      </c>
      <c r="D24" s="14">
        <v>0.17369379520795727</v>
      </c>
      <c r="E24" s="14">
        <v>9.5698405090889282E-2</v>
      </c>
      <c r="F24" s="14">
        <v>0.29228046636931126</v>
      </c>
      <c r="G24" s="14">
        <v>8.476612605210064E-2</v>
      </c>
      <c r="H24" s="14">
        <v>9.473576898763221E-2</v>
      </c>
    </row>
    <row r="25" spans="1:8" x14ac:dyDescent="0.2">
      <c r="A25" s="15">
        <v>1</v>
      </c>
      <c r="B25" s="6" t="s">
        <v>86</v>
      </c>
      <c r="C25" s="14">
        <v>0.10997378287056553</v>
      </c>
      <c r="D25" s="14">
        <v>0</v>
      </c>
      <c r="E25" s="14">
        <v>2.8999516734527119E-2</v>
      </c>
      <c r="F25" s="14">
        <v>0.26402836335631941</v>
      </c>
      <c r="G25" s="14">
        <v>2.0640089475181013E-2</v>
      </c>
      <c r="H25" s="14">
        <v>4.9165109946260138E-2</v>
      </c>
    </row>
    <row r="26" spans="1:8" x14ac:dyDescent="0.2">
      <c r="A26" s="6"/>
      <c r="B26" s="6" t="s">
        <v>90</v>
      </c>
      <c r="C26" s="14">
        <f t="shared" ref="C26:H26" si="2">(C21+C22+C23)-(C24+C25)</f>
        <v>0.40552170437497215</v>
      </c>
      <c r="D26" s="14">
        <f t="shared" si="2"/>
        <v>0.6526124095840854</v>
      </c>
      <c r="E26" s="14">
        <f t="shared" si="2"/>
        <v>0.75060415634916577</v>
      </c>
      <c r="F26" s="14">
        <f t="shared" si="2"/>
        <v>-0.11261765945126295</v>
      </c>
      <c r="G26" s="14">
        <f t="shared" si="2"/>
        <v>0.7891875689454384</v>
      </c>
      <c r="H26" s="14">
        <f t="shared" si="2"/>
        <v>0.71219824213221539</v>
      </c>
    </row>
    <row r="27" spans="1:8" x14ac:dyDescent="0.2">
      <c r="A27" s="6"/>
      <c r="B27" s="6"/>
      <c r="C27" s="14"/>
      <c r="D27" s="14"/>
      <c r="E27" s="14"/>
      <c r="F27" s="14"/>
      <c r="G27" s="14"/>
      <c r="H27" s="14"/>
    </row>
    <row r="28" spans="1:8" x14ac:dyDescent="0.2">
      <c r="A28" s="6" t="s">
        <v>13</v>
      </c>
      <c r="B28" s="6" t="s">
        <v>2</v>
      </c>
      <c r="C28" s="3">
        <v>236</v>
      </c>
      <c r="D28" s="3">
        <v>57</v>
      </c>
      <c r="E28" s="3">
        <v>95</v>
      </c>
      <c r="F28" s="3">
        <v>84</v>
      </c>
      <c r="G28" s="3">
        <v>2824</v>
      </c>
      <c r="H28" s="3">
        <v>928</v>
      </c>
    </row>
    <row r="29" spans="1:8" x14ac:dyDescent="0.2">
      <c r="A29" s="15">
        <v>5</v>
      </c>
      <c r="B29" s="6" t="s">
        <v>82</v>
      </c>
      <c r="C29" s="14">
        <v>0.13812025850226184</v>
      </c>
      <c r="D29" s="14">
        <v>0.11390626373591128</v>
      </c>
      <c r="E29" s="14">
        <v>0.18923240934802887</v>
      </c>
      <c r="F29" s="14">
        <v>9.7414455419702589E-2</v>
      </c>
      <c r="G29" s="14">
        <v>0.22600684098526785</v>
      </c>
      <c r="H29" s="14">
        <v>0.17266941473055508</v>
      </c>
    </row>
    <row r="30" spans="1:8" x14ac:dyDescent="0.2">
      <c r="A30" s="15">
        <v>4</v>
      </c>
      <c r="B30" s="6" t="s">
        <v>83</v>
      </c>
      <c r="C30" s="14">
        <v>0.16753091867434414</v>
      </c>
      <c r="D30" s="14">
        <v>0.17622395712134112</v>
      </c>
      <c r="E30" s="14">
        <v>0.20895522366158445</v>
      </c>
      <c r="F30" s="14">
        <v>0.1144590548259287</v>
      </c>
      <c r="G30" s="14">
        <v>0.17850060254065789</v>
      </c>
      <c r="H30" s="14">
        <v>0.2417799511096973</v>
      </c>
    </row>
    <row r="31" spans="1:8" x14ac:dyDescent="0.2">
      <c r="A31" s="15">
        <v>3</v>
      </c>
      <c r="B31" s="6" t="s">
        <v>84</v>
      </c>
      <c r="C31" s="14">
        <v>0.30259448689522683</v>
      </c>
      <c r="D31" s="14">
        <v>0.37156249515203121</v>
      </c>
      <c r="E31" s="14">
        <v>0.31503198283683514</v>
      </c>
      <c r="F31" s="14">
        <v>0.23960180580371782</v>
      </c>
      <c r="G31" s="14">
        <v>0.27162933933997874</v>
      </c>
      <c r="H31" s="14">
        <v>0.27918566613384355</v>
      </c>
    </row>
    <row r="32" spans="1:8" x14ac:dyDescent="0.2">
      <c r="A32" s="15">
        <v>2</v>
      </c>
      <c r="B32" s="6" t="s">
        <v>85</v>
      </c>
      <c r="C32" s="14">
        <v>0.24358707911956212</v>
      </c>
      <c r="D32" s="14">
        <v>0.28593749192005208</v>
      </c>
      <c r="E32" s="14">
        <v>0.1801705758634802</v>
      </c>
      <c r="F32" s="14">
        <v>0.28536429383680234</v>
      </c>
      <c r="G32" s="14">
        <v>0.21752703600398113</v>
      </c>
      <c r="H32" s="14">
        <v>0.20050883574968187</v>
      </c>
    </row>
    <row r="33" spans="1:8" x14ac:dyDescent="0.2">
      <c r="A33" s="15">
        <v>1</v>
      </c>
      <c r="B33" s="6" t="s">
        <v>86</v>
      </c>
      <c r="C33" s="14">
        <v>0.1481672568086092</v>
      </c>
      <c r="D33" s="14">
        <v>5.2369792070664035E-2</v>
      </c>
      <c r="E33" s="14">
        <v>0.10660980829007008</v>
      </c>
      <c r="F33" s="14">
        <v>0.26316039011384718</v>
      </c>
      <c r="G33" s="14">
        <v>0.10633618113011815</v>
      </c>
      <c r="H33" s="14">
        <v>0.10585613227622388</v>
      </c>
    </row>
    <row r="34" spans="1:8" x14ac:dyDescent="0.2">
      <c r="A34" s="6"/>
      <c r="B34" s="6" t="s">
        <v>90</v>
      </c>
      <c r="C34" s="14">
        <f t="shared" ref="C34:H34" si="3">(C29+C30+C31)-(C32+C33)</f>
        <v>0.21649132814366145</v>
      </c>
      <c r="D34" s="14">
        <f t="shared" si="3"/>
        <v>0.32338543201856745</v>
      </c>
      <c r="E34" s="14">
        <f t="shared" si="3"/>
        <v>0.42643923169289827</v>
      </c>
      <c r="F34" s="14">
        <f t="shared" si="3"/>
        <v>-9.7049367901300365E-2</v>
      </c>
      <c r="G34" s="14">
        <f t="shared" si="3"/>
        <v>0.35227356573180513</v>
      </c>
      <c r="H34" s="14">
        <f t="shared" si="3"/>
        <v>0.38727006394819019</v>
      </c>
    </row>
    <row r="35" spans="1:8" x14ac:dyDescent="0.2">
      <c r="A35" s="6"/>
      <c r="B35" s="6"/>
      <c r="C35" s="14"/>
      <c r="D35" s="14"/>
      <c r="E35" s="14"/>
      <c r="F35" s="14"/>
      <c r="G35" s="14"/>
      <c r="H35" s="14"/>
    </row>
    <row r="36" spans="1:8" x14ac:dyDescent="0.2">
      <c r="A36" s="6" t="s">
        <v>14</v>
      </c>
      <c r="B36" s="6" t="s">
        <v>2</v>
      </c>
      <c r="C36" s="3">
        <v>992</v>
      </c>
      <c r="D36" s="3">
        <v>426</v>
      </c>
      <c r="E36" s="3">
        <v>241</v>
      </c>
      <c r="F36" s="3">
        <v>325</v>
      </c>
      <c r="G36" s="3">
        <v>10835</v>
      </c>
      <c r="H36" s="3">
        <v>1532</v>
      </c>
    </row>
    <row r="37" spans="1:8" x14ac:dyDescent="0.2">
      <c r="A37" s="15">
        <v>5</v>
      </c>
      <c r="B37" s="6" t="s">
        <v>82</v>
      </c>
      <c r="C37" s="14">
        <v>0.20060905389911043</v>
      </c>
      <c r="D37" s="14">
        <v>0.20785075244610815</v>
      </c>
      <c r="E37" s="14">
        <v>0.24011836813318052</v>
      </c>
      <c r="F37" s="14">
        <v>0.16193551539083093</v>
      </c>
      <c r="G37" s="14">
        <v>0.4801539277968308</v>
      </c>
      <c r="H37" s="14">
        <v>0.26735367515126918</v>
      </c>
    </row>
    <row r="38" spans="1:8" x14ac:dyDescent="0.2">
      <c r="A38" s="15">
        <v>4</v>
      </c>
      <c r="B38" s="6" t="s">
        <v>83</v>
      </c>
      <c r="C38" s="14">
        <v>0.23765259801963809</v>
      </c>
      <c r="D38" s="14">
        <v>0.20510367200275109</v>
      </c>
      <c r="E38" s="14">
        <v>0.27309236937041775</v>
      </c>
      <c r="F38" s="14">
        <v>0.25465919624057193</v>
      </c>
      <c r="G38" s="14">
        <v>0.25391801467261887</v>
      </c>
      <c r="H38" s="14">
        <v>0.3371576715192815</v>
      </c>
    </row>
    <row r="39" spans="1:8" x14ac:dyDescent="0.2">
      <c r="A39" s="15">
        <v>3</v>
      </c>
      <c r="B39" s="6" t="s">
        <v>84</v>
      </c>
      <c r="C39" s="14">
        <v>0.28728872664350291</v>
      </c>
      <c r="D39" s="14">
        <v>0.30807261333322733</v>
      </c>
      <c r="E39" s="14">
        <v>0.25026421493626871</v>
      </c>
      <c r="F39" s="14">
        <v>0.28702611169180103</v>
      </c>
      <c r="G39" s="14">
        <v>0.18666240607804674</v>
      </c>
      <c r="H39" s="14">
        <v>0.25539696073509893</v>
      </c>
    </row>
    <row r="40" spans="1:8" x14ac:dyDescent="0.2">
      <c r="A40" s="15">
        <v>2</v>
      </c>
      <c r="B40" s="6" t="s">
        <v>85</v>
      </c>
      <c r="C40" s="14">
        <v>0.2111022999444348</v>
      </c>
      <c r="D40" s="14">
        <v>0.25659357166364294</v>
      </c>
      <c r="E40" s="14">
        <v>0.15324455713646959</v>
      </c>
      <c r="F40" s="14">
        <v>0.1934628043012086</v>
      </c>
      <c r="G40" s="14">
        <v>6.0249195936538748E-2</v>
      </c>
      <c r="H40" s="14">
        <v>8.8201775607822025E-2</v>
      </c>
    </row>
    <row r="41" spans="1:8" x14ac:dyDescent="0.2">
      <c r="A41" s="15">
        <v>1</v>
      </c>
      <c r="B41" s="6" t="s">
        <v>86</v>
      </c>
      <c r="C41" s="14">
        <v>6.3347321493311279E-2</v>
      </c>
      <c r="D41" s="14">
        <v>2.2379390554277404E-2</v>
      </c>
      <c r="E41" s="14">
        <v>8.328049042366148E-2</v>
      </c>
      <c r="F41" s="14">
        <v>0.10291637237559075</v>
      </c>
      <c r="G41" s="14">
        <v>1.9016455515970428E-2</v>
      </c>
      <c r="H41" s="14">
        <v>5.1889916986521213E-2</v>
      </c>
    </row>
    <row r="42" spans="1:8" x14ac:dyDescent="0.2">
      <c r="A42" s="6"/>
      <c r="B42" s="6" t="s">
        <v>90</v>
      </c>
      <c r="C42" s="14">
        <f t="shared" ref="C42:H42" si="4">(C37+C38+C39)-(C40+C41)</f>
        <v>0.45110075712450537</v>
      </c>
      <c r="D42" s="14">
        <f t="shared" si="4"/>
        <v>0.4420540755641662</v>
      </c>
      <c r="E42" s="14">
        <f t="shared" si="4"/>
        <v>0.52694990487973592</v>
      </c>
      <c r="F42" s="14">
        <f t="shared" si="4"/>
        <v>0.4072416466464045</v>
      </c>
      <c r="G42" s="14">
        <f t="shared" si="4"/>
        <v>0.84146869709498728</v>
      </c>
      <c r="H42" s="14">
        <f t="shared" si="4"/>
        <v>0.71981661481130654</v>
      </c>
    </row>
    <row r="43" spans="1:8" x14ac:dyDescent="0.2">
      <c r="A43" s="6"/>
      <c r="B43" s="6"/>
      <c r="C43" s="14"/>
      <c r="D43" s="14"/>
      <c r="E43" s="14"/>
      <c r="F43" s="14"/>
      <c r="G43" s="14"/>
      <c r="H43" s="14"/>
    </row>
    <row r="44" spans="1:8" x14ac:dyDescent="0.2">
      <c r="A44" s="16" t="s">
        <v>101</v>
      </c>
      <c r="B44" s="6" t="s">
        <v>2</v>
      </c>
      <c r="C44" s="3">
        <v>2969</v>
      </c>
      <c r="D44" s="3">
        <v>1127</v>
      </c>
      <c r="E44" s="3">
        <v>644</v>
      </c>
      <c r="F44" s="3">
        <v>1198</v>
      </c>
      <c r="G44" s="3">
        <v>20130</v>
      </c>
      <c r="H44" s="3">
        <v>4656</v>
      </c>
    </row>
    <row r="45" spans="1:8" x14ac:dyDescent="0.2">
      <c r="A45" s="15">
        <v>5</v>
      </c>
      <c r="B45" s="6" t="s">
        <v>82</v>
      </c>
      <c r="C45" s="14">
        <v>0.33076744860683172</v>
      </c>
      <c r="D45" s="14">
        <v>0.20858806602042768</v>
      </c>
      <c r="E45" s="14">
        <v>0.38998578405168671</v>
      </c>
      <c r="F45" s="14">
        <v>0.41414543506554469</v>
      </c>
      <c r="G45" s="14">
        <v>0.47481955113318686</v>
      </c>
      <c r="H45" s="14">
        <v>0.45214780659392995</v>
      </c>
    </row>
    <row r="46" spans="1:8" x14ac:dyDescent="0.2">
      <c r="A46" s="15">
        <v>4</v>
      </c>
      <c r="B46" s="6" t="s">
        <v>83</v>
      </c>
      <c r="C46" s="14">
        <v>0.24008769078102576</v>
      </c>
      <c r="D46" s="14">
        <v>0.17863233228356651</v>
      </c>
      <c r="E46" s="14">
        <v>0.2732585689417848</v>
      </c>
      <c r="F46" s="14">
        <v>0.28021288501058489</v>
      </c>
      <c r="G46" s="14">
        <v>0.25574715565660228</v>
      </c>
      <c r="H46" s="14">
        <v>0.30687995533097112</v>
      </c>
    </row>
    <row r="47" spans="1:8" x14ac:dyDescent="0.2">
      <c r="A47" s="15">
        <v>3</v>
      </c>
      <c r="B47" s="6" t="s">
        <v>84</v>
      </c>
      <c r="C47" s="14">
        <v>0.2629310413063452</v>
      </c>
      <c r="D47" s="14">
        <v>0.36171564318943489</v>
      </c>
      <c r="E47" s="14">
        <v>0.21979150225101041</v>
      </c>
      <c r="F47" s="14">
        <v>0.1929787269586864</v>
      </c>
      <c r="G47" s="14">
        <v>0.17843998261752347</v>
      </c>
      <c r="H47" s="14">
        <v>0.16514007826727947</v>
      </c>
    </row>
    <row r="48" spans="1:8" x14ac:dyDescent="0.2">
      <c r="A48" s="15">
        <v>2</v>
      </c>
      <c r="B48" s="6" t="s">
        <v>85</v>
      </c>
      <c r="C48" s="14">
        <v>0.12493921453717671</v>
      </c>
      <c r="D48" s="14">
        <v>0.19864038704798553</v>
      </c>
      <c r="E48" s="14">
        <v>7.7870794535586568E-2</v>
      </c>
      <c r="F48" s="14">
        <v>8.0723192295325152E-2</v>
      </c>
      <c r="G48" s="14">
        <v>6.8211327997158872E-2</v>
      </c>
      <c r="H48" s="14">
        <v>5.5144378744615911E-2</v>
      </c>
    </row>
    <row r="49" spans="1:8" x14ac:dyDescent="0.2">
      <c r="A49" s="15">
        <v>1</v>
      </c>
      <c r="B49" s="6" t="s">
        <v>86</v>
      </c>
      <c r="C49" s="14">
        <v>4.1274604768617079E-2</v>
      </c>
      <c r="D49" s="14">
        <v>5.2423571458579891E-2</v>
      </c>
      <c r="E49" s="14">
        <v>3.9093350219935152E-2</v>
      </c>
      <c r="F49" s="14">
        <v>3.1939760669861317E-2</v>
      </c>
      <c r="G49" s="14">
        <v>2.278198259542551E-2</v>
      </c>
      <c r="H49" s="14">
        <v>2.0687781063209627E-2</v>
      </c>
    </row>
    <row r="50" spans="1:8" x14ac:dyDescent="0.2">
      <c r="A50" s="6"/>
      <c r="B50" s="6" t="s">
        <v>90</v>
      </c>
      <c r="C50" s="14">
        <f t="shared" ref="C50:H50" si="5">(C45+C46+C47)-(C48+C49)</f>
        <v>0.66757236138840881</v>
      </c>
      <c r="D50" s="14">
        <f t="shared" si="5"/>
        <v>0.49787208298686364</v>
      </c>
      <c r="E50" s="14">
        <f t="shared" si="5"/>
        <v>0.76607171048896017</v>
      </c>
      <c r="F50" s="14">
        <f t="shared" si="5"/>
        <v>0.77467409406962962</v>
      </c>
      <c r="G50" s="14">
        <f t="shared" si="5"/>
        <v>0.81801337881472824</v>
      </c>
      <c r="H50" s="14">
        <f t="shared" si="5"/>
        <v>0.84833568038435503</v>
      </c>
    </row>
    <row r="51" spans="1:8" x14ac:dyDescent="0.2">
      <c r="A51" s="6"/>
      <c r="B51" s="6"/>
      <c r="C51" s="14"/>
      <c r="D51" s="14"/>
      <c r="E51" s="14"/>
      <c r="F51" s="14"/>
      <c r="G51" s="14"/>
      <c r="H51" s="14"/>
    </row>
    <row r="52" spans="1:8" x14ac:dyDescent="0.2">
      <c r="A52" s="16" t="s">
        <v>102</v>
      </c>
      <c r="B52" s="6" t="s">
        <v>2</v>
      </c>
      <c r="C52" s="3">
        <v>2914</v>
      </c>
      <c r="D52" s="3">
        <v>1133</v>
      </c>
      <c r="E52" s="3">
        <v>635</v>
      </c>
      <c r="F52" s="3">
        <v>1146</v>
      </c>
      <c r="G52" s="3">
        <v>19826</v>
      </c>
      <c r="H52" s="3">
        <v>4444</v>
      </c>
    </row>
    <row r="53" spans="1:8" x14ac:dyDescent="0.2">
      <c r="A53" s="15">
        <v>5</v>
      </c>
      <c r="B53" s="6" t="s">
        <v>82</v>
      </c>
      <c r="C53" s="14">
        <v>0.35000518723285706</v>
      </c>
      <c r="D53" s="14">
        <v>0.23494472691971827</v>
      </c>
      <c r="E53" s="14">
        <v>0.42128034601870573</v>
      </c>
      <c r="F53" s="14">
        <v>0.42459582505757482</v>
      </c>
      <c r="G53" s="14">
        <v>0.52871626413095241</v>
      </c>
      <c r="H53" s="14">
        <v>0.49133940429021389</v>
      </c>
    </row>
    <row r="54" spans="1:8" x14ac:dyDescent="0.2">
      <c r="A54" s="15">
        <v>4</v>
      </c>
      <c r="B54" s="6" t="s">
        <v>83</v>
      </c>
      <c r="C54" s="14">
        <v>0.33220381086166595</v>
      </c>
      <c r="D54" s="14">
        <v>0.39917270294442558</v>
      </c>
      <c r="E54" s="14">
        <v>0.27361589610616627</v>
      </c>
      <c r="F54" s="14">
        <v>0.29823556030884313</v>
      </c>
      <c r="G54" s="14">
        <v>0.27294035237052117</v>
      </c>
      <c r="H54" s="14">
        <v>0.30529390164373366</v>
      </c>
    </row>
    <row r="55" spans="1:8" x14ac:dyDescent="0.2">
      <c r="A55" s="15">
        <v>3</v>
      </c>
      <c r="B55" s="6" t="s">
        <v>84</v>
      </c>
      <c r="C55" s="14">
        <v>0.2031637761590207</v>
      </c>
      <c r="D55" s="14">
        <v>0.22330350576048466</v>
      </c>
      <c r="E55" s="14">
        <v>0.20358945603468348</v>
      </c>
      <c r="F55" s="14">
        <v>0.18298254313442933</v>
      </c>
      <c r="G55" s="14">
        <v>0.14381507299844279</v>
      </c>
      <c r="H55" s="14">
        <v>0.1473268397616003</v>
      </c>
    </row>
    <row r="56" spans="1:8" x14ac:dyDescent="0.2">
      <c r="A56" s="15">
        <v>2</v>
      </c>
      <c r="B56" s="6" t="s">
        <v>85</v>
      </c>
      <c r="C56" s="14">
        <v>8.2641678440011385E-2</v>
      </c>
      <c r="D56" s="14">
        <v>0.11067641422162001</v>
      </c>
      <c r="E56" s="14">
        <v>6.6581203490762991E-2</v>
      </c>
      <c r="F56" s="14">
        <v>6.3746296212945128E-2</v>
      </c>
      <c r="G56" s="14">
        <v>4.0320157962113239E-2</v>
      </c>
      <c r="H56" s="14">
        <v>3.9409155928851504E-2</v>
      </c>
    </row>
    <row r="57" spans="1:8" x14ac:dyDescent="0.2">
      <c r="A57" s="15">
        <v>1</v>
      </c>
      <c r="B57" s="6" t="s">
        <v>86</v>
      </c>
      <c r="C57" s="14">
        <v>3.1985547306440751E-2</v>
      </c>
      <c r="D57" s="14">
        <v>3.1902650153744584E-2</v>
      </c>
      <c r="E57" s="14">
        <v>3.4933098349686477E-2</v>
      </c>
      <c r="F57" s="14">
        <v>3.0439775286210839E-2</v>
      </c>
      <c r="G57" s="14">
        <v>1.4208152537876656E-2</v>
      </c>
      <c r="H57" s="14">
        <v>1.663069837562707E-2</v>
      </c>
    </row>
    <row r="58" spans="1:8" x14ac:dyDescent="0.2">
      <c r="A58" s="6"/>
      <c r="B58" s="6" t="s">
        <v>90</v>
      </c>
      <c r="C58" s="14">
        <f t="shared" ref="C58:H58" si="6">(C53+C54+C55)-(C56+C57)</f>
        <v>0.77074554850709154</v>
      </c>
      <c r="D58" s="14">
        <f t="shared" si="6"/>
        <v>0.7148418712492639</v>
      </c>
      <c r="E58" s="14">
        <f t="shared" si="6"/>
        <v>0.79697139631910607</v>
      </c>
      <c r="F58" s="14">
        <f t="shared" si="6"/>
        <v>0.81162785700169127</v>
      </c>
      <c r="G58" s="14">
        <f t="shared" si="6"/>
        <v>0.89094337899992648</v>
      </c>
      <c r="H58" s="14">
        <f t="shared" si="6"/>
        <v>0.88792029139106932</v>
      </c>
    </row>
    <row r="59" spans="1:8" x14ac:dyDescent="0.2">
      <c r="A59" s="6"/>
      <c r="B59" s="6"/>
      <c r="C59" s="14"/>
      <c r="D59" s="14"/>
      <c r="E59" s="14"/>
      <c r="F59" s="14"/>
      <c r="G59" s="14"/>
      <c r="H59" s="14"/>
    </row>
    <row r="60" spans="1:8" x14ac:dyDescent="0.2">
      <c r="A60" s="16" t="s">
        <v>103</v>
      </c>
      <c r="B60" s="6" t="s">
        <v>2</v>
      </c>
      <c r="C60" s="3">
        <v>2899</v>
      </c>
      <c r="D60" s="3">
        <v>1125</v>
      </c>
      <c r="E60" s="3">
        <v>635</v>
      </c>
      <c r="F60" s="3">
        <v>1139</v>
      </c>
      <c r="G60" s="3">
        <v>19793</v>
      </c>
      <c r="H60" s="3">
        <v>4448</v>
      </c>
    </row>
    <row r="61" spans="1:8" x14ac:dyDescent="0.2">
      <c r="A61" s="15">
        <v>5</v>
      </c>
      <c r="B61" s="6" t="s">
        <v>82</v>
      </c>
      <c r="C61" s="14">
        <v>0.35987343194876492</v>
      </c>
      <c r="D61" s="14">
        <v>0.24135374650691521</v>
      </c>
      <c r="E61" s="14">
        <v>0.45842678608821613</v>
      </c>
      <c r="F61" s="14">
        <v>0.42251266545142552</v>
      </c>
      <c r="G61" s="14">
        <v>0.54475541529847837</v>
      </c>
      <c r="H61" s="14">
        <v>0.49982383301244859</v>
      </c>
    </row>
    <row r="62" spans="1:8" x14ac:dyDescent="0.2">
      <c r="A62" s="15">
        <v>4</v>
      </c>
      <c r="B62" s="6" t="s">
        <v>83</v>
      </c>
      <c r="C62" s="14">
        <v>0.304296611206199</v>
      </c>
      <c r="D62" s="14">
        <v>0.37420688434941213</v>
      </c>
      <c r="E62" s="14">
        <v>0.23518103179556604</v>
      </c>
      <c r="F62" s="14">
        <v>0.27345386042842773</v>
      </c>
      <c r="G62" s="14">
        <v>0.26010923076496884</v>
      </c>
      <c r="H62" s="14">
        <v>0.29372137729955533</v>
      </c>
    </row>
    <row r="63" spans="1:8" x14ac:dyDescent="0.2">
      <c r="A63" s="15">
        <v>3</v>
      </c>
      <c r="B63" s="6" t="s">
        <v>84</v>
      </c>
      <c r="C63" s="14">
        <v>0.2147261507534507</v>
      </c>
      <c r="D63" s="14">
        <v>0.25360494943992362</v>
      </c>
      <c r="E63" s="14">
        <v>0.20394104464782722</v>
      </c>
      <c r="F63" s="14">
        <v>0.18220092651245956</v>
      </c>
      <c r="G63" s="14">
        <v>0.1407959723833791</v>
      </c>
      <c r="H63" s="14">
        <v>0.14261245135895476</v>
      </c>
    </row>
    <row r="64" spans="1:8" x14ac:dyDescent="0.2">
      <c r="A64" s="15">
        <v>2</v>
      </c>
      <c r="B64" s="6" t="s">
        <v>85</v>
      </c>
      <c r="C64" s="14">
        <v>8.4465618131929224E-2</v>
      </c>
      <c r="D64" s="14">
        <v>9.7953235303141165E-2</v>
      </c>
      <c r="E64" s="14">
        <v>6.2880487007758251E-2</v>
      </c>
      <c r="F64" s="14">
        <v>8.3102203066350105E-2</v>
      </c>
      <c r="G64" s="14">
        <v>3.9401093675531941E-2</v>
      </c>
      <c r="H64" s="14">
        <v>4.4239172466726158E-2</v>
      </c>
    </row>
    <row r="65" spans="1:8" x14ac:dyDescent="0.2">
      <c r="A65" s="15">
        <v>1</v>
      </c>
      <c r="B65" s="6" t="s">
        <v>86</v>
      </c>
      <c r="C65" s="14">
        <v>3.6638187959650931E-2</v>
      </c>
      <c r="D65" s="14">
        <v>3.2881184400601712E-2</v>
      </c>
      <c r="E65" s="14">
        <v>3.9570650460638228E-2</v>
      </c>
      <c r="F65" s="14">
        <v>3.8730344541341014E-2</v>
      </c>
      <c r="G65" s="14">
        <v>1.4938287877541817E-2</v>
      </c>
      <c r="H65" s="14">
        <v>1.9603165862341548E-2</v>
      </c>
    </row>
    <row r="66" spans="1:8" x14ac:dyDescent="0.2">
      <c r="A66" s="6"/>
      <c r="B66" s="6" t="s">
        <v>90</v>
      </c>
      <c r="C66" s="14">
        <f t="shared" ref="C66:H66" si="7">(C61+C62+C63)-(C64+C65)</f>
        <v>0.75779238781683456</v>
      </c>
      <c r="D66" s="14">
        <f t="shared" si="7"/>
        <v>0.73833116059250803</v>
      </c>
      <c r="E66" s="14">
        <f t="shared" si="7"/>
        <v>0.79509772506321286</v>
      </c>
      <c r="F66" s="14">
        <f t="shared" si="7"/>
        <v>0.75633490478462173</v>
      </c>
      <c r="G66" s="14">
        <f t="shared" si="7"/>
        <v>0.89132123689375264</v>
      </c>
      <c r="H66" s="14">
        <f t="shared" si="7"/>
        <v>0.87231532334189099</v>
      </c>
    </row>
    <row r="67" spans="1:8" x14ac:dyDescent="0.2">
      <c r="A67" s="6"/>
      <c r="B67" s="6"/>
      <c r="C67" s="14"/>
      <c r="D67" s="14"/>
      <c r="E67" s="14"/>
      <c r="F67" s="14"/>
      <c r="G67" s="14"/>
      <c r="H67" s="14"/>
    </row>
    <row r="68" spans="1:8" x14ac:dyDescent="0.2">
      <c r="A68" s="6" t="s">
        <v>18</v>
      </c>
      <c r="B68" s="6" t="s">
        <v>2</v>
      </c>
      <c r="C68" s="3">
        <v>2642</v>
      </c>
      <c r="D68" s="3">
        <v>907</v>
      </c>
      <c r="E68" s="3">
        <v>628</v>
      </c>
      <c r="F68" s="3"/>
      <c r="G68" s="3">
        <v>19323</v>
      </c>
      <c r="H68" s="3">
        <v>4042</v>
      </c>
    </row>
    <row r="69" spans="1:8" x14ac:dyDescent="0.2">
      <c r="A69" s="15">
        <v>5</v>
      </c>
      <c r="B69" s="6" t="s">
        <v>82</v>
      </c>
      <c r="C69" s="14">
        <v>0.34351190660313996</v>
      </c>
      <c r="D69" s="14">
        <v>0.20905100598259097</v>
      </c>
      <c r="E69" s="14">
        <v>0.38011838151412208</v>
      </c>
      <c r="F69" s="14"/>
      <c r="G69" s="14">
        <v>0.4689828016291761</v>
      </c>
      <c r="H69" s="14">
        <v>0.45335068600431311</v>
      </c>
    </row>
    <row r="70" spans="1:8" x14ac:dyDescent="0.2">
      <c r="A70" s="15">
        <v>4</v>
      </c>
      <c r="B70" s="6" t="s">
        <v>83</v>
      </c>
      <c r="C70" s="14">
        <v>0.26805340659661264</v>
      </c>
      <c r="D70" s="14">
        <v>0.21236242782974743</v>
      </c>
      <c r="E70" s="14">
        <v>0.32165734209050934</v>
      </c>
      <c r="F70" s="14"/>
      <c r="G70" s="14">
        <v>0.27837491244850138</v>
      </c>
      <c r="H70" s="14">
        <v>0.30672566199398088</v>
      </c>
    </row>
    <row r="71" spans="1:8" x14ac:dyDescent="0.2">
      <c r="A71" s="15">
        <v>3</v>
      </c>
      <c r="B71" s="6" t="s">
        <v>84</v>
      </c>
      <c r="C71" s="14">
        <v>0.21224118923582908</v>
      </c>
      <c r="D71" s="14">
        <v>0.24992919097795344</v>
      </c>
      <c r="E71" s="14">
        <v>0.19776210172186068</v>
      </c>
      <c r="F71" s="14"/>
      <c r="G71" s="14">
        <v>0.16923834132307358</v>
      </c>
      <c r="H71" s="14">
        <v>0.17196067948922233</v>
      </c>
    </row>
    <row r="72" spans="1:8" x14ac:dyDescent="0.2">
      <c r="A72" s="15">
        <v>2</v>
      </c>
      <c r="B72" s="6" t="s">
        <v>85</v>
      </c>
      <c r="C72" s="14">
        <v>0.14490700245290103</v>
      </c>
      <c r="D72" s="14">
        <v>0.29348977684397765</v>
      </c>
      <c r="E72" s="14">
        <v>6.6812616547901951E-2</v>
      </c>
      <c r="F72" s="14"/>
      <c r="G72" s="14">
        <v>6.1734312455091436E-2</v>
      </c>
      <c r="H72" s="14">
        <v>5.1256497949752761E-2</v>
      </c>
    </row>
    <row r="73" spans="1:8" x14ac:dyDescent="0.2">
      <c r="A73" s="15">
        <v>1</v>
      </c>
      <c r="B73" s="6" t="s">
        <v>86</v>
      </c>
      <c r="C73" s="14">
        <v>3.1286495111507412E-2</v>
      </c>
      <c r="D73" s="14">
        <v>3.5167598365731099E-2</v>
      </c>
      <c r="E73" s="14">
        <v>3.3649558125610872E-2</v>
      </c>
      <c r="F73" s="14"/>
      <c r="G73" s="14">
        <v>2.1669632144109253E-2</v>
      </c>
      <c r="H73" s="14">
        <v>1.6706474562751272E-2</v>
      </c>
    </row>
    <row r="74" spans="1:8" x14ac:dyDescent="0.2">
      <c r="A74" s="6"/>
      <c r="B74" s="6" t="s">
        <v>90</v>
      </c>
      <c r="C74" s="14">
        <f>(C69+C70+C71)-(C72+C73)</f>
        <v>0.64761300487117324</v>
      </c>
      <c r="D74" s="14">
        <f>(D69+D70+D71)-(D72+D73)</f>
        <v>0.34268524958058311</v>
      </c>
      <c r="E74" s="14">
        <f>(E69+E70+E71)-(E72+E73)</f>
        <v>0.79907565065297925</v>
      </c>
      <c r="F74" s="14"/>
      <c r="G74" s="14">
        <f>(G69+G70+G71)-(G72+G73)</f>
        <v>0.83319211080155031</v>
      </c>
      <c r="H74" s="14">
        <f>(H69+H70+H71)-(H72+H73)</f>
        <v>0.86407405497501222</v>
      </c>
    </row>
    <row r="75" spans="1:8" x14ac:dyDescent="0.2">
      <c r="A75" s="6"/>
      <c r="B75" s="6"/>
      <c r="C75" s="14"/>
      <c r="D75" s="14"/>
      <c r="E75" s="14"/>
      <c r="F75" s="14"/>
      <c r="G75" s="14"/>
      <c r="H75" s="14"/>
    </row>
    <row r="76" spans="1:8" x14ac:dyDescent="0.2">
      <c r="A76" s="6" t="s">
        <v>19</v>
      </c>
      <c r="B76" s="6" t="s">
        <v>2</v>
      </c>
      <c r="C76" s="3">
        <v>2631</v>
      </c>
      <c r="D76" s="3">
        <v>903</v>
      </c>
      <c r="E76" s="3">
        <v>618</v>
      </c>
      <c r="F76" s="3"/>
      <c r="G76" s="3">
        <v>19096</v>
      </c>
      <c r="H76" s="3">
        <v>4042</v>
      </c>
    </row>
    <row r="77" spans="1:8" x14ac:dyDescent="0.2">
      <c r="A77" s="15">
        <v>5</v>
      </c>
      <c r="B77" s="6" t="s">
        <v>82</v>
      </c>
      <c r="C77" s="14">
        <v>0.32635912751054424</v>
      </c>
      <c r="D77" s="14">
        <v>0.21365680405348905</v>
      </c>
      <c r="E77" s="14">
        <v>0.37312695528389128</v>
      </c>
      <c r="F77" s="14"/>
      <c r="G77" s="14">
        <v>0.47465886945534358</v>
      </c>
      <c r="H77" s="14">
        <v>0.44869036194841749</v>
      </c>
    </row>
    <row r="78" spans="1:8" x14ac:dyDescent="0.2">
      <c r="A78" s="15">
        <v>4</v>
      </c>
      <c r="B78" s="6" t="s">
        <v>83</v>
      </c>
      <c r="C78" s="14">
        <v>0.31955741311123431</v>
      </c>
      <c r="D78" s="14">
        <v>0.35225243534311074</v>
      </c>
      <c r="E78" s="14">
        <v>0.31730610902865319</v>
      </c>
      <c r="F78" s="14"/>
      <c r="G78" s="14">
        <v>0.28399506561768034</v>
      </c>
      <c r="H78" s="14">
        <v>0.31557377926905422</v>
      </c>
    </row>
    <row r="79" spans="1:8" x14ac:dyDescent="0.2">
      <c r="A79" s="15">
        <v>3</v>
      </c>
      <c r="B79" s="6" t="s">
        <v>84</v>
      </c>
      <c r="C79" s="14">
        <v>0.23837460640396096</v>
      </c>
      <c r="D79" s="14">
        <v>0.2896417161443412</v>
      </c>
      <c r="E79" s="14">
        <v>0.200642186727433</v>
      </c>
      <c r="F79" s="14"/>
      <c r="G79" s="14">
        <v>0.17150982387565913</v>
      </c>
      <c r="H79" s="14">
        <v>0.17053619565548039</v>
      </c>
    </row>
    <row r="80" spans="1:8" x14ac:dyDescent="0.2">
      <c r="A80" s="15">
        <v>2</v>
      </c>
      <c r="B80" s="6" t="s">
        <v>85</v>
      </c>
      <c r="C80" s="14">
        <v>8.4778579147206545E-2</v>
      </c>
      <c r="D80" s="14">
        <v>0.11063426312031618</v>
      </c>
      <c r="E80" s="14">
        <v>7.8050387011962569E-2</v>
      </c>
      <c r="F80" s="14"/>
      <c r="G80" s="14">
        <v>5.2870358362774122E-2</v>
      </c>
      <c r="H80" s="14">
        <v>5.0191663905884185E-2</v>
      </c>
    </row>
    <row r="81" spans="1:8" x14ac:dyDescent="0.2">
      <c r="A81" s="15">
        <v>1</v>
      </c>
      <c r="B81" s="6" t="s">
        <v>86</v>
      </c>
      <c r="C81" s="14">
        <v>3.0930273827043872E-2</v>
      </c>
      <c r="D81" s="14">
        <v>3.3814781338742168E-2</v>
      </c>
      <c r="E81" s="14">
        <v>3.0874361948065653E-2</v>
      </c>
      <c r="F81" s="14"/>
      <c r="G81" s="14">
        <v>1.6965882688504103E-2</v>
      </c>
      <c r="H81" s="14">
        <v>1.5007999221184766E-2</v>
      </c>
    </row>
    <row r="82" spans="1:8" x14ac:dyDescent="0.2">
      <c r="A82" s="6"/>
      <c r="B82" s="6" t="s">
        <v>90</v>
      </c>
      <c r="C82" s="14">
        <f>(C77+C78+C79)-(C80+C81)</f>
        <v>0.76858229405148915</v>
      </c>
      <c r="D82" s="14">
        <f>(D77+D78+D79)-(D80+D81)</f>
        <v>0.71110191108188259</v>
      </c>
      <c r="E82" s="14">
        <f>(E77+E78+E79)-(E80+E81)</f>
        <v>0.78215050207994929</v>
      </c>
      <c r="F82" s="14"/>
      <c r="G82" s="14">
        <f>(G77+G78+G79)-(G80+G81)</f>
        <v>0.8603275178974048</v>
      </c>
      <c r="H82" s="14">
        <f>(H77+H78+H79)-(H80+H81)</f>
        <v>0.86960067374588323</v>
      </c>
    </row>
    <row r="83" spans="1:8" x14ac:dyDescent="0.2">
      <c r="A83" s="6"/>
      <c r="B83" s="6"/>
      <c r="C83" s="14"/>
      <c r="D83" s="14"/>
      <c r="E83" s="14"/>
      <c r="F83" s="14"/>
      <c r="G83" s="14"/>
      <c r="H83" s="14"/>
    </row>
    <row r="84" spans="1:8" x14ac:dyDescent="0.2">
      <c r="A84" s="6" t="s">
        <v>20</v>
      </c>
      <c r="B84" s="6" t="s">
        <v>2</v>
      </c>
      <c r="C84" s="3">
        <v>3155</v>
      </c>
      <c r="D84" s="3">
        <v>1170</v>
      </c>
      <c r="E84" s="3">
        <v>692</v>
      </c>
      <c r="F84" s="3">
        <v>1293</v>
      </c>
      <c r="G84" s="3">
        <v>23729</v>
      </c>
      <c r="H84" s="3">
        <v>5133</v>
      </c>
    </row>
    <row r="85" spans="1:8" x14ac:dyDescent="0.2">
      <c r="A85" s="15">
        <v>5</v>
      </c>
      <c r="B85" s="6" t="s">
        <v>82</v>
      </c>
      <c r="C85" s="14">
        <v>0.28930142717361018</v>
      </c>
      <c r="D85" s="14">
        <v>0.18628708119735282</v>
      </c>
      <c r="E85" s="14">
        <v>0.31153563547767488</v>
      </c>
      <c r="F85" s="14">
        <v>0.37048164504862763</v>
      </c>
      <c r="G85" s="14">
        <v>0.46981329741445177</v>
      </c>
      <c r="H85" s="14">
        <v>0.42204867870755486</v>
      </c>
    </row>
    <row r="86" spans="1:8" x14ac:dyDescent="0.2">
      <c r="A86" s="15">
        <v>4</v>
      </c>
      <c r="B86" s="6" t="s">
        <v>83</v>
      </c>
      <c r="C86" s="14">
        <v>0.33573849876511053</v>
      </c>
      <c r="D86" s="14">
        <v>0.39160786639183665</v>
      </c>
      <c r="E86" s="14">
        <v>0.32968405586988775</v>
      </c>
      <c r="F86" s="14">
        <v>0.28850879749996589</v>
      </c>
      <c r="G86" s="14">
        <v>0.28638362144817936</v>
      </c>
      <c r="H86" s="14">
        <v>0.30877980392101773</v>
      </c>
    </row>
    <row r="87" spans="1:8" x14ac:dyDescent="0.2">
      <c r="A87" s="15">
        <v>3</v>
      </c>
      <c r="B87" s="6" t="s">
        <v>84</v>
      </c>
      <c r="C87" s="14">
        <v>0.24769373056891658</v>
      </c>
      <c r="D87" s="14">
        <v>0.28119805826782968</v>
      </c>
      <c r="E87" s="14">
        <v>0.22255694342585586</v>
      </c>
      <c r="F87" s="14">
        <v>0.23083948125175269</v>
      </c>
      <c r="G87" s="14">
        <v>0.1735975059490637</v>
      </c>
      <c r="H87" s="14">
        <v>0.1919392876915611</v>
      </c>
    </row>
    <row r="88" spans="1:8" x14ac:dyDescent="0.2">
      <c r="A88" s="15">
        <v>2</v>
      </c>
      <c r="B88" s="6" t="s">
        <v>85</v>
      </c>
      <c r="C88" s="14">
        <v>9.235771276701954E-2</v>
      </c>
      <c r="D88" s="14">
        <v>0.10772578149617701</v>
      </c>
      <c r="E88" s="14">
        <v>9.8530492322119259E-2</v>
      </c>
      <c r="F88" s="14">
        <v>7.5186137095304653E-2</v>
      </c>
      <c r="G88" s="14">
        <v>5.2875765406980496E-2</v>
      </c>
      <c r="H88" s="14">
        <v>5.7875165336018608E-2</v>
      </c>
    </row>
    <row r="89" spans="1:8" x14ac:dyDescent="0.2">
      <c r="A89" s="15">
        <v>1</v>
      </c>
      <c r="B89" s="6" t="s">
        <v>86</v>
      </c>
      <c r="C89" s="14">
        <v>3.4908630725347577E-2</v>
      </c>
      <c r="D89" s="14">
        <v>3.3181212646795417E-2</v>
      </c>
      <c r="E89" s="14">
        <v>3.7692872904465276E-2</v>
      </c>
      <c r="F89" s="14">
        <v>3.4983939104345517E-2</v>
      </c>
      <c r="G89" s="14">
        <v>1.7329809781219823E-2</v>
      </c>
      <c r="H89" s="14">
        <v>1.9357064343848845E-2</v>
      </c>
    </row>
    <row r="90" spans="1:8" x14ac:dyDescent="0.2">
      <c r="A90" s="6"/>
      <c r="B90" s="6" t="s">
        <v>90</v>
      </c>
      <c r="C90" s="14">
        <f t="shared" ref="C90:H90" si="8">(C85+C86+C87)-(C88+C89)</f>
        <v>0.74546731301527025</v>
      </c>
      <c r="D90" s="14">
        <f t="shared" si="8"/>
        <v>0.71818601171404683</v>
      </c>
      <c r="E90" s="14">
        <f t="shared" si="8"/>
        <v>0.72755326954683397</v>
      </c>
      <c r="F90" s="14">
        <f t="shared" si="8"/>
        <v>0.77965984760069607</v>
      </c>
      <c r="G90" s="14">
        <f t="shared" si="8"/>
        <v>0.85958884962349458</v>
      </c>
      <c r="H90" s="14">
        <f t="shared" si="8"/>
        <v>0.84553554064026626</v>
      </c>
    </row>
    <row r="91" spans="1:8" x14ac:dyDescent="0.2">
      <c r="A91" s="6"/>
      <c r="B91" s="6"/>
      <c r="C91" s="14"/>
      <c r="D91" s="14"/>
      <c r="E91" s="14"/>
      <c r="F91" s="14"/>
      <c r="G91" s="14"/>
      <c r="H91" s="14"/>
    </row>
    <row r="92" spans="1:8" x14ac:dyDescent="0.2">
      <c r="A92" s="6" t="s">
        <v>21</v>
      </c>
      <c r="B92" s="6" t="s">
        <v>2</v>
      </c>
      <c r="C92" s="3">
        <v>3212</v>
      </c>
      <c r="D92" s="3">
        <v>1182</v>
      </c>
      <c r="E92" s="3">
        <v>698</v>
      </c>
      <c r="F92" s="3">
        <v>1332</v>
      </c>
      <c r="G92" s="3">
        <v>23853</v>
      </c>
      <c r="H92" s="3">
        <v>5215</v>
      </c>
    </row>
    <row r="93" spans="1:8" x14ac:dyDescent="0.2">
      <c r="A93" s="15">
        <v>5</v>
      </c>
      <c r="B93" s="6" t="s">
        <v>82</v>
      </c>
      <c r="C93" s="14">
        <v>0.30709279798395533</v>
      </c>
      <c r="D93" s="14">
        <v>0.20981882511584293</v>
      </c>
      <c r="E93" s="14">
        <v>0.35747067812804117</v>
      </c>
      <c r="F93" s="14">
        <v>0.36684178917481558</v>
      </c>
      <c r="G93" s="14">
        <v>0.47976754527571375</v>
      </c>
      <c r="H93" s="14">
        <v>0.42337099973320619</v>
      </c>
    </row>
    <row r="94" spans="1:8" x14ac:dyDescent="0.2">
      <c r="A94" s="15">
        <v>4</v>
      </c>
      <c r="B94" s="6" t="s">
        <v>83</v>
      </c>
      <c r="C94" s="14">
        <v>0.35940995447741531</v>
      </c>
      <c r="D94" s="14">
        <v>0.42615759271647918</v>
      </c>
      <c r="E94" s="14">
        <v>0.33663582719621243</v>
      </c>
      <c r="F94" s="14">
        <v>0.31225633858417484</v>
      </c>
      <c r="G94" s="14">
        <v>0.30079440417134062</v>
      </c>
      <c r="H94" s="14">
        <v>0.32734018422168498</v>
      </c>
    </row>
    <row r="95" spans="1:8" x14ac:dyDescent="0.2">
      <c r="A95" s="15">
        <v>3</v>
      </c>
      <c r="B95" s="6" t="s">
        <v>84</v>
      </c>
      <c r="C95" s="14">
        <v>0.24155432923419926</v>
      </c>
      <c r="D95" s="14">
        <v>0.24830984725788829</v>
      </c>
      <c r="E95" s="14">
        <v>0.21512347930574535</v>
      </c>
      <c r="F95" s="14">
        <v>0.24937222649897334</v>
      </c>
      <c r="G95" s="14">
        <v>0.17173853059323757</v>
      </c>
      <c r="H95" s="14">
        <v>0.19326522922755063</v>
      </c>
    </row>
    <row r="96" spans="1:8" x14ac:dyDescent="0.2">
      <c r="A96" s="15">
        <v>2</v>
      </c>
      <c r="B96" s="6" t="s">
        <v>85</v>
      </c>
      <c r="C96" s="14">
        <v>7.7244365341220006E-2</v>
      </c>
      <c r="D96" s="14">
        <v>0.10635201272655585</v>
      </c>
      <c r="E96" s="14">
        <v>7.2193487366248948E-2</v>
      </c>
      <c r="F96" s="14">
        <v>5.4134404884223823E-2</v>
      </c>
      <c r="G96" s="14">
        <v>3.8080302488112207E-2</v>
      </c>
      <c r="H96" s="14">
        <v>4.3138914837499251E-2</v>
      </c>
    </row>
    <row r="97" spans="1:8" x14ac:dyDescent="0.2">
      <c r="A97" s="15">
        <v>1</v>
      </c>
      <c r="B97" s="6" t="s">
        <v>86</v>
      </c>
      <c r="C97" s="14">
        <v>1.4698552963216349E-2</v>
      </c>
      <c r="D97" s="14">
        <v>9.3617221832250266E-3</v>
      </c>
      <c r="E97" s="14">
        <v>1.8576528003755491E-2</v>
      </c>
      <c r="F97" s="14">
        <v>1.7395240857807043E-2</v>
      </c>
      <c r="G97" s="14">
        <v>9.6192174715048883E-3</v>
      </c>
      <c r="H97" s="14">
        <v>1.2884671980066799E-2</v>
      </c>
    </row>
    <row r="98" spans="1:8" x14ac:dyDescent="0.2">
      <c r="A98" s="6"/>
      <c r="B98" s="6" t="s">
        <v>90</v>
      </c>
      <c r="C98" s="14">
        <f t="shared" ref="C98:H98" si="9">(C93+C94+C95)-(C96+C97)</f>
        <v>0.81611416339113363</v>
      </c>
      <c r="D98" s="14">
        <f t="shared" si="9"/>
        <v>0.76857253018042959</v>
      </c>
      <c r="E98" s="14">
        <f t="shared" si="9"/>
        <v>0.81845996925999465</v>
      </c>
      <c r="F98" s="14">
        <f t="shared" si="9"/>
        <v>0.85694070851593285</v>
      </c>
      <c r="G98" s="14">
        <f t="shared" si="9"/>
        <v>0.90460096008067481</v>
      </c>
      <c r="H98" s="14">
        <f t="shared" si="9"/>
        <v>0.88795282636487582</v>
      </c>
    </row>
    <row r="99" spans="1:8" x14ac:dyDescent="0.2">
      <c r="A99" s="6"/>
      <c r="B99" s="6"/>
      <c r="C99" s="14"/>
      <c r="D99" s="14"/>
      <c r="E99" s="14"/>
      <c r="F99" s="14"/>
      <c r="G99" s="14"/>
      <c r="H99" s="14"/>
    </row>
    <row r="100" spans="1:8" x14ac:dyDescent="0.2">
      <c r="A100" s="6" t="s">
        <v>22</v>
      </c>
      <c r="B100" s="6" t="s">
        <v>2</v>
      </c>
      <c r="C100" s="3">
        <v>3244</v>
      </c>
      <c r="D100" s="3">
        <v>1182</v>
      </c>
      <c r="E100" s="3">
        <v>704</v>
      </c>
      <c r="F100" s="3">
        <v>1358</v>
      </c>
      <c r="G100" s="3">
        <v>24220</v>
      </c>
      <c r="H100" s="3">
        <v>5341</v>
      </c>
    </row>
    <row r="101" spans="1:8" x14ac:dyDescent="0.2">
      <c r="A101" s="15">
        <v>5</v>
      </c>
      <c r="B101" s="6" t="s">
        <v>82</v>
      </c>
      <c r="C101" s="14">
        <v>0.30594036648297657</v>
      </c>
      <c r="D101" s="14">
        <v>0.16947823334908863</v>
      </c>
      <c r="E101" s="14">
        <v>0.32059800658507259</v>
      </c>
      <c r="F101" s="14">
        <v>0.41693323563187884</v>
      </c>
      <c r="G101" s="14">
        <v>0.4544907427714161</v>
      </c>
      <c r="H101" s="14">
        <v>0.43004419114153886</v>
      </c>
    </row>
    <row r="102" spans="1:8" x14ac:dyDescent="0.2">
      <c r="A102" s="15">
        <v>4</v>
      </c>
      <c r="B102" s="6" t="s">
        <v>83</v>
      </c>
      <c r="C102" s="14">
        <v>0.24204988329422164</v>
      </c>
      <c r="D102" s="14">
        <v>0.17353234517814545</v>
      </c>
      <c r="E102" s="14">
        <v>0.29972555250748967</v>
      </c>
      <c r="F102" s="14">
        <v>0.27178883244401003</v>
      </c>
      <c r="G102" s="14">
        <v>0.27151295397635106</v>
      </c>
      <c r="H102" s="14">
        <v>0.29306434618175586</v>
      </c>
    </row>
    <row r="103" spans="1:8" x14ac:dyDescent="0.2">
      <c r="A103" s="15">
        <v>3</v>
      </c>
      <c r="B103" s="6" t="s">
        <v>84</v>
      </c>
      <c r="C103" s="14">
        <v>0.23114426655913239</v>
      </c>
      <c r="D103" s="14">
        <v>0.26178630951762444</v>
      </c>
      <c r="E103" s="14">
        <v>0.22035244838601101</v>
      </c>
      <c r="F103" s="14">
        <v>0.21009559054006899</v>
      </c>
      <c r="G103" s="14">
        <v>0.17594431231967725</v>
      </c>
      <c r="H103" s="14">
        <v>0.18154289083707428</v>
      </c>
    </row>
    <row r="104" spans="1:8" x14ac:dyDescent="0.2">
      <c r="A104" s="15">
        <v>2</v>
      </c>
      <c r="B104" s="6" t="s">
        <v>85</v>
      </c>
      <c r="C104" s="14">
        <v>0.17084705274708931</v>
      </c>
      <c r="D104" s="14">
        <v>0.32595858758024948</v>
      </c>
      <c r="E104" s="14">
        <v>0.1135345948145873</v>
      </c>
      <c r="F104" s="14">
        <v>6.5683886797791427E-2</v>
      </c>
      <c r="G104" s="14">
        <v>7.1785640621964117E-2</v>
      </c>
      <c r="H104" s="14">
        <v>6.7757668917611341E-2</v>
      </c>
    </row>
    <row r="105" spans="1:8" x14ac:dyDescent="0.2">
      <c r="A105" s="15">
        <v>1</v>
      </c>
      <c r="B105" s="6" t="s">
        <v>86</v>
      </c>
      <c r="C105" s="14">
        <v>5.0018430916586025E-2</v>
      </c>
      <c r="D105" s="14">
        <v>6.9244524374885291E-2</v>
      </c>
      <c r="E105" s="14">
        <v>4.5789397706842185E-2</v>
      </c>
      <c r="F105" s="14">
        <v>3.5498454586244899E-2</v>
      </c>
      <c r="G105" s="14">
        <v>2.6266350310488931E-2</v>
      </c>
      <c r="H105" s="14">
        <v>2.7590902922030883E-2</v>
      </c>
    </row>
    <row r="106" spans="1:8" x14ac:dyDescent="0.2">
      <c r="A106" s="6"/>
      <c r="B106" s="6" t="s">
        <v>90</v>
      </c>
      <c r="C106" s="14">
        <f t="shared" ref="C106:H106" si="10">(C101+C102+C103)-(C104+C105)</f>
        <v>0.55826903267265526</v>
      </c>
      <c r="D106" s="14">
        <f t="shared" si="10"/>
        <v>0.20959377608972363</v>
      </c>
      <c r="E106" s="14">
        <f t="shared" si="10"/>
        <v>0.6813520149571437</v>
      </c>
      <c r="F106" s="14">
        <f t="shared" si="10"/>
        <v>0.79763531723192149</v>
      </c>
      <c r="G106" s="14">
        <f t="shared" si="10"/>
        <v>0.80389601813499134</v>
      </c>
      <c r="H106" s="14">
        <f t="shared" si="10"/>
        <v>0.80930285632072685</v>
      </c>
    </row>
    <row r="107" spans="1:8" x14ac:dyDescent="0.2">
      <c r="A107" s="6"/>
      <c r="B107" s="6"/>
      <c r="C107" s="14"/>
      <c r="D107" s="14"/>
      <c r="E107" s="14"/>
      <c r="F107" s="14"/>
      <c r="G107" s="14"/>
      <c r="H107" s="14"/>
    </row>
    <row r="108" spans="1:8" x14ac:dyDescent="0.2">
      <c r="A108" s="6" t="s">
        <v>23</v>
      </c>
      <c r="B108" s="6" t="s">
        <v>2</v>
      </c>
      <c r="C108" s="3">
        <v>3280</v>
      </c>
      <c r="D108" s="3">
        <v>1190</v>
      </c>
      <c r="E108" s="3">
        <v>722</v>
      </c>
      <c r="F108" s="3">
        <v>1368</v>
      </c>
      <c r="G108" s="3">
        <v>24612</v>
      </c>
      <c r="H108" s="3">
        <v>5315</v>
      </c>
    </row>
    <row r="109" spans="1:8" x14ac:dyDescent="0.2">
      <c r="A109" s="15">
        <v>5</v>
      </c>
      <c r="B109" s="6" t="s">
        <v>82</v>
      </c>
      <c r="C109" s="14">
        <v>0.35930035437070684</v>
      </c>
      <c r="D109" s="14">
        <v>0.26676171835540685</v>
      </c>
      <c r="E109" s="14">
        <v>0.41229490874661245</v>
      </c>
      <c r="F109" s="14">
        <v>0.41177332155351998</v>
      </c>
      <c r="G109" s="14">
        <v>0.52239663172126427</v>
      </c>
      <c r="H109" s="14">
        <v>0.47421966948620553</v>
      </c>
    </row>
    <row r="110" spans="1:8" x14ac:dyDescent="0.2">
      <c r="A110" s="15">
        <v>4</v>
      </c>
      <c r="B110" s="6" t="s">
        <v>83</v>
      </c>
      <c r="C110" s="14">
        <v>0.34788244152171333</v>
      </c>
      <c r="D110" s="14">
        <v>0.43602066533856737</v>
      </c>
      <c r="E110" s="14">
        <v>0.30617562144650867</v>
      </c>
      <c r="F110" s="14">
        <v>0.29329058058370239</v>
      </c>
      <c r="G110" s="14">
        <v>0.28151436725080842</v>
      </c>
      <c r="H110" s="14">
        <v>0.30538288246054657</v>
      </c>
    </row>
    <row r="111" spans="1:8" x14ac:dyDescent="0.2">
      <c r="A111" s="15">
        <v>3</v>
      </c>
      <c r="B111" s="6" t="s">
        <v>84</v>
      </c>
      <c r="C111" s="14">
        <v>0.21287762508088856</v>
      </c>
      <c r="D111" s="14">
        <v>0.20367997786674516</v>
      </c>
      <c r="E111" s="14">
        <v>0.19857756503251933</v>
      </c>
      <c r="F111" s="14">
        <v>0.22839052560648943</v>
      </c>
      <c r="G111" s="14">
        <v>0.15236450380911257</v>
      </c>
      <c r="H111" s="14">
        <v>0.16702909635921281</v>
      </c>
    </row>
    <row r="112" spans="1:8" x14ac:dyDescent="0.2">
      <c r="A112" s="15">
        <v>2</v>
      </c>
      <c r="B112" s="6" t="s">
        <v>85</v>
      </c>
      <c r="C112" s="14">
        <v>6.2464808067647856E-2</v>
      </c>
      <c r="D112" s="14">
        <v>8.5201334740665324E-2</v>
      </c>
      <c r="E112" s="14">
        <v>5.9502851904288653E-2</v>
      </c>
      <c r="F112" s="14">
        <v>4.4278849914678647E-2</v>
      </c>
      <c r="G112" s="14">
        <v>3.4156672062185756E-2</v>
      </c>
      <c r="H112" s="14">
        <v>3.9751363039190926E-2</v>
      </c>
    </row>
    <row r="113" spans="1:8" x14ac:dyDescent="0.2">
      <c r="A113" s="15">
        <v>1</v>
      </c>
      <c r="B113" s="6" t="s">
        <v>86</v>
      </c>
      <c r="C113" s="14">
        <v>1.7474770959052338E-2</v>
      </c>
      <c r="D113" s="14">
        <v>8.3363036986064884E-3</v>
      </c>
      <c r="E113" s="14">
        <v>2.3449052870072422E-2</v>
      </c>
      <c r="F113" s="14">
        <v>2.2266722341604143E-2</v>
      </c>
      <c r="G113" s="14">
        <v>9.5678251565562769E-3</v>
      </c>
      <c r="H113" s="14">
        <v>1.3616988654855954E-2</v>
      </c>
    </row>
    <row r="114" spans="1:8" x14ac:dyDescent="0.2">
      <c r="A114" s="6"/>
      <c r="B114" s="6" t="s">
        <v>90</v>
      </c>
      <c r="C114" s="14">
        <f t="shared" ref="C114:H114" si="11">(C109+C110+C111)-(C112+C113)</f>
        <v>0.84012084194660852</v>
      </c>
      <c r="D114" s="14">
        <f t="shared" si="11"/>
        <v>0.81292472312144759</v>
      </c>
      <c r="E114" s="14">
        <f t="shared" si="11"/>
        <v>0.83409619045127936</v>
      </c>
      <c r="F114" s="14">
        <f t="shared" si="11"/>
        <v>0.86690885548742902</v>
      </c>
      <c r="G114" s="14">
        <f t="shared" si="11"/>
        <v>0.91255100556244328</v>
      </c>
      <c r="H114" s="14">
        <f t="shared" si="11"/>
        <v>0.89326329661191806</v>
      </c>
    </row>
    <row r="115" spans="1:8" x14ac:dyDescent="0.2">
      <c r="A115" s="6"/>
      <c r="B115" s="6"/>
      <c r="C115" s="14"/>
      <c r="D115" s="14"/>
      <c r="E115" s="14"/>
      <c r="F115" s="14"/>
      <c r="G115" s="14"/>
      <c r="H115" s="14"/>
    </row>
    <row r="116" spans="1:8" x14ac:dyDescent="0.2">
      <c r="A116" s="6" t="s">
        <v>24</v>
      </c>
      <c r="B116" s="6" t="s">
        <v>2</v>
      </c>
      <c r="C116" s="3">
        <v>3476</v>
      </c>
      <c r="D116" s="3">
        <v>1231</v>
      </c>
      <c r="E116" s="3">
        <v>781</v>
      </c>
      <c r="F116" s="3">
        <v>1464</v>
      </c>
      <c r="G116" s="3">
        <v>26633</v>
      </c>
      <c r="H116" s="3">
        <v>5693</v>
      </c>
    </row>
    <row r="117" spans="1:8" x14ac:dyDescent="0.2">
      <c r="A117" s="15">
        <v>5</v>
      </c>
      <c r="B117" s="6" t="s">
        <v>82</v>
      </c>
      <c r="C117" s="14">
        <v>0.32868850819133594</v>
      </c>
      <c r="D117" s="14">
        <v>0.25289556696611298</v>
      </c>
      <c r="E117" s="14">
        <v>0.3900755404424176</v>
      </c>
      <c r="F117" s="14">
        <v>0.3596507946238659</v>
      </c>
      <c r="G117" s="14">
        <v>0.49229414630886181</v>
      </c>
      <c r="H117" s="14">
        <v>0.48019756548654918</v>
      </c>
    </row>
    <row r="118" spans="1:8" x14ac:dyDescent="0.2">
      <c r="A118" s="15">
        <v>4</v>
      </c>
      <c r="B118" s="6" t="s">
        <v>83</v>
      </c>
      <c r="C118" s="14">
        <v>0.2976382843872582</v>
      </c>
      <c r="D118" s="14">
        <v>0.26928397232906859</v>
      </c>
      <c r="E118" s="14">
        <v>0.33472258408124594</v>
      </c>
      <c r="F118" s="14">
        <v>0.30168951854491338</v>
      </c>
      <c r="G118" s="14">
        <v>0.2793300025297194</v>
      </c>
      <c r="H118" s="14">
        <v>0.29813790028295878</v>
      </c>
    </row>
    <row r="119" spans="1:8" x14ac:dyDescent="0.2">
      <c r="A119" s="15">
        <v>3</v>
      </c>
      <c r="B119" s="6" t="s">
        <v>84</v>
      </c>
      <c r="C119" s="14">
        <v>0.25111076948209754</v>
      </c>
      <c r="D119" s="14">
        <v>0.32994167593622009</v>
      </c>
      <c r="E119" s="14">
        <v>0.18175306068377128</v>
      </c>
      <c r="F119" s="14">
        <v>0.22184678298529209</v>
      </c>
      <c r="G119" s="14">
        <v>0.16046616726102059</v>
      </c>
      <c r="H119" s="14">
        <v>0.15723718229612993</v>
      </c>
    </row>
    <row r="120" spans="1:8" x14ac:dyDescent="0.2">
      <c r="A120" s="15">
        <v>2</v>
      </c>
      <c r="B120" s="6" t="s">
        <v>85</v>
      </c>
      <c r="C120" s="14">
        <v>9.5649903166841771E-2</v>
      </c>
      <c r="D120" s="14">
        <v>0.13516484239249174</v>
      </c>
      <c r="E120" s="14">
        <v>6.5121125267875821E-2</v>
      </c>
      <c r="F120" s="14">
        <v>7.8720455932648065E-2</v>
      </c>
      <c r="G120" s="14">
        <v>5.220104233614873E-2</v>
      </c>
      <c r="H120" s="14">
        <v>4.8319223517304687E-2</v>
      </c>
    </row>
    <row r="121" spans="1:8" x14ac:dyDescent="0.2">
      <c r="A121" s="15">
        <v>1</v>
      </c>
      <c r="B121" s="6" t="s">
        <v>86</v>
      </c>
      <c r="C121" s="14">
        <v>2.6912534772480626E-2</v>
      </c>
      <c r="D121" s="14">
        <v>1.2713942376097947E-2</v>
      </c>
      <c r="E121" s="14">
        <v>2.8327689524690194E-2</v>
      </c>
      <c r="F121" s="14">
        <v>3.809244791327239E-2</v>
      </c>
      <c r="G121" s="14">
        <v>1.5708641564155756E-2</v>
      </c>
      <c r="H121" s="14">
        <v>1.610812841707699E-2</v>
      </c>
    </row>
    <row r="122" spans="1:8" x14ac:dyDescent="0.2">
      <c r="A122" s="6"/>
      <c r="B122" s="6" t="s">
        <v>90</v>
      </c>
      <c r="C122" s="14">
        <f t="shared" ref="C122:H122" si="12">(C117+C118+C119)-(C120+C121)</f>
        <v>0.75487512412136926</v>
      </c>
      <c r="D122" s="14">
        <f t="shared" si="12"/>
        <v>0.7042424304628121</v>
      </c>
      <c r="E122" s="14">
        <f t="shared" si="12"/>
        <v>0.81310237041486877</v>
      </c>
      <c r="F122" s="14">
        <f t="shared" si="12"/>
        <v>0.76637419230815085</v>
      </c>
      <c r="G122" s="14">
        <f t="shared" si="12"/>
        <v>0.86418063219929731</v>
      </c>
      <c r="H122" s="14">
        <f t="shared" si="12"/>
        <v>0.87114529613125624</v>
      </c>
    </row>
    <row r="123" spans="1:8" x14ac:dyDescent="0.2">
      <c r="A123" s="6"/>
      <c r="B123" s="6"/>
      <c r="C123" s="14"/>
      <c r="D123" s="14"/>
      <c r="E123" s="14"/>
      <c r="F123" s="14"/>
      <c r="G123" s="14"/>
      <c r="H123" s="14"/>
    </row>
    <row r="124" spans="1:8" x14ac:dyDescent="0.2">
      <c r="A124" s="6" t="s">
        <v>25</v>
      </c>
      <c r="B124" s="6" t="s">
        <v>2</v>
      </c>
      <c r="C124" s="3">
        <v>3309</v>
      </c>
      <c r="D124" s="3">
        <v>1214</v>
      </c>
      <c r="E124" s="3">
        <v>745</v>
      </c>
      <c r="F124" s="3">
        <v>1350</v>
      </c>
      <c r="G124" s="3">
        <v>25869</v>
      </c>
      <c r="H124" s="3">
        <v>5354</v>
      </c>
    </row>
    <row r="125" spans="1:8" x14ac:dyDescent="0.2">
      <c r="A125" s="15">
        <v>5</v>
      </c>
      <c r="B125" s="6" t="s">
        <v>82</v>
      </c>
      <c r="C125" s="14">
        <v>0.33416146123733326</v>
      </c>
      <c r="D125" s="14">
        <v>0.24940756653563267</v>
      </c>
      <c r="E125" s="14">
        <v>0.42420103797336528</v>
      </c>
      <c r="F125" s="14">
        <v>0.36077535054545401</v>
      </c>
      <c r="G125" s="14">
        <v>0.50958300208208629</v>
      </c>
      <c r="H125" s="14">
        <v>0.46117130587009958</v>
      </c>
    </row>
    <row r="126" spans="1:8" x14ac:dyDescent="0.2">
      <c r="A126" s="15">
        <v>4</v>
      </c>
      <c r="B126" s="6" t="s">
        <v>83</v>
      </c>
      <c r="C126" s="14">
        <v>0.2742361118120461</v>
      </c>
      <c r="D126" s="14">
        <v>0.22355695626976574</v>
      </c>
      <c r="E126" s="14">
        <v>0.3195165255469542</v>
      </c>
      <c r="F126" s="14">
        <v>0.29487621245013962</v>
      </c>
      <c r="G126" s="14">
        <v>0.2799196371731969</v>
      </c>
      <c r="H126" s="14">
        <v>0.30806497450467818</v>
      </c>
    </row>
    <row r="127" spans="1:8" x14ac:dyDescent="0.2">
      <c r="A127" s="15">
        <v>3</v>
      </c>
      <c r="B127" s="6" t="s">
        <v>84</v>
      </c>
      <c r="C127" s="14">
        <v>0.26219901047787236</v>
      </c>
      <c r="D127" s="14">
        <v>0.36043285509741374</v>
      </c>
      <c r="E127" s="14">
        <v>0.18683419834246798</v>
      </c>
      <c r="F127" s="14">
        <v>0.21534207671788239</v>
      </c>
      <c r="G127" s="14">
        <v>0.15457837067121041</v>
      </c>
      <c r="H127" s="14">
        <v>0.1603400201008601</v>
      </c>
    </row>
    <row r="128" spans="1:8" x14ac:dyDescent="0.2">
      <c r="A128" s="15">
        <v>2</v>
      </c>
      <c r="B128" s="6" t="s">
        <v>85</v>
      </c>
      <c r="C128" s="14">
        <v>0.10348397557531276</v>
      </c>
      <c r="D128" s="14">
        <v>0.15723896689240588</v>
      </c>
      <c r="E128" s="14">
        <v>4.793772188006027E-2</v>
      </c>
      <c r="F128" s="14">
        <v>8.5742149147705241E-2</v>
      </c>
      <c r="G128" s="14">
        <v>4.3452700014513776E-2</v>
      </c>
      <c r="H128" s="14">
        <v>5.0178266092092264E-2</v>
      </c>
    </row>
    <row r="129" spans="1:8" x14ac:dyDescent="0.2">
      <c r="A129" s="15">
        <v>1</v>
      </c>
      <c r="B129" s="6" t="s">
        <v>86</v>
      </c>
      <c r="C129" s="14">
        <v>2.5919440897445495E-2</v>
      </c>
      <c r="D129" s="14">
        <v>9.3636552047734901E-3</v>
      </c>
      <c r="E129" s="14">
        <v>2.1510516257152484E-2</v>
      </c>
      <c r="F129" s="14">
        <v>4.3264211138813381E-2</v>
      </c>
      <c r="G129" s="14">
        <v>1.2466290058897191E-2</v>
      </c>
      <c r="H129" s="14">
        <v>2.0245433432281426E-2</v>
      </c>
    </row>
    <row r="130" spans="1:8" x14ac:dyDescent="0.2">
      <c r="A130" s="6"/>
      <c r="B130" s="6" t="s">
        <v>90</v>
      </c>
      <c r="C130" s="14">
        <f t="shared" ref="C130:H130" si="13">(C125+C126+C127)-(C128+C129)</f>
        <v>0.74119316705449356</v>
      </c>
      <c r="D130" s="14">
        <f t="shared" si="13"/>
        <v>0.66679475580563274</v>
      </c>
      <c r="E130" s="14">
        <f t="shared" si="13"/>
        <v>0.86110352372557464</v>
      </c>
      <c r="F130" s="14">
        <f t="shared" si="13"/>
        <v>0.74198727942695752</v>
      </c>
      <c r="G130" s="14">
        <f t="shared" si="13"/>
        <v>0.88816201985308263</v>
      </c>
      <c r="H130" s="14">
        <f t="shared" si="13"/>
        <v>0.85915260095126422</v>
      </c>
    </row>
    <row r="131" spans="1:8" x14ac:dyDescent="0.2">
      <c r="A131" s="6"/>
      <c r="B131" s="6"/>
      <c r="C131" s="14"/>
      <c r="D131" s="14"/>
      <c r="E131" s="14"/>
      <c r="F131" s="14"/>
      <c r="G131" s="14"/>
      <c r="H131" s="14"/>
    </row>
    <row r="132" spans="1:8" x14ac:dyDescent="0.2">
      <c r="A132" s="6" t="s">
        <v>26</v>
      </c>
      <c r="B132" s="6" t="s">
        <v>2</v>
      </c>
      <c r="C132" s="3">
        <v>3468</v>
      </c>
      <c r="D132" s="3">
        <v>1234</v>
      </c>
      <c r="E132" s="3">
        <v>776</v>
      </c>
      <c r="F132" s="3">
        <v>1458</v>
      </c>
      <c r="G132" s="3">
        <v>26595</v>
      </c>
      <c r="H132" s="3">
        <v>5648</v>
      </c>
    </row>
    <row r="133" spans="1:8" x14ac:dyDescent="0.2">
      <c r="A133" s="15">
        <v>5</v>
      </c>
      <c r="B133" s="6" t="s">
        <v>82</v>
      </c>
      <c r="C133" s="14">
        <v>0.2899338024553173</v>
      </c>
      <c r="D133" s="14">
        <v>0.18434782504608171</v>
      </c>
      <c r="E133" s="14">
        <v>0.3143961732469272</v>
      </c>
      <c r="F133" s="14">
        <v>0.36627415003691072</v>
      </c>
      <c r="G133" s="14">
        <v>0.37919689806689294</v>
      </c>
      <c r="H133" s="14">
        <v>0.43240464958573233</v>
      </c>
    </row>
    <row r="134" spans="1:8" x14ac:dyDescent="0.2">
      <c r="A134" s="15">
        <v>4</v>
      </c>
      <c r="B134" s="6" t="s">
        <v>83</v>
      </c>
      <c r="C134" s="14">
        <v>0.27804842249313305</v>
      </c>
      <c r="D134" s="14">
        <v>0.19478327970699388</v>
      </c>
      <c r="E134" s="14">
        <v>0.31990039975546419</v>
      </c>
      <c r="F134" s="14">
        <v>0.32624114656707076</v>
      </c>
      <c r="G134" s="14">
        <v>0.28839423961437649</v>
      </c>
      <c r="H134" s="14">
        <v>0.32533531024310341</v>
      </c>
    </row>
    <row r="135" spans="1:8" x14ac:dyDescent="0.2">
      <c r="A135" s="15">
        <v>3</v>
      </c>
      <c r="B135" s="6" t="s">
        <v>84</v>
      </c>
      <c r="C135" s="14">
        <v>0.25147562750020469</v>
      </c>
      <c r="D135" s="14">
        <v>0.27823535317911163</v>
      </c>
      <c r="E135" s="14">
        <v>0.25660179544843575</v>
      </c>
      <c r="F135" s="14">
        <v>0.22609907679213001</v>
      </c>
      <c r="G135" s="14">
        <v>0.21595334186613235</v>
      </c>
      <c r="H135" s="14">
        <v>0.18601780034059817</v>
      </c>
    </row>
    <row r="136" spans="1:8" x14ac:dyDescent="0.2">
      <c r="A136" s="15">
        <v>2</v>
      </c>
      <c r="B136" s="6" t="s">
        <v>85</v>
      </c>
      <c r="C136" s="14">
        <v>0.14826378631873505</v>
      </c>
      <c r="D136" s="14">
        <v>0.29806726122268512</v>
      </c>
      <c r="E136" s="14">
        <v>7.8107594451904461E-2</v>
      </c>
      <c r="F136" s="14">
        <v>5.8823389083950406E-2</v>
      </c>
      <c r="G136" s="14">
        <v>9.0284163442889753E-2</v>
      </c>
      <c r="H136" s="14">
        <v>4.5104661709632149E-2</v>
      </c>
    </row>
    <row r="137" spans="1:8" x14ac:dyDescent="0.2">
      <c r="A137" s="15">
        <v>1</v>
      </c>
      <c r="B137" s="6" t="s">
        <v>86</v>
      </c>
      <c r="C137" s="14">
        <v>3.2278361232622836E-2</v>
      </c>
      <c r="D137" s="14">
        <v>4.4566280845119287E-2</v>
      </c>
      <c r="E137" s="14">
        <v>3.0994037097268778E-2</v>
      </c>
      <c r="F137" s="14">
        <v>2.2562237519929404E-2</v>
      </c>
      <c r="G137" s="14">
        <v>2.61713570096067E-2</v>
      </c>
      <c r="H137" s="14">
        <v>1.1137578120958423E-2</v>
      </c>
    </row>
    <row r="138" spans="1:8" x14ac:dyDescent="0.2">
      <c r="A138" s="6"/>
      <c r="B138" s="6" t="s">
        <v>90</v>
      </c>
      <c r="C138" s="14">
        <f t="shared" ref="C138:H138" si="14">(C133+C134+C135)-(C136+C137)</f>
        <v>0.6389157048972971</v>
      </c>
      <c r="D138" s="14">
        <f t="shared" si="14"/>
        <v>0.31473291586438279</v>
      </c>
      <c r="E138" s="14">
        <f t="shared" si="14"/>
        <v>0.78179673690165385</v>
      </c>
      <c r="F138" s="14">
        <f t="shared" si="14"/>
        <v>0.83722874679223169</v>
      </c>
      <c r="G138" s="14">
        <f t="shared" si="14"/>
        <v>0.76708895909490538</v>
      </c>
      <c r="H138" s="14">
        <f t="shared" si="14"/>
        <v>0.88751552033884318</v>
      </c>
    </row>
    <row r="139" spans="1:8" x14ac:dyDescent="0.2">
      <c r="A139" s="6"/>
      <c r="B139" s="6"/>
      <c r="C139" s="14"/>
      <c r="D139" s="14"/>
      <c r="E139" s="14"/>
      <c r="F139" s="14"/>
      <c r="G139" s="14"/>
      <c r="H139" s="14"/>
    </row>
    <row r="140" spans="1:8" x14ac:dyDescent="0.2">
      <c r="A140" s="6" t="s">
        <v>27</v>
      </c>
      <c r="B140" s="6" t="s">
        <v>2</v>
      </c>
      <c r="C140" s="3">
        <v>967</v>
      </c>
      <c r="D140" s="3">
        <v>604</v>
      </c>
      <c r="E140" s="3">
        <v>201</v>
      </c>
      <c r="F140" s="3">
        <v>162</v>
      </c>
      <c r="G140" s="3">
        <v>8413</v>
      </c>
      <c r="H140" s="3">
        <v>650</v>
      </c>
    </row>
    <row r="141" spans="1:8" x14ac:dyDescent="0.2">
      <c r="A141" s="15">
        <v>5</v>
      </c>
      <c r="B141" s="6" t="s">
        <v>82</v>
      </c>
      <c r="C141" s="14">
        <v>0.17358531929077073</v>
      </c>
      <c r="D141" s="14">
        <v>9.961287325621962E-2</v>
      </c>
      <c r="E141" s="14">
        <v>0.31784716925354284</v>
      </c>
      <c r="F141" s="14">
        <v>0.27239066139109736</v>
      </c>
      <c r="G141" s="14">
        <v>0.39369979300035701</v>
      </c>
      <c r="H141" s="14">
        <v>0.47161914770325708</v>
      </c>
    </row>
    <row r="142" spans="1:8" x14ac:dyDescent="0.2">
      <c r="A142" s="15">
        <v>4</v>
      </c>
      <c r="B142" s="6" t="s">
        <v>83</v>
      </c>
      <c r="C142" s="14">
        <v>0.18532851904513467</v>
      </c>
      <c r="D142" s="14">
        <v>0.11513159728435401</v>
      </c>
      <c r="E142" s="14">
        <v>0.28941355686058035</v>
      </c>
      <c r="F142" s="14">
        <v>0.32126040320741445</v>
      </c>
      <c r="G142" s="14">
        <v>0.27036375403581336</v>
      </c>
      <c r="H142" s="14">
        <v>0.26546324862711584</v>
      </c>
    </row>
    <row r="143" spans="1:8" x14ac:dyDescent="0.2">
      <c r="A143" s="15">
        <v>3</v>
      </c>
      <c r="B143" s="6" t="s">
        <v>84</v>
      </c>
      <c r="C143" s="14">
        <v>0.20701711929900424</v>
      </c>
      <c r="D143" s="14">
        <v>0.20074307687979928</v>
      </c>
      <c r="E143" s="14">
        <v>0.22797664369474305</v>
      </c>
      <c r="F143" s="14">
        <v>0.20418625038167743</v>
      </c>
      <c r="G143" s="14">
        <v>0.19135296538076635</v>
      </c>
      <c r="H143" s="14">
        <v>0.16746744332428182</v>
      </c>
    </row>
    <row r="144" spans="1:8" x14ac:dyDescent="0.2">
      <c r="A144" s="15">
        <v>2</v>
      </c>
      <c r="B144" s="6" t="s">
        <v>85</v>
      </c>
      <c r="C144" s="14">
        <v>0.29470951687302094</v>
      </c>
      <c r="D144" s="14">
        <v>0.41060304023018596</v>
      </c>
      <c r="E144" s="14">
        <v>0.10002538722755204</v>
      </c>
      <c r="F144" s="14">
        <v>9.9643848563584075E-2</v>
      </c>
      <c r="G144" s="14">
        <v>9.5825972601482276E-2</v>
      </c>
      <c r="H144" s="14">
        <v>4.8934129961501677E-2</v>
      </c>
    </row>
    <row r="145" spans="1:8" x14ac:dyDescent="0.2">
      <c r="A145" s="15">
        <v>1</v>
      </c>
      <c r="B145" s="6" t="s">
        <v>86</v>
      </c>
      <c r="C145" s="14">
        <v>0.13935952549206604</v>
      </c>
      <c r="D145" s="14">
        <v>0.17390941234945059</v>
      </c>
      <c r="E145" s="14">
        <v>6.4737242963580841E-2</v>
      </c>
      <c r="F145" s="14">
        <v>0.10251883645622578</v>
      </c>
      <c r="G145" s="14">
        <v>4.8757514981495033E-2</v>
      </c>
      <c r="H145" s="14">
        <v>4.6516030383842458E-2</v>
      </c>
    </row>
    <row r="146" spans="1:8" x14ac:dyDescent="0.2">
      <c r="A146" s="6"/>
      <c r="B146" s="6" t="s">
        <v>90</v>
      </c>
      <c r="C146" s="14">
        <f t="shared" ref="C146:H146" si="15">(C141+C142+C143)-(C144+C145)</f>
        <v>0.13186191526982266</v>
      </c>
      <c r="D146" s="14">
        <f t="shared" si="15"/>
        <v>-0.16902490515926366</v>
      </c>
      <c r="E146" s="14">
        <f t="shared" si="15"/>
        <v>0.6704747396177333</v>
      </c>
      <c r="F146" s="14">
        <f t="shared" si="15"/>
        <v>0.59567462996037934</v>
      </c>
      <c r="G146" s="14">
        <f t="shared" si="15"/>
        <v>0.71083302483395949</v>
      </c>
      <c r="H146" s="14">
        <f t="shared" si="15"/>
        <v>0.80909967930931059</v>
      </c>
    </row>
    <row r="147" spans="1:8" x14ac:dyDescent="0.2">
      <c r="A147" s="6"/>
      <c r="B147" s="6"/>
      <c r="C147" s="14"/>
      <c r="D147" s="14"/>
      <c r="E147" s="14"/>
      <c r="F147" s="14"/>
      <c r="G147" s="14"/>
      <c r="H147" s="14"/>
    </row>
    <row r="148" spans="1:8" x14ac:dyDescent="0.2">
      <c r="A148" s="16" t="s">
        <v>104</v>
      </c>
      <c r="B148" s="6" t="s">
        <v>2</v>
      </c>
      <c r="C148" s="3">
        <v>2989</v>
      </c>
      <c r="D148" s="3">
        <v>1127</v>
      </c>
      <c r="E148" s="3">
        <v>664</v>
      </c>
      <c r="F148" s="3">
        <v>1198</v>
      </c>
      <c r="G148" s="3">
        <v>23150</v>
      </c>
      <c r="H148" s="3">
        <v>4660</v>
      </c>
    </row>
    <row r="149" spans="1:8" x14ac:dyDescent="0.2">
      <c r="A149" s="15">
        <v>5</v>
      </c>
      <c r="B149" s="6" t="s">
        <v>82</v>
      </c>
      <c r="C149" s="14">
        <v>0.30828893297431609</v>
      </c>
      <c r="D149" s="14">
        <v>0.22355919965015209</v>
      </c>
      <c r="E149" s="14">
        <v>0.3833358882967991</v>
      </c>
      <c r="F149" s="14">
        <v>0.34642378746435348</v>
      </c>
      <c r="G149" s="14">
        <v>0.51072321393541709</v>
      </c>
      <c r="H149" s="14">
        <v>0.45102872307706721</v>
      </c>
    </row>
    <row r="150" spans="1:8" x14ac:dyDescent="0.2">
      <c r="A150" s="15">
        <v>4</v>
      </c>
      <c r="B150" s="6" t="s">
        <v>83</v>
      </c>
      <c r="C150" s="14">
        <v>0.37384614489405249</v>
      </c>
      <c r="D150" s="14">
        <v>0.45167334518254115</v>
      </c>
      <c r="E150" s="14">
        <v>0.31833512195546526</v>
      </c>
      <c r="F150" s="14">
        <v>0.33138596285938376</v>
      </c>
      <c r="G150" s="14">
        <v>0.29427266428106685</v>
      </c>
      <c r="H150" s="14">
        <v>0.32792823856724113</v>
      </c>
    </row>
    <row r="151" spans="1:8" x14ac:dyDescent="0.2">
      <c r="A151" s="15">
        <v>3</v>
      </c>
      <c r="B151" s="6" t="s">
        <v>84</v>
      </c>
      <c r="C151" s="14">
        <v>0.22106161216324816</v>
      </c>
      <c r="D151" s="14">
        <v>0.21993485003612601</v>
      </c>
      <c r="E151" s="14">
        <v>0.2118657058957446</v>
      </c>
      <c r="F151" s="14">
        <v>0.22721319486989311</v>
      </c>
      <c r="G151" s="14">
        <v>0.15377522697674825</v>
      </c>
      <c r="H151" s="14">
        <v>0.17560040512744629</v>
      </c>
    </row>
    <row r="152" spans="1:8" x14ac:dyDescent="0.2">
      <c r="A152" s="15">
        <v>2</v>
      </c>
      <c r="B152" s="6" t="s">
        <v>85</v>
      </c>
      <c r="C152" s="14">
        <v>7.3605771659842653E-2</v>
      </c>
      <c r="D152" s="14">
        <v>8.6451312689338686E-2</v>
      </c>
      <c r="E152" s="14">
        <v>6.0554959418514694E-2</v>
      </c>
      <c r="F152" s="14">
        <v>6.8750783702283033E-2</v>
      </c>
      <c r="G152" s="14">
        <v>3.1791622303398319E-2</v>
      </c>
      <c r="H152" s="14">
        <v>3.3985342210889773E-2</v>
      </c>
    </row>
    <row r="153" spans="1:8" x14ac:dyDescent="0.2">
      <c r="A153" s="15">
        <v>1</v>
      </c>
      <c r="B153" s="6" t="s">
        <v>86</v>
      </c>
      <c r="C153" s="14">
        <v>2.3197538308540717E-2</v>
      </c>
      <c r="D153" s="14">
        <v>1.838129244183468E-2</v>
      </c>
      <c r="E153" s="14">
        <v>2.5908324433479336E-2</v>
      </c>
      <c r="F153" s="14">
        <v>2.6226271104087463E-2</v>
      </c>
      <c r="G153" s="14">
        <v>9.4372725032583916E-3</v>
      </c>
      <c r="H153" s="14">
        <v>1.1457291017365263E-2</v>
      </c>
    </row>
    <row r="154" spans="1:8" x14ac:dyDescent="0.2">
      <c r="A154" s="6"/>
      <c r="B154" s="6" t="s">
        <v>90</v>
      </c>
      <c r="C154" s="14">
        <f t="shared" ref="C154:H154" si="16">(C149+C150+C151)-(C152+C153)</f>
        <v>0.80639338006323336</v>
      </c>
      <c r="D154" s="14">
        <f t="shared" si="16"/>
        <v>0.79033478973764582</v>
      </c>
      <c r="E154" s="14">
        <f t="shared" si="16"/>
        <v>0.82707343229601493</v>
      </c>
      <c r="F154" s="14">
        <f t="shared" si="16"/>
        <v>0.81004589038725983</v>
      </c>
      <c r="G154" s="14">
        <f t="shared" si="16"/>
        <v>0.91754221038657546</v>
      </c>
      <c r="H154" s="14">
        <f t="shared" si="16"/>
        <v>0.90911473354349959</v>
      </c>
    </row>
    <row r="155" spans="1:8" x14ac:dyDescent="0.2">
      <c r="A155" s="6"/>
      <c r="B155" s="6"/>
      <c r="C155" s="14"/>
      <c r="D155" s="14"/>
      <c r="E155" s="14"/>
      <c r="F155" s="14"/>
      <c r="G155" s="14"/>
      <c r="H155" s="14"/>
    </row>
    <row r="156" spans="1:8" x14ac:dyDescent="0.2">
      <c r="A156" s="6" t="s">
        <v>29</v>
      </c>
      <c r="B156" s="6" t="s">
        <v>2</v>
      </c>
      <c r="C156" s="3">
        <v>2701</v>
      </c>
      <c r="D156" s="3">
        <v>980</v>
      </c>
      <c r="E156" s="3">
        <v>574</v>
      </c>
      <c r="F156" s="3">
        <v>1147</v>
      </c>
      <c r="G156" s="3">
        <v>20308</v>
      </c>
      <c r="H156" s="3">
        <v>4319</v>
      </c>
    </row>
    <row r="157" spans="1:8" x14ac:dyDescent="0.2">
      <c r="A157" s="15">
        <v>5</v>
      </c>
      <c r="B157" s="6" t="s">
        <v>82</v>
      </c>
      <c r="C157" s="14">
        <v>0.20456708477529403</v>
      </c>
      <c r="D157" s="14">
        <v>0.16638302002544891</v>
      </c>
      <c r="E157" s="14">
        <v>0.27866383128395783</v>
      </c>
      <c r="F157" s="14">
        <v>0.200205811334356</v>
      </c>
      <c r="G157" s="14">
        <v>0.37595672477014191</v>
      </c>
      <c r="H157" s="14">
        <v>0.27972693947965677</v>
      </c>
    </row>
    <row r="158" spans="1:8" x14ac:dyDescent="0.2">
      <c r="A158" s="15">
        <v>4</v>
      </c>
      <c r="B158" s="6" t="s">
        <v>83</v>
      </c>
      <c r="C158" s="14">
        <v>0.27524586110939453</v>
      </c>
      <c r="D158" s="14">
        <v>0.30806094710923576</v>
      </c>
      <c r="E158" s="14">
        <v>0.28779018257375188</v>
      </c>
      <c r="F158" s="14">
        <v>0.24083550854425828</v>
      </c>
      <c r="G158" s="14">
        <v>0.28610201661031931</v>
      </c>
      <c r="H158" s="14">
        <v>0.30932000144353577</v>
      </c>
    </row>
    <row r="159" spans="1:8" x14ac:dyDescent="0.2">
      <c r="A159" s="15">
        <v>3</v>
      </c>
      <c r="B159" s="6" t="s">
        <v>84</v>
      </c>
      <c r="C159" s="14">
        <v>0.28843870132070892</v>
      </c>
      <c r="D159" s="14">
        <v>0.34776007010875937</v>
      </c>
      <c r="E159" s="14">
        <v>0.25013290792429754</v>
      </c>
      <c r="F159" s="14">
        <v>0.25676259647439131</v>
      </c>
      <c r="G159" s="14">
        <v>0.22471854176901826</v>
      </c>
      <c r="H159" s="14">
        <v>0.24001199481294541</v>
      </c>
    </row>
    <row r="160" spans="1:8" x14ac:dyDescent="0.2">
      <c r="A160" s="15">
        <v>2</v>
      </c>
      <c r="B160" s="6" t="s">
        <v>85</v>
      </c>
      <c r="C160" s="14">
        <v>0.15518468773147648</v>
      </c>
      <c r="D160" s="14">
        <v>0.14737568618564739</v>
      </c>
      <c r="E160" s="14">
        <v>0.12200956938616044</v>
      </c>
      <c r="F160" s="14">
        <v>0.17848696534775718</v>
      </c>
      <c r="G160" s="14">
        <v>8.7560467303395909E-2</v>
      </c>
      <c r="H160" s="14">
        <v>0.11843096766911554</v>
      </c>
    </row>
    <row r="161" spans="1:8" x14ac:dyDescent="0.2">
      <c r="A161" s="15">
        <v>1</v>
      </c>
      <c r="B161" s="6" t="s">
        <v>86</v>
      </c>
      <c r="C161" s="14">
        <v>7.6563665063117736E-2</v>
      </c>
      <c r="D161" s="14">
        <v>3.0420276570904976E-2</v>
      </c>
      <c r="E161" s="14">
        <v>6.1403508831838739E-2</v>
      </c>
      <c r="F161" s="14">
        <v>0.12370911829923832</v>
      </c>
      <c r="G161" s="14">
        <v>2.5662249547016406E-2</v>
      </c>
      <c r="H161" s="14">
        <v>5.2510096594774583E-2</v>
      </c>
    </row>
    <row r="162" spans="1:8" x14ac:dyDescent="0.2">
      <c r="A162" s="6"/>
      <c r="B162" s="6" t="s">
        <v>90</v>
      </c>
      <c r="C162" s="14">
        <f t="shared" ref="C162:H162" si="17">(C157+C158+C159)-(C160+C161)</f>
        <v>0.53650329441080324</v>
      </c>
      <c r="D162" s="14">
        <f t="shared" si="17"/>
        <v>0.64440807448689164</v>
      </c>
      <c r="E162" s="14">
        <f t="shared" si="17"/>
        <v>0.63317384356400797</v>
      </c>
      <c r="F162" s="14">
        <f t="shared" si="17"/>
        <v>0.39560783270601013</v>
      </c>
      <c r="G162" s="14">
        <f t="shared" si="17"/>
        <v>0.77355456629906727</v>
      </c>
      <c r="H162" s="14">
        <f t="shared" si="17"/>
        <v>0.65811787147224787</v>
      </c>
    </row>
    <row r="163" spans="1:8" x14ac:dyDescent="0.2">
      <c r="A163" s="6"/>
      <c r="B163" s="6"/>
      <c r="C163" s="14"/>
      <c r="D163" s="14"/>
      <c r="E163" s="14"/>
      <c r="F163" s="14"/>
      <c r="G163" s="14"/>
      <c r="H163" s="14"/>
    </row>
    <row r="164" spans="1:8" x14ac:dyDescent="0.2">
      <c r="A164" s="6" t="s">
        <v>30</v>
      </c>
      <c r="B164" s="6" t="s">
        <v>2</v>
      </c>
      <c r="C164" s="3">
        <v>2640</v>
      </c>
      <c r="D164" s="3">
        <v>958</v>
      </c>
      <c r="E164" s="3">
        <v>571</v>
      </c>
      <c r="F164" s="3">
        <v>1111</v>
      </c>
      <c r="G164" s="3">
        <v>20086</v>
      </c>
      <c r="H164" s="3">
        <v>4195</v>
      </c>
    </row>
    <row r="165" spans="1:8" x14ac:dyDescent="0.2">
      <c r="A165" s="15">
        <v>5</v>
      </c>
      <c r="B165" s="6" t="s">
        <v>82</v>
      </c>
      <c r="C165" s="14">
        <v>9.2385220744094096E-2</v>
      </c>
      <c r="D165" s="14">
        <v>7.7672765206899433E-2</v>
      </c>
      <c r="E165" s="14">
        <v>0.11152681267807689</v>
      </c>
      <c r="F165" s="14">
        <v>9.5254654493423518E-2</v>
      </c>
      <c r="G165" s="14">
        <v>0.24052880653666203</v>
      </c>
      <c r="H165" s="14">
        <v>0.16288801443877443</v>
      </c>
    </row>
    <row r="166" spans="1:8" x14ac:dyDescent="0.2">
      <c r="A166" s="15">
        <v>4</v>
      </c>
      <c r="B166" s="6" t="s">
        <v>83</v>
      </c>
      <c r="C166" s="14">
        <v>0.15123559897317632</v>
      </c>
      <c r="D166" s="14">
        <v>0.1228875272037238</v>
      </c>
      <c r="E166" s="14">
        <v>0.17735613760415533</v>
      </c>
      <c r="F166" s="14">
        <v>0.16230151310490507</v>
      </c>
      <c r="G166" s="14">
        <v>0.21613651676085291</v>
      </c>
      <c r="H166" s="14">
        <v>0.23750856367815448</v>
      </c>
    </row>
    <row r="167" spans="1:8" x14ac:dyDescent="0.2">
      <c r="A167" s="15">
        <v>3</v>
      </c>
      <c r="B167" s="6" t="s">
        <v>84</v>
      </c>
      <c r="C167" s="14">
        <v>0.2839006662056196</v>
      </c>
      <c r="D167" s="14">
        <v>0.27027469848697722</v>
      </c>
      <c r="E167" s="14">
        <v>0.29289150192976871</v>
      </c>
      <c r="F167" s="14">
        <v>0.29105364975260745</v>
      </c>
      <c r="G167" s="14">
        <v>0.26213100843951886</v>
      </c>
      <c r="H167" s="14">
        <v>0.299239790712861</v>
      </c>
    </row>
    <row r="168" spans="1:8" x14ac:dyDescent="0.2">
      <c r="A168" s="15">
        <v>2</v>
      </c>
      <c r="B168" s="6" t="s">
        <v>85</v>
      </c>
      <c r="C168" s="14">
        <v>0.32186562957610898</v>
      </c>
      <c r="D168" s="14">
        <v>0.39918210766285062</v>
      </c>
      <c r="E168" s="14">
        <v>0.28336005696112465</v>
      </c>
      <c r="F168" s="14">
        <v>0.27484140357523246</v>
      </c>
      <c r="G168" s="14">
        <v>0.19457478304319192</v>
      </c>
      <c r="H168" s="14">
        <v>0.20506222090540344</v>
      </c>
    </row>
    <row r="169" spans="1:8" x14ac:dyDescent="0.2">
      <c r="A169" s="15">
        <v>1</v>
      </c>
      <c r="B169" s="6" t="s">
        <v>86</v>
      </c>
      <c r="C169" s="14">
        <v>0.15061288450099128</v>
      </c>
      <c r="D169" s="14">
        <v>0.12998290143954472</v>
      </c>
      <c r="E169" s="14">
        <v>0.13486549082688118</v>
      </c>
      <c r="F169" s="14">
        <v>0.17654877907383532</v>
      </c>
      <c r="G169" s="14">
        <v>8.6628885219667287E-2</v>
      </c>
      <c r="H169" s="14">
        <v>9.5301410264831243E-2</v>
      </c>
    </row>
    <row r="170" spans="1:8" x14ac:dyDescent="0.2">
      <c r="A170" s="6"/>
      <c r="B170" s="6" t="s">
        <v>90</v>
      </c>
      <c r="C170" s="14">
        <f t="shared" ref="C170:H170" si="18">(C165+C166+C167)-(C168+C169)</f>
        <v>5.5042971845789768E-2</v>
      </c>
      <c r="D170" s="14">
        <f t="shared" si="18"/>
        <v>-5.8330018204794942E-2</v>
      </c>
      <c r="E170" s="14">
        <f t="shared" si="18"/>
        <v>0.16354890442399517</v>
      </c>
      <c r="F170" s="14">
        <f t="shared" si="18"/>
        <v>9.7219634701868174E-2</v>
      </c>
      <c r="G170" s="14">
        <f t="shared" si="18"/>
        <v>0.43759266347417464</v>
      </c>
      <c r="H170" s="14">
        <f t="shared" si="18"/>
        <v>0.39927273765955529</v>
      </c>
    </row>
    <row r="171" spans="1:8" x14ac:dyDescent="0.2">
      <c r="A171" s="6"/>
      <c r="B171" s="6"/>
      <c r="C171" s="14"/>
      <c r="D171" s="14"/>
      <c r="E171" s="14"/>
      <c r="F171" s="14"/>
      <c r="G171" s="14"/>
      <c r="H171" s="14"/>
    </row>
    <row r="172" spans="1:8" x14ac:dyDescent="0.2">
      <c r="A172" s="16" t="s">
        <v>31</v>
      </c>
      <c r="B172" s="6" t="s">
        <v>2</v>
      </c>
      <c r="C172" s="3">
        <v>837</v>
      </c>
      <c r="D172" s="3">
        <v>281</v>
      </c>
      <c r="E172" s="3">
        <v>224</v>
      </c>
      <c r="F172" s="3">
        <v>332</v>
      </c>
      <c r="G172" s="3">
        <v>9267</v>
      </c>
      <c r="H172" s="3">
        <v>1473</v>
      </c>
    </row>
    <row r="173" spans="1:8" x14ac:dyDescent="0.2">
      <c r="A173" s="15">
        <v>5</v>
      </c>
      <c r="B173" s="6" t="s">
        <v>82</v>
      </c>
      <c r="C173" s="14">
        <v>0.20478017747976313</v>
      </c>
      <c r="D173" s="14">
        <v>0.19499250900594872</v>
      </c>
      <c r="E173" s="14">
        <v>0.2308042832478002</v>
      </c>
      <c r="F173" s="14">
        <v>0.19582707275394842</v>
      </c>
      <c r="G173" s="14">
        <v>0.41457080931074486</v>
      </c>
      <c r="H173" s="14">
        <v>0.25923520318894511</v>
      </c>
    </row>
    <row r="174" spans="1:8" x14ac:dyDescent="0.2">
      <c r="A174" s="15">
        <v>4</v>
      </c>
      <c r="B174" s="6" t="s">
        <v>83</v>
      </c>
      <c r="C174" s="14">
        <v>0.25864578897369894</v>
      </c>
      <c r="D174" s="14">
        <v>0.27010487391672688</v>
      </c>
      <c r="E174" s="14">
        <v>0.28662565517474942</v>
      </c>
      <c r="F174" s="14">
        <v>0.23037201423393752</v>
      </c>
      <c r="G174" s="14">
        <v>0.26896767588434184</v>
      </c>
      <c r="H174" s="14">
        <v>0.32425699068232733</v>
      </c>
    </row>
    <row r="175" spans="1:8" x14ac:dyDescent="0.2">
      <c r="A175" s="15">
        <v>3</v>
      </c>
      <c r="B175" s="6" t="s">
        <v>84</v>
      </c>
      <c r="C175" s="14">
        <v>0.34814343769195683</v>
      </c>
      <c r="D175" s="14">
        <v>0.35623484481114187</v>
      </c>
      <c r="E175" s="14">
        <v>0.32604237869496411</v>
      </c>
      <c r="F175" s="14">
        <v>0.35593420146098981</v>
      </c>
      <c r="G175" s="14">
        <v>0.23205937376693714</v>
      </c>
      <c r="H175" s="14">
        <v>0.29160344702729657</v>
      </c>
    </row>
    <row r="176" spans="1:8" x14ac:dyDescent="0.2">
      <c r="A176" s="15">
        <v>2</v>
      </c>
      <c r="B176" s="6" t="s">
        <v>85</v>
      </c>
      <c r="C176" s="14">
        <v>0.13132906028610372</v>
      </c>
      <c r="D176" s="14">
        <v>0.15467104578501412</v>
      </c>
      <c r="E176" s="14">
        <v>0.11665527463203823</v>
      </c>
      <c r="F176" s="14">
        <v>0.12125771651315131</v>
      </c>
      <c r="G176" s="14">
        <v>6.729314459502235E-2</v>
      </c>
      <c r="H176" s="14">
        <v>8.8608984007275099E-2</v>
      </c>
    </row>
    <row r="177" spans="1:8" x14ac:dyDescent="0.2">
      <c r="A177" s="15">
        <v>1</v>
      </c>
      <c r="B177" s="6" t="s">
        <v>86</v>
      </c>
      <c r="C177" s="14">
        <v>5.7101535568477593E-2</v>
      </c>
      <c r="D177" s="14">
        <v>2.3996726481171068E-2</v>
      </c>
      <c r="E177" s="14">
        <v>3.987240825044671E-2</v>
      </c>
      <c r="F177" s="14">
        <v>9.66089950379765E-2</v>
      </c>
      <c r="G177" s="14">
        <v>1.7108996442902018E-2</v>
      </c>
      <c r="H177" s="14">
        <v>3.6295375094149693E-2</v>
      </c>
    </row>
    <row r="178" spans="1:8" x14ac:dyDescent="0.2">
      <c r="A178" s="6"/>
      <c r="B178" s="6" t="s">
        <v>90</v>
      </c>
      <c r="C178" s="14">
        <f t="shared" ref="C178:H178" si="19">(C173+C174+C175)-(C176+C177)</f>
        <v>0.62313880829083756</v>
      </c>
      <c r="D178" s="14">
        <f t="shared" si="19"/>
        <v>0.6426644554676324</v>
      </c>
      <c r="E178" s="14">
        <f t="shared" si="19"/>
        <v>0.68694463423502872</v>
      </c>
      <c r="F178" s="14">
        <f t="shared" si="19"/>
        <v>0.56426657689774795</v>
      </c>
      <c r="G178" s="14">
        <f t="shared" si="19"/>
        <v>0.83119571792409963</v>
      </c>
      <c r="H178" s="14">
        <f t="shared" si="19"/>
        <v>0.75019128179714423</v>
      </c>
    </row>
    <row r="179" spans="1:8" x14ac:dyDescent="0.2">
      <c r="A179" s="6"/>
      <c r="B179" s="6"/>
      <c r="C179" s="14"/>
      <c r="D179" s="14"/>
      <c r="E179" s="14"/>
      <c r="F179" s="14"/>
      <c r="G179" s="14"/>
      <c r="H179" s="14"/>
    </row>
    <row r="180" spans="1:8" x14ac:dyDescent="0.2">
      <c r="A180" s="6" t="s">
        <v>32</v>
      </c>
      <c r="B180" s="6" t="s">
        <v>2</v>
      </c>
      <c r="C180" s="3">
        <v>1639</v>
      </c>
      <c r="D180" s="3">
        <v>656</v>
      </c>
      <c r="E180" s="3">
        <v>371</v>
      </c>
      <c r="F180" s="3">
        <v>612</v>
      </c>
      <c r="G180" s="3">
        <v>15838</v>
      </c>
      <c r="H180" s="3">
        <v>2688</v>
      </c>
    </row>
    <row r="181" spans="1:8" x14ac:dyDescent="0.2">
      <c r="A181" s="15">
        <v>5</v>
      </c>
      <c r="B181" s="6" t="s">
        <v>82</v>
      </c>
      <c r="C181" s="14">
        <v>0.16992444797126827</v>
      </c>
      <c r="D181" s="14">
        <v>0.17965507530742997</v>
      </c>
      <c r="E181" s="14">
        <v>0.22417824239696454</v>
      </c>
      <c r="F181" s="14">
        <v>0.12666803936004459</v>
      </c>
      <c r="G181" s="14">
        <v>0.38082260721625955</v>
      </c>
      <c r="H181" s="14">
        <v>0.19586434950592937</v>
      </c>
    </row>
    <row r="182" spans="1:8" x14ac:dyDescent="0.2">
      <c r="A182" s="15">
        <v>4</v>
      </c>
      <c r="B182" s="6" t="s">
        <v>83</v>
      </c>
      <c r="C182" s="14">
        <v>0.24573653167043102</v>
      </c>
      <c r="D182" s="14">
        <v>0.2785119607399249</v>
      </c>
      <c r="E182" s="14">
        <v>0.2698390868248714</v>
      </c>
      <c r="F182" s="14">
        <v>0.19562729479235949</v>
      </c>
      <c r="G182" s="14">
        <v>0.29504891619374279</v>
      </c>
      <c r="H182" s="14">
        <v>0.29439751796693259</v>
      </c>
    </row>
    <row r="183" spans="1:8" x14ac:dyDescent="0.2">
      <c r="A183" s="15">
        <v>3</v>
      </c>
      <c r="B183" s="6" t="s">
        <v>84</v>
      </c>
      <c r="C183" s="14">
        <v>0.35085391991973564</v>
      </c>
      <c r="D183" s="14">
        <v>0.40331609467470592</v>
      </c>
      <c r="E183" s="14">
        <v>0.32045110709530017</v>
      </c>
      <c r="F183" s="14">
        <v>0.31221278437126698</v>
      </c>
      <c r="G183" s="14">
        <v>0.23757365945251055</v>
      </c>
      <c r="H183" s="14">
        <v>0.307741964081436</v>
      </c>
    </row>
    <row r="184" spans="1:8" x14ac:dyDescent="0.2">
      <c r="A184" s="15">
        <v>2</v>
      </c>
      <c r="B184" s="6" t="s">
        <v>85</v>
      </c>
      <c r="C184" s="14">
        <v>0.16067553969654097</v>
      </c>
      <c r="D184" s="14">
        <v>0.12316009774256513</v>
      </c>
      <c r="E184" s="14">
        <v>0.1320313574411974</v>
      </c>
      <c r="F184" s="14">
        <v>0.21866786409630634</v>
      </c>
      <c r="G184" s="14">
        <v>6.7912827175614615E-2</v>
      </c>
      <c r="H184" s="14">
        <v>0.14019717719368605</v>
      </c>
    </row>
    <row r="185" spans="1:8" x14ac:dyDescent="0.2">
      <c r="A185" s="15">
        <v>1</v>
      </c>
      <c r="B185" s="6" t="s">
        <v>86</v>
      </c>
      <c r="C185" s="14">
        <v>7.2809560742003746E-2</v>
      </c>
      <c r="D185" s="14">
        <v>1.5356771535378637E-2</v>
      </c>
      <c r="E185" s="14">
        <v>5.3500206241666917E-2</v>
      </c>
      <c r="F185" s="14">
        <v>0.14682401738002124</v>
      </c>
      <c r="G185" s="14">
        <v>1.8641989961829961E-2</v>
      </c>
      <c r="H185" s="14">
        <v>6.1798991252019632E-2</v>
      </c>
    </row>
    <row r="186" spans="1:8" x14ac:dyDescent="0.2">
      <c r="A186" s="6"/>
      <c r="B186" s="6" t="s">
        <v>90</v>
      </c>
      <c r="C186" s="14">
        <f t="shared" ref="C186:H186" si="20">(C181+C182+C183)-(C184+C185)</f>
        <v>0.53302979912289028</v>
      </c>
      <c r="D186" s="14">
        <f t="shared" si="20"/>
        <v>0.72296626144411702</v>
      </c>
      <c r="E186" s="14">
        <f t="shared" si="20"/>
        <v>0.62893687263427189</v>
      </c>
      <c r="F186" s="14">
        <f t="shared" si="20"/>
        <v>0.26901623704734345</v>
      </c>
      <c r="G186" s="14">
        <f t="shared" si="20"/>
        <v>0.82689036572506824</v>
      </c>
      <c r="H186" s="14">
        <f t="shared" si="20"/>
        <v>0.59600766310859221</v>
      </c>
    </row>
    <row r="187" spans="1:8" x14ac:dyDescent="0.2">
      <c r="A187" s="6"/>
      <c r="B187" s="6"/>
      <c r="C187" s="14"/>
      <c r="D187" s="14"/>
      <c r="E187" s="14"/>
      <c r="F187" s="14"/>
      <c r="G187" s="14"/>
      <c r="H187" s="14"/>
    </row>
    <row r="188" spans="1:8" x14ac:dyDescent="0.2">
      <c r="A188" s="6" t="s">
        <v>33</v>
      </c>
      <c r="B188" s="6" t="s">
        <v>2</v>
      </c>
      <c r="C188" s="3">
        <v>1488</v>
      </c>
      <c r="D188" s="3">
        <v>558</v>
      </c>
      <c r="E188" s="3">
        <v>358</v>
      </c>
      <c r="F188" s="3">
        <v>572</v>
      </c>
      <c r="G188" s="3">
        <v>14891</v>
      </c>
      <c r="H188" s="3">
        <v>2457</v>
      </c>
    </row>
    <row r="189" spans="1:8" x14ac:dyDescent="0.2">
      <c r="A189" s="15">
        <v>5</v>
      </c>
      <c r="B189" s="6" t="s">
        <v>82</v>
      </c>
      <c r="C189" s="14">
        <v>9.677897826377721E-2</v>
      </c>
      <c r="D189" s="14">
        <v>8.3638086697722713E-2</v>
      </c>
      <c r="E189" s="14">
        <v>0.1254633589632792</v>
      </c>
      <c r="F189" s="14">
        <v>9.1872392188723062E-2</v>
      </c>
      <c r="G189" s="14">
        <v>0.26061020317489708</v>
      </c>
      <c r="H189" s="14">
        <v>0.12312423231296891</v>
      </c>
    </row>
    <row r="190" spans="1:8" x14ac:dyDescent="0.2">
      <c r="A190" s="15">
        <v>4</v>
      </c>
      <c r="B190" s="6" t="s">
        <v>83</v>
      </c>
      <c r="C190" s="14">
        <v>0.17270071285888855</v>
      </c>
      <c r="D190" s="14">
        <v>0.17942225512959453</v>
      </c>
      <c r="E190" s="14">
        <v>0.21257485033935353</v>
      </c>
      <c r="F190" s="14">
        <v>0.14133423355839803</v>
      </c>
      <c r="G190" s="14">
        <v>0.21993603894449021</v>
      </c>
      <c r="H190" s="14">
        <v>0.20332684201670898</v>
      </c>
    </row>
    <row r="191" spans="1:8" x14ac:dyDescent="0.2">
      <c r="A191" s="15">
        <v>3</v>
      </c>
      <c r="B191" s="6" t="s">
        <v>84</v>
      </c>
      <c r="C191" s="14">
        <v>0.3003069669574035</v>
      </c>
      <c r="D191" s="14">
        <v>0.2728511326382404</v>
      </c>
      <c r="E191" s="14">
        <v>0.30481893361057788</v>
      </c>
      <c r="F191" s="14">
        <v>0.32447404743845742</v>
      </c>
      <c r="G191" s="14">
        <v>0.27620968078217273</v>
      </c>
      <c r="H191" s="14">
        <v>0.34853278700563917</v>
      </c>
    </row>
    <row r="192" spans="1:8" x14ac:dyDescent="0.2">
      <c r="A192" s="15">
        <v>2</v>
      </c>
      <c r="B192" s="6" t="s">
        <v>85</v>
      </c>
      <c r="C192" s="14">
        <v>0.30260615542912844</v>
      </c>
      <c r="D192" s="14">
        <v>0.34997214372387847</v>
      </c>
      <c r="E192" s="14">
        <v>0.2457941260314086</v>
      </c>
      <c r="F192" s="14">
        <v>0.29136301473340021</v>
      </c>
      <c r="G192" s="14">
        <v>0.18141593701807238</v>
      </c>
      <c r="H192" s="14">
        <v>0.23771076180625922</v>
      </c>
    </row>
    <row r="193" spans="1:8" x14ac:dyDescent="0.2">
      <c r="A193" s="15">
        <v>1</v>
      </c>
      <c r="B193" s="6" t="s">
        <v>86</v>
      </c>
      <c r="C193" s="14">
        <v>0.1276071864907839</v>
      </c>
      <c r="D193" s="14">
        <v>0.11411638181057208</v>
      </c>
      <c r="E193" s="14">
        <v>0.11134873105538072</v>
      </c>
      <c r="F193" s="14">
        <v>0.15095631208101931</v>
      </c>
      <c r="G193" s="14">
        <v>6.1828140080319616E-2</v>
      </c>
      <c r="H193" s="14">
        <v>8.7305376858423364E-2</v>
      </c>
    </row>
    <row r="194" spans="1:8" x14ac:dyDescent="0.2">
      <c r="A194" s="6"/>
      <c r="B194" s="6" t="s">
        <v>90</v>
      </c>
      <c r="C194" s="14">
        <f t="shared" ref="C194:H194" si="21">(C189+C190+C191)-(C192+C193)</f>
        <v>0.13957331616015689</v>
      </c>
      <c r="D194" s="14">
        <f t="shared" si="21"/>
        <v>7.1822948931107078E-2</v>
      </c>
      <c r="E194" s="14">
        <f t="shared" si="21"/>
        <v>0.28571428582642128</v>
      </c>
      <c r="F194" s="14">
        <f t="shared" si="21"/>
        <v>0.11536134637115902</v>
      </c>
      <c r="G194" s="14">
        <f t="shared" si="21"/>
        <v>0.513511845803168</v>
      </c>
      <c r="H194" s="14">
        <f t="shared" si="21"/>
        <v>0.34996772267063447</v>
      </c>
    </row>
    <row r="195" spans="1:8" x14ac:dyDescent="0.2">
      <c r="A195" s="6"/>
      <c r="B195" s="6"/>
      <c r="C195" s="14"/>
      <c r="D195" s="14"/>
      <c r="E195" s="14"/>
      <c r="F195" s="14"/>
      <c r="G195" s="14"/>
      <c r="H195" s="14"/>
    </row>
    <row r="196" spans="1:8" x14ac:dyDescent="0.2">
      <c r="A196" s="6" t="s">
        <v>34</v>
      </c>
      <c r="B196" s="6" t="s">
        <v>2</v>
      </c>
      <c r="C196" s="3">
        <v>2307</v>
      </c>
      <c r="D196" s="3">
        <v>943</v>
      </c>
      <c r="E196" s="3">
        <v>493</v>
      </c>
      <c r="F196" s="3">
        <v>871</v>
      </c>
      <c r="G196" s="3">
        <v>18933</v>
      </c>
      <c r="H196" s="3">
        <v>3453</v>
      </c>
    </row>
    <row r="197" spans="1:8" x14ac:dyDescent="0.2">
      <c r="A197" s="15">
        <v>5</v>
      </c>
      <c r="B197" s="6" t="s">
        <v>82</v>
      </c>
      <c r="C197" s="14">
        <v>0.13462378806745176</v>
      </c>
      <c r="D197" s="14">
        <v>8.7401867591926863E-2</v>
      </c>
      <c r="E197" s="14">
        <v>0.1950790861655084</v>
      </c>
      <c r="F197" s="14">
        <v>0.15180996676584679</v>
      </c>
      <c r="G197" s="14">
        <v>0.4105131520760274</v>
      </c>
      <c r="H197" s="14">
        <v>0.30251722874982517</v>
      </c>
    </row>
    <row r="198" spans="1:8" x14ac:dyDescent="0.2">
      <c r="A198" s="15">
        <v>4</v>
      </c>
      <c r="B198" s="6" t="s">
        <v>83</v>
      </c>
      <c r="C198" s="14">
        <v>0.13707307498124327</v>
      </c>
      <c r="D198" s="14">
        <v>0.11800756865902881</v>
      </c>
      <c r="E198" s="14">
        <v>0.15651814333194808</v>
      </c>
      <c r="F198" s="14">
        <v>0.14682009357028208</v>
      </c>
      <c r="G198" s="14">
        <v>0.21680116637927982</v>
      </c>
      <c r="H198" s="14">
        <v>0.24469500171355546</v>
      </c>
    </row>
    <row r="199" spans="1:8" x14ac:dyDescent="0.2">
      <c r="A199" s="15">
        <v>3</v>
      </c>
      <c r="B199" s="6" t="s">
        <v>84</v>
      </c>
      <c r="C199" s="14">
        <v>0.20948231576524354</v>
      </c>
      <c r="D199" s="14">
        <v>0.21329766384716101</v>
      </c>
      <c r="E199" s="14">
        <v>0.19693993593007117</v>
      </c>
      <c r="F199" s="14">
        <v>0.21242650475202743</v>
      </c>
      <c r="G199" s="14">
        <v>0.17965503003797487</v>
      </c>
      <c r="H199" s="14">
        <v>0.1995235796292458</v>
      </c>
    </row>
    <row r="200" spans="1:8" x14ac:dyDescent="0.2">
      <c r="A200" s="15">
        <v>2</v>
      </c>
      <c r="B200" s="6" t="s">
        <v>85</v>
      </c>
      <c r="C200" s="14">
        <v>0.25188502105042765</v>
      </c>
      <c r="D200" s="14">
        <v>0.34597335412022245</v>
      </c>
      <c r="E200" s="14">
        <v>0.16241083430049449</v>
      </c>
      <c r="F200" s="14">
        <v>0.20011297496567285</v>
      </c>
      <c r="G200" s="14">
        <v>0.10738582990851618</v>
      </c>
      <c r="H200" s="14">
        <v>0.11824297465886267</v>
      </c>
    </row>
    <row r="201" spans="1:8" x14ac:dyDescent="0.2">
      <c r="A201" s="15">
        <v>1</v>
      </c>
      <c r="B201" s="6" t="s">
        <v>86</v>
      </c>
      <c r="C201" s="14">
        <v>0.26693580013561485</v>
      </c>
      <c r="D201" s="14">
        <v>0.23531954578165837</v>
      </c>
      <c r="E201" s="14">
        <v>0.28905200027197969</v>
      </c>
      <c r="F201" s="14">
        <v>0.28883045994616735</v>
      </c>
      <c r="G201" s="14">
        <v>8.5644821598112403E-2</v>
      </c>
      <c r="H201" s="14">
        <v>0.13502121524852972</v>
      </c>
    </row>
    <row r="202" spans="1:8" x14ac:dyDescent="0.2">
      <c r="A202" s="6"/>
      <c r="B202" s="6" t="s">
        <v>90</v>
      </c>
      <c r="C202" s="14">
        <f t="shared" ref="C202:H202" si="22">(C197+C198+C199)-(C200+C201)</f>
        <v>-3.7641642372103989E-2</v>
      </c>
      <c r="D202" s="14">
        <f t="shared" si="22"/>
        <v>-0.16258579980376414</v>
      </c>
      <c r="E202" s="14">
        <f t="shared" si="22"/>
        <v>9.7074330855053459E-2</v>
      </c>
      <c r="F202" s="14">
        <f t="shared" si="22"/>
        <v>2.2113130176316109E-2</v>
      </c>
      <c r="G202" s="14">
        <f t="shared" si="22"/>
        <v>0.61393869698665349</v>
      </c>
      <c r="H202" s="14">
        <f t="shared" si="22"/>
        <v>0.49347162018523405</v>
      </c>
    </row>
    <row r="203" spans="1:8" x14ac:dyDescent="0.2">
      <c r="A203" s="6"/>
      <c r="B203" s="6"/>
      <c r="C203" s="14"/>
      <c r="D203" s="14"/>
      <c r="E203" s="14"/>
      <c r="F203" s="14"/>
      <c r="G203" s="14"/>
      <c r="H203" s="14"/>
    </row>
    <row r="204" spans="1:8" x14ac:dyDescent="0.2">
      <c r="A204" s="6" t="s">
        <v>35</v>
      </c>
      <c r="B204" s="6" t="s">
        <v>2</v>
      </c>
      <c r="C204" s="3">
        <v>627</v>
      </c>
      <c r="D204" s="3">
        <v>211</v>
      </c>
      <c r="E204" s="3">
        <v>163</v>
      </c>
      <c r="F204" s="3">
        <v>253</v>
      </c>
      <c r="G204" s="3">
        <v>5705</v>
      </c>
      <c r="H204" s="3">
        <v>895</v>
      </c>
    </row>
    <row r="205" spans="1:8" x14ac:dyDescent="0.2">
      <c r="A205" s="15">
        <v>5</v>
      </c>
      <c r="B205" s="6" t="s">
        <v>82</v>
      </c>
      <c r="C205" s="14">
        <v>0.20149255488392928</v>
      </c>
      <c r="D205" s="14">
        <v>0.15492655621480012</v>
      </c>
      <c r="E205" s="14">
        <v>0.25680325292826434</v>
      </c>
      <c r="F205" s="14">
        <v>0.20481628752558373</v>
      </c>
      <c r="G205" s="14">
        <v>0.50643109946590459</v>
      </c>
      <c r="H205" s="14">
        <v>0.27031055833757639</v>
      </c>
    </row>
    <row r="206" spans="1:8" x14ac:dyDescent="0.2">
      <c r="A206" s="15">
        <v>4</v>
      </c>
      <c r="B206" s="6" t="s">
        <v>83</v>
      </c>
      <c r="C206" s="14">
        <v>0.21960551526394981</v>
      </c>
      <c r="D206" s="14">
        <v>0.26216359296280656</v>
      </c>
      <c r="E206" s="14">
        <v>0.2392868314076734</v>
      </c>
      <c r="F206" s="14">
        <v>0.17164056054386589</v>
      </c>
      <c r="G206" s="14">
        <v>0.20740391450568513</v>
      </c>
      <c r="H206" s="14">
        <v>0.22383843706123593</v>
      </c>
    </row>
    <row r="207" spans="1:8" x14ac:dyDescent="0.2">
      <c r="A207" s="15">
        <v>3</v>
      </c>
      <c r="B207" s="6" t="s">
        <v>84</v>
      </c>
      <c r="C207" s="14">
        <v>0.3204342438157633</v>
      </c>
      <c r="D207" s="14">
        <v>0.3759924708090574</v>
      </c>
      <c r="E207" s="14">
        <v>0.31373162351597983</v>
      </c>
      <c r="F207" s="14">
        <v>0.27854131537285559</v>
      </c>
      <c r="G207" s="14">
        <v>0.19963392780254302</v>
      </c>
      <c r="H207" s="14">
        <v>0.28090074535336634</v>
      </c>
    </row>
    <row r="208" spans="1:8" x14ac:dyDescent="0.2">
      <c r="A208" s="15">
        <v>2</v>
      </c>
      <c r="B208" s="6" t="s">
        <v>85</v>
      </c>
      <c r="C208" s="14">
        <v>0.16006165818190163</v>
      </c>
      <c r="D208" s="14">
        <v>0.17729462646942915</v>
      </c>
      <c r="E208" s="14">
        <v>0.10384735683433613</v>
      </c>
      <c r="F208" s="14">
        <v>0.18169790564730351</v>
      </c>
      <c r="G208" s="14">
        <v>6.4369954603851962E-2</v>
      </c>
      <c r="H208" s="14">
        <v>0.12193908326570407</v>
      </c>
    </row>
    <row r="209" spans="1:8" x14ac:dyDescent="0.2">
      <c r="A209" s="15">
        <v>1</v>
      </c>
      <c r="B209" s="6" t="s">
        <v>86</v>
      </c>
      <c r="C209" s="14">
        <v>9.8406027854456277E-2</v>
      </c>
      <c r="D209" s="14">
        <v>2.9622753543908774E-2</v>
      </c>
      <c r="E209" s="14">
        <v>8.6330935313745194E-2</v>
      </c>
      <c r="F209" s="14">
        <v>0.16330393091039533</v>
      </c>
      <c r="G209" s="14">
        <v>2.2161103621978741E-2</v>
      </c>
      <c r="H209" s="14">
        <v>0.10301117598211365</v>
      </c>
    </row>
    <row r="210" spans="1:8" x14ac:dyDescent="0.2">
      <c r="A210" s="6"/>
      <c r="B210" s="6" t="s">
        <v>90</v>
      </c>
      <c r="C210" s="14">
        <f t="shared" ref="C210:H210" si="23">(C205+C206+C207)-(C208+C209)</f>
        <v>0.4830646279272845</v>
      </c>
      <c r="D210" s="14">
        <f t="shared" si="23"/>
        <v>0.58616523997332615</v>
      </c>
      <c r="E210" s="14">
        <f t="shared" si="23"/>
        <v>0.61964341570383619</v>
      </c>
      <c r="F210" s="14">
        <f t="shared" si="23"/>
        <v>0.30999632688460638</v>
      </c>
      <c r="G210" s="14">
        <f t="shared" si="23"/>
        <v>0.82693788354830189</v>
      </c>
      <c r="H210" s="14">
        <f t="shared" si="23"/>
        <v>0.55009948150436083</v>
      </c>
    </row>
    <row r="211" spans="1:8" x14ac:dyDescent="0.2">
      <c r="A211" s="6"/>
      <c r="B211" s="6"/>
      <c r="C211" s="14"/>
      <c r="D211" s="14"/>
      <c r="E211" s="14"/>
      <c r="F211" s="14"/>
      <c r="G211" s="14"/>
      <c r="H211" s="14"/>
    </row>
    <row r="212" spans="1:8" x14ac:dyDescent="0.2">
      <c r="A212" s="6" t="s">
        <v>36</v>
      </c>
      <c r="B212" s="6" t="s">
        <v>2</v>
      </c>
      <c r="C212" s="3">
        <v>3138</v>
      </c>
      <c r="D212" s="3">
        <v>1154</v>
      </c>
      <c r="E212" s="3">
        <v>704</v>
      </c>
      <c r="F212" s="3">
        <v>1280</v>
      </c>
      <c r="G212" s="3">
        <v>24530</v>
      </c>
      <c r="H212" s="3">
        <v>4982</v>
      </c>
    </row>
    <row r="213" spans="1:8" x14ac:dyDescent="0.2">
      <c r="A213" s="15">
        <v>5</v>
      </c>
      <c r="B213" s="6" t="s">
        <v>82</v>
      </c>
      <c r="C213" s="14">
        <v>0.23587144471765259</v>
      </c>
      <c r="D213" s="14">
        <v>0.21374426457899445</v>
      </c>
      <c r="E213" s="14">
        <v>0.28670570372021997</v>
      </c>
      <c r="F213" s="14">
        <v>0.22783673876485835</v>
      </c>
      <c r="G213" s="14">
        <v>0.45645340895014447</v>
      </c>
      <c r="H213" s="14">
        <v>0.36819102322142355</v>
      </c>
    </row>
    <row r="214" spans="1:8" x14ac:dyDescent="0.2">
      <c r="A214" s="15">
        <v>4</v>
      </c>
      <c r="B214" s="6" t="s">
        <v>83</v>
      </c>
      <c r="C214" s="14">
        <v>0.29470991489146792</v>
      </c>
      <c r="D214" s="14">
        <v>0.2734030025463311</v>
      </c>
      <c r="E214" s="14">
        <v>0.30441697376558441</v>
      </c>
      <c r="F214" s="14">
        <v>0.30854768646894737</v>
      </c>
      <c r="G214" s="14">
        <v>0.29198772925728439</v>
      </c>
      <c r="H214" s="14">
        <v>0.33045576313592029</v>
      </c>
    </row>
    <row r="215" spans="1:8" x14ac:dyDescent="0.2">
      <c r="A215" s="15">
        <v>3</v>
      </c>
      <c r="B215" s="6" t="s">
        <v>84</v>
      </c>
      <c r="C215" s="14">
        <v>0.31047746445207397</v>
      </c>
      <c r="D215" s="14">
        <v>0.35220436336216143</v>
      </c>
      <c r="E215" s="14">
        <v>0.28880213987362402</v>
      </c>
      <c r="F215" s="14">
        <v>0.28484323296860997</v>
      </c>
      <c r="G215" s="14">
        <v>0.19165079030787621</v>
      </c>
      <c r="H215" s="14">
        <v>0.20533391380429172</v>
      </c>
    </row>
    <row r="216" spans="1:8" x14ac:dyDescent="0.2">
      <c r="A216" s="15">
        <v>2</v>
      </c>
      <c r="B216" s="6" t="s">
        <v>85</v>
      </c>
      <c r="C216" s="14">
        <v>0.1184025380033782</v>
      </c>
      <c r="D216" s="14">
        <v>0.15150471477117647</v>
      </c>
      <c r="E216" s="14">
        <v>7.5616279956898375E-2</v>
      </c>
      <c r="F216" s="14">
        <v>0.11213607702576707</v>
      </c>
      <c r="G216" s="14">
        <v>4.7532505579143056E-2</v>
      </c>
      <c r="H216" s="14">
        <v>6.6647589509631538E-2</v>
      </c>
    </row>
    <row r="217" spans="1:8" x14ac:dyDescent="0.2">
      <c r="A217" s="15">
        <v>1</v>
      </c>
      <c r="B217" s="6" t="s">
        <v>86</v>
      </c>
      <c r="C217" s="14">
        <v>4.0538637935432081E-2</v>
      </c>
      <c r="D217" s="14">
        <v>9.1436547413300245E-3</v>
      </c>
      <c r="E217" s="14">
        <v>4.4458902683674965E-2</v>
      </c>
      <c r="F217" s="14">
        <v>6.6636264771815654E-2</v>
      </c>
      <c r="G217" s="14">
        <v>1.2375565905443413E-2</v>
      </c>
      <c r="H217" s="14">
        <v>2.9371710328728158E-2</v>
      </c>
    </row>
    <row r="218" spans="1:8" x14ac:dyDescent="0.2">
      <c r="A218" s="6"/>
      <c r="B218" s="6" t="s">
        <v>90</v>
      </c>
      <c r="C218" s="14">
        <f t="shared" ref="C218:H218" si="24">(C213+C214+C215)-(C216+C217)</f>
        <v>0.68211764812238418</v>
      </c>
      <c r="D218" s="14">
        <f t="shared" si="24"/>
        <v>0.67870326097498046</v>
      </c>
      <c r="E218" s="14">
        <f t="shared" si="24"/>
        <v>0.75984963471885503</v>
      </c>
      <c r="F218" s="14">
        <f t="shared" si="24"/>
        <v>0.64245531640483289</v>
      </c>
      <c r="G218" s="14">
        <f t="shared" si="24"/>
        <v>0.88018385703071866</v>
      </c>
      <c r="H218" s="14">
        <f t="shared" si="24"/>
        <v>0.8079614003232759</v>
      </c>
    </row>
    <row r="219" spans="1:8" x14ac:dyDescent="0.2">
      <c r="A219" s="6"/>
      <c r="B219" s="6"/>
      <c r="C219" s="14"/>
      <c r="D219" s="14"/>
      <c r="E219" s="14"/>
      <c r="F219" s="14"/>
      <c r="G219" s="14"/>
      <c r="H219" s="14"/>
    </row>
    <row r="220" spans="1:8" x14ac:dyDescent="0.2">
      <c r="A220" s="6" t="s">
        <v>37</v>
      </c>
      <c r="B220" s="6" t="s">
        <v>2</v>
      </c>
      <c r="C220" s="3">
        <v>3091</v>
      </c>
      <c r="D220" s="3">
        <v>1147</v>
      </c>
      <c r="E220" s="3">
        <v>698</v>
      </c>
      <c r="F220" s="3">
        <v>1246</v>
      </c>
      <c r="G220" s="3">
        <v>24294</v>
      </c>
      <c r="H220" s="3">
        <v>4855</v>
      </c>
    </row>
    <row r="221" spans="1:8" x14ac:dyDescent="0.2">
      <c r="A221" s="15">
        <v>5</v>
      </c>
      <c r="B221" s="6" t="s">
        <v>82</v>
      </c>
      <c r="C221" s="14">
        <v>0.17995509223553344</v>
      </c>
      <c r="D221" s="14">
        <v>0.16398079503789431</v>
      </c>
      <c r="E221" s="14">
        <v>0.22763397737463456</v>
      </c>
      <c r="F221" s="14">
        <v>0.1679449253141839</v>
      </c>
      <c r="G221" s="14">
        <v>0.41776743350445605</v>
      </c>
      <c r="H221" s="14">
        <v>0.3054751413941475</v>
      </c>
    </row>
    <row r="222" spans="1:8" x14ac:dyDescent="0.2">
      <c r="A222" s="15">
        <v>4</v>
      </c>
      <c r="B222" s="6" t="s">
        <v>83</v>
      </c>
      <c r="C222" s="14">
        <v>0.24585415971827818</v>
      </c>
      <c r="D222" s="14">
        <v>0.18997637644174606</v>
      </c>
      <c r="E222" s="14">
        <v>0.28348523511845131</v>
      </c>
      <c r="F222" s="14">
        <v>0.27611577052482228</v>
      </c>
      <c r="G222" s="14">
        <v>0.28272171897595011</v>
      </c>
      <c r="H222" s="14">
        <v>0.32882707006475315</v>
      </c>
    </row>
    <row r="223" spans="1:8" x14ac:dyDescent="0.2">
      <c r="A223" s="15">
        <v>3</v>
      </c>
      <c r="B223" s="6" t="s">
        <v>84</v>
      </c>
      <c r="C223" s="14">
        <v>0.32575472603703282</v>
      </c>
      <c r="D223" s="14">
        <v>0.37510160894964734</v>
      </c>
      <c r="E223" s="14">
        <v>0.29770324458190406</v>
      </c>
      <c r="F223" s="14">
        <v>0.29613051188008377</v>
      </c>
      <c r="G223" s="14">
        <v>0.20474286395685035</v>
      </c>
      <c r="H223" s="14">
        <v>0.22577958827364208</v>
      </c>
    </row>
    <row r="224" spans="1:8" x14ac:dyDescent="0.2">
      <c r="A224" s="15">
        <v>2</v>
      </c>
      <c r="B224" s="6" t="s">
        <v>85</v>
      </c>
      <c r="C224" s="14">
        <v>0.18795710263680776</v>
      </c>
      <c r="D224" s="14">
        <v>0.24083256502732261</v>
      </c>
      <c r="E224" s="14">
        <v>0.13335763763982655</v>
      </c>
      <c r="F224" s="14">
        <v>0.16994862305649719</v>
      </c>
      <c r="G224" s="14">
        <v>7.5490125653592505E-2</v>
      </c>
      <c r="H224" s="14">
        <v>9.9571656894237803E-2</v>
      </c>
    </row>
    <row r="225" spans="1:8" x14ac:dyDescent="0.2">
      <c r="A225" s="15">
        <v>1</v>
      </c>
      <c r="B225" s="6" t="s">
        <v>86</v>
      </c>
      <c r="C225" s="14">
        <v>6.0478919372351253E-2</v>
      </c>
      <c r="D225" s="14">
        <v>3.010865454338282E-2</v>
      </c>
      <c r="E225" s="14">
        <v>5.7819905285185186E-2</v>
      </c>
      <c r="F225" s="14">
        <v>8.9860169224412048E-2</v>
      </c>
      <c r="G225" s="14">
        <v>1.9277857909055035E-2</v>
      </c>
      <c r="H225" s="14">
        <v>4.03465433732162E-2</v>
      </c>
    </row>
    <row r="226" spans="1:8" x14ac:dyDescent="0.2">
      <c r="A226" s="6"/>
      <c r="B226" s="6" t="s">
        <v>90</v>
      </c>
      <c r="C226" s="14">
        <f t="shared" ref="C226:H226" si="25">(C221+C222+C223)-(C224+C225)</f>
        <v>0.50312795598168536</v>
      </c>
      <c r="D226" s="14">
        <f t="shared" si="25"/>
        <v>0.45811756085858218</v>
      </c>
      <c r="E226" s="14">
        <f t="shared" si="25"/>
        <v>0.61764491414997824</v>
      </c>
      <c r="F226" s="14">
        <f t="shared" si="25"/>
        <v>0.48038241543818072</v>
      </c>
      <c r="G226" s="14">
        <f t="shared" si="25"/>
        <v>0.81046403287460911</v>
      </c>
      <c r="H226" s="14">
        <f t="shared" si="25"/>
        <v>0.72016359946508879</v>
      </c>
    </row>
    <row r="227" spans="1:8" x14ac:dyDescent="0.2">
      <c r="A227" s="6"/>
      <c r="B227" s="6"/>
      <c r="C227" s="14"/>
      <c r="D227" s="14"/>
      <c r="E227" s="14"/>
      <c r="F227" s="14"/>
      <c r="G227" s="14"/>
      <c r="H227" s="14"/>
    </row>
    <row r="228" spans="1:8" x14ac:dyDescent="0.2">
      <c r="A228" s="6" t="s">
        <v>38</v>
      </c>
      <c r="B228" s="6" t="s">
        <v>2</v>
      </c>
      <c r="C228" s="3">
        <v>3380</v>
      </c>
      <c r="D228" s="3">
        <v>1222</v>
      </c>
      <c r="E228" s="3">
        <v>754</v>
      </c>
      <c r="F228" s="3">
        <v>1404</v>
      </c>
      <c r="G228" s="3">
        <v>26123</v>
      </c>
      <c r="H228" s="3">
        <v>5536</v>
      </c>
    </row>
    <row r="229" spans="1:8" x14ac:dyDescent="0.2">
      <c r="A229" s="15">
        <v>5</v>
      </c>
      <c r="B229" s="6" t="s">
        <v>82</v>
      </c>
      <c r="C229" s="14">
        <v>0.17207088039679452</v>
      </c>
      <c r="D229" s="14">
        <v>0.15199338734432241</v>
      </c>
      <c r="E229" s="14">
        <v>0.2369840841067993</v>
      </c>
      <c r="F229" s="14">
        <v>0.15465185335374707</v>
      </c>
      <c r="G229" s="14">
        <v>0.36298490154594221</v>
      </c>
      <c r="H229" s="14">
        <v>0.27533825418615454</v>
      </c>
    </row>
    <row r="230" spans="1:8" x14ac:dyDescent="0.2">
      <c r="A230" s="15">
        <v>4</v>
      </c>
      <c r="B230" s="6" t="s">
        <v>83</v>
      </c>
      <c r="C230" s="14">
        <v>0.26650975378056629</v>
      </c>
      <c r="D230" s="14">
        <v>0.28962448770443172</v>
      </c>
      <c r="E230" s="14">
        <v>0.27346911252621808</v>
      </c>
      <c r="F230" s="14">
        <v>0.24268672079649969</v>
      </c>
      <c r="G230" s="14">
        <v>0.28753194990140918</v>
      </c>
      <c r="H230" s="14">
        <v>0.3288309085060685</v>
      </c>
    </row>
    <row r="231" spans="1:8" x14ac:dyDescent="0.2">
      <c r="A231" s="15">
        <v>3</v>
      </c>
      <c r="B231" s="6" t="s">
        <v>84</v>
      </c>
      <c r="C231" s="14">
        <v>0.34542351697121132</v>
      </c>
      <c r="D231" s="14">
        <v>0.37312244740159345</v>
      </c>
      <c r="E231" s="14">
        <v>0.34610196924010872</v>
      </c>
      <c r="F231" s="14">
        <v>0.32099061386141292</v>
      </c>
      <c r="G231" s="14">
        <v>0.25256252723494454</v>
      </c>
      <c r="H231" s="14">
        <v>0.26214463800089366</v>
      </c>
    </row>
    <row r="232" spans="1:8" x14ac:dyDescent="0.2">
      <c r="A232" s="15">
        <v>2</v>
      </c>
      <c r="B232" s="6" t="s">
        <v>85</v>
      </c>
      <c r="C232" s="14">
        <v>0.16855086694743529</v>
      </c>
      <c r="D232" s="14">
        <v>0.17080683192242077</v>
      </c>
      <c r="E232" s="14">
        <v>0.11680604263538782</v>
      </c>
      <c r="F232" s="14">
        <v>0.19438283771994558</v>
      </c>
      <c r="G232" s="14">
        <v>7.9549490206451731E-2</v>
      </c>
      <c r="H232" s="14">
        <v>0.10287758460120504</v>
      </c>
    </row>
    <row r="233" spans="1:8" x14ac:dyDescent="0.2">
      <c r="A233" s="15">
        <v>1</v>
      </c>
      <c r="B233" s="6" t="s">
        <v>86</v>
      </c>
      <c r="C233" s="14">
        <v>4.7444981904004896E-2</v>
      </c>
      <c r="D233" s="14">
        <v>1.4452845627222086E-2</v>
      </c>
      <c r="E233" s="14">
        <v>2.663879149148736E-2</v>
      </c>
      <c r="F233" s="14">
        <v>8.728797426838715E-2</v>
      </c>
      <c r="G233" s="14">
        <v>1.7371131111165082E-2</v>
      </c>
      <c r="H233" s="14">
        <v>3.0808614705689116E-2</v>
      </c>
    </row>
    <row r="234" spans="1:8" x14ac:dyDescent="0.2">
      <c r="A234" s="6"/>
      <c r="B234" s="6" t="s">
        <v>90</v>
      </c>
      <c r="C234" s="14">
        <f t="shared" ref="C234:H234" si="26">(C229+C230+C231)-(C232+C233)</f>
        <v>0.56800830229713195</v>
      </c>
      <c r="D234" s="14">
        <f t="shared" si="26"/>
        <v>0.62948064490070466</v>
      </c>
      <c r="E234" s="14">
        <f t="shared" si="26"/>
        <v>0.71311033174625083</v>
      </c>
      <c r="F234" s="14">
        <f t="shared" si="26"/>
        <v>0.43665837602332697</v>
      </c>
      <c r="G234" s="14">
        <f t="shared" si="26"/>
        <v>0.80615875736467912</v>
      </c>
      <c r="H234" s="14">
        <f t="shared" si="26"/>
        <v>0.7326276013862224</v>
      </c>
    </row>
    <row r="235" spans="1:8" x14ac:dyDescent="0.2">
      <c r="A235" s="6"/>
      <c r="B235" s="6"/>
      <c r="C235" s="14"/>
      <c r="D235" s="14"/>
      <c r="E235" s="14"/>
      <c r="F235" s="14"/>
      <c r="G235" s="14"/>
      <c r="H235" s="14"/>
    </row>
    <row r="236" spans="1:8" x14ac:dyDescent="0.2">
      <c r="A236" s="6" t="s">
        <v>39</v>
      </c>
      <c r="B236" s="6" t="s">
        <v>2</v>
      </c>
      <c r="C236" s="3">
        <v>3489</v>
      </c>
      <c r="D236" s="3">
        <v>1242</v>
      </c>
      <c r="E236" s="3">
        <v>785</v>
      </c>
      <c r="F236" s="3">
        <v>1462</v>
      </c>
      <c r="G236" s="3">
        <v>26722</v>
      </c>
      <c r="H236" s="3">
        <v>5691</v>
      </c>
    </row>
    <row r="237" spans="1:8" x14ac:dyDescent="0.2">
      <c r="A237" s="15">
        <v>5</v>
      </c>
      <c r="B237" s="6" t="s">
        <v>82</v>
      </c>
      <c r="C237" s="14">
        <v>0.21084896171326931</v>
      </c>
      <c r="D237" s="14">
        <v>0.20172934414100943</v>
      </c>
      <c r="E237" s="14">
        <v>0.26849812099064885</v>
      </c>
      <c r="F237" s="14">
        <v>0.18763455721695613</v>
      </c>
      <c r="G237" s="14">
        <v>0.46225828894090126</v>
      </c>
      <c r="H237" s="14">
        <v>0.35976674898542316</v>
      </c>
    </row>
    <row r="238" spans="1:8" x14ac:dyDescent="0.2">
      <c r="A238" s="15">
        <v>4</v>
      </c>
      <c r="B238" s="6" t="s">
        <v>83</v>
      </c>
      <c r="C238" s="14">
        <v>0.29124921291453904</v>
      </c>
      <c r="D238" s="14">
        <v>0.25398477642962775</v>
      </c>
      <c r="E238" s="14">
        <v>0.34760917452708051</v>
      </c>
      <c r="F238" s="14">
        <v>0.29261609670499888</v>
      </c>
      <c r="G238" s="14">
        <v>0.30831178029706308</v>
      </c>
      <c r="H238" s="14">
        <v>0.34246126970101409</v>
      </c>
    </row>
    <row r="239" spans="1:8" x14ac:dyDescent="0.2">
      <c r="A239" s="15">
        <v>3</v>
      </c>
      <c r="B239" s="6" t="s">
        <v>84</v>
      </c>
      <c r="C239" s="14">
        <v>0.35249552866640244</v>
      </c>
      <c r="D239" s="14">
        <v>0.43625737958647948</v>
      </c>
      <c r="E239" s="14">
        <v>0.29182324739041493</v>
      </c>
      <c r="F239" s="14">
        <v>0.31397762036437887</v>
      </c>
      <c r="G239" s="14">
        <v>0.18247465675116678</v>
      </c>
      <c r="H239" s="14">
        <v>0.21139006192565199</v>
      </c>
    </row>
    <row r="240" spans="1:8" x14ac:dyDescent="0.2">
      <c r="A240" s="15">
        <v>2</v>
      </c>
      <c r="B240" s="6" t="s">
        <v>85</v>
      </c>
      <c r="C240" s="14">
        <v>0.11629334004661467</v>
      </c>
      <c r="D240" s="14">
        <v>0.10022323118768479</v>
      </c>
      <c r="E240" s="14">
        <v>7.3020603918888746E-2</v>
      </c>
      <c r="F240" s="14">
        <v>0.15316903444992122</v>
      </c>
      <c r="G240" s="14">
        <v>4.0569874703001337E-2</v>
      </c>
      <c r="H240" s="14">
        <v>6.8835250184340266E-2</v>
      </c>
    </row>
    <row r="241" spans="1:8" x14ac:dyDescent="0.2">
      <c r="A241" s="15">
        <v>1</v>
      </c>
      <c r="B241" s="6" t="s">
        <v>86</v>
      </c>
      <c r="C241" s="14">
        <v>2.9112956659191457E-2</v>
      </c>
      <c r="D241" s="14">
        <v>7.8052686551882602E-3</v>
      </c>
      <c r="E241" s="14">
        <v>1.9048853172967485E-2</v>
      </c>
      <c r="F241" s="14">
        <v>5.2602691263735346E-2</v>
      </c>
      <c r="G241" s="14">
        <v>6.3853993077844402E-3</v>
      </c>
      <c r="H241" s="14">
        <v>1.7546669203587002E-2</v>
      </c>
    </row>
    <row r="242" spans="1:8" x14ac:dyDescent="0.2">
      <c r="A242" s="6"/>
      <c r="B242" s="6" t="s">
        <v>90</v>
      </c>
      <c r="C242" s="14">
        <f t="shared" ref="C242:H242" si="27">(C237+C238+C239)-(C240+C241)</f>
        <v>0.70918740658840473</v>
      </c>
      <c r="D242" s="14">
        <f t="shared" si="27"/>
        <v>0.78394300031424358</v>
      </c>
      <c r="E242" s="14">
        <f t="shared" si="27"/>
        <v>0.81586108581628813</v>
      </c>
      <c r="F242" s="14">
        <f t="shared" si="27"/>
        <v>0.58845654857267726</v>
      </c>
      <c r="G242" s="14">
        <f t="shared" si="27"/>
        <v>0.90608945197834534</v>
      </c>
      <c r="H242" s="14">
        <f t="shared" si="27"/>
        <v>0.82723616122416199</v>
      </c>
    </row>
    <row r="243" spans="1:8" x14ac:dyDescent="0.2">
      <c r="A243" s="6"/>
      <c r="B243" s="6"/>
      <c r="C243" s="14"/>
      <c r="D243" s="14"/>
      <c r="E243" s="14"/>
      <c r="F243" s="14"/>
      <c r="G243" s="14"/>
      <c r="H243" s="14"/>
    </row>
    <row r="244" spans="1:8" x14ac:dyDescent="0.2">
      <c r="A244" s="6" t="s">
        <v>40</v>
      </c>
      <c r="B244" s="6" t="s">
        <v>2</v>
      </c>
      <c r="C244" s="3">
        <v>3418</v>
      </c>
      <c r="D244" s="3">
        <v>1222</v>
      </c>
      <c r="E244" s="3">
        <v>770</v>
      </c>
      <c r="F244" s="3">
        <v>1426</v>
      </c>
      <c r="G244" s="3">
        <v>26381</v>
      </c>
      <c r="H244" s="3">
        <v>5613</v>
      </c>
    </row>
    <row r="245" spans="1:8" x14ac:dyDescent="0.2">
      <c r="A245" s="15">
        <v>5</v>
      </c>
      <c r="B245" s="6" t="s">
        <v>82</v>
      </c>
      <c r="C245" s="14">
        <v>0.17021951494017007</v>
      </c>
      <c r="D245" s="14">
        <v>0.16855932219036501</v>
      </c>
      <c r="E245" s="14">
        <v>0.21657859969316559</v>
      </c>
      <c r="F245" s="14">
        <v>0.146586632374093</v>
      </c>
      <c r="G245" s="14">
        <v>0.40124605396068558</v>
      </c>
      <c r="H245" s="14">
        <v>0.28738256581931776</v>
      </c>
    </row>
    <row r="246" spans="1:8" x14ac:dyDescent="0.2">
      <c r="A246" s="15">
        <v>4</v>
      </c>
      <c r="B246" s="6" t="s">
        <v>83</v>
      </c>
      <c r="C246" s="14">
        <v>0.29890945273403619</v>
      </c>
      <c r="D246" s="14">
        <v>0.36501891084876559</v>
      </c>
      <c r="E246" s="14">
        <v>0.31406869217569272</v>
      </c>
      <c r="F246" s="14">
        <v>0.23409092129987885</v>
      </c>
      <c r="G246" s="14">
        <v>0.30920178552382405</v>
      </c>
      <c r="H246" s="14">
        <v>0.33370608556272174</v>
      </c>
    </row>
    <row r="247" spans="1:8" x14ac:dyDescent="0.2">
      <c r="A247" s="15">
        <v>3</v>
      </c>
      <c r="B247" s="6" t="s">
        <v>84</v>
      </c>
      <c r="C247" s="14">
        <v>0.30024022004410711</v>
      </c>
      <c r="D247" s="14">
        <v>0.31029711606520249</v>
      </c>
      <c r="E247" s="14">
        <v>0.3156538969714186</v>
      </c>
      <c r="F247" s="14">
        <v>0.28329567452730892</v>
      </c>
      <c r="G247" s="14">
        <v>0.21867236541899562</v>
      </c>
      <c r="H247" s="14">
        <v>0.24447119846590104</v>
      </c>
    </row>
    <row r="248" spans="1:8" x14ac:dyDescent="0.2">
      <c r="A248" s="15">
        <v>2</v>
      </c>
      <c r="B248" s="6" t="s">
        <v>85</v>
      </c>
      <c r="C248" s="14">
        <v>0.17177483481190817</v>
      </c>
      <c r="D248" s="14">
        <v>0.14493190654927821</v>
      </c>
      <c r="E248" s="14">
        <v>0.11974900928461735</v>
      </c>
      <c r="F248" s="14">
        <v>0.2228845082279064</v>
      </c>
      <c r="G248" s="14">
        <v>5.9485924976613119E-2</v>
      </c>
      <c r="H248" s="14">
        <v>9.754264215528835E-2</v>
      </c>
    </row>
    <row r="249" spans="1:8" x14ac:dyDescent="0.2">
      <c r="A249" s="15">
        <v>1</v>
      </c>
      <c r="B249" s="6" t="s">
        <v>86</v>
      </c>
      <c r="C249" s="14">
        <v>5.8855977469792292E-2</v>
      </c>
      <c r="D249" s="14">
        <v>1.1192744346378774E-2</v>
      </c>
      <c r="E249" s="14">
        <v>3.3949801875105795E-2</v>
      </c>
      <c r="F249" s="14">
        <v>0.11314226357080517</v>
      </c>
      <c r="G249" s="14">
        <v>1.1393870119790263E-2</v>
      </c>
      <c r="H249" s="14">
        <v>3.6897507996785837E-2</v>
      </c>
    </row>
    <row r="250" spans="1:8" x14ac:dyDescent="0.2">
      <c r="A250" s="6"/>
      <c r="B250" s="6" t="s">
        <v>90</v>
      </c>
      <c r="C250" s="14">
        <f t="shared" ref="C250:H250" si="28">(C245+C246+C247)-(C248+C249)</f>
        <v>0.53873837543661285</v>
      </c>
      <c r="D250" s="14">
        <f t="shared" si="28"/>
        <v>0.68775069820867607</v>
      </c>
      <c r="E250" s="14">
        <f t="shared" si="28"/>
        <v>0.69260237768055377</v>
      </c>
      <c r="F250" s="14">
        <f t="shared" si="28"/>
        <v>0.32794645640256914</v>
      </c>
      <c r="G250" s="14">
        <f t="shared" si="28"/>
        <v>0.85824040980710181</v>
      </c>
      <c r="H250" s="14">
        <f t="shared" si="28"/>
        <v>0.73111969969586632</v>
      </c>
    </row>
    <row r="251" spans="1:8" x14ac:dyDescent="0.2">
      <c r="A251" s="6"/>
      <c r="B251" s="6"/>
      <c r="C251" s="14"/>
      <c r="D251" s="14"/>
      <c r="E251" s="14"/>
      <c r="F251" s="14"/>
      <c r="G251" s="14"/>
      <c r="H251" s="14"/>
    </row>
    <row r="252" spans="1:8" x14ac:dyDescent="0.2">
      <c r="A252" s="6" t="s">
        <v>41</v>
      </c>
      <c r="B252" s="6" t="s">
        <v>2</v>
      </c>
      <c r="C252" s="3">
        <v>1897</v>
      </c>
      <c r="D252" s="3">
        <v>741</v>
      </c>
      <c r="E252" s="3">
        <v>467</v>
      </c>
      <c r="F252" s="3"/>
      <c r="G252" s="3">
        <v>15546</v>
      </c>
      <c r="H252" s="3">
        <v>2767</v>
      </c>
    </row>
    <row r="253" spans="1:8" x14ac:dyDescent="0.2">
      <c r="A253" s="15">
        <v>5</v>
      </c>
      <c r="B253" s="6" t="s">
        <v>82</v>
      </c>
      <c r="C253" s="14">
        <v>0.27363730644472178</v>
      </c>
      <c r="D253" s="14">
        <v>0.20273854259038099</v>
      </c>
      <c r="E253" s="14">
        <v>0.34027929301259457</v>
      </c>
      <c r="F253" s="14"/>
      <c r="G253" s="14">
        <v>0.41557743722099671</v>
      </c>
      <c r="H253" s="14">
        <v>0.34743832624041748</v>
      </c>
    </row>
    <row r="254" spans="1:8" x14ac:dyDescent="0.2">
      <c r="A254" s="15">
        <v>4</v>
      </c>
      <c r="B254" s="6" t="s">
        <v>83</v>
      </c>
      <c r="C254" s="14">
        <v>0.28136499674143539</v>
      </c>
      <c r="D254" s="14">
        <v>0.21111594184307811</v>
      </c>
      <c r="E254" s="14">
        <v>0.32020510598679075</v>
      </c>
      <c r="F254" s="14"/>
      <c r="G254" s="14">
        <v>0.29365059742082678</v>
      </c>
      <c r="H254" s="14">
        <v>0.35483314961484252</v>
      </c>
    </row>
    <row r="255" spans="1:8" x14ac:dyDescent="0.2">
      <c r="A255" s="15">
        <v>3</v>
      </c>
      <c r="B255" s="6" t="s">
        <v>84</v>
      </c>
      <c r="C255" s="14">
        <v>0.28165957466513897</v>
      </c>
      <c r="D255" s="14">
        <v>0.27942761992530463</v>
      </c>
      <c r="E255" s="14">
        <v>0.26096443373807732</v>
      </c>
      <c r="F255" s="14"/>
      <c r="G255" s="14">
        <v>0.21713020150646856</v>
      </c>
      <c r="H255" s="14">
        <v>0.25332624253393971</v>
      </c>
    </row>
    <row r="256" spans="1:8" x14ac:dyDescent="0.2">
      <c r="A256" s="15">
        <v>2</v>
      </c>
      <c r="B256" s="6" t="s">
        <v>85</v>
      </c>
      <c r="C256" s="14">
        <v>0.14531611737722247</v>
      </c>
      <c r="D256" s="14">
        <v>0.28863830697372689</v>
      </c>
      <c r="E256" s="14">
        <v>5.2912939035853084E-2</v>
      </c>
      <c r="F256" s="14"/>
      <c r="G256" s="14">
        <v>5.4730120802429158E-2</v>
      </c>
      <c r="H256" s="14">
        <v>3.5793427284538465E-2</v>
      </c>
    </row>
    <row r="257" spans="1:8" x14ac:dyDescent="0.2">
      <c r="A257" s="15">
        <v>1</v>
      </c>
      <c r="B257" s="6" t="s">
        <v>86</v>
      </c>
      <c r="C257" s="14">
        <v>1.80220047714627E-2</v>
      </c>
      <c r="D257" s="14">
        <v>1.8079588667512025E-2</v>
      </c>
      <c r="E257" s="14">
        <v>2.5638228226687688E-2</v>
      </c>
      <c r="F257" s="14"/>
      <c r="G257" s="14">
        <v>1.8911643049248597E-2</v>
      </c>
      <c r="H257" s="14">
        <v>8.6088543262551401E-3</v>
      </c>
    </row>
    <row r="258" spans="1:8" x14ac:dyDescent="0.2">
      <c r="A258" s="6"/>
      <c r="B258" s="6" t="s">
        <v>90</v>
      </c>
      <c r="C258" s="14">
        <f>(C253+C254+C255)-(C256+C257)</f>
        <v>0.67332375570261105</v>
      </c>
      <c r="D258" s="14">
        <f>(D253+D254+D255)-(D256+D257)</f>
        <v>0.38656420871752478</v>
      </c>
      <c r="E258" s="14">
        <f>(E253+E254+E255)-(E256+E257)</f>
        <v>0.84289766547492195</v>
      </c>
      <c r="F258" s="14"/>
      <c r="G258" s="14">
        <f>(G253+G254+G255)-(G256+G257)</f>
        <v>0.85271647229661429</v>
      </c>
      <c r="H258" s="14">
        <f>(H253+H254+H255)-(H256+H257)</f>
        <v>0.91119543677840609</v>
      </c>
    </row>
    <row r="259" spans="1:8" x14ac:dyDescent="0.2">
      <c r="A259" s="6"/>
      <c r="B259" s="6"/>
      <c r="C259" s="14"/>
      <c r="D259" s="14"/>
      <c r="E259" s="14"/>
      <c r="F259" s="14"/>
      <c r="G259" s="14"/>
      <c r="H259" s="14"/>
    </row>
    <row r="260" spans="1:8" x14ac:dyDescent="0.2">
      <c r="A260" s="6" t="s">
        <v>42</v>
      </c>
      <c r="B260" s="6" t="s">
        <v>2</v>
      </c>
      <c r="C260" s="3">
        <v>1565</v>
      </c>
      <c r="D260" s="3">
        <v>592</v>
      </c>
      <c r="E260" s="3">
        <v>413</v>
      </c>
      <c r="F260" s="3">
        <v>560</v>
      </c>
      <c r="G260" s="3">
        <v>13230</v>
      </c>
      <c r="H260" s="3">
        <v>2623</v>
      </c>
    </row>
    <row r="261" spans="1:8" x14ac:dyDescent="0.2">
      <c r="A261" s="15">
        <v>5</v>
      </c>
      <c r="B261" s="6" t="s">
        <v>82</v>
      </c>
      <c r="C261" s="14">
        <v>0.24011135453262736</v>
      </c>
      <c r="D261" s="14">
        <v>0.22297378612255145</v>
      </c>
      <c r="E261" s="14">
        <v>0.27086672415688751</v>
      </c>
      <c r="F261" s="14">
        <v>0.23601433166500921</v>
      </c>
      <c r="G261" s="14">
        <v>0.36415355039762881</v>
      </c>
      <c r="H261" s="14">
        <v>0.27445719071351099</v>
      </c>
    </row>
    <row r="262" spans="1:8" x14ac:dyDescent="0.2">
      <c r="A262" s="15">
        <v>4</v>
      </c>
      <c r="B262" s="6" t="s">
        <v>83</v>
      </c>
      <c r="C262" s="14">
        <v>0.24743507823243674</v>
      </c>
      <c r="D262" s="14">
        <v>0.20411754624494369</v>
      </c>
      <c r="E262" s="14">
        <v>0.28874368150552893</v>
      </c>
      <c r="F262" s="14">
        <v>0.26377139545501638</v>
      </c>
      <c r="G262" s="14">
        <v>0.26391007462077448</v>
      </c>
      <c r="H262" s="14">
        <v>0.2973036002897172</v>
      </c>
    </row>
    <row r="263" spans="1:8" x14ac:dyDescent="0.2">
      <c r="A263" s="15">
        <v>3</v>
      </c>
      <c r="B263" s="6" t="s">
        <v>84</v>
      </c>
      <c r="C263" s="14">
        <v>0.32147264378890467</v>
      </c>
      <c r="D263" s="14">
        <v>0.33991074801876275</v>
      </c>
      <c r="E263" s="14">
        <v>0.29799038345367751</v>
      </c>
      <c r="F263" s="14">
        <v>0.31884147774186949</v>
      </c>
      <c r="G263" s="14">
        <v>0.25229536641791483</v>
      </c>
      <c r="H263" s="14">
        <v>0.29784816513658391</v>
      </c>
    </row>
    <row r="264" spans="1:8" x14ac:dyDescent="0.2">
      <c r="A264" s="15">
        <v>2</v>
      </c>
      <c r="B264" s="6" t="s">
        <v>85</v>
      </c>
      <c r="C264" s="14">
        <v>0.15402342909311428</v>
      </c>
      <c r="D264" s="14">
        <v>0.21282379464573431</v>
      </c>
      <c r="E264" s="14">
        <v>0.10849463684776793</v>
      </c>
      <c r="F264" s="14">
        <v>0.12412204900848897</v>
      </c>
      <c r="G264" s="14">
        <v>9.2354054693054216E-2</v>
      </c>
      <c r="H264" s="14">
        <v>9.5596093414268724E-2</v>
      </c>
    </row>
    <row r="265" spans="1:8" x14ac:dyDescent="0.2">
      <c r="A265" s="15">
        <v>1</v>
      </c>
      <c r="B265" s="6" t="s">
        <v>86</v>
      </c>
      <c r="C265" s="14">
        <v>3.6957494352896379E-2</v>
      </c>
      <c r="D265" s="14">
        <v>2.017412496801602E-2</v>
      </c>
      <c r="E265" s="14">
        <v>3.3904574036139466E-2</v>
      </c>
      <c r="F265" s="14">
        <v>5.7250746129615851E-2</v>
      </c>
      <c r="G265" s="14">
        <v>2.7286953870612151E-2</v>
      </c>
      <c r="H265" s="14">
        <v>3.4794950445914075E-2</v>
      </c>
    </row>
    <row r="266" spans="1:8" x14ac:dyDescent="0.2">
      <c r="A266" s="6"/>
      <c r="B266" s="6" t="s">
        <v>90</v>
      </c>
      <c r="C266" s="14">
        <f t="shared" ref="C266:H266" si="29">(C261+C262+C263)-(C264+C265)</f>
        <v>0.61803815310795807</v>
      </c>
      <c r="D266" s="14">
        <f t="shared" si="29"/>
        <v>0.53400416077250745</v>
      </c>
      <c r="E266" s="14">
        <f t="shared" si="29"/>
        <v>0.71520157823218655</v>
      </c>
      <c r="F266" s="14">
        <f t="shared" si="29"/>
        <v>0.63725440972379022</v>
      </c>
      <c r="G266" s="14">
        <f t="shared" si="29"/>
        <v>0.7607179828726518</v>
      </c>
      <c r="H266" s="14">
        <f t="shared" si="29"/>
        <v>0.73921791227962941</v>
      </c>
    </row>
    <row r="267" spans="1:8" x14ac:dyDescent="0.2">
      <c r="A267" s="6"/>
      <c r="B267" s="6"/>
      <c r="C267" s="14"/>
      <c r="D267" s="14"/>
      <c r="E267" s="14"/>
      <c r="F267" s="14"/>
      <c r="G267" s="14"/>
      <c r="H267" s="14"/>
    </row>
    <row r="268" spans="1:8" x14ac:dyDescent="0.2">
      <c r="A268" s="6" t="s">
        <v>43</v>
      </c>
      <c r="B268" s="6" t="s">
        <v>2</v>
      </c>
      <c r="C268" s="3">
        <v>1373</v>
      </c>
      <c r="D268" s="3">
        <v>663</v>
      </c>
      <c r="E268" s="3">
        <v>354</v>
      </c>
      <c r="F268" s="3"/>
      <c r="G268" s="3">
        <v>12353</v>
      </c>
      <c r="H268" s="3">
        <v>1716</v>
      </c>
    </row>
    <row r="269" spans="1:8" x14ac:dyDescent="0.2">
      <c r="A269" s="15">
        <v>5</v>
      </c>
      <c r="B269" s="6" t="s">
        <v>82</v>
      </c>
      <c r="C269" s="14">
        <v>0.22516714914273492</v>
      </c>
      <c r="D269" s="14">
        <v>0.17687325527601988</v>
      </c>
      <c r="E269" s="14">
        <v>0.27161206529293774</v>
      </c>
      <c r="F269" s="14"/>
      <c r="G269" s="14">
        <v>0.3945658626721219</v>
      </c>
      <c r="H269" s="14">
        <v>0.30328587725006267</v>
      </c>
    </row>
    <row r="270" spans="1:8" x14ac:dyDescent="0.2">
      <c r="A270" s="15">
        <v>4</v>
      </c>
      <c r="B270" s="6" t="s">
        <v>83</v>
      </c>
      <c r="C270" s="14">
        <v>0.25646751623623465</v>
      </c>
      <c r="D270" s="14">
        <v>0.18566177272784443</v>
      </c>
      <c r="E270" s="14">
        <v>0.33107230488518502</v>
      </c>
      <c r="F270" s="14"/>
      <c r="G270" s="14">
        <v>0.28154856455526817</v>
      </c>
      <c r="H270" s="14">
        <v>0.33167779414697096</v>
      </c>
    </row>
    <row r="271" spans="1:8" x14ac:dyDescent="0.2">
      <c r="A271" s="15">
        <v>3</v>
      </c>
      <c r="B271" s="6" t="s">
        <v>84</v>
      </c>
      <c r="C271" s="14">
        <v>0.36039103462364425</v>
      </c>
      <c r="D271" s="14">
        <v>0.42532106873106335</v>
      </c>
      <c r="E271" s="14">
        <v>0.30466156726621613</v>
      </c>
      <c r="F271" s="14"/>
      <c r="G271" s="14">
        <v>0.24674573584427642</v>
      </c>
      <c r="H271" s="14">
        <v>0.29989407348286018</v>
      </c>
    </row>
    <row r="272" spans="1:8" x14ac:dyDescent="0.2">
      <c r="A272" s="15">
        <v>2</v>
      </c>
      <c r="B272" s="6" t="s">
        <v>85</v>
      </c>
      <c r="C272" s="14">
        <v>0.13308793739366684</v>
      </c>
      <c r="D272" s="14">
        <v>0.19375322560290564</v>
      </c>
      <c r="E272" s="14">
        <v>6.4511473452368434E-2</v>
      </c>
      <c r="F272" s="14"/>
      <c r="G272" s="14">
        <v>5.9869658384177134E-2</v>
      </c>
      <c r="H272" s="14">
        <v>4.9245899992676569E-2</v>
      </c>
    </row>
    <row r="273" spans="1:8" x14ac:dyDescent="0.2">
      <c r="A273" s="15">
        <v>1</v>
      </c>
      <c r="B273" s="6" t="s">
        <v>86</v>
      </c>
      <c r="C273" s="14">
        <v>2.4886362603705491E-2</v>
      </c>
      <c r="D273" s="14">
        <v>1.8390677662170472E-2</v>
      </c>
      <c r="E273" s="14">
        <v>2.8142589103291191E-2</v>
      </c>
      <c r="F273" s="14"/>
      <c r="G273" s="14">
        <v>1.7270178544116149E-2</v>
      </c>
      <c r="H273" s="14">
        <v>1.5896355127424273E-2</v>
      </c>
    </row>
    <row r="274" spans="1:8" x14ac:dyDescent="0.2">
      <c r="B274" s="6" t="s">
        <v>90</v>
      </c>
      <c r="C274" s="14">
        <f>(C269+C270+C271)-(C272+C273)</f>
        <v>0.68405140000524156</v>
      </c>
      <c r="D274" s="14">
        <f>(D269+D270+D271)-(D272+D273)</f>
        <v>0.57571219346985147</v>
      </c>
      <c r="E274" s="14">
        <f>(E269+E270+E271)-(E272+E273)</f>
        <v>0.81469187488867922</v>
      </c>
      <c r="F274" s="14"/>
      <c r="G274" s="14">
        <f>(G269+G270+G271)-(G272+G273)</f>
        <v>0.84572032614337311</v>
      </c>
      <c r="H274" s="14">
        <f>(H269+H270+H271)-(H272+H273)</f>
        <v>0.86971548975979296</v>
      </c>
    </row>
    <row r="276" spans="1:8" x14ac:dyDescent="0.2">
      <c r="B276" s="17" t="s">
        <v>99</v>
      </c>
    </row>
    <row r="277" spans="1:8" x14ac:dyDescent="0.2">
      <c r="B277" s="6" t="s">
        <v>10</v>
      </c>
      <c r="C277" s="14">
        <f t="shared" ref="C277:H277" si="30">C10</f>
        <v>0.70617093129029407</v>
      </c>
      <c r="D277" s="14">
        <f t="shared" si="30"/>
        <v>0.77620607058336233</v>
      </c>
      <c r="E277" s="14">
        <f t="shared" si="30"/>
        <v>0.77505982450025923</v>
      </c>
      <c r="F277" s="14">
        <f t="shared" si="30"/>
        <v>0.60923026557759552</v>
      </c>
      <c r="G277" s="14">
        <f t="shared" si="30"/>
        <v>0.91241686264943966</v>
      </c>
      <c r="H277" s="14">
        <f t="shared" si="30"/>
        <v>0.86202654081812558</v>
      </c>
    </row>
    <row r="278" spans="1:8" x14ac:dyDescent="0.2">
      <c r="B278" s="6" t="s">
        <v>91</v>
      </c>
      <c r="C278" s="14">
        <f t="shared" ref="C278:H278" si="31">(C12*C18+C20*C26+C28*C34+C36*C42)/(C12+C20+C28+C36)</f>
        <v>0.52239074899241134</v>
      </c>
      <c r="D278" s="14">
        <f t="shared" si="31"/>
        <v>0.58578513746846594</v>
      </c>
      <c r="E278" s="14">
        <f t="shared" si="31"/>
        <v>0.69307725065769321</v>
      </c>
      <c r="F278" s="14">
        <f t="shared" si="31"/>
        <v>0.38515478846434337</v>
      </c>
      <c r="G278" s="14">
        <f t="shared" si="31"/>
        <v>0.79743512423684459</v>
      </c>
      <c r="H278" s="14">
        <f t="shared" si="31"/>
        <v>0.70886435781768664</v>
      </c>
    </row>
    <row r="279" spans="1:8" x14ac:dyDescent="0.2">
      <c r="B279" s="6" t="s">
        <v>92</v>
      </c>
      <c r="C279" s="14">
        <f t="shared" ref="C279:H279" si="32">(C44*C50+C52*C58+C60*C66)/(C44+C52+C58+C60)</f>
        <v>0.73152484423542896</v>
      </c>
      <c r="D279" s="14">
        <f t="shared" si="32"/>
        <v>0.65027337981640521</v>
      </c>
      <c r="E279" s="14">
        <f t="shared" si="32"/>
        <v>0.78562588937858946</v>
      </c>
      <c r="F279" s="14">
        <f t="shared" si="32"/>
        <v>0.78065373099462854</v>
      </c>
      <c r="G279" s="14">
        <f t="shared" si="32"/>
        <v>0.86648482820650341</v>
      </c>
      <c r="H279" s="14">
        <f t="shared" si="32"/>
        <v>0.869136074511342</v>
      </c>
    </row>
    <row r="280" spans="1:8" x14ac:dyDescent="0.2">
      <c r="B280" s="6" t="s">
        <v>93</v>
      </c>
      <c r="C280" s="14">
        <f>(C68*C74+C76*C82)/(C68+C76)</f>
        <v>0.70797147250504588</v>
      </c>
      <c r="D280" s="14">
        <f>(D68*D74+D76*D82)/(D68+D76)</f>
        <v>0.52648649009752968</v>
      </c>
      <c r="E280" s="14">
        <f>(E68*E74+E76*E82)/(E68+E76)</f>
        <v>0.79068099429813765</v>
      </c>
      <c r="F280" s="18" t="s">
        <v>81</v>
      </c>
      <c r="G280" s="14">
        <f>(G68*G74+G76*G82)/(G68+G76)</f>
        <v>0.84667964910037219</v>
      </c>
      <c r="H280" s="14">
        <f>(H68*H74+H76*H82)/(H68+H76)</f>
        <v>0.86683736436044767</v>
      </c>
    </row>
    <row r="281" spans="1:8" x14ac:dyDescent="0.2">
      <c r="B281" s="6" t="s">
        <v>94</v>
      </c>
      <c r="C281" s="14">
        <f t="shared" ref="C281:H281" si="33">(C84*C90+C92*C98+C100*C106+C108*C114)/(C84+C92+C100+C108)</f>
        <v>0.74004570389810476</v>
      </c>
      <c r="D281" s="14">
        <f t="shared" si="33"/>
        <v>0.62740275788130373</v>
      </c>
      <c r="E281" s="14">
        <f t="shared" si="33"/>
        <v>0.76585269499486441</v>
      </c>
      <c r="F281" s="14">
        <f t="shared" si="33"/>
        <v>0.82576439577624272</v>
      </c>
      <c r="G281" s="14">
        <f t="shared" si="33"/>
        <v>0.87025429316958725</v>
      </c>
      <c r="H281" s="14">
        <f t="shared" si="33"/>
        <v>0.858931103442233</v>
      </c>
    </row>
    <row r="282" spans="1:8" x14ac:dyDescent="0.2">
      <c r="B282" s="6" t="s">
        <v>95</v>
      </c>
      <c r="C282" s="14">
        <f t="shared" ref="C282:H282" si="34">(C116*C122+C124*C130+C132*C138+C140*C146)/(C116+C124+C132+C140)</f>
        <v>0.66130340979313218</v>
      </c>
      <c r="D282" s="14">
        <f t="shared" si="34"/>
        <v>0.4582537102283944</v>
      </c>
      <c r="E282" s="14">
        <f t="shared" si="34"/>
        <v>0.80623043027104013</v>
      </c>
      <c r="F282" s="14">
        <f t="shared" si="34"/>
        <v>0.77601115192651793</v>
      </c>
      <c r="G282" s="14">
        <f t="shared" si="34"/>
        <v>0.82702039965718643</v>
      </c>
      <c r="H282" s="14">
        <f t="shared" si="34"/>
        <v>0.87044886980646563</v>
      </c>
    </row>
    <row r="283" spans="1:8" x14ac:dyDescent="0.2">
      <c r="B283" s="6" t="s">
        <v>96</v>
      </c>
      <c r="C283" s="14">
        <f t="shared" ref="C283:H283" si="35">(C148*C154+C156*C162+C164*C170+C172*C178+C180*C186+C188*C194+C196*C202+C204*C210+C212*C218+C220*C226+C228*C234)/(C148+C156+C164+C172+C180+C188+C196+C204+C212+C220+C228)</f>
        <v>0.46056974597992234</v>
      </c>
      <c r="D283" s="14">
        <f t="shared" si="35"/>
        <v>0.45572708222871011</v>
      </c>
      <c r="E283" s="14">
        <f t="shared" si="35"/>
        <v>0.56478235858358716</v>
      </c>
      <c r="F283" s="14">
        <f t="shared" si="35"/>
        <v>0.40712413398515096</v>
      </c>
      <c r="G283" s="14">
        <f t="shared" si="35"/>
        <v>0.75257408093318101</v>
      </c>
      <c r="H283" s="14">
        <f t="shared" si="35"/>
        <v>0.66040510324049628</v>
      </c>
    </row>
    <row r="284" spans="1:8" x14ac:dyDescent="0.2">
      <c r="B284" s="6" t="s">
        <v>97</v>
      </c>
      <c r="C284" s="14">
        <f t="shared" ref="C284:H284" si="36">(C236*C242+C244*C250)/(C236+C244)</f>
        <v>0.62483895017073787</v>
      </c>
      <c r="D284" s="14">
        <f t="shared" si="36"/>
        <v>0.73623724009792724</v>
      </c>
      <c r="E284" s="14">
        <f t="shared" si="36"/>
        <v>0.75482622712528125</v>
      </c>
      <c r="F284" s="14">
        <f t="shared" si="36"/>
        <v>0.45982518034740921</v>
      </c>
      <c r="G284" s="14">
        <f t="shared" si="36"/>
        <v>0.88231856179286483</v>
      </c>
      <c r="H284" s="14">
        <f t="shared" si="36"/>
        <v>0.7795095424557329</v>
      </c>
    </row>
    <row r="285" spans="1:8" x14ac:dyDescent="0.2">
      <c r="B285" s="6" t="s">
        <v>98</v>
      </c>
      <c r="C285" s="14">
        <f t="shared" ref="C285:H285" si="37">(C252*C258+C260*C266+C268*C274)/(C252+C260+C268)</f>
        <v>0.65847516988397192</v>
      </c>
      <c r="D285" s="14">
        <f t="shared" si="37"/>
        <v>0.49312210726829747</v>
      </c>
      <c r="E285" s="14">
        <f t="shared" si="37"/>
        <v>0.79206838354722375</v>
      </c>
      <c r="F285" s="14">
        <f t="shared" si="37"/>
        <v>0.63725440972379022</v>
      </c>
      <c r="G285" s="14">
        <f t="shared" si="37"/>
        <v>0.82102196456460008</v>
      </c>
      <c r="H285" s="14">
        <f t="shared" si="37"/>
        <v>0.83769745819070107</v>
      </c>
    </row>
  </sheetData>
  <printOptions gridLines="1"/>
  <pageMargins left="1.2" right="0.7" top="0.25" bottom="0.25" header="0.3" footer="0.25"/>
  <pageSetup orientation="portrait" r:id="rId1"/>
  <headerFooter>
    <oddFooter>&amp;R&amp;N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2"/>
  <sheetViews>
    <sheetView workbookViewId="0">
      <selection activeCell="B25" sqref="B25"/>
    </sheetView>
  </sheetViews>
  <sheetFormatPr defaultRowHeight="12.55" x14ac:dyDescent="0.2"/>
  <cols>
    <col min="1" max="1" width="8.88671875" style="26" customWidth="1"/>
    <col min="2" max="2" width="46.77734375" customWidth="1"/>
  </cols>
  <sheetData>
    <row r="1" spans="1:2" ht="23.65" customHeight="1" thickBot="1" x14ac:dyDescent="0.25">
      <c r="A1" s="23" t="s">
        <v>105</v>
      </c>
      <c r="B1" s="20" t="s">
        <v>106</v>
      </c>
    </row>
    <row r="2" spans="1:2" ht="13.15" thickBot="1" x14ac:dyDescent="0.25">
      <c r="A2" s="24" t="s">
        <v>44</v>
      </c>
      <c r="B2" s="21" t="s">
        <v>107</v>
      </c>
    </row>
    <row r="3" spans="1:2" ht="13.15" thickBot="1" x14ac:dyDescent="0.25">
      <c r="A3" s="25" t="s">
        <v>45</v>
      </c>
      <c r="B3" s="22" t="s">
        <v>108</v>
      </c>
    </row>
    <row r="4" spans="1:2" ht="13.15" thickBot="1" x14ac:dyDescent="0.25">
      <c r="A4" s="24" t="s">
        <v>46</v>
      </c>
      <c r="B4" s="21" t="s">
        <v>109</v>
      </c>
    </row>
    <row r="5" spans="1:2" ht="13.15" thickBot="1" x14ac:dyDescent="0.25">
      <c r="A5" s="25" t="s">
        <v>48</v>
      </c>
      <c r="B5" s="22" t="s">
        <v>110</v>
      </c>
    </row>
    <row r="6" spans="1:2" ht="13.15" thickBot="1" x14ac:dyDescent="0.25">
      <c r="A6" s="24" t="s">
        <v>49</v>
      </c>
      <c r="B6" s="21" t="s">
        <v>111</v>
      </c>
    </row>
    <row r="7" spans="1:2" ht="13.15" thickBot="1" x14ac:dyDescent="0.25">
      <c r="A7" s="25" t="s">
        <v>50</v>
      </c>
      <c r="B7" s="22" t="s">
        <v>112</v>
      </c>
    </row>
    <row r="8" spans="1:2" ht="13.15" thickBot="1" x14ac:dyDescent="0.25">
      <c r="A8" s="24" t="s">
        <v>1</v>
      </c>
      <c r="B8" s="21" t="s">
        <v>113</v>
      </c>
    </row>
    <row r="9" spans="1:2" ht="13.15" thickBot="1" x14ac:dyDescent="0.25">
      <c r="A9" s="25" t="s">
        <v>52</v>
      </c>
      <c r="B9" s="22" t="s">
        <v>114</v>
      </c>
    </row>
    <row r="10" spans="1:2" ht="13.15" thickBot="1" x14ac:dyDescent="0.25">
      <c r="A10" s="24" t="s">
        <v>53</v>
      </c>
      <c r="B10" s="21" t="s">
        <v>127</v>
      </c>
    </row>
    <row r="11" spans="1:2" ht="13.15" thickBot="1" x14ac:dyDescent="0.25">
      <c r="A11" s="25" t="s">
        <v>0</v>
      </c>
      <c r="B11" s="22" t="s">
        <v>115</v>
      </c>
    </row>
    <row r="12" spans="1:2" ht="13.15" thickBot="1" x14ac:dyDescent="0.25">
      <c r="A12" s="24" t="s">
        <v>54</v>
      </c>
      <c r="B12" s="21" t="s">
        <v>116</v>
      </c>
    </row>
    <row r="13" spans="1:2" ht="13.15" thickBot="1" x14ac:dyDescent="0.25">
      <c r="A13" s="25" t="s">
        <v>55</v>
      </c>
      <c r="B13" s="22" t="s">
        <v>117</v>
      </c>
    </row>
    <row r="14" spans="1:2" ht="13.15" thickBot="1" x14ac:dyDescent="0.25">
      <c r="A14" s="24" t="s">
        <v>58</v>
      </c>
      <c r="B14" s="21" t="s">
        <v>118</v>
      </c>
    </row>
    <row r="15" spans="1:2" ht="13.15" thickBot="1" x14ac:dyDescent="0.25">
      <c r="A15" s="25" t="s">
        <v>59</v>
      </c>
      <c r="B15" s="22" t="s">
        <v>119</v>
      </c>
    </row>
    <row r="16" spans="1:2" ht="13.15" thickBot="1" x14ac:dyDescent="0.25">
      <c r="A16" s="24" t="s">
        <v>60</v>
      </c>
      <c r="B16" s="21" t="s">
        <v>120</v>
      </c>
    </row>
    <row r="17" spans="1:2" ht="13.15" thickBot="1" x14ac:dyDescent="0.25">
      <c r="A17" s="25" t="s">
        <v>61</v>
      </c>
      <c r="B17" s="22" t="s">
        <v>121</v>
      </c>
    </row>
    <row r="18" spans="1:2" ht="13.15" thickBot="1" x14ac:dyDescent="0.25">
      <c r="A18" s="24" t="s">
        <v>62</v>
      </c>
      <c r="B18" s="21" t="s">
        <v>122</v>
      </c>
    </row>
    <row r="19" spans="1:2" ht="13.15" thickBot="1" x14ac:dyDescent="0.25">
      <c r="A19" s="25" t="s">
        <v>63</v>
      </c>
      <c r="B19" s="22" t="s">
        <v>123</v>
      </c>
    </row>
    <row r="20" spans="1:2" ht="13.15" thickBot="1" x14ac:dyDescent="0.25">
      <c r="A20" s="24" t="s">
        <v>64</v>
      </c>
      <c r="B20" s="21" t="s">
        <v>124</v>
      </c>
    </row>
    <row r="21" spans="1:2" ht="13.15" thickBot="1" x14ac:dyDescent="0.25">
      <c r="A21" s="25" t="s">
        <v>65</v>
      </c>
      <c r="B21" s="22" t="s">
        <v>125</v>
      </c>
    </row>
    <row r="22" spans="1:2" ht="13.15" thickBot="1" x14ac:dyDescent="0.25">
      <c r="A22" s="24" t="s">
        <v>66</v>
      </c>
      <c r="B22" s="21" t="s">
        <v>126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STAT1</vt:lpstr>
      <vt:lpstr>STAT2</vt:lpstr>
      <vt:lpstr>Rankings1</vt:lpstr>
      <vt:lpstr>Rankings2</vt:lpstr>
      <vt:lpstr>Terminals1</vt:lpstr>
      <vt:lpstr>Terminals2</vt:lpstr>
      <vt:lpstr>NPS</vt:lpstr>
      <vt:lpstr>Sheet1</vt:lpstr>
      <vt:lpstr>NPS!Print_Area</vt:lpstr>
      <vt:lpstr>NPS!Print_Titles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Fushan, Peter</dc:creator>
  <cp:lastModifiedBy>pfushan</cp:lastModifiedBy>
  <cp:lastPrinted>2017-10-30T18:31:10Z</cp:lastPrinted>
  <dcterms:created xsi:type="dcterms:W3CDTF">2018-01-08T15:42:08Z</dcterms:created>
  <dcterms:modified xsi:type="dcterms:W3CDTF">2018-10-24T20:50:08Z</dcterms:modified>
</cp:coreProperties>
</file>